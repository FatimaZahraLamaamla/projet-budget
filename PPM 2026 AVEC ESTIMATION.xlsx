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Desktop\Projet Budget\"/>
    </mc:Choice>
  </mc:AlternateContent>
  <xr:revisionPtr revIDLastSave="0" documentId="13_ncr:1_{39D894AF-EBCC-4578-8CE1-CC6CDD25CE37}" xr6:coauthVersionLast="36" xr6:coauthVersionMax="36" xr10:uidLastSave="{00000000-0000-0000-0000-000000000000}"/>
  <bookViews>
    <workbookView xWindow="0" yWindow="0" windowWidth="7470" windowHeight="2460" firstSheet="1" activeTab="1" xr2:uid="{00000000-000D-0000-FFFF-FFFF00000000}"/>
  </bookViews>
  <sheets>
    <sheet name="Report 2025 à 2026" sheetId="1" r:id="rId1"/>
    <sheet name="PPM" sheetId="2" r:id="rId2"/>
  </sheets>
  <externalReferences>
    <externalReference r:id="rId3"/>
  </externalReferences>
  <definedNames>
    <definedName name="_xlnm._FilterDatabase" localSheetId="1" hidden="1">PPM!$A$9:$AD$169</definedName>
    <definedName name="_xlnm._FilterDatabase" localSheetId="0" hidden="1">'Report 2025 à 2026'!$A$1:$AA$28</definedName>
    <definedName name="ANN">[1]Parametres!$A$116</definedName>
    <definedName name="INF">[1]Parametres!$A$115</definedName>
    <definedName name="NA">[1]Parametres!$A$113</definedName>
    <definedName name="TypBudget">[1]Parametres!$A$2:$A$5</definedName>
    <definedName name="xBesoin">[1]Parametres!$A$146:$A$149</definedName>
    <definedName name="xBUDGET">[1]Parametres!$A$7:$A$8</definedName>
    <definedName name="xCATEGORIES">[1]Parametres!$A$137:$A$139</definedName>
    <definedName name="xDIRECTION">[1]Parametres!$A$51:$A$78</definedName>
    <definedName name="xRec">[1]Parametres!$A$149</definedName>
    <definedName name="xStatut1">[1]Parametres!$A$113:$A$118</definedName>
    <definedName name="xSTATUTSUP">[1]Parametres!$A$128:$A$135</definedName>
    <definedName name="xStEng">[1]Parametres!$A$96:$A$100</definedName>
    <definedName name="xTYPE1">[1]Parametres!$A$102:$A$111</definedName>
    <definedName name="xTYPSUP">[1]Parametres!$A$120:$A$126</definedName>
  </definedNames>
  <calcPr calcId="191029"/>
</workbook>
</file>

<file path=xl/calcChain.xml><?xml version="1.0" encoding="utf-8"?>
<calcChain xmlns="http://schemas.openxmlformats.org/spreadsheetml/2006/main">
  <c r="H100" i="2" l="1"/>
  <c r="H98" i="2"/>
  <c r="N28" i="1"/>
  <c r="L28" i="1"/>
  <c r="N26" i="1"/>
  <c r="L26" i="1"/>
  <c r="N5" i="1"/>
  <c r="L5" i="1"/>
</calcChain>
</file>

<file path=xl/sharedStrings.xml><?xml version="1.0" encoding="utf-8"?>
<sst xmlns="http://schemas.openxmlformats.org/spreadsheetml/2006/main" count="1614" uniqueCount="346">
  <si>
    <t>ANNEE LANCEMENT</t>
  </si>
  <si>
    <t>N°AOO</t>
  </si>
  <si>
    <t>TYPE 1</t>
  </si>
  <si>
    <t>STATUT 1</t>
  </si>
  <si>
    <t>LOTS</t>
  </si>
  <si>
    <t xml:space="preserve">DIRECTION </t>
  </si>
  <si>
    <t>OBJET</t>
  </si>
  <si>
    <t>TYPE BUDGET</t>
  </si>
  <si>
    <t>BUDGET</t>
  </si>
  <si>
    <t>LIGNES BUDGETAIRES</t>
  </si>
  <si>
    <t xml:space="preserve">MONTANT A REPORTER </t>
  </si>
  <si>
    <t>MONTANT PREENGAGE INITIAL</t>
  </si>
  <si>
    <t>ESTIMATION TTC</t>
  </si>
  <si>
    <t>ESTIMATION HT</t>
  </si>
  <si>
    <t>ADJUDICATAIRE / FRS</t>
  </si>
  <si>
    <t>ANNEE APPROBATION</t>
  </si>
  <si>
    <t>N° SUPPORT D'ENGAGEMENT</t>
  </si>
  <si>
    <t>TYPE DE SUPPORT D'ENGAGEMENT</t>
  </si>
  <si>
    <t>STATUT SUPPORT D'ENGAGEMENT</t>
  </si>
  <si>
    <t>DATE APPROB</t>
  </si>
  <si>
    <t>MONTANT MARCHE HT
PART EN MAD</t>
  </si>
  <si>
    <t>MONTANT MARCHE HT
PART EN DEVISES</t>
  </si>
  <si>
    <t>MONTANT MARCHE TTC
 PART EN MAD</t>
  </si>
  <si>
    <t>MONTANT MARCHE TTC
PART EN DEVISES</t>
  </si>
  <si>
    <t xml:space="preserve"> TOTAL ENGAGE HT</t>
  </si>
  <si>
    <t>TOTAL ENGAGE TTC</t>
  </si>
  <si>
    <t>STATUT D'ENGAGEMENT</t>
  </si>
  <si>
    <t>56AOM</t>
  </si>
  <si>
    <t>AOO-M</t>
  </si>
  <si>
    <t>EN SIGNATURE</t>
  </si>
  <si>
    <t>DPMG</t>
  </si>
  <si>
    <t>Acquisition et travaux d'installation d'un ascenseur  dans le bâtiment de la Radio SNRT-Rabat</t>
  </si>
  <si>
    <t>Ordinaire</t>
  </si>
  <si>
    <t>INVESTISSEMENT</t>
  </si>
  <si>
    <t>Agencements et aménagement constructions</t>
  </si>
  <si>
    <t>MARCHE</t>
  </si>
  <si>
    <t>PHASE AOO</t>
  </si>
  <si>
    <t>EN COURS DE PREENGAGEMENT</t>
  </si>
  <si>
    <t>64AOM</t>
  </si>
  <si>
    <t>INFRUCTUEUX</t>
  </si>
  <si>
    <t>DTSI</t>
  </si>
  <si>
    <t>Fourniture et mise en service de licences de la solution de gestion des RH pour les besoins de la SNRT</t>
  </si>
  <si>
    <t>Immobilisations incorporelles (logiciels, licences, etc.)</t>
  </si>
  <si>
    <t>NON ENGAGE</t>
  </si>
  <si>
    <t>70AOM</t>
  </si>
  <si>
    <t>Travaux d'extension de l'Abri des cars Régies à Temara</t>
  </si>
  <si>
    <t>71AOM</t>
  </si>
  <si>
    <t>Travaux de démolition et de reconstruction d'un mur de cloture de la station Régionale Radio à Oujda</t>
  </si>
  <si>
    <t>73AOM</t>
  </si>
  <si>
    <t>Fourniture et mise en service des équipements de réception par satellite pour les besoins de la SNRT</t>
  </si>
  <si>
    <t>Exceptionnel</t>
  </si>
  <si>
    <t>Equipements techniques</t>
  </si>
  <si>
    <t>Fourniture et mise en service de démodulateurs satellite multinormes pour les besoins de la SNRT</t>
  </si>
  <si>
    <t>74AOM</t>
  </si>
  <si>
    <t>Fourniture et mise en service d'un systéme d'intercom boradcast pour les besoins de la SNRT</t>
  </si>
  <si>
    <t>78AOM</t>
  </si>
  <si>
    <t>VALIDE</t>
  </si>
  <si>
    <t>TDF-EXP&amp;MAIN</t>
  </si>
  <si>
    <t>Travaux d'entretien et renouvellement  du faux plancher de la salle technique du centre SNRT d'AIN CHOCK</t>
  </si>
  <si>
    <t>PREENGAGE</t>
  </si>
  <si>
    <t>82AOM</t>
  </si>
  <si>
    <t xml:space="preserve">Acquisition de matériel technique et informatique pour l'extension de l'outil digital de gestion de ressources techniques et humaines de l'exploitation et de la maintenance </t>
  </si>
  <si>
    <t>Equipements de télédiffusion</t>
  </si>
  <si>
    <t>89AOM</t>
  </si>
  <si>
    <t>Fourniture d'une solution DLP "Data Loss Prevention"</t>
  </si>
  <si>
    <t>90AOM</t>
  </si>
  <si>
    <t>TDF -SITES</t>
  </si>
  <si>
    <t>Fourniture, installation et mise en service de dix stations DVB-T/T2 de puissance 500 W rms et d'une station DVB-T/T2 de 1KW rms, fonctionnant en mode (2+1) dans la bande [474-690] MHz, avec triplexeurs RF et accessoires</t>
  </si>
  <si>
    <t>93AOM</t>
  </si>
  <si>
    <t>Fourniture, insallation et mise en service d'antenne parabolique 3,6 m et guide d'ondes elliptique 4 GHz pour le réseau faisceaux hertiziens</t>
  </si>
  <si>
    <t>96AOM</t>
  </si>
  <si>
    <t>ANNULE</t>
  </si>
  <si>
    <t>Fourniture de commutateurs de flux " Transport Stream over ASI/IP (TSoASI/IP)</t>
  </si>
  <si>
    <t>99AOM</t>
  </si>
  <si>
    <t xml:space="preserve">Fourniture d'un ensemble d'appareils de mesure et test pour les réseaux de faisceaux hertziens et les signaux vidéo </t>
  </si>
  <si>
    <t>100AOM</t>
  </si>
  <si>
    <t>Fourniture, installation des radômes pour le feeder du centre émetteur radio AM de Foum El Ouad à Laayoune</t>
  </si>
  <si>
    <t>101AOM</t>
  </si>
  <si>
    <t>Fourniture, installation et mise en service des onduleurs 2 x 150 KVA type modulaires au centre SNRT de ZAER</t>
  </si>
  <si>
    <t>102AOM</t>
  </si>
  <si>
    <t>Fourniture, installation et mise en service d'une station de diffusion radio FM composée d'émetteurs de puissance 1kw en mode (5+1) et un combiner RF avec ses accessoires+ 2 stations de diffusion radio FM  composée d'émetteurs de puissance 500W en mode 5+1 et un combiner RF + 2 émetteurs FM de puissance 2KW avec leurs accessoires</t>
  </si>
  <si>
    <t>103AOM</t>
  </si>
  <si>
    <t>Fourniture de combiners / upconverters</t>
  </si>
  <si>
    <t>104AOM</t>
  </si>
  <si>
    <t>Fourniture et mise en service d'équipements de captation vidéo et de prise de son destinés aux besoins de production des chaînes TV</t>
  </si>
  <si>
    <t>105AOM</t>
  </si>
  <si>
    <t>Travaux d'aménagement et d'agencement de la régie publicitaire et des solutions digitales</t>
  </si>
  <si>
    <t>XXXXAOM</t>
  </si>
  <si>
    <t>Fourniture d’un nouveau groupe électrogène pour le centre de PALOMAS de puissance 200 KW/PRP, ainsi que la mise à niveau et transfert de quelques groupes électrogène entre quelques centres SNRT</t>
  </si>
  <si>
    <t>TAMAZIGHT</t>
  </si>
  <si>
    <t>Conception et fabrication d'un ensemble de décors comprenant une table et cinq chaises dédiées aux émissions de débat télévisé diffusées sur la chaîne TV8</t>
  </si>
  <si>
    <t>Fourniture et installation du matériel de bureau : Photocopieurs, Fax, Toners, Drums et Fours</t>
  </si>
  <si>
    <t>Matériel de bureau</t>
  </si>
  <si>
    <t>Acquisition et installation de caméras dans les locaux de la SNRT y compris serveurs et baie de stockage</t>
  </si>
  <si>
    <t>Installations techniques</t>
  </si>
  <si>
    <t>Travaux d'aménagement des locaux techniques à RABAT lot: AMENAGEMENT ET AGENCEMENT</t>
  </si>
  <si>
    <t>Travaux d'aménagement des locaux techniques à RABAT lot: ELECTRICITE-LUSTRERIES-CLIMATISATION</t>
  </si>
  <si>
    <t>Fourniture et installation des Panneaux de signatlisation Batiments SNRT</t>
  </si>
  <si>
    <t xml:space="preserve">PROGRAMME PREVISIONNEL DES MARCHES PAR APPELS D'OFFRES </t>
  </si>
  <si>
    <t xml:space="preserve">OBJET
 </t>
  </si>
  <si>
    <t>NATURE DE LA PRESTATION</t>
  </si>
  <si>
    <t>MODE DE PASSATION</t>
  </si>
  <si>
    <t>PERIODE PREVUE POUR LE LANCEMENT</t>
  </si>
  <si>
    <t>LIEU D'EXECUTION</t>
  </si>
  <si>
    <t xml:space="preserve">AOO RESERVES AUX PME </t>
  </si>
  <si>
    <t>ESTIMATION</t>
  </si>
  <si>
    <t>NATURE BUDGET</t>
  </si>
  <si>
    <t>Direction de la Télédiffusion</t>
  </si>
  <si>
    <t>Fourniture des  modules  de  traitement audio et RDS  pour les émetteurs FM</t>
  </si>
  <si>
    <t>Fournitures</t>
  </si>
  <si>
    <t>Appel d'offres ouvert</t>
  </si>
  <si>
    <t>T3</t>
  </si>
  <si>
    <t>Magasin Temara</t>
  </si>
  <si>
    <t>Non</t>
  </si>
  <si>
    <t>Investissement</t>
  </si>
  <si>
    <t>Fourniture, installation et mise en service de systèmes de supervision des antennes de diffusion FM et TV</t>
  </si>
  <si>
    <t>T2</t>
  </si>
  <si>
    <t>Centres de diffusion de la SNRT</t>
  </si>
  <si>
    <t>Fourniture et installation des équipements de contrôle audio et vidéo pour les petits centres de diffusion TV/FM</t>
  </si>
  <si>
    <t>Fourniture, installation et mise en service des climatiseurs aux centres de diffusion de la SNRT</t>
  </si>
  <si>
    <t>Oui</t>
  </si>
  <si>
    <t>Fourniture des analyseurs de réseaux électrique et les appareils de mesure électrique</t>
  </si>
  <si>
    <t>Fourniture,installation et mise en service des commutateurs et distributeurs des signaux ASI et IP pour les centres de diffusion TNT et FM</t>
  </si>
  <si>
    <t>Fourniture et installation des sondes FM et TNT pour le contrôle des signaux audios et vidéo des chaines radio et télevision de la SNRT</t>
  </si>
  <si>
    <t>Fourniture des modules et pièces de rechanges des émetteurs TNT de  des centres de la SNRT</t>
  </si>
  <si>
    <t>Fonctionnement</t>
  </si>
  <si>
    <t>Fourniture des modules et pièces de rechanges des émetteurs FM  des centres de la SNRT</t>
  </si>
  <si>
    <t>Fourniture des duplexeurs, filtres, patchs panel , commutateurs RF et adaptateurs</t>
  </si>
  <si>
    <t>Fourniture des distributeurs de puissance UHF et  FM, combiners, feeders et antennes</t>
  </si>
  <si>
    <t>Fourniture des modules et pièces de rechanges hydrauliques et électriques  pour les émetteurs de diffusion TNT et FM</t>
  </si>
  <si>
    <t>L'entretien et la remise en état des systèmes de balisage aux pylônes des centres de diffusion TV/FM</t>
  </si>
  <si>
    <t>Services</t>
  </si>
  <si>
    <t>centres de diffusion de la SNRT</t>
  </si>
  <si>
    <t>Entretien et maintenance du syteme d'antennes du centre radio AM d'Ait Melloul</t>
  </si>
  <si>
    <t>Ait Melloul</t>
  </si>
  <si>
    <t>Entretien et remise en état  du système de verouillage et de protection des cabines d'antennes de  centres AM</t>
  </si>
  <si>
    <t>Entretien des  systèmes de la télésurveillance des centres radio AM.</t>
  </si>
  <si>
    <t>Centre de diffusion AM</t>
  </si>
  <si>
    <t>Entretien et maintenance des équipements électriques, électroniques des climatiseurs aux centres de diffusion, y compris la fourniture des pièces de rechange.</t>
  </si>
  <si>
    <t>Centres de diffusion TV/FM</t>
  </si>
  <si>
    <t xml:space="preserve">Fourniture, installation et mise en service des émetteurs DVB-T/T2 avec combiners pour quelques sites de diffusion </t>
  </si>
  <si>
    <t>Laayoune, Palomas, Tazerkount</t>
  </si>
  <si>
    <t xml:space="preserve">Fourniture, installation et mise en service des émetteurs FM avec combiners et systèmes d'antennes FM pour quelques sites de diffusion </t>
  </si>
  <si>
    <t>Azougar, Bouarfa,  Figuig, Palomas,  Tizi Azza</t>
  </si>
  <si>
    <t>Fourniture, installation et mise en service de nouvelles liaisons de faisceaux hertzien pour un Trafic MPEG-TS/IP et IP.</t>
  </si>
  <si>
    <t>Zerhoun - Azougar - Tiguelmamine - Takka Tissoufra - Izeft - Errachidia - Rich
Rabat - Zaers - Témara.</t>
  </si>
  <si>
    <t>Fourniture de combiners/upconverters.</t>
  </si>
  <si>
    <t>T1</t>
  </si>
  <si>
    <t>Rabat</t>
  </si>
  <si>
    <t>Fourniture, installation et mise en service des onduleurs 2x150 KVA type modulaires et d’un système de climatisation au centre SNRT de ZAER (RABAT).</t>
  </si>
  <si>
    <t>Rabat zaer</t>
  </si>
  <si>
    <t xml:space="preserve">Acquisition de matériel technique et informatique pour l'extension de l'outil digital de gestion des ressources techniques et humaines de l'exploitation et de la maintenance. </t>
  </si>
  <si>
    <t>Témara</t>
  </si>
  <si>
    <t>Fourniture installation et mise en service d’un nouveau groupe électrogène  de puissance 200 KW/PRP  pour le centre SNRT de PALOMAS (P.EL HOCEIMA), ainsi que le transfert de quelques groupes électrogènes entre des centres SNRT y compris leurs mise à niveau.</t>
  </si>
  <si>
    <t>Travaux</t>
  </si>
  <si>
    <t>Al Houceima</t>
  </si>
  <si>
    <t>Fourniture, installation et mise en service de nouveaux onduleurs dans quelques sites de diffusion.</t>
  </si>
  <si>
    <t>JBEL LAHDID (ESSAOUIRA) - ZERHOUNE - OUKEIMEDEN</t>
  </si>
  <si>
    <t>Fourniture, installation et mise en service des groupes électrogènes dans quelques sites de diffusion.</t>
  </si>
  <si>
    <t>Tarfaya - Akhfennir - Abtih - Sidi IfniI - Sidi Bounouara</t>
  </si>
  <si>
    <t>Electricafication/augmentation MT/BT 2éme reseau de quelques sites de diffusion SNRT.</t>
  </si>
  <si>
    <t>Fogo (Guelmim) - Akka Ighan (Tata) - Arfoud (Errachidia)</t>
  </si>
  <si>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</si>
  <si>
    <t>Magasin Témara</t>
  </si>
  <si>
    <t>Acquisition de climatiseurs</t>
  </si>
  <si>
    <t>T4</t>
  </si>
  <si>
    <t>Akka Ighan + tout besoin ponctuel</t>
  </si>
  <si>
    <t>Construction et achèvement d'installation des pylônes auto-stable aux sites SNRT TANAKOUBE ( P.CHEFCHAOUEN) et TAOURIRT</t>
  </si>
  <si>
    <t>Tanakoube ( (P,Chefchaouen) et Taourirt)</t>
  </si>
  <si>
    <t>Elaboration des études technique et le suivi des travaux  pour la construction et achèvement d'installation des pylônes auto-stable aux sites SNRT TANAKOUBE ( P.CHEFCHAOUEN) et TAOURIRT</t>
  </si>
  <si>
    <t>Tanakoube
 ( P,Chefchaouen) et Taourirt</t>
  </si>
  <si>
    <t>Etudes architecturales et le suivi des travaux pour la construction des nouveau sites de diffusion de la SNRT à RICH et MSISSI</t>
  </si>
  <si>
    <t>Rich  et Msissi</t>
  </si>
  <si>
    <t>Elaboration des études technique et le suivi des travaux  pour la construction des nouveau sites de diffusion  à RICH et MSISSI</t>
  </si>
  <si>
    <t>Travaux de construction de nouveaux sites à RICH et MSISSI</t>
  </si>
  <si>
    <t>Travaux d'aménagement des sites de diffusion.</t>
  </si>
  <si>
    <t>T2 - T3 - T4</t>
  </si>
  <si>
    <t>Hafa Safa, Zerhoune,  Figuig, Izeft, Safi</t>
  </si>
  <si>
    <t xml:space="preserve">Entretien des pylônes et tours dessites de diffusion </t>
  </si>
  <si>
    <t>Cap Spartel, Hafa Safa, Zerhoune, Safi, Ain Chock, Mirchich et Lakhiar</t>
  </si>
  <si>
    <t>Fourniture, installation et mise en service de plateformes d'encodage et de multiplexage/Mise à niveau des platformes existantes.</t>
  </si>
  <si>
    <t>Rabat - Casablanca</t>
  </si>
  <si>
    <t>Fourniture des équipements de transmission pour les réseaux FH, satellite, contribution, tête réseau et NMS des stations terriennes.</t>
  </si>
  <si>
    <t>Rabat - Casablanca - Témara</t>
  </si>
  <si>
    <t>Formation dans les réseaux informatiques et réseaux de transmission.</t>
  </si>
  <si>
    <t>Entretien, réparation et maintenance des équipements de transmission.</t>
  </si>
  <si>
    <t>Sites de Transmission</t>
  </si>
  <si>
    <t>Direction Financière</t>
  </si>
  <si>
    <t>Commissarit aux apports - Expertise d'évaluation du foncier transféré par l'Etat à la SNRT</t>
  </si>
  <si>
    <t xml:space="preserve">Siège SNRT </t>
  </si>
  <si>
    <t xml:space="preserve">Audit fiscal de la SNRT au titre des exercices non prescrits (2022 - 2025) </t>
  </si>
  <si>
    <t>Siège SNRT</t>
  </si>
  <si>
    <t>Accompagnement du Groupe SNRT dans la production des comptes en IFRS (trois prix distincts : la production des comptes individuels de la SNRT, la production des comptes individuels des filiales, la production des comptes consolidés du groupe)</t>
  </si>
  <si>
    <t>SNRT et Filiales</t>
  </si>
  <si>
    <t>Direction Centrale Marketing et Programmation TV</t>
  </si>
  <si>
    <t>Réalisation d'études qualitatives et quantitatives marketing pour la SNRT</t>
  </si>
  <si>
    <t>Royaume du 
Maroc</t>
  </si>
  <si>
    <t>Maintenance du portail de la SNRT</t>
  </si>
  <si>
    <t>Production de flags et bonnettes pour les micros des chaînes TV et radios de la SNRT</t>
  </si>
  <si>
    <t xml:space="preserve">Stratégie Marketing, conseil en communication, exécution et production des campagnes </t>
  </si>
  <si>
    <t>Location de supports d'affichage urbain 4x3 pour la promotion des produits et services de la SNRT</t>
  </si>
  <si>
    <t>Production de spots / films publicitaires pour la promotion des produits et services de la SNRT</t>
  </si>
  <si>
    <t>Décor  JT Al Aoula , Laayoune, Tamazight
Habillage chaînes SNRT</t>
  </si>
  <si>
    <t>Rabat et Laayoune</t>
  </si>
  <si>
    <t xml:space="preserve">Décors virtuels des chaînes de la SNRT </t>
  </si>
  <si>
    <t>Rabat/Casablanca</t>
  </si>
  <si>
    <t xml:space="preserve">Direction du Patrimoine et Moyens Généraux </t>
  </si>
  <si>
    <t>Acquisition et installation des caméras dans les locaux de la SNRT y compris serveurs et baie de stockage</t>
  </si>
  <si>
    <t>T1-T2</t>
  </si>
  <si>
    <t>Annexes SNRT</t>
  </si>
  <si>
    <t>Travaux d'aménagement des locaux d'archive TV de la SNRT  à Témara.</t>
  </si>
  <si>
    <t xml:space="preserve">Rabat </t>
  </si>
  <si>
    <t>Travaux d'aménagement des  locaux de la SNRT  à Rabat.</t>
  </si>
  <si>
    <t>Travaux d'aménagement de la station régionale Radio de Marrakech</t>
  </si>
  <si>
    <t>Marrakech</t>
  </si>
  <si>
    <t>Travaux d'aménagement de la station régionale Radio d'AL Houceima</t>
  </si>
  <si>
    <t>Travaux d'aménagement de la station régionale Radio de Tetouane,</t>
  </si>
  <si>
    <t>Travaux d'installation électrique au bâtiment administratif de la SNRT à Rabat</t>
  </si>
  <si>
    <t>Travaux de plomberie au niveau des locaux de la SNRT Rabat</t>
  </si>
  <si>
    <t xml:space="preserve">Peinture extérieure pour les façades des bâtiments de la SNRT à Rabat. </t>
  </si>
  <si>
    <t>Aménagement des locaux Techniques (salles machines) des stations régionales radio de la SNRT.</t>
  </si>
  <si>
    <t>Stations régionales Radio</t>
  </si>
  <si>
    <t xml:space="preserve">Acquisition et installation de climatiseurs au niveau des locaux techniques des stations regionales radio.
</t>
  </si>
  <si>
    <t>Etanchéité des terrasses des locaux de la SNRT à Rabat et Casablanca.</t>
  </si>
  <si>
    <t>Rabat et Casablanca</t>
  </si>
  <si>
    <t>Aménagement du studio virtuel de la station TV Laayoune.</t>
  </si>
  <si>
    <t>Laayoune</t>
  </si>
  <si>
    <t xml:space="preserve">Prestations de désherbage. </t>
  </si>
  <si>
    <t>Rabat Temara casablanca</t>
  </si>
  <si>
    <t>Maintenance des ascenseurs.</t>
  </si>
  <si>
    <t>Rabat- Casablanca</t>
  </si>
  <si>
    <t>Maintenance des extincteurs.</t>
  </si>
  <si>
    <t>Anexes SNRT</t>
  </si>
  <si>
    <t>Maintenance des onduleurs.</t>
  </si>
  <si>
    <t xml:space="preserve">Maintenance des installations de détection et d'extinction automatique d'incendie .
</t>
  </si>
  <si>
    <t xml:space="preserve">Maintenance des installations de climatisation: 
 Rabat Casablanca </t>
  </si>
  <si>
    <t>Mise à jour de la solution de pointage et de contrôle d'accès</t>
  </si>
  <si>
    <t>Rabat, Casablanca et Laayoune</t>
  </si>
  <si>
    <t>Fourniture Matériel Electrique Siége et Annexes</t>
  </si>
  <si>
    <t>Installation extracteurs et détection incendie locaux Archives Finances et Achats</t>
  </si>
  <si>
    <t xml:space="preserve">Acquisition de climatiseurs </t>
  </si>
  <si>
    <t xml:space="preserve">Travaux d'aménagement de la régie et du Studio N°5 de la  Radio </t>
  </si>
  <si>
    <t>Acquisition et travaux d'installation de deux ascenseurs aux bâtiments  de la Radio SNRT-Rabat et de Radio-TV coranique Assadissa</t>
  </si>
  <si>
    <t xml:space="preserve"> la location de longue durée à la SNRT de véhicules neufs sans option d'achat  ainsi que les prestations qui lui sont accessoires et complémentaire</t>
  </si>
  <si>
    <t xml:space="preserve">Acquisition  de mobilier de bureau </t>
  </si>
  <si>
    <t xml:space="preserve">Acquisition de Matériel de Bureau (photocopieurs, Fax, Destructeur Tonners et drums ) </t>
  </si>
  <si>
    <t>T1-T4</t>
  </si>
  <si>
    <t xml:space="preserve">Achat Fournitures de Bureau </t>
  </si>
  <si>
    <t xml:space="preserve">Achat Papier Fort A4
</t>
  </si>
  <si>
    <t xml:space="preserve"> Inventaire physique et fiabilisation du fichier comptable des immobilisations de la SNRT,
</t>
  </si>
  <si>
    <t>Sites de la SNRT</t>
  </si>
  <si>
    <t>Extension de l'abri des cars régies à Témara</t>
  </si>
  <si>
    <t>Oujda</t>
  </si>
  <si>
    <t xml:space="preserve">Casablanca </t>
  </si>
  <si>
    <t>Travaux d'aménagement des locaux techniques à Rabat Aménagement et Agencement</t>
  </si>
  <si>
    <t>Travaux d'aménagement des locaux techniques à Rabat  Electricité-Lustreries-Climatisation</t>
  </si>
  <si>
    <t>Fourniture et installation des Panneaux de signatlisation Bâtiments SNRT</t>
  </si>
  <si>
    <t>Sites SNRT</t>
  </si>
  <si>
    <t xml:space="preserve">Direction Centrale de la Production et de l'Antenne </t>
  </si>
  <si>
    <t>Décors Emissions Internes Al Aoula</t>
  </si>
  <si>
    <t>Casablanca / Rabat</t>
  </si>
  <si>
    <t>Location Ecrans &amp; Barres à Led</t>
  </si>
  <si>
    <t>Location Matériel pour les productions internes Al Aoula</t>
  </si>
  <si>
    <t>Direction Al Maghribia</t>
  </si>
  <si>
    <t>Prestation de blanchisserie du linge et services associés au profit des journalistes présentateurs du journal Télévisés (JT)</t>
  </si>
  <si>
    <t>Décor Virtuel Live News</t>
  </si>
  <si>
    <t xml:space="preserve">Direction Audit et Contrôle et de Gestion </t>
  </si>
  <si>
    <t>Elaboration d'une cartographie des risques couvrant les processus de la SNRT</t>
  </si>
  <si>
    <t>Direction chargée des programmes Amazigh Radio et TV</t>
  </si>
  <si>
    <t>Habillage général de la chaîne Amazighia</t>
  </si>
  <si>
    <t>Conception et fabrication d'un ensemble de décors comprenant une table et cinq chaises dédiées aux émissions de débat télévisé diffusées sur la chaîne TV8.</t>
  </si>
  <si>
    <t>Habillage général de Radio Amazigh</t>
  </si>
  <si>
    <t>Direction des  Ressources Humaines</t>
  </si>
  <si>
    <t>Programmes de formation  au profit du personnel de la SNRT</t>
  </si>
  <si>
    <t>Direction de l'Information TV</t>
  </si>
  <si>
    <t>Prestation de blanchisserie du linge et services assiciés au profit des journalistes présentateurs du journal Télévisés (JT) ,</t>
  </si>
  <si>
    <t xml:space="preserve">Achat d'habillement au profit des journalistes présentateurs des évenements sportifs, </t>
  </si>
  <si>
    <t>Achat d'habillement au profit des journalistes présentateurs des JTV ,</t>
  </si>
  <si>
    <t>Conception et réalisation d'un décor du plateau de télévision professionnel aux standards internationaux pour la couverture de la CAN 2026 (femmes)</t>
  </si>
  <si>
    <t>Réalisation d'un décor plateau de télévision professionnel aux standards internationaux pour l'émission" نقطة الى السطر"</t>
  </si>
  <si>
    <t>Conception et fabrication de décor pour une émission grand débat  politique 2026</t>
  </si>
  <si>
    <t>Acquisition des produits de maquillage pour les présentateurs des  JT e t des émissions TV,</t>
  </si>
  <si>
    <t>Direction Centrale Technique</t>
  </si>
  <si>
    <t>Acquisition de systèmes de caméras aériennes sur câbles pour répondre aux besoins de production de la SNRT.</t>
  </si>
  <si>
    <t>Rabat - Tanger</t>
  </si>
  <si>
    <t>Acquisition de matériel audio/vidéo pour le renouvellement des dispositifs des unités mobiles de la SNRT.</t>
  </si>
  <si>
    <t>Acquisition de véhicules « Support Trucks » pour répondre aux besoins des unités mobiles de la SNRT.</t>
  </si>
  <si>
    <t>Acquisition des équipements de machinerie et d'éclairage pour répondre aux besoins de production de la SNRT</t>
  </si>
  <si>
    <t>Acquisition de véhicules utilitaires aménagés pour abriter les équipements d'éclairage et de machinerie pour répondre aux besoins de production de la SNRT.</t>
  </si>
  <si>
    <t>Renouvellement et mise à niveau des équipements d'enregistrement, de lecture  et de traitement pour les besoins du système News Room de la SNRT.</t>
  </si>
  <si>
    <t>Contrat de support logiciel du système News Room (PAM et NRCS) pour les besoins des chaines TV de la SNRT.</t>
  </si>
  <si>
    <t>Renouvellement des licences logicielles pour les stations d’habillage et de graphisme pour les besoins des chaînes TV de la SNRT.</t>
  </si>
  <si>
    <t>Renouvellement des équipements audio/vidéo et des châssis de traitement de signaux pour répondre aux besoins des installations techniques de la SNRT.</t>
  </si>
  <si>
    <t>Mise en place d'un système d'automation TV pour répondre aux besoins de la diffusion des chaines TV de la SNRT.</t>
  </si>
  <si>
    <t>Renouvellement des équipements Audio/Vidéo pour répondre aux besoins des chaines TV de la SNRT.</t>
  </si>
  <si>
    <t>Acquisition et mise à niveau des équipements Audio/vidéo de la régie multidiffusion pour répondre aux besoins de la chaine Arryadia de la SNRT.</t>
  </si>
  <si>
    <t>Renouvellement des équipements Audio/Vidéo du plateau JT pour répondre aux besoins de la chaine Al Aoula de la SNRT.</t>
  </si>
  <si>
    <t>Renouvellement des équipements de captation Audio/Vidéo pour répondre aux besoins de la chaine Al Aoula de la SNRT.</t>
  </si>
  <si>
    <t>Renouvellement et mise à niveau des équipements Audio/Vidéo de la régie JT pour répondre aux besoins de la chaine TV Laayoune de la SNRT.</t>
  </si>
  <si>
    <t>Acquisition et mise à niveau des équipements Audio/Vidéo du studio virtuel pour répondre aux besoins de production de la chaine TV Laayoune de la SNRT.</t>
  </si>
  <si>
    <t>Acquisition des équipements audio pour les besoins des chaines radios de la SNRT.</t>
  </si>
  <si>
    <t>Renouvellement et mise à niveau du Centre de Diffusion et de Monitoring (CDM) pour les besoins des chaines Radio de la SNRT. afin d’assurer la supervision centralisée, la redondance et la continuité de service des diffusions.</t>
  </si>
  <si>
    <t>Renouvellement des systèmes d’automation radio des chaînes radios régionales de la SNRT.</t>
  </si>
  <si>
    <t>Radios régionales</t>
  </si>
  <si>
    <t>Acquisition des équipements informatiques Broadcast pour les besoins des chaines radios régionales de la SNRT.</t>
  </si>
  <si>
    <t>Acquisition des supports d’enregistrement et de lecture pour les besoins des chaines TV de la SNRT</t>
  </si>
  <si>
    <t>Acquisition de lecteurs LTO destinés aux besoins d’archivage de la SNRT</t>
  </si>
  <si>
    <t>Numérisation des anciennes archives télévisuelles stockées sur des supports analogiques de type U-MATIC, pour les besoins des archives TV de la SNRT</t>
  </si>
  <si>
    <t>Renouvellement et mise à niveau des systèmes et solutions logicielles de l'infrastructure IT de la SNRT</t>
  </si>
  <si>
    <t>Souscription à un abonnement annuel de licences logiciels pour les besoins de la SNRT</t>
  </si>
  <si>
    <t>Acquisition des consommables, accessoires, pièces de rechange et outillage informatiques pour les besoins de la SNRT</t>
  </si>
  <si>
    <t>Acquisition des serveurs et des équipements Informatiques pour les besoins de la SNRT</t>
  </si>
  <si>
    <t>Acquisition des équipements pour la mise à niveau de l'infrastructure réseau de la SNRT</t>
  </si>
  <si>
    <t>Acquisition d’équipements informatiques  pour les besoins de SNRT NEWS</t>
  </si>
  <si>
    <t>Acquisition d’équipements informatiques et audiovisuels pour la mise à niveau du matériel de SNRT NEWS</t>
  </si>
  <si>
    <t>Acquisition de licences et de logiciels pour  les besoins de SNRT NEWS</t>
  </si>
  <si>
    <t>Direction Centrale de la Régie publicitaire et des Solutions Digitales</t>
  </si>
  <si>
    <t>Assistance et maintenance de lasolution BI etlocation de licences</t>
  </si>
  <si>
    <t>Casablanca</t>
  </si>
  <si>
    <t>Prestation de maintenance corrective, maintenance évolutive, d'assistance utilisateur, d'assistance technique et des mises à jour de Media Pilot, Logiciel de gestion de la commercialisation de l'espace publicitaire des supports TV Radio de la SNRT</t>
  </si>
  <si>
    <t>"Acquisition d'une Solution Multifonction visant la gestion de projets, la mise en place de la chaine Devops et l’acquisition des Outils de développement : éditeur de code".</t>
  </si>
  <si>
    <t>Mise en place d’une plateforme de gestion de données : Data management platorm: (DMP) pour la collecte et l’analyse de données sociodémographiques et comportementales, afin d'optimiser les campagnes publicitaires sur les plateformes digitales de la régie.</t>
  </si>
  <si>
    <t>Lancement d'une Analyse de l'impact  de l'engagement et de l'attention des téléspectateurs sur les programmes TV : De la mémorisation à l’attractivité pour les marques ( Efficacité publicitaire TV (linéaire + Broadcaster Video On Demand).</t>
  </si>
  <si>
    <t xml:space="preserve">Lancement d'une étude "Return on investment": ( ROI) permettant l'évaluation de l'effiicacité des camapgnes publicitaires </t>
  </si>
  <si>
    <t xml:space="preserve">Maintenance de la messagerie de la DRPSD  </t>
  </si>
  <si>
    <t xml:space="preserve">Acquisition d'une Solution visant l'Automatisation et la Digitalisation de la Gestion des Campagnes Publicitaires 
( Annonceurs - Agences- Régie Publicitaire ) </t>
  </si>
  <si>
    <t>NON</t>
  </si>
  <si>
    <t>Refonte de la Solution de publicité digitale pour l'ensemble des plateformes digitales de la SNRT</t>
  </si>
  <si>
    <t xml:space="preserve">Réferencement de la plate forme SNRTNEWS et Mise en place de la stratégie digitale </t>
  </si>
  <si>
    <t xml:space="preserve">Accompagnement et Sponsoring des plateformes digitales </t>
  </si>
  <si>
    <t>Solutions relatives au projet d'homologation RSSI</t>
  </si>
  <si>
    <t xml:space="preserve">Développement de projets digitaux </t>
  </si>
  <si>
    <t>Responsable de la Sécurité des Systèmes d’Information (RSSI)</t>
  </si>
  <si>
    <t>Acquisition, installation, mise en service et exploitation d'un système de gestion des informations et des événements de Cybersécurité, dans le cadre de la mise en place du centre opérationnel de cybersécurité interne (CyberSOC &amp; CyberCERT) de la SNRT.</t>
  </si>
  <si>
    <t xml:space="preserve">Non </t>
  </si>
  <si>
    <t>Souscription au service de "Cyber Threat Intelligence (CTI)" pour les besoins des équipes CyberSOC et CyberCERT, dans le cadre de la mise en place du centre opérationnel de cybersécurité interne (CyberSOC &amp; CyberCERT) de la SNRT.</t>
  </si>
  <si>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</si>
  <si>
    <t>Réalisation de prestations d’audit de sécurité des systèmes d’information de la SNRT, relevant des classes « A », « B », « C » et « D ».
Audit organisationnel et physique
Audit d’architecture
Audit de configuration
Audit de code source
Test d’intrusion
Audit des systèmes industriels</t>
  </si>
  <si>
    <t>Accompagnement à la transition vers la nouvelle version ISO/IEC 27001:2022 et extension du domaine d'application du SMSI pour couvrir l'ensemble des systèmes d'information de la SNRT.</t>
  </si>
  <si>
    <t>Réalisation de prestations d'audits de certification et de surveillance annuels du Système de Management de la Sécurité de l'Information (SMSI) selon la norme ISO/IEC 27001:2022</t>
  </si>
  <si>
    <t>Direction Attakafia</t>
  </si>
  <si>
    <t>Prestation de blanchisserie du linge et services associés au profit des journalistes présentateurs</t>
  </si>
  <si>
    <t>Direction de la Chaîne TV Laayoune</t>
  </si>
  <si>
    <t>Fabrication de décor et conception d'habillage  de l'émission "AL FADAA ARIYADI".</t>
  </si>
  <si>
    <t>Fabrication de décor et conception d'habillage  de l'émission "AAOYON ALMAGHRIB ".</t>
  </si>
  <si>
    <t>La fourniture et la mise en service de serveurs 
pour renouvellement de serveurs d’enregistrement et de replay pour les besoins de la production TV des manifestations sportives.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</si>
</sst>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 _€_-;\-* #,##0.00\ _€_-;_-* &quot;-&quot;??\ _€_-;_-@_-"/>
    <numFmt numFmtId="164" formatCode="#,##0.00\ [$MAD]"/>
    <numFmt numFmtId="165" formatCode="_-* #,##0.00\ _D_H_-;\-* #,##0.00\ _D_H_-;_-* &quot;-&quot;??\ _D_H_-;_-@_-"/>
  </numFmts>
  <fonts count="23" x14ac:knownFonts="1">
    <font>
      <sz val="11"/>
      <color theme="1"/>
      <name val="Calibri"/>
      <family val="2"/>
      <scheme val="minor"/>
    </font>
    <font>
      <sz val="11"/>
      <color theme="1"/>
      <name val="Calibri"/>
      <family val="2"/>
      <scheme val="minor"/>
    </font>
    <font>
      <sz val="10"/>
      <color theme="1"/>
      <name val="Cambria"/>
      <family val="2"/>
      <scheme val="major"/>
    </font>
    <font>
      <sz val="9"/>
      <color theme="1"/>
      <name val="Cambria"/>
      <family val="2"/>
      <scheme val="major"/>
    </font>
    <font>
      <sz val="10"/>
      <color theme="1"/>
      <name val="Calibri"/>
      <family val="2"/>
      <scheme val="minor"/>
    </font>
    <font>
      <sz val="10"/>
      <color theme="3"/>
      <name val="Calibri"/>
      <family val="2"/>
      <scheme val="minor"/>
    </font>
    <font>
      <sz val="10"/>
      <name val="Arial"/>
      <family val="2"/>
    </font>
    <font>
      <sz val="10"/>
      <color theme="1"/>
      <name val="Cambria"/>
      <family val="1"/>
      <scheme val="major"/>
    </font>
    <font>
      <b/>
      <sz val="10"/>
      <color theme="0"/>
      <name val="Cambria"/>
      <family val="1"/>
      <scheme val="major"/>
    </font>
    <font>
      <sz val="10"/>
      <color rgb="FF333333"/>
      <name val="Cambria"/>
      <family val="1"/>
      <scheme val="major"/>
    </font>
    <font>
      <sz val="10"/>
      <name val="Cambria"/>
      <family val="1"/>
      <scheme val="major"/>
    </font>
    <font>
      <sz val="11"/>
      <color theme="1"/>
      <name val="Cambria"/>
      <family val="1"/>
      <scheme val="major"/>
    </font>
    <font>
      <sz val="12"/>
      <color theme="1"/>
      <name val="Cambria"/>
      <family val="1"/>
      <scheme val="major"/>
    </font>
    <font>
      <sz val="11"/>
      <name val="Cambria"/>
      <family val="1"/>
      <scheme val="major"/>
    </font>
    <font>
      <b/>
      <sz val="11"/>
      <color theme="0"/>
      <name val="Calibri"/>
      <family val="2"/>
      <scheme val="minor"/>
    </font>
    <font>
      <b/>
      <sz val="9"/>
      <color theme="0" tint="-0.14999847407452621"/>
      <name val="Calibri"/>
      <family val="2"/>
      <scheme val="minor"/>
    </font>
    <font>
      <b/>
      <sz val="9"/>
      <color theme="0" tint="-4.9989318521683403E-2"/>
      <name val="Calibri"/>
      <family val="2"/>
      <scheme val="minor"/>
    </font>
    <font>
      <sz val="9"/>
      <color theme="1"/>
      <name val="Calibri"/>
      <family val="2"/>
      <scheme val="minor"/>
    </font>
    <font>
      <b/>
      <sz val="9"/>
      <color theme="3" tint="-0.499984740745262"/>
      <name val="Calibri"/>
      <family val="2"/>
      <scheme val="minor"/>
    </font>
    <font>
      <b/>
      <sz val="9"/>
      <color theme="4" tint="-0.249977111117893"/>
      <name val="Calibri"/>
      <family val="2"/>
      <scheme val="minor"/>
    </font>
    <font>
      <b/>
      <sz val="9"/>
      <color theme="1"/>
      <name val="Calibri"/>
      <family val="2"/>
      <scheme val="minor"/>
    </font>
    <font>
      <b/>
      <sz val="9"/>
      <name val="Calibri"/>
      <family val="2"/>
      <scheme val="minor"/>
    </font>
    <font>
      <sz val="9"/>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3" tint="-0.249977111117893"/>
        <bgColor indexed="64"/>
      </patternFill>
    </fill>
    <fill>
      <patternFill patternType="solid">
        <fgColor theme="3" tint="0.39997558519241921"/>
        <bgColor indexed="64"/>
      </patternFill>
    </fill>
    <fill>
      <patternFill patternType="solid">
        <fgColor rgb="FFFFFF00"/>
        <bgColor indexed="64"/>
      </patternFill>
    </fill>
    <fill>
      <patternFill patternType="solid">
        <fgColor rgb="FF8497B0"/>
        <bgColor auto="1"/>
      </patternFill>
    </fill>
    <fill>
      <patternFill patternType="solid">
        <fgColor theme="4" tint="-0.249977111117893"/>
        <bgColor indexed="64"/>
      </patternFill>
    </fill>
    <fill>
      <patternFill patternType="lightUp"/>
    </fill>
    <fill>
      <patternFill patternType="solid">
        <fgColor theme="5" tint="0.39997558519241921"/>
        <bgColor indexed="64"/>
      </patternFill>
    </fill>
    <fill>
      <patternFill patternType="solid">
        <fgColor rgb="FFFFF2CC"/>
      </patternFill>
    </fill>
  </fills>
  <borders count="10">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auto="1"/>
      </left>
      <right style="thin">
        <color auto="1"/>
      </right>
      <top/>
      <bottom/>
      <diagonal/>
    </border>
    <border>
      <left/>
      <right/>
      <top/>
      <bottom style="thin">
        <color auto="1"/>
      </bottom>
      <diagonal/>
    </border>
    <border>
      <left style="thin">
        <color theme="0" tint="-0.24994659260841701"/>
      </left>
      <right/>
      <top style="thin">
        <color theme="0" tint="-0.34998626667073579"/>
      </top>
      <bottom/>
      <diagonal/>
    </border>
    <border>
      <left style="thin">
        <color theme="0" tint="-0.34998626667073579"/>
      </left>
      <right/>
      <top style="thin">
        <color theme="0" tint="-0.34998626667073579"/>
      </top>
      <bottom/>
      <diagonal/>
    </border>
    <border>
      <left style="thin">
        <color theme="0" tint="-0.24994659260841701"/>
      </left>
      <right/>
      <top style="thin">
        <color theme="0" tint="-0.34998626667073579"/>
      </top>
      <bottom style="thin">
        <color theme="0" tint="-0.34998626667073579"/>
      </bottom>
      <diagonal/>
    </border>
  </borders>
  <cellStyleXfs count="8">
    <xf numFmtId="0" fontId="0" fillId="0" borderId="0"/>
    <xf numFmtId="0" fontId="1" fillId="0" borderId="0"/>
    <xf numFmtId="43" fontId="1" fillId="0" borderId="0"/>
    <xf numFmtId="0" fontId="5" fillId="0" borderId="0">
      <alignment horizontal="center" vertical="center" wrapText="1"/>
    </xf>
    <xf numFmtId="165" fontId="6" fillId="0" borderId="0"/>
    <xf numFmtId="0" fontId="5" fillId="0" borderId="0">
      <alignment horizontal="center" vertical="center" wrapText="1"/>
    </xf>
    <xf numFmtId="43" fontId="1" fillId="0" borderId="0"/>
    <xf numFmtId="43" fontId="1" fillId="0" borderId="0"/>
  </cellStyleXfs>
  <cellXfs count="115">
    <xf numFmtId="0" fontId="0" fillId="0" borderId="0" xfId="0"/>
    <xf numFmtId="0" fontId="3" fillId="2"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4" fillId="0" borderId="0" xfId="0" applyFont="1"/>
    <xf numFmtId="0" fontId="7" fillId="2" borderId="2" xfId="0" applyFont="1" applyFill="1" applyBorder="1" applyAlignment="1">
      <alignment horizontal="left" vertical="top" wrapText="1"/>
    </xf>
    <xf numFmtId="0" fontId="4" fillId="0" borderId="0" xfId="0" applyFont="1" applyAlignment="1">
      <alignment vertical="center"/>
    </xf>
    <xf numFmtId="0" fontId="0" fillId="0" borderId="2" xfId="0" applyBorder="1"/>
    <xf numFmtId="0" fontId="0" fillId="0" borderId="0" xfId="0"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0" fillId="0" borderId="0" xfId="0"/>
    <xf numFmtId="17" fontId="13" fillId="0" borderId="2" xfId="0" applyNumberFormat="1" applyFont="1" applyBorder="1" applyAlignment="1">
      <alignment horizontal="center" vertical="center"/>
    </xf>
    <xf numFmtId="0" fontId="7" fillId="2" borderId="2" xfId="0" applyFont="1" applyFill="1" applyBorder="1" applyAlignment="1">
      <alignment horizontal="center" vertical="center" wrapText="1"/>
    </xf>
    <xf numFmtId="0" fontId="9" fillId="2" borderId="2" xfId="0" applyFont="1" applyFill="1" applyBorder="1" applyAlignment="1">
      <alignment horizontal="left" vertical="center" wrapText="1"/>
    </xf>
    <xf numFmtId="0" fontId="7" fillId="0" borderId="2" xfId="0" applyFont="1" applyBorder="1" applyAlignment="1">
      <alignment horizontal="center" vertical="center"/>
    </xf>
    <xf numFmtId="0" fontId="9" fillId="2" borderId="2" xfId="0" applyFont="1" applyFill="1" applyBorder="1" applyAlignment="1">
      <alignment horizontal="center" vertical="center" wrapText="1"/>
    </xf>
    <xf numFmtId="0" fontId="7" fillId="2" borderId="2" xfId="0" applyFont="1" applyFill="1" applyBorder="1" applyAlignment="1">
      <alignment horizontal="left" vertical="center" wrapText="1"/>
    </xf>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4" fontId="10" fillId="4" borderId="2" xfId="0" applyNumberFormat="1" applyFont="1" applyFill="1" applyBorder="1" applyAlignment="1">
      <alignment horizontal="right" vertical="center" wrapText="1"/>
    </xf>
    <xf numFmtId="4" fontId="10" fillId="2" borderId="2" xfId="0" applyNumberFormat="1" applyFont="1" applyFill="1" applyBorder="1" applyAlignment="1">
      <alignment horizontal="right" vertical="center" wrapText="1"/>
    </xf>
    <xf numFmtId="0" fontId="10" fillId="4" borderId="3" xfId="0" applyFont="1" applyFill="1" applyBorder="1" applyAlignment="1">
      <alignment horizontal="left" vertical="center" wrapText="1"/>
    </xf>
    <xf numFmtId="0" fontId="10" fillId="2" borderId="3"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7" fillId="2" borderId="2" xfId="0" applyFont="1" applyFill="1" applyBorder="1" applyAlignment="1">
      <alignment horizontal="center" vertical="center"/>
    </xf>
    <xf numFmtId="0" fontId="12" fillId="2" borderId="2" xfId="0" applyFont="1" applyFill="1" applyBorder="1" applyAlignment="1">
      <alignment horizontal="center" vertical="center" wrapText="1"/>
    </xf>
    <xf numFmtId="0" fontId="11" fillId="2" borderId="2" xfId="0" applyFont="1" applyFill="1" applyBorder="1" applyAlignment="1">
      <alignment horizontal="center" vertical="center"/>
    </xf>
    <xf numFmtId="0" fontId="10" fillId="0" borderId="2" xfId="0" applyFont="1" applyBorder="1" applyAlignment="1">
      <alignment horizontal="center" vertical="center" wrapText="1"/>
    </xf>
    <xf numFmtId="0" fontId="10" fillId="2" borderId="2" xfId="0" applyFont="1" applyFill="1" applyBorder="1" applyAlignment="1">
      <alignment horizontal="center" vertical="center" wrapText="1"/>
    </xf>
    <xf numFmtId="4" fontId="7" fillId="2" borderId="2" xfId="7" applyNumberFormat="1" applyFont="1" applyFill="1" applyBorder="1" applyAlignment="1">
      <alignment horizontal="right" vertical="center" wrapText="1"/>
    </xf>
    <xf numFmtId="4" fontId="7" fillId="0" borderId="2" xfId="7" applyNumberFormat="1" applyFont="1" applyBorder="1" applyAlignment="1">
      <alignment horizontal="right" vertical="center" wrapText="1"/>
    </xf>
    <xf numFmtId="4" fontId="7" fillId="0" borderId="1" xfId="0" applyNumberFormat="1" applyFont="1" applyBorder="1" applyAlignment="1">
      <alignment horizontal="right" vertical="center" wrapText="1"/>
    </xf>
    <xf numFmtId="4" fontId="7" fillId="0" borderId="2" xfId="0" applyNumberFormat="1" applyFont="1" applyBorder="1" applyAlignment="1">
      <alignment horizontal="right" vertical="center" wrapText="1"/>
    </xf>
    <xf numFmtId="4" fontId="7" fillId="2" borderId="2" xfId="0" applyNumberFormat="1" applyFont="1" applyFill="1" applyBorder="1" applyAlignment="1">
      <alignment horizontal="right" vertical="center" wrapText="1"/>
    </xf>
    <xf numFmtId="4" fontId="7" fillId="2" borderId="5" xfId="0" applyNumberFormat="1" applyFont="1" applyFill="1" applyBorder="1" applyAlignment="1">
      <alignment horizontal="right" vertical="center" wrapText="1"/>
    </xf>
    <xf numFmtId="14" fontId="10" fillId="0" borderId="2" xfId="1" applyNumberFormat="1" applyFont="1" applyBorder="1" applyAlignment="1">
      <alignment horizontal="left" vertical="center" wrapText="1"/>
    </xf>
    <xf numFmtId="0" fontId="10" fillId="0" borderId="2" xfId="0" applyFont="1" applyBorder="1" applyAlignment="1">
      <alignment horizontal="left" vertical="center" wrapText="1"/>
    </xf>
    <xf numFmtId="0" fontId="7"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7" fillId="0" borderId="1" xfId="0" applyFont="1" applyBorder="1" applyAlignment="1">
      <alignment horizontal="center" vertical="center" wrapText="1"/>
    </xf>
    <xf numFmtId="17" fontId="13" fillId="2" borderId="2" xfId="0" applyNumberFormat="1" applyFont="1" applyFill="1" applyBorder="1" applyAlignment="1">
      <alignment horizontal="center" vertical="center"/>
    </xf>
    <xf numFmtId="0" fontId="8" fillId="5" borderId="1" xfId="0" applyFont="1" applyFill="1" applyBorder="1" applyAlignment="1">
      <alignment horizontal="center" vertical="center" wrapText="1"/>
    </xf>
    <xf numFmtId="0" fontId="7" fillId="7" borderId="2" xfId="0" applyFont="1" applyFill="1" applyBorder="1" applyAlignment="1">
      <alignment horizontal="left" vertical="center" wrapText="1"/>
    </xf>
    <xf numFmtId="0" fontId="7" fillId="7" borderId="2" xfId="0" applyFont="1" applyFill="1" applyBorder="1" applyAlignment="1">
      <alignment horizontal="center" vertical="center"/>
    </xf>
    <xf numFmtId="0" fontId="9" fillId="7" borderId="2" xfId="0" applyFont="1" applyFill="1" applyBorder="1" applyAlignment="1">
      <alignment horizontal="left" vertical="center" wrapText="1"/>
    </xf>
    <xf numFmtId="0" fontId="7" fillId="7" borderId="2" xfId="0" applyFont="1" applyFill="1" applyBorder="1" applyAlignment="1">
      <alignment horizontal="center" vertical="center" wrapText="1"/>
    </xf>
    <xf numFmtId="4" fontId="7" fillId="7" borderId="2" xfId="0" applyNumberFormat="1" applyFont="1" applyFill="1" applyBorder="1" applyAlignment="1">
      <alignment horizontal="right" vertical="center" wrapText="1"/>
    </xf>
    <xf numFmtId="0" fontId="9" fillId="7" borderId="2" xfId="0" applyFont="1" applyFill="1" applyBorder="1" applyAlignment="1">
      <alignment horizontal="center" vertical="center" wrapText="1"/>
    </xf>
    <xf numFmtId="0" fontId="10" fillId="7" borderId="3" xfId="0" applyFont="1" applyFill="1" applyBorder="1" applyAlignment="1">
      <alignment horizontal="left" vertical="center" wrapText="1"/>
    </xf>
    <xf numFmtId="4" fontId="10" fillId="7" borderId="2" xfId="0" applyNumberFormat="1" applyFont="1" applyFill="1" applyBorder="1" applyAlignment="1">
      <alignment horizontal="right" vertical="center" wrapText="1"/>
    </xf>
    <xf numFmtId="0" fontId="0" fillId="7" borderId="0" xfId="0" applyFill="1"/>
    <xf numFmtId="0" fontId="0" fillId="7" borderId="2" xfId="0" applyFill="1" applyBorder="1"/>
    <xf numFmtId="0" fontId="10" fillId="7" borderId="2" xfId="0" applyFont="1" applyFill="1" applyBorder="1" applyAlignment="1">
      <alignment horizontal="left" vertical="center" wrapText="1"/>
    </xf>
    <xf numFmtId="0" fontId="0" fillId="2" borderId="2" xfId="0" applyFill="1" applyBorder="1"/>
    <xf numFmtId="0" fontId="7" fillId="11" borderId="2" xfId="0" applyFont="1" applyFill="1" applyBorder="1" applyAlignment="1">
      <alignment horizontal="left" vertical="center" wrapText="1"/>
    </xf>
    <xf numFmtId="0" fontId="0" fillId="11" borderId="0" xfId="0" applyFill="1"/>
    <xf numFmtId="4" fontId="7" fillId="11" borderId="2" xfId="0" applyNumberFormat="1" applyFont="1" applyFill="1" applyBorder="1" applyAlignment="1">
      <alignment horizontal="left" vertical="center" wrapText="1"/>
    </xf>
    <xf numFmtId="0" fontId="15" fillId="8" borderId="7" xfId="0" applyFont="1" applyFill="1" applyBorder="1" applyAlignment="1">
      <alignment horizontal="center" vertical="center" wrapText="1"/>
    </xf>
    <xf numFmtId="0" fontId="15" fillId="8" borderId="8" xfId="0" applyFont="1" applyFill="1" applyBorder="1" applyAlignment="1">
      <alignment horizontal="center" vertical="center" wrapText="1"/>
    </xf>
    <xf numFmtId="14" fontId="15" fillId="8" borderId="8" xfId="0" applyNumberFormat="1" applyFont="1" applyFill="1" applyBorder="1" applyAlignment="1">
      <alignment horizontal="center" vertical="center" wrapText="1"/>
    </xf>
    <xf numFmtId="164" fontId="15" fillId="8" borderId="8" xfId="7" applyNumberFormat="1" applyFont="1" applyFill="1" applyBorder="1" applyAlignment="1">
      <alignment horizontal="center" vertical="center" wrapText="1"/>
    </xf>
    <xf numFmtId="0" fontId="15" fillId="8" borderId="8" xfId="7" applyNumberFormat="1" applyFont="1" applyFill="1" applyBorder="1" applyAlignment="1">
      <alignment horizontal="center" vertical="center" wrapText="1"/>
    </xf>
    <xf numFmtId="0" fontId="18" fillId="4" borderId="9" xfId="0" applyFont="1" applyFill="1" applyBorder="1" applyAlignment="1">
      <alignment horizontal="center" vertical="center" wrapText="1"/>
    </xf>
    <xf numFmtId="0" fontId="18" fillId="4" borderId="8" xfId="0" applyFont="1" applyFill="1" applyBorder="1" applyAlignment="1">
      <alignment horizontal="center" vertical="center" wrapText="1"/>
    </xf>
    <xf numFmtId="164" fontId="17" fillId="0" borderId="8" xfId="7" applyNumberFormat="1" applyFont="1" applyBorder="1" applyAlignment="1">
      <alignment vertical="center" wrapText="1"/>
    </xf>
    <xf numFmtId="164" fontId="20" fillId="0" borderId="8" xfId="7" applyNumberFormat="1" applyFont="1" applyBorder="1" applyAlignment="1">
      <alignment vertical="center" wrapText="1"/>
    </xf>
    <xf numFmtId="0" fontId="17" fillId="0" borderId="8" xfId="7" applyNumberFormat="1" applyFont="1" applyBorder="1" applyAlignment="1">
      <alignment horizontal="center" vertical="center" wrapText="1"/>
    </xf>
    <xf numFmtId="0" fontId="18" fillId="0" borderId="9" xfId="0" applyFont="1" applyBorder="1" applyAlignment="1">
      <alignment horizontal="center" vertical="center" wrapText="1"/>
    </xf>
    <xf numFmtId="0" fontId="18" fillId="0" borderId="8"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8" xfId="0" applyFont="1" applyBorder="1" applyAlignment="1">
      <alignment horizontal="left" vertical="center" wrapText="1"/>
    </xf>
    <xf numFmtId="14" fontId="21" fillId="0" borderId="8" xfId="0" applyNumberFormat="1" applyFont="1" applyBorder="1" applyAlignment="1">
      <alignment horizontal="center" vertical="center" wrapText="1"/>
    </xf>
    <xf numFmtId="0" fontId="21" fillId="0" borderId="8" xfId="0" applyFont="1" applyBorder="1" applyAlignment="1">
      <alignment horizontal="center" vertical="center" wrapText="1"/>
    </xf>
    <xf numFmtId="0" fontId="20" fillId="0" borderId="8" xfId="0" applyFont="1" applyBorder="1" applyAlignment="1">
      <alignment horizontal="center" vertical="center" wrapText="1"/>
    </xf>
    <xf numFmtId="14" fontId="17" fillId="0" borderId="8" xfId="0" applyNumberFormat="1" applyFont="1" applyBorder="1" applyAlignment="1">
      <alignment horizontal="center" vertical="center" wrapText="1"/>
    </xf>
    <xf numFmtId="0" fontId="17" fillId="0" borderId="0" xfId="0" applyFont="1"/>
    <xf numFmtId="17" fontId="13" fillId="7" borderId="2" xfId="0" applyNumberFormat="1" applyFont="1" applyFill="1" applyBorder="1" applyAlignment="1">
      <alignment horizontal="center" vertical="center"/>
    </xf>
    <xf numFmtId="17" fontId="11" fillId="7" borderId="2" xfId="0" applyNumberFormat="1" applyFont="1" applyFill="1" applyBorder="1" applyAlignment="1">
      <alignment horizontal="center" vertical="center"/>
    </xf>
    <xf numFmtId="0" fontId="0" fillId="7" borderId="0" xfId="0" applyFill="1" applyAlignment="1">
      <alignment horizontal="left" vertical="center" wrapText="1"/>
    </xf>
    <xf numFmtId="4" fontId="7" fillId="7" borderId="2" xfId="7" applyNumberFormat="1" applyFont="1" applyFill="1" applyBorder="1" applyAlignment="1">
      <alignment horizontal="right" vertical="center" wrapText="1"/>
    </xf>
    <xf numFmtId="0" fontId="3" fillId="7" borderId="0" xfId="0" applyFont="1" applyFill="1" applyAlignment="1">
      <alignment horizontal="left" vertical="center" wrapText="1"/>
    </xf>
    <xf numFmtId="0" fontId="3" fillId="7" borderId="2" xfId="0" applyFont="1" applyFill="1" applyBorder="1" applyAlignment="1">
      <alignment horizontal="left" vertical="center" wrapText="1"/>
    </xf>
    <xf numFmtId="43" fontId="0" fillId="0" borderId="0" xfId="7" applyFont="1"/>
    <xf numFmtId="43" fontId="16" fillId="9" borderId="8" xfId="7" applyFont="1" applyFill="1" applyBorder="1" applyAlignment="1">
      <alignment horizontal="center" vertical="center" wrapText="1"/>
    </xf>
    <xf numFmtId="43" fontId="15" fillId="8" borderId="8" xfId="7" applyFont="1" applyFill="1" applyBorder="1" applyAlignment="1">
      <alignment horizontal="center" vertical="center" wrapText="1"/>
    </xf>
    <xf numFmtId="43" fontId="19" fillId="0" borderId="8" xfId="7" applyFont="1" applyBorder="1" applyAlignment="1">
      <alignment vertical="center" wrapText="1"/>
    </xf>
    <xf numFmtId="43" fontId="20" fillId="0" borderId="8" xfId="7" applyFont="1" applyBorder="1" applyAlignment="1">
      <alignment vertical="center" wrapText="1"/>
    </xf>
    <xf numFmtId="43" fontId="17" fillId="0" borderId="8" xfId="7" applyFont="1" applyBorder="1" applyAlignment="1">
      <alignment vertical="center" wrapText="1"/>
    </xf>
    <xf numFmtId="43" fontId="22" fillId="10" borderId="8" xfId="7" applyFont="1" applyFill="1" applyBorder="1" applyAlignment="1">
      <alignment horizontal="center" vertical="center" wrapText="1"/>
    </xf>
    <xf numFmtId="43" fontId="22" fillId="0" borderId="8" xfId="7" applyFont="1" applyBorder="1" applyAlignment="1">
      <alignment horizontal="center" vertical="center" wrapText="1"/>
    </xf>
    <xf numFmtId="43" fontId="7" fillId="2" borderId="2" xfId="7" applyFont="1" applyFill="1" applyBorder="1" applyAlignment="1">
      <alignment horizontal="right" vertical="center"/>
    </xf>
    <xf numFmtId="43" fontId="7" fillId="2" borderId="2" xfId="7" applyFont="1" applyFill="1" applyBorder="1" applyAlignment="1">
      <alignment horizontal="right" vertical="center" wrapText="1"/>
    </xf>
    <xf numFmtId="43" fontId="7" fillId="2" borderId="2" xfId="7" applyFont="1" applyFill="1" applyBorder="1" applyAlignment="1">
      <alignment horizontal="left" vertical="center" wrapText="1"/>
    </xf>
    <xf numFmtId="43" fontId="7" fillId="7" borderId="2" xfId="7" applyFont="1" applyFill="1" applyBorder="1" applyAlignment="1">
      <alignment horizontal="left" vertical="center" wrapText="1"/>
    </xf>
    <xf numFmtId="43" fontId="10" fillId="2" borderId="2" xfId="7" applyFont="1" applyFill="1" applyBorder="1" applyAlignment="1">
      <alignment horizontal="left" vertical="center" wrapText="1"/>
    </xf>
    <xf numFmtId="0" fontId="7" fillId="12" borderId="5" xfId="0" applyFont="1" applyFill="1" applyBorder="1" applyAlignment="1">
      <alignment horizontal="center" vertical="center" wrapText="1"/>
    </xf>
    <xf numFmtId="43" fontId="0" fillId="7" borderId="0" xfId="7" applyFont="1" applyFill="1" applyAlignment="1">
      <alignment vertical="center"/>
    </xf>
    <xf numFmtId="0" fontId="7" fillId="12" borderId="2" xfId="0" applyFont="1" applyFill="1" applyBorder="1" applyAlignment="1">
      <alignment horizontal="center" vertical="center" wrapText="1"/>
    </xf>
    <xf numFmtId="0" fontId="10" fillId="7" borderId="2" xfId="0" applyFont="1" applyFill="1" applyBorder="1" applyAlignment="1">
      <alignment horizontal="center" vertical="center" wrapText="1"/>
    </xf>
    <xf numFmtId="43" fontId="7" fillId="7" borderId="2" xfId="7" applyFont="1" applyFill="1" applyBorder="1" applyAlignment="1">
      <alignment horizontal="right" vertical="center" wrapText="1"/>
    </xf>
    <xf numFmtId="43" fontId="7" fillId="0" borderId="2" xfId="7" applyFont="1" applyBorder="1" applyAlignment="1">
      <alignment horizontal="right" vertical="center" wrapText="1"/>
    </xf>
    <xf numFmtId="43" fontId="7" fillId="2" borderId="2" xfId="7" applyFont="1" applyFill="1" applyBorder="1" applyAlignment="1">
      <alignment vertical="center" wrapText="1"/>
    </xf>
    <xf numFmtId="43" fontId="7" fillId="2" borderId="1" xfId="7" applyFont="1" applyFill="1" applyBorder="1" applyAlignment="1">
      <alignment vertical="center" wrapText="1"/>
    </xf>
    <xf numFmtId="0" fontId="7" fillId="11" borderId="2" xfId="0" applyFont="1" applyFill="1" applyBorder="1" applyAlignment="1">
      <alignment horizontal="center" vertical="center" wrapText="1"/>
    </xf>
    <xf numFmtId="0" fontId="0" fillId="0" borderId="0" xfId="0" applyFont="1" applyAlignment="1">
      <alignment horizontal="center" vertical="center" wrapText="1"/>
    </xf>
    <xf numFmtId="0" fontId="0" fillId="6" borderId="6" xfId="0" applyFill="1" applyBorder="1" applyAlignment="1">
      <alignment horizontal="center"/>
    </xf>
    <xf numFmtId="0" fontId="4" fillId="0" borderId="0" xfId="0" applyFont="1"/>
    <xf numFmtId="0" fontId="4" fillId="0" borderId="0" xfId="0" applyFont="1" applyAlignment="1">
      <alignment vertical="center"/>
    </xf>
    <xf numFmtId="0" fontId="0" fillId="0" borderId="0" xfId="0"/>
    <xf numFmtId="0" fontId="0" fillId="0" borderId="6" xfId="0" applyBorder="1"/>
    <xf numFmtId="0" fontId="14" fillId="6" borderId="0" xfId="0" applyFont="1" applyFill="1" applyAlignment="1">
      <alignment horizontal="center"/>
    </xf>
  </cellXfs>
  <cellStyles count="8">
    <cellStyle name="Milliers" xfId="7" builtinId="3"/>
    <cellStyle name="Milliers 10" xfId="6" xr:uid="{00000000-0005-0000-0000-000006000000}"/>
    <cellStyle name="Milliers 2" xfId="2" xr:uid="{00000000-0005-0000-0000-000002000000}"/>
    <cellStyle name="Milliers 7" xfId="4" xr:uid="{00000000-0005-0000-0000-000004000000}"/>
    <cellStyle name="Normal" xfId="0" builtinId="0"/>
    <cellStyle name="Normal 13" xfId="3" xr:uid="{00000000-0005-0000-0000-000003000000}"/>
    <cellStyle name="Normal 5" xfId="1" xr:uid="{00000000-0005-0000-0000-000001000000}"/>
    <cellStyle name="Normal 8" xfId="5" xr:uid="{00000000-0005-0000-0000-000005000000}"/>
  </cellStyles>
  <dxfs count="217">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theme="9"/>
        </patternFill>
      </fill>
    </dxf>
    <dxf>
      <fill>
        <patternFill patternType="lightUp">
          <fgColor theme="9"/>
        </patternFill>
      </fill>
    </dxf>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rgb="FFFF0000"/>
        </patternFill>
      </fill>
    </dxf>
    <dxf>
      <fill>
        <patternFill patternType="lightUp">
          <fgColor theme="9"/>
        </patternFill>
      </fill>
    </dxf>
    <dxf>
      <fill>
        <patternFill patternType="lightUp">
          <fgColor rgb="FFFF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n.taleb/Desktop/MENU%20PROFESSIONNEL/BUDGET%20AOO/SUIVI%20BUDGETAIRE%202025/BUDGET%20ENGAGEMENTS%20AOO-M-BC-CT%20171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es"/>
      <sheetName val="ENGAGEMENTS 2025"/>
      <sheetName val="Archive 2023"/>
      <sheetName val="Archive 2022"/>
      <sheetName val="Archive 2021-2022"/>
      <sheetName val="BUDGET 2024"/>
      <sheetName val="Fiche FONC"/>
      <sheetName val="Fiche INV"/>
      <sheetName val="Fiche INV-DTSI"/>
    </sheetNames>
    <sheetDataSet>
      <sheetData sheetId="0">
        <row r="2">
          <cell r="A2" t="str">
            <v>REPORT BUDGET ANNEE ANTERIEURE</v>
          </cell>
        </row>
        <row r="3">
          <cell r="A3" t="str">
            <v>REPORT BUDGET EXCEP  ANNEE ANTERIEURE</v>
          </cell>
        </row>
        <row r="4">
          <cell r="A4" t="str">
            <v>Ordinaire</v>
          </cell>
        </row>
        <row r="5">
          <cell r="A5" t="str">
            <v>Exceptionnel</v>
          </cell>
        </row>
        <row r="7">
          <cell r="A7" t="str">
            <v>FONCTIONNEMENT</v>
          </cell>
        </row>
        <row r="8">
          <cell r="A8" t="str">
            <v>INVESTISSEMENT</v>
          </cell>
        </row>
        <row r="51">
          <cell r="A51" t="str">
            <v>TDF</v>
          </cell>
        </row>
        <row r="52">
          <cell r="A52" t="str">
            <v>TDF -SITES</v>
          </cell>
        </row>
        <row r="53">
          <cell r="A53" t="str">
            <v>TDF-EXP&amp;MAIN</v>
          </cell>
        </row>
        <row r="54">
          <cell r="A54" t="str">
            <v>DG</v>
          </cell>
        </row>
        <row r="55">
          <cell r="A55" t="str">
            <v>DTSI</v>
          </cell>
        </row>
        <row r="56">
          <cell r="A56" t="str">
            <v>RSSI</v>
          </cell>
        </row>
        <row r="57">
          <cell r="A57" t="str">
            <v>DPMG</v>
          </cell>
        </row>
        <row r="58">
          <cell r="A58" t="str">
            <v>DRPSD</v>
          </cell>
        </row>
        <row r="59">
          <cell r="A59" t="str">
            <v>DINFORADIO</v>
          </cell>
        </row>
        <row r="60">
          <cell r="A60" t="str">
            <v>ARRIYADIA</v>
          </cell>
        </row>
        <row r="61">
          <cell r="A61" t="str">
            <v>TV LAAYOUNE</v>
          </cell>
        </row>
        <row r="62">
          <cell r="A62" t="str">
            <v>MAGHRIBIA</v>
          </cell>
        </row>
        <row r="63">
          <cell r="A63" t="str">
            <v>DMPTV</v>
          </cell>
        </row>
        <row r="64">
          <cell r="A64" t="str">
            <v>TAMAZIGHT</v>
          </cell>
        </row>
        <row r="65">
          <cell r="A65" t="str">
            <v>DINFOTV</v>
          </cell>
        </row>
        <row r="66">
          <cell r="A66" t="str">
            <v>DA</v>
          </cell>
        </row>
        <row r="67">
          <cell r="A67" t="str">
            <v>DRH</v>
          </cell>
        </row>
        <row r="68">
          <cell r="A68" t="str">
            <v>DJURIDIQUE</v>
          </cell>
        </row>
        <row r="69">
          <cell r="A69" t="str">
            <v>ASSADISSA</v>
          </cell>
        </row>
        <row r="70">
          <cell r="A70" t="str">
            <v>ARRABIAA</v>
          </cell>
        </row>
        <row r="71">
          <cell r="A71" t="str">
            <v>DCRI</v>
          </cell>
        </row>
        <row r="72">
          <cell r="A72" t="str">
            <v>DROI</v>
          </cell>
        </row>
        <row r="73">
          <cell r="A73" t="str">
            <v>DAR</v>
          </cell>
        </row>
        <row r="74">
          <cell r="A74" t="str">
            <v>DCPA</v>
          </cell>
        </row>
        <row r="75">
          <cell r="A75" t="str">
            <v>DACG</v>
          </cell>
        </row>
        <row r="76">
          <cell r="A76" t="str">
            <v>DPPR</v>
          </cell>
        </row>
        <row r="77">
          <cell r="A77" t="str">
            <v>DF</v>
          </cell>
        </row>
        <row r="78">
          <cell r="A78" t="str">
            <v>DSI</v>
          </cell>
        </row>
        <row r="96">
          <cell r="A96" t="str">
            <v>EN COURS DE PREENGAGEMENT</v>
          </cell>
        </row>
        <row r="97">
          <cell r="A97" t="str">
            <v>PREENGAGE</v>
          </cell>
        </row>
        <row r="98">
          <cell r="A98" t="str">
            <v>EN COURS D'ENGAGEMENT</v>
          </cell>
        </row>
        <row r="99">
          <cell r="A99" t="str">
            <v>ENGAGE</v>
          </cell>
        </row>
        <row r="100">
          <cell r="A100" t="str">
            <v>NON ENGAGE</v>
          </cell>
        </row>
        <row r="102">
          <cell r="A102" t="str">
            <v>AOO</v>
          </cell>
        </row>
        <row r="103">
          <cell r="A103" t="str">
            <v>AOO-M</v>
          </cell>
        </row>
        <row r="104">
          <cell r="A104" t="str">
            <v>AOO-CT</v>
          </cell>
        </row>
        <row r="105">
          <cell r="A105" t="str">
            <v>CA</v>
          </cell>
        </row>
        <row r="106">
          <cell r="A106" t="str">
            <v>BCL</v>
          </cell>
        </row>
        <row r="107">
          <cell r="A107" t="str">
            <v>BCI</v>
          </cell>
        </row>
        <row r="108">
          <cell r="A108" t="str">
            <v>AV MARCHE</v>
          </cell>
        </row>
        <row r="109">
          <cell r="A109" t="str">
            <v>AV CONTRAT</v>
          </cell>
        </row>
        <row r="110">
          <cell r="A110" t="str">
            <v>DECISION</v>
          </cell>
        </row>
        <row r="111">
          <cell r="A111" t="str">
            <v>CONTRAT</v>
          </cell>
        </row>
        <row r="113">
          <cell r="A113" t="str">
            <v>NON ATTRIBUE</v>
          </cell>
        </row>
        <row r="114">
          <cell r="A114" t="str">
            <v>REJET</v>
          </cell>
        </row>
        <row r="115">
          <cell r="A115" t="str">
            <v>INFRUCTUEUX</v>
          </cell>
        </row>
        <row r="116">
          <cell r="A116" t="str">
            <v>ANNULE</v>
          </cell>
        </row>
        <row r="117">
          <cell r="A117" t="str">
            <v>EN SIGNATURE</v>
          </cell>
        </row>
        <row r="118">
          <cell r="A118" t="str">
            <v>VALIDE</v>
          </cell>
        </row>
        <row r="120">
          <cell r="A120" t="str">
            <v>MARCHE</v>
          </cell>
        </row>
        <row r="121">
          <cell r="A121" t="str">
            <v>AV MARCHE</v>
          </cell>
        </row>
        <row r="122">
          <cell r="A122" t="str">
            <v>AV CONTRAT</v>
          </cell>
        </row>
        <row r="123">
          <cell r="A123" t="str">
            <v>DECISION</v>
          </cell>
        </row>
        <row r="124">
          <cell r="A124" t="str">
            <v>BCL</v>
          </cell>
        </row>
        <row r="125">
          <cell r="A125" t="str">
            <v>BCI</v>
          </cell>
        </row>
        <row r="126">
          <cell r="A126" t="str">
            <v>CONTRAT</v>
          </cell>
        </row>
        <row r="128">
          <cell r="A128" t="str">
            <v>APPROUVE</v>
          </cell>
        </row>
        <row r="129">
          <cell r="A129" t="str">
            <v>ATTRIBUE</v>
          </cell>
        </row>
        <row r="130">
          <cell r="A130" t="str">
            <v>NON ATTRIBUE</v>
          </cell>
        </row>
        <row r="131">
          <cell r="A131" t="str">
            <v>REJET</v>
          </cell>
        </row>
        <row r="132">
          <cell r="A132" t="str">
            <v>INFRUCTUEUX</v>
          </cell>
        </row>
        <row r="133">
          <cell r="A133" t="str">
            <v>ANNULE</v>
          </cell>
        </row>
        <row r="134">
          <cell r="A134" t="str">
            <v>PHASE AOO</v>
          </cell>
        </row>
        <row r="135">
          <cell r="A135" t="str">
            <v>EN SIGNATURE</v>
          </cell>
        </row>
        <row r="137">
          <cell r="A137" t="str">
            <v>PME</v>
          </cell>
        </row>
        <row r="138">
          <cell r="A138" t="str">
            <v>GENERAL</v>
          </cell>
        </row>
        <row r="139">
          <cell r="A139" t="str">
            <v>NON CONCERNE</v>
          </cell>
        </row>
        <row r="146">
          <cell r="A146" t="str">
            <v>NOUVEAU BESOIN</v>
          </cell>
        </row>
        <row r="147">
          <cell r="A147" t="str">
            <v>BESOIN RECURRENT</v>
          </cell>
        </row>
        <row r="148">
          <cell r="A148" t="str">
            <v>RECONDUCTION</v>
          </cell>
        </row>
        <row r="149">
          <cell r="A149" t="str">
            <v>RECONDUCTIBLE</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28"/>
  <sheetViews>
    <sheetView workbookViewId="0">
      <selection activeCell="G38" sqref="G38"/>
    </sheetView>
  </sheetViews>
  <sheetFormatPr baseColWidth="10" defaultRowHeight="14.5" x14ac:dyDescent="0.35"/>
  <cols>
    <col min="1" max="1" width="13.54296875" style="11" customWidth="1"/>
    <col min="2" max="2" width="13.81640625" style="11" customWidth="1"/>
    <col min="3" max="3" width="0" style="11" hidden="1"/>
    <col min="4" max="4" width="17.1796875" style="11" hidden="1" customWidth="1"/>
    <col min="5" max="5" width="9.81640625" style="11" hidden="1" customWidth="1"/>
    <col min="6" max="6" width="18.1796875" style="11" customWidth="1"/>
    <col min="7" max="7" width="45.81640625" style="11" customWidth="1"/>
    <col min="8" max="8" width="18.54296875" style="11" hidden="1" customWidth="1"/>
    <col min="9" max="9" width="17.54296875" style="11" customWidth="1"/>
    <col min="10" max="10" width="30" style="11" hidden="1" customWidth="1"/>
    <col min="11" max="11" width="13.7265625" style="86" customWidth="1"/>
    <col min="12" max="12" width="20.54296875" style="11" hidden="1" customWidth="1"/>
    <col min="13" max="14" width="15.26953125" style="11" hidden="1" customWidth="1"/>
    <col min="15" max="15" width="17.7265625" style="11" hidden="1" customWidth="1"/>
    <col min="16" max="16" width="12.81640625" style="11" hidden="1" customWidth="1"/>
    <col min="17" max="17" width="16.81640625" style="11" hidden="1" customWidth="1"/>
    <col min="18" max="18" width="17.453125" style="11" hidden="1" customWidth="1"/>
    <col min="19" max="19" width="21.453125" style="11" hidden="1" customWidth="1"/>
    <col min="20" max="20" width="16.1796875" style="11" customWidth="1"/>
    <col min="21" max="21" width="23.54296875" style="11" customWidth="1"/>
    <col min="22" max="22" width="21.81640625" style="11" customWidth="1"/>
    <col min="23" max="23" width="22.54296875" style="11" customWidth="1"/>
    <col min="24" max="24" width="24.7265625" style="11" customWidth="1"/>
    <col min="25" max="25" width="16.26953125" style="11" bestFit="1" customWidth="1"/>
    <col min="26" max="26" width="16.453125" style="11" bestFit="1" customWidth="1"/>
    <col min="27" max="27" width="18.7265625" style="11" hidden="1" customWidth="1"/>
  </cols>
  <sheetData>
    <row r="1" spans="1:27" s="79" customFormat="1" ht="24" customHeight="1" x14ac:dyDescent="0.3">
      <c r="A1" s="61" t="s">
        <v>0</v>
      </c>
      <c r="B1" s="62" t="s">
        <v>1</v>
      </c>
      <c r="C1" s="62" t="s">
        <v>2</v>
      </c>
      <c r="D1" s="62" t="s">
        <v>3</v>
      </c>
      <c r="E1" s="62" t="s">
        <v>4</v>
      </c>
      <c r="F1" s="62" t="s">
        <v>5</v>
      </c>
      <c r="G1" s="62" t="s">
        <v>6</v>
      </c>
      <c r="H1" s="62" t="s">
        <v>7</v>
      </c>
      <c r="I1" s="62" t="s">
        <v>8</v>
      </c>
      <c r="J1" s="62" t="s">
        <v>9</v>
      </c>
      <c r="K1" s="87" t="s">
        <v>10</v>
      </c>
      <c r="L1" s="88" t="s">
        <v>11</v>
      </c>
      <c r="M1" s="88" t="s">
        <v>12</v>
      </c>
      <c r="N1" s="88" t="s">
        <v>13</v>
      </c>
      <c r="O1" s="62" t="s">
        <v>14</v>
      </c>
      <c r="P1" s="62" t="s">
        <v>15</v>
      </c>
      <c r="Q1" s="62" t="s">
        <v>16</v>
      </c>
      <c r="R1" s="62" t="s">
        <v>17</v>
      </c>
      <c r="S1" s="62" t="s">
        <v>18</v>
      </c>
      <c r="T1" s="63" t="s">
        <v>19</v>
      </c>
      <c r="U1" s="88" t="s">
        <v>20</v>
      </c>
      <c r="V1" s="88" t="s">
        <v>21</v>
      </c>
      <c r="W1" s="88" t="s">
        <v>22</v>
      </c>
      <c r="X1" s="88" t="s">
        <v>23</v>
      </c>
      <c r="Y1" s="64" t="s">
        <v>24</v>
      </c>
      <c r="Z1" s="64" t="s">
        <v>25</v>
      </c>
      <c r="AA1" s="65" t="s">
        <v>26</v>
      </c>
    </row>
    <row r="2" spans="1:27" s="79" customFormat="1" ht="24" hidden="1" customHeight="1" x14ac:dyDescent="0.3">
      <c r="A2" s="66">
        <v>2025</v>
      </c>
      <c r="B2" s="67" t="s">
        <v>27</v>
      </c>
      <c r="C2" s="67" t="s">
        <v>28</v>
      </c>
      <c r="D2" s="67" t="s">
        <v>29</v>
      </c>
      <c r="E2" s="72">
        <v>1</v>
      </c>
      <c r="F2" s="73" t="s">
        <v>30</v>
      </c>
      <c r="G2" s="74" t="s">
        <v>31</v>
      </c>
      <c r="H2" s="74" t="s">
        <v>32</v>
      </c>
      <c r="I2" s="72" t="s">
        <v>33</v>
      </c>
      <c r="J2" s="74" t="s">
        <v>34</v>
      </c>
      <c r="K2" s="89">
        <v>576000</v>
      </c>
      <c r="L2" s="90">
        <v>576000</v>
      </c>
      <c r="M2" s="90">
        <v>480000</v>
      </c>
      <c r="N2" s="91">
        <v>400000</v>
      </c>
      <c r="O2" s="75"/>
      <c r="P2" s="76">
        <v>2025</v>
      </c>
      <c r="Q2" s="77"/>
      <c r="R2" s="76" t="s">
        <v>35</v>
      </c>
      <c r="S2" s="76" t="s">
        <v>36</v>
      </c>
      <c r="T2" s="78"/>
      <c r="U2" s="91"/>
      <c r="V2" s="92"/>
      <c r="W2" s="91"/>
      <c r="X2" s="92"/>
      <c r="Y2" s="68"/>
      <c r="Z2" s="69"/>
      <c r="AA2" s="70" t="s">
        <v>37</v>
      </c>
    </row>
    <row r="3" spans="1:27" s="79" customFormat="1" ht="24" hidden="1" customHeight="1" x14ac:dyDescent="0.3">
      <c r="A3" s="66">
        <v>2025</v>
      </c>
      <c r="B3" s="67" t="s">
        <v>38</v>
      </c>
      <c r="C3" s="67" t="s">
        <v>28</v>
      </c>
      <c r="D3" s="67" t="s">
        <v>39</v>
      </c>
      <c r="E3" s="72">
        <v>2</v>
      </c>
      <c r="F3" s="73" t="s">
        <v>40</v>
      </c>
      <c r="G3" s="74" t="s">
        <v>41</v>
      </c>
      <c r="H3" s="74" t="s">
        <v>32</v>
      </c>
      <c r="I3" s="72" t="s">
        <v>33</v>
      </c>
      <c r="J3" s="74" t="s">
        <v>42</v>
      </c>
      <c r="K3" s="89">
        <v>178200</v>
      </c>
      <c r="L3" s="90">
        <v>178200</v>
      </c>
      <c r="M3" s="90">
        <v>148500</v>
      </c>
      <c r="N3" s="91">
        <v>123750</v>
      </c>
      <c r="O3" s="75"/>
      <c r="P3" s="76">
        <v>2025</v>
      </c>
      <c r="Q3" s="77"/>
      <c r="R3" s="76" t="s">
        <v>35</v>
      </c>
      <c r="S3" s="76" t="s">
        <v>39</v>
      </c>
      <c r="T3" s="78"/>
      <c r="U3" s="91"/>
      <c r="V3" s="92"/>
      <c r="W3" s="91"/>
      <c r="X3" s="92"/>
      <c r="Y3" s="68"/>
      <c r="Z3" s="69"/>
      <c r="AA3" s="70" t="s">
        <v>43</v>
      </c>
    </row>
    <row r="4" spans="1:27" s="79" customFormat="1" ht="24" hidden="1" customHeight="1" x14ac:dyDescent="0.3">
      <c r="A4" s="66">
        <v>2025</v>
      </c>
      <c r="B4" s="67" t="s">
        <v>44</v>
      </c>
      <c r="C4" s="67" t="s">
        <v>28</v>
      </c>
      <c r="D4" s="67" t="s">
        <v>29</v>
      </c>
      <c r="E4" s="72">
        <v>1</v>
      </c>
      <c r="F4" s="73" t="s">
        <v>30</v>
      </c>
      <c r="G4" s="74" t="s">
        <v>45</v>
      </c>
      <c r="H4" s="74" t="s">
        <v>32</v>
      </c>
      <c r="I4" s="72" t="s">
        <v>33</v>
      </c>
      <c r="J4" s="74" t="s">
        <v>34</v>
      </c>
      <c r="K4" s="89">
        <v>9317496</v>
      </c>
      <c r="L4" s="90">
        <v>9317496</v>
      </c>
      <c r="M4" s="90">
        <v>7764580</v>
      </c>
      <c r="N4" s="91">
        <v>6470483.333333334</v>
      </c>
      <c r="O4" s="75"/>
      <c r="P4" s="76">
        <v>2025</v>
      </c>
      <c r="Q4" s="77"/>
      <c r="R4" s="76" t="s">
        <v>35</v>
      </c>
      <c r="S4" s="76" t="s">
        <v>36</v>
      </c>
      <c r="T4" s="78"/>
      <c r="U4" s="91"/>
      <c r="V4" s="92"/>
      <c r="W4" s="91"/>
      <c r="X4" s="92"/>
      <c r="Y4" s="68"/>
      <c r="Z4" s="69"/>
      <c r="AA4" s="70" t="s">
        <v>37</v>
      </c>
    </row>
    <row r="5" spans="1:27" s="79" customFormat="1" ht="24" hidden="1" customHeight="1" x14ac:dyDescent="0.3">
      <c r="A5" s="66">
        <v>2025</v>
      </c>
      <c r="B5" s="67" t="s">
        <v>46</v>
      </c>
      <c r="C5" s="67" t="s">
        <v>28</v>
      </c>
      <c r="D5" s="67" t="s">
        <v>29</v>
      </c>
      <c r="E5" s="72">
        <v>1</v>
      </c>
      <c r="F5" s="73" t="s">
        <v>30</v>
      </c>
      <c r="G5" s="74" t="s">
        <v>47</v>
      </c>
      <c r="H5" s="74" t="s">
        <v>32</v>
      </c>
      <c r="I5" s="72" t="s">
        <v>33</v>
      </c>
      <c r="J5" s="74" t="s">
        <v>34</v>
      </c>
      <c r="K5" s="89">
        <v>1050000</v>
      </c>
      <c r="L5" s="90">
        <f>M5*1.2</f>
        <v>1050000</v>
      </c>
      <c r="M5" s="90">
        <v>875000</v>
      </c>
      <c r="N5" s="91">
        <f>M5/1.2</f>
        <v>729166.66666666674</v>
      </c>
      <c r="O5" s="75"/>
      <c r="P5" s="76">
        <v>2025</v>
      </c>
      <c r="Q5" s="77"/>
      <c r="R5" s="76" t="s">
        <v>35</v>
      </c>
      <c r="S5" s="76" t="s">
        <v>36</v>
      </c>
      <c r="T5" s="78"/>
      <c r="U5" s="91"/>
      <c r="V5" s="92"/>
      <c r="W5" s="91"/>
      <c r="X5" s="92"/>
      <c r="Y5" s="68"/>
      <c r="Z5" s="69"/>
      <c r="AA5" s="70" t="s">
        <v>37</v>
      </c>
    </row>
    <row r="6" spans="1:27" s="79" customFormat="1" ht="24" hidden="1" customHeight="1" x14ac:dyDescent="0.3">
      <c r="A6" s="66">
        <v>2025</v>
      </c>
      <c r="B6" s="67" t="s">
        <v>48</v>
      </c>
      <c r="C6" s="67" t="s">
        <v>28</v>
      </c>
      <c r="D6" s="67" t="s">
        <v>39</v>
      </c>
      <c r="E6" s="72">
        <v>1</v>
      </c>
      <c r="F6" s="73" t="s">
        <v>40</v>
      </c>
      <c r="G6" s="74" t="s">
        <v>49</v>
      </c>
      <c r="H6" s="74" t="s">
        <v>50</v>
      </c>
      <c r="I6" s="72" t="s">
        <v>33</v>
      </c>
      <c r="J6" s="74" t="s">
        <v>51</v>
      </c>
      <c r="K6" s="89">
        <v>315576</v>
      </c>
      <c r="L6" s="90">
        <v>315576</v>
      </c>
      <c r="M6" s="90">
        <v>262980</v>
      </c>
      <c r="N6" s="91">
        <v>219150</v>
      </c>
      <c r="O6" s="75"/>
      <c r="P6" s="76">
        <v>2025</v>
      </c>
      <c r="Q6" s="77"/>
      <c r="R6" s="76" t="s">
        <v>35</v>
      </c>
      <c r="S6" s="76" t="s">
        <v>39</v>
      </c>
      <c r="T6" s="78"/>
      <c r="U6" s="91"/>
      <c r="V6" s="92"/>
      <c r="W6" s="91"/>
      <c r="X6" s="92"/>
      <c r="Y6" s="68"/>
      <c r="Z6" s="69"/>
      <c r="AA6" s="70" t="s">
        <v>43</v>
      </c>
    </row>
    <row r="7" spans="1:27" s="79" customFormat="1" ht="24" hidden="1" customHeight="1" x14ac:dyDescent="0.3">
      <c r="A7" s="66">
        <v>2025</v>
      </c>
      <c r="B7" s="67" t="s">
        <v>48</v>
      </c>
      <c r="C7" s="67" t="s">
        <v>28</v>
      </c>
      <c r="D7" s="67" t="s">
        <v>39</v>
      </c>
      <c r="E7" s="72">
        <v>2</v>
      </c>
      <c r="F7" s="73" t="s">
        <v>40</v>
      </c>
      <c r="G7" s="74" t="s">
        <v>52</v>
      </c>
      <c r="H7" s="74" t="s">
        <v>50</v>
      </c>
      <c r="I7" s="72" t="s">
        <v>33</v>
      </c>
      <c r="J7" s="74" t="s">
        <v>51</v>
      </c>
      <c r="K7" s="89">
        <v>439660.79999999999</v>
      </c>
      <c r="L7" s="90">
        <v>439660.79999999999</v>
      </c>
      <c r="M7" s="90">
        <v>366384</v>
      </c>
      <c r="N7" s="91">
        <v>305320</v>
      </c>
      <c r="O7" s="75"/>
      <c r="P7" s="76">
        <v>2025</v>
      </c>
      <c r="Q7" s="77"/>
      <c r="R7" s="76" t="s">
        <v>35</v>
      </c>
      <c r="S7" s="76" t="s">
        <v>39</v>
      </c>
      <c r="T7" s="78"/>
      <c r="U7" s="91"/>
      <c r="V7" s="92"/>
      <c r="W7" s="91"/>
      <c r="X7" s="92"/>
      <c r="Y7" s="68"/>
      <c r="Z7" s="69"/>
      <c r="AA7" s="70" t="s">
        <v>43</v>
      </c>
    </row>
    <row r="8" spans="1:27" s="79" customFormat="1" ht="24" hidden="1" customHeight="1" x14ac:dyDescent="0.3">
      <c r="A8" s="71">
        <v>2025</v>
      </c>
      <c r="B8" s="72" t="s">
        <v>53</v>
      </c>
      <c r="C8" s="72" t="s">
        <v>28</v>
      </c>
      <c r="D8" s="72" t="s">
        <v>39</v>
      </c>
      <c r="E8" s="72">
        <v>1</v>
      </c>
      <c r="F8" s="73" t="s">
        <v>40</v>
      </c>
      <c r="G8" s="74" t="s">
        <v>54</v>
      </c>
      <c r="H8" s="74" t="s">
        <v>32</v>
      </c>
      <c r="I8" s="72" t="s">
        <v>33</v>
      </c>
      <c r="J8" s="74" t="s">
        <v>42</v>
      </c>
      <c r="K8" s="89">
        <v>329472</v>
      </c>
      <c r="L8" s="90">
        <v>329472</v>
      </c>
      <c r="M8" s="90">
        <v>274560</v>
      </c>
      <c r="N8" s="91">
        <v>228800</v>
      </c>
      <c r="O8" s="75"/>
      <c r="P8" s="76">
        <v>2025</v>
      </c>
      <c r="Q8" s="77"/>
      <c r="R8" s="76" t="s">
        <v>35</v>
      </c>
      <c r="S8" s="76" t="s">
        <v>39</v>
      </c>
      <c r="T8" s="78"/>
      <c r="U8" s="91"/>
      <c r="V8" s="93"/>
      <c r="W8" s="91"/>
      <c r="X8" s="93"/>
      <c r="Y8" s="68"/>
      <c r="Z8" s="69"/>
      <c r="AA8" s="70" t="s">
        <v>43</v>
      </c>
    </row>
    <row r="9" spans="1:27" s="79" customFormat="1" ht="24" hidden="1" customHeight="1" x14ac:dyDescent="0.3">
      <c r="A9" s="66">
        <v>2025</v>
      </c>
      <c r="B9" s="67" t="s">
        <v>55</v>
      </c>
      <c r="C9" s="67" t="s">
        <v>28</v>
      </c>
      <c r="D9" s="67" t="s">
        <v>56</v>
      </c>
      <c r="E9" s="72"/>
      <c r="F9" s="73" t="s">
        <v>57</v>
      </c>
      <c r="G9" s="74" t="s">
        <v>58</v>
      </c>
      <c r="H9" s="74" t="s">
        <v>32</v>
      </c>
      <c r="I9" s="72" t="s">
        <v>33</v>
      </c>
      <c r="J9" s="74" t="s">
        <v>34</v>
      </c>
      <c r="K9" s="89">
        <v>463680</v>
      </c>
      <c r="L9" s="90">
        <v>463680</v>
      </c>
      <c r="M9" s="90">
        <v>386400</v>
      </c>
      <c r="N9" s="91">
        <v>322000</v>
      </c>
      <c r="O9" s="75"/>
      <c r="P9" s="76">
        <v>2025</v>
      </c>
      <c r="Q9" s="77"/>
      <c r="R9" s="76" t="s">
        <v>35</v>
      </c>
      <c r="S9" s="76" t="s">
        <v>36</v>
      </c>
      <c r="T9" s="78"/>
      <c r="U9" s="91"/>
      <c r="V9" s="92"/>
      <c r="W9" s="91"/>
      <c r="X9" s="92"/>
      <c r="Y9" s="68"/>
      <c r="Z9" s="69"/>
      <c r="AA9" s="70" t="s">
        <v>59</v>
      </c>
    </row>
    <row r="10" spans="1:27" s="79" customFormat="1" ht="48" hidden="1" customHeight="1" x14ac:dyDescent="0.3">
      <c r="A10" s="66">
        <v>2025</v>
      </c>
      <c r="B10" s="67" t="s">
        <v>60</v>
      </c>
      <c r="C10" s="67" t="s">
        <v>28</v>
      </c>
      <c r="D10" s="67" t="s">
        <v>56</v>
      </c>
      <c r="E10" s="72">
        <v>1</v>
      </c>
      <c r="F10" s="73" t="s">
        <v>57</v>
      </c>
      <c r="G10" s="74" t="s">
        <v>61</v>
      </c>
      <c r="H10" s="74" t="s">
        <v>32</v>
      </c>
      <c r="I10" s="72" t="s">
        <v>33</v>
      </c>
      <c r="J10" s="74" t="s">
        <v>62</v>
      </c>
      <c r="K10" s="89">
        <v>648000</v>
      </c>
      <c r="L10" s="90">
        <v>648000</v>
      </c>
      <c r="M10" s="90">
        <v>540000</v>
      </c>
      <c r="N10" s="91">
        <v>450000</v>
      </c>
      <c r="O10" s="75"/>
      <c r="P10" s="76">
        <v>2025</v>
      </c>
      <c r="Q10" s="77"/>
      <c r="R10" s="76" t="s">
        <v>35</v>
      </c>
      <c r="S10" s="76" t="s">
        <v>36</v>
      </c>
      <c r="T10" s="78"/>
      <c r="U10" s="91"/>
      <c r="V10" s="92"/>
      <c r="W10" s="91"/>
      <c r="X10" s="92"/>
      <c r="Y10" s="68"/>
      <c r="Z10" s="69"/>
      <c r="AA10" s="70" t="s">
        <v>59</v>
      </c>
    </row>
    <row r="11" spans="1:27" s="79" customFormat="1" ht="24" hidden="1" customHeight="1" x14ac:dyDescent="0.3">
      <c r="A11" s="66">
        <v>2025</v>
      </c>
      <c r="B11" s="67" t="s">
        <v>63</v>
      </c>
      <c r="C11" s="67" t="s">
        <v>28</v>
      </c>
      <c r="D11" s="67" t="s">
        <v>39</v>
      </c>
      <c r="E11" s="72">
        <v>1</v>
      </c>
      <c r="F11" s="73" t="s">
        <v>40</v>
      </c>
      <c r="G11" s="74" t="s">
        <v>64</v>
      </c>
      <c r="H11" s="74" t="s">
        <v>32</v>
      </c>
      <c r="I11" s="72" t="s">
        <v>33</v>
      </c>
      <c r="J11" s="74" t="s">
        <v>42</v>
      </c>
      <c r="K11" s="89">
        <v>171446.39999999999</v>
      </c>
      <c r="L11" s="90">
        <v>171446.39999999999</v>
      </c>
      <c r="M11" s="90">
        <v>142872</v>
      </c>
      <c r="N11" s="91">
        <v>119060</v>
      </c>
      <c r="O11" s="75"/>
      <c r="P11" s="76">
        <v>2025</v>
      </c>
      <c r="Q11" s="77"/>
      <c r="R11" s="76" t="s">
        <v>35</v>
      </c>
      <c r="S11" s="76" t="s">
        <v>39</v>
      </c>
      <c r="T11" s="78"/>
      <c r="U11" s="92"/>
      <c r="V11" s="92"/>
      <c r="W11" s="92"/>
      <c r="X11" s="92"/>
      <c r="Y11" s="68"/>
      <c r="Z11" s="69"/>
      <c r="AA11" s="70" t="s">
        <v>43</v>
      </c>
    </row>
    <row r="12" spans="1:27" s="79" customFormat="1" ht="60" hidden="1" customHeight="1" x14ac:dyDescent="0.3">
      <c r="A12" s="66">
        <v>2025</v>
      </c>
      <c r="B12" s="67" t="s">
        <v>65</v>
      </c>
      <c r="C12" s="67" t="s">
        <v>28</v>
      </c>
      <c r="D12" s="67" t="s">
        <v>39</v>
      </c>
      <c r="E12" s="72">
        <v>1</v>
      </c>
      <c r="F12" s="73" t="s">
        <v>66</v>
      </c>
      <c r="G12" s="74" t="s">
        <v>67</v>
      </c>
      <c r="H12" s="74" t="s">
        <v>32</v>
      </c>
      <c r="I12" s="72" t="s">
        <v>33</v>
      </c>
      <c r="J12" s="74" t="s">
        <v>62</v>
      </c>
      <c r="K12" s="89">
        <v>6715440</v>
      </c>
      <c r="L12" s="90">
        <v>6715440</v>
      </c>
      <c r="M12" s="90">
        <v>5596200</v>
      </c>
      <c r="N12" s="91">
        <v>4663500</v>
      </c>
      <c r="O12" s="75"/>
      <c r="P12" s="76">
        <v>2025</v>
      </c>
      <c r="Q12" s="77"/>
      <c r="R12" s="76" t="s">
        <v>35</v>
      </c>
      <c r="S12" s="76" t="s">
        <v>39</v>
      </c>
      <c r="T12" s="78"/>
      <c r="U12" s="92"/>
      <c r="V12" s="92"/>
      <c r="W12" s="92"/>
      <c r="X12" s="92"/>
      <c r="Y12" s="68"/>
      <c r="Z12" s="69"/>
      <c r="AA12" s="70" t="s">
        <v>43</v>
      </c>
    </row>
    <row r="13" spans="1:27" s="79" customFormat="1" ht="36" hidden="1" customHeight="1" x14ac:dyDescent="0.3">
      <c r="A13" s="66">
        <v>2025</v>
      </c>
      <c r="B13" s="67" t="s">
        <v>68</v>
      </c>
      <c r="C13" s="67" t="s">
        <v>28</v>
      </c>
      <c r="D13" s="67" t="s">
        <v>56</v>
      </c>
      <c r="E13" s="72">
        <v>1</v>
      </c>
      <c r="F13" s="73" t="s">
        <v>66</v>
      </c>
      <c r="G13" s="74" t="s">
        <v>69</v>
      </c>
      <c r="H13" s="74" t="s">
        <v>32</v>
      </c>
      <c r="I13" s="72" t="s">
        <v>33</v>
      </c>
      <c r="J13" s="74" t="s">
        <v>62</v>
      </c>
      <c r="K13" s="89">
        <v>1572336</v>
      </c>
      <c r="L13" s="90">
        <v>1572336</v>
      </c>
      <c r="M13" s="90">
        <v>1310280</v>
      </c>
      <c r="N13" s="91">
        <v>1091900</v>
      </c>
      <c r="O13" s="75"/>
      <c r="P13" s="76">
        <v>2025</v>
      </c>
      <c r="Q13" s="77"/>
      <c r="R13" s="76" t="s">
        <v>35</v>
      </c>
      <c r="S13" s="76" t="s">
        <v>36</v>
      </c>
      <c r="T13" s="78"/>
      <c r="U13" s="92"/>
      <c r="V13" s="92"/>
      <c r="W13" s="92"/>
      <c r="X13" s="92"/>
      <c r="Y13" s="68"/>
      <c r="Z13" s="69"/>
      <c r="AA13" s="70" t="s">
        <v>59</v>
      </c>
    </row>
    <row r="14" spans="1:27" s="79" customFormat="1" ht="24" hidden="1" customHeight="1" x14ac:dyDescent="0.3">
      <c r="A14" s="66">
        <v>2025</v>
      </c>
      <c r="B14" s="67" t="s">
        <v>70</v>
      </c>
      <c r="C14" s="67" t="s">
        <v>28</v>
      </c>
      <c r="D14" s="67" t="s">
        <v>71</v>
      </c>
      <c r="E14" s="72">
        <v>1</v>
      </c>
      <c r="F14" s="73" t="s">
        <v>66</v>
      </c>
      <c r="G14" s="74" t="s">
        <v>72</v>
      </c>
      <c r="H14" s="74" t="s">
        <v>32</v>
      </c>
      <c r="I14" s="72" t="s">
        <v>33</v>
      </c>
      <c r="J14" s="74" t="s">
        <v>62</v>
      </c>
      <c r="K14" s="89">
        <v>2142000</v>
      </c>
      <c r="L14" s="90">
        <v>2142000</v>
      </c>
      <c r="M14" s="90">
        <v>1785000</v>
      </c>
      <c r="N14" s="91">
        <v>1487500</v>
      </c>
      <c r="O14" s="75"/>
      <c r="P14" s="76">
        <v>2025</v>
      </c>
      <c r="Q14" s="77"/>
      <c r="R14" s="76" t="s">
        <v>35</v>
      </c>
      <c r="S14" s="76" t="s">
        <v>71</v>
      </c>
      <c r="T14" s="78"/>
      <c r="U14" s="92"/>
      <c r="V14" s="92"/>
      <c r="W14" s="92"/>
      <c r="X14" s="92"/>
      <c r="Y14" s="68"/>
      <c r="Z14" s="69"/>
      <c r="AA14" s="70" t="s">
        <v>43</v>
      </c>
    </row>
    <row r="15" spans="1:27" s="79" customFormat="1" ht="36" hidden="1" customHeight="1" x14ac:dyDescent="0.3">
      <c r="A15" s="66">
        <v>2025</v>
      </c>
      <c r="B15" s="67" t="s">
        <v>73</v>
      </c>
      <c r="C15" s="67" t="s">
        <v>28</v>
      </c>
      <c r="D15" s="67" t="s">
        <v>56</v>
      </c>
      <c r="E15" s="72">
        <v>1</v>
      </c>
      <c r="F15" s="73" t="s">
        <v>66</v>
      </c>
      <c r="G15" s="74" t="s">
        <v>74</v>
      </c>
      <c r="H15" s="74" t="s">
        <v>32</v>
      </c>
      <c r="I15" s="72" t="s">
        <v>33</v>
      </c>
      <c r="J15" s="74" t="s">
        <v>62</v>
      </c>
      <c r="K15" s="89">
        <v>1094400</v>
      </c>
      <c r="L15" s="90">
        <v>1094400</v>
      </c>
      <c r="M15" s="90">
        <v>912000</v>
      </c>
      <c r="N15" s="91">
        <v>760000</v>
      </c>
      <c r="O15" s="75"/>
      <c r="P15" s="76">
        <v>2025</v>
      </c>
      <c r="Q15" s="77"/>
      <c r="R15" s="76" t="s">
        <v>35</v>
      </c>
      <c r="S15" s="76" t="s">
        <v>36</v>
      </c>
      <c r="T15" s="78"/>
      <c r="U15" s="92"/>
      <c r="V15" s="92"/>
      <c r="W15" s="92"/>
      <c r="X15" s="92"/>
      <c r="Y15" s="68"/>
      <c r="Z15" s="69"/>
      <c r="AA15" s="70" t="s">
        <v>59</v>
      </c>
    </row>
    <row r="16" spans="1:27" s="79" customFormat="1" ht="24" hidden="1" customHeight="1" x14ac:dyDescent="0.3">
      <c r="A16" s="66">
        <v>2025</v>
      </c>
      <c r="B16" s="67" t="s">
        <v>75</v>
      </c>
      <c r="C16" s="67" t="s">
        <v>28</v>
      </c>
      <c r="D16" s="67" t="s">
        <v>56</v>
      </c>
      <c r="E16" s="72">
        <v>1</v>
      </c>
      <c r="F16" s="73" t="s">
        <v>57</v>
      </c>
      <c r="G16" s="74" t="s">
        <v>76</v>
      </c>
      <c r="H16" s="74" t="s">
        <v>32</v>
      </c>
      <c r="I16" s="72" t="s">
        <v>33</v>
      </c>
      <c r="J16" s="74" t="s">
        <v>62</v>
      </c>
      <c r="K16" s="89">
        <v>2503440</v>
      </c>
      <c r="L16" s="90">
        <v>2503440</v>
      </c>
      <c r="M16" s="90">
        <v>2086200</v>
      </c>
      <c r="N16" s="91">
        <v>1738500</v>
      </c>
      <c r="O16" s="75"/>
      <c r="P16" s="76">
        <v>2025</v>
      </c>
      <c r="Q16" s="77"/>
      <c r="R16" s="76" t="s">
        <v>35</v>
      </c>
      <c r="S16" s="76" t="s">
        <v>36</v>
      </c>
      <c r="T16" s="78"/>
      <c r="U16" s="92"/>
      <c r="V16" s="92"/>
      <c r="W16" s="92"/>
      <c r="X16" s="92"/>
      <c r="Y16" s="68"/>
      <c r="Z16" s="69"/>
      <c r="AA16" s="70" t="s">
        <v>59</v>
      </c>
    </row>
    <row r="17" spans="1:27" s="79" customFormat="1" ht="36" hidden="1" customHeight="1" x14ac:dyDescent="0.3">
      <c r="A17" s="66">
        <v>2025</v>
      </c>
      <c r="B17" s="67" t="s">
        <v>77</v>
      </c>
      <c r="C17" s="67" t="s">
        <v>28</v>
      </c>
      <c r="D17" s="67" t="s">
        <v>29</v>
      </c>
      <c r="E17" s="72">
        <v>1</v>
      </c>
      <c r="F17" s="73" t="s">
        <v>66</v>
      </c>
      <c r="G17" s="74" t="s">
        <v>78</v>
      </c>
      <c r="H17" s="74" t="s">
        <v>32</v>
      </c>
      <c r="I17" s="72" t="s">
        <v>33</v>
      </c>
      <c r="J17" s="74" t="s">
        <v>62</v>
      </c>
      <c r="K17" s="89">
        <v>3962044.8</v>
      </c>
      <c r="L17" s="90">
        <v>3962044.8</v>
      </c>
      <c r="M17" s="90">
        <v>3301704</v>
      </c>
      <c r="N17" s="91">
        <v>2751420</v>
      </c>
      <c r="O17" s="75"/>
      <c r="P17" s="76">
        <v>2025</v>
      </c>
      <c r="Q17" s="77"/>
      <c r="R17" s="76" t="s">
        <v>35</v>
      </c>
      <c r="S17" s="76" t="s">
        <v>36</v>
      </c>
      <c r="T17" s="78"/>
      <c r="U17" s="92"/>
      <c r="V17" s="92"/>
      <c r="W17" s="92"/>
      <c r="X17" s="92"/>
      <c r="Y17" s="68"/>
      <c r="Z17" s="69"/>
      <c r="AA17" s="70" t="s">
        <v>37</v>
      </c>
    </row>
    <row r="18" spans="1:27" s="79" customFormat="1" ht="84" hidden="1" customHeight="1" x14ac:dyDescent="0.3">
      <c r="A18" s="66">
        <v>2025</v>
      </c>
      <c r="B18" s="67" t="s">
        <v>79</v>
      </c>
      <c r="C18" s="67" t="s">
        <v>28</v>
      </c>
      <c r="D18" s="67" t="s">
        <v>56</v>
      </c>
      <c r="E18" s="72">
        <v>1</v>
      </c>
      <c r="F18" s="73" t="s">
        <v>66</v>
      </c>
      <c r="G18" s="74" t="s">
        <v>80</v>
      </c>
      <c r="H18" s="74" t="s">
        <v>32</v>
      </c>
      <c r="I18" s="72" t="s">
        <v>33</v>
      </c>
      <c r="J18" s="74" t="s">
        <v>62</v>
      </c>
      <c r="K18" s="89">
        <v>3067200</v>
      </c>
      <c r="L18" s="90">
        <v>3067200</v>
      </c>
      <c r="M18" s="90">
        <v>2556000</v>
      </c>
      <c r="N18" s="91">
        <v>2130000</v>
      </c>
      <c r="O18" s="75"/>
      <c r="P18" s="76">
        <v>2025</v>
      </c>
      <c r="Q18" s="77"/>
      <c r="R18" s="76" t="s">
        <v>35</v>
      </c>
      <c r="S18" s="76" t="s">
        <v>36</v>
      </c>
      <c r="T18" s="78"/>
      <c r="U18" s="92"/>
      <c r="V18" s="92"/>
      <c r="W18" s="92"/>
      <c r="X18" s="92"/>
      <c r="Y18" s="68"/>
      <c r="Z18" s="69"/>
      <c r="AA18" s="70" t="s">
        <v>59</v>
      </c>
    </row>
    <row r="19" spans="1:27" s="79" customFormat="1" ht="24" hidden="1" customHeight="1" x14ac:dyDescent="0.3">
      <c r="A19" s="66">
        <v>2025</v>
      </c>
      <c r="B19" s="67" t="s">
        <v>81</v>
      </c>
      <c r="C19" s="67" t="s">
        <v>28</v>
      </c>
      <c r="D19" s="67" t="s">
        <v>29</v>
      </c>
      <c r="E19" s="72">
        <v>1</v>
      </c>
      <c r="F19" s="73" t="s">
        <v>66</v>
      </c>
      <c r="G19" s="74" t="s">
        <v>82</v>
      </c>
      <c r="H19" s="74" t="s">
        <v>32</v>
      </c>
      <c r="I19" s="72" t="s">
        <v>33</v>
      </c>
      <c r="J19" s="74" t="s">
        <v>62</v>
      </c>
      <c r="K19" s="89">
        <v>1175040</v>
      </c>
      <c r="L19" s="90">
        <v>1175040</v>
      </c>
      <c r="M19" s="90">
        <v>979200</v>
      </c>
      <c r="N19" s="91">
        <v>816000</v>
      </c>
      <c r="O19" s="75"/>
      <c r="P19" s="76">
        <v>2025</v>
      </c>
      <c r="Q19" s="77"/>
      <c r="R19" s="76" t="s">
        <v>35</v>
      </c>
      <c r="S19" s="76" t="s">
        <v>36</v>
      </c>
      <c r="T19" s="78"/>
      <c r="U19" s="92"/>
      <c r="V19" s="92"/>
      <c r="W19" s="92"/>
      <c r="X19" s="92"/>
      <c r="Y19" s="68"/>
      <c r="Z19" s="69"/>
      <c r="AA19" s="70" t="s">
        <v>37</v>
      </c>
    </row>
    <row r="20" spans="1:27" s="79" customFormat="1" ht="36" hidden="1" customHeight="1" x14ac:dyDescent="0.3">
      <c r="A20" s="66">
        <v>2025</v>
      </c>
      <c r="B20" s="67" t="s">
        <v>83</v>
      </c>
      <c r="C20" s="67" t="s">
        <v>28</v>
      </c>
      <c r="D20" s="67" t="s">
        <v>56</v>
      </c>
      <c r="E20" s="72">
        <v>1</v>
      </c>
      <c r="F20" s="73" t="s">
        <v>40</v>
      </c>
      <c r="G20" s="74" t="s">
        <v>84</v>
      </c>
      <c r="H20" s="74" t="s">
        <v>50</v>
      </c>
      <c r="I20" s="72" t="s">
        <v>33</v>
      </c>
      <c r="J20" s="74" t="s">
        <v>51</v>
      </c>
      <c r="K20" s="89">
        <v>2699409.6</v>
      </c>
      <c r="L20" s="90">
        <v>2699409.6</v>
      </c>
      <c r="M20" s="90">
        <v>2249508</v>
      </c>
      <c r="N20" s="91">
        <v>1874590</v>
      </c>
      <c r="O20" s="75"/>
      <c r="P20" s="76">
        <v>2025</v>
      </c>
      <c r="Q20" s="77"/>
      <c r="R20" s="76" t="s">
        <v>35</v>
      </c>
      <c r="S20" s="76" t="s">
        <v>36</v>
      </c>
      <c r="T20" s="78"/>
      <c r="U20" s="92"/>
      <c r="V20" s="92"/>
      <c r="W20" s="92"/>
      <c r="X20" s="92"/>
      <c r="Y20" s="68"/>
      <c r="Z20" s="69"/>
      <c r="AA20" s="70" t="s">
        <v>59</v>
      </c>
    </row>
    <row r="21" spans="1:27" s="79" customFormat="1" ht="24" hidden="1" customHeight="1" x14ac:dyDescent="0.3">
      <c r="A21" s="66">
        <v>2025</v>
      </c>
      <c r="B21" s="67" t="s">
        <v>85</v>
      </c>
      <c r="C21" s="67" t="s">
        <v>28</v>
      </c>
      <c r="D21" s="67" t="s">
        <v>29</v>
      </c>
      <c r="E21" s="72">
        <v>1</v>
      </c>
      <c r="F21" s="73" t="s">
        <v>30</v>
      </c>
      <c r="G21" s="74" t="s">
        <v>86</v>
      </c>
      <c r="H21" s="74" t="s">
        <v>32</v>
      </c>
      <c r="I21" s="72" t="s">
        <v>33</v>
      </c>
      <c r="J21" s="74" t="s">
        <v>34</v>
      </c>
      <c r="K21" s="89">
        <v>2551240.7999999998</v>
      </c>
      <c r="L21" s="90">
        <v>2551240.7999999998</v>
      </c>
      <c r="M21" s="90">
        <v>2126034</v>
      </c>
      <c r="N21" s="91">
        <v>1771695</v>
      </c>
      <c r="O21" s="75"/>
      <c r="P21" s="76">
        <v>2025</v>
      </c>
      <c r="Q21" s="77"/>
      <c r="R21" s="76" t="s">
        <v>35</v>
      </c>
      <c r="S21" s="76" t="s">
        <v>36</v>
      </c>
      <c r="T21" s="78"/>
      <c r="U21" s="92"/>
      <c r="V21" s="92"/>
      <c r="W21" s="92"/>
      <c r="X21" s="92"/>
      <c r="Y21" s="68"/>
      <c r="Z21" s="69"/>
      <c r="AA21" s="70" t="s">
        <v>37</v>
      </c>
    </row>
    <row r="22" spans="1:27" s="79" customFormat="1" ht="48" customHeight="1" x14ac:dyDescent="0.3">
      <c r="A22" s="66">
        <v>2025</v>
      </c>
      <c r="B22" s="67" t="s">
        <v>87</v>
      </c>
      <c r="C22" s="67" t="s">
        <v>28</v>
      </c>
      <c r="D22" s="67" t="s">
        <v>29</v>
      </c>
      <c r="E22" s="72">
        <v>1</v>
      </c>
      <c r="F22" s="73" t="s">
        <v>66</v>
      </c>
      <c r="G22" s="74" t="s">
        <v>88</v>
      </c>
      <c r="H22" s="74" t="s">
        <v>32</v>
      </c>
      <c r="I22" s="72" t="s">
        <v>33</v>
      </c>
      <c r="J22" s="74" t="s">
        <v>62</v>
      </c>
      <c r="K22" s="89">
        <v>1440000</v>
      </c>
      <c r="L22" s="90">
        <v>1440000</v>
      </c>
      <c r="M22" s="90">
        <v>1200000</v>
      </c>
      <c r="N22" s="91">
        <v>1000000</v>
      </c>
      <c r="O22" s="75"/>
      <c r="P22" s="76">
        <v>2025</v>
      </c>
      <c r="Q22" s="77"/>
      <c r="R22" s="76" t="s">
        <v>35</v>
      </c>
      <c r="S22" s="76" t="s">
        <v>36</v>
      </c>
      <c r="T22" s="78"/>
      <c r="U22" s="92"/>
      <c r="V22" s="92"/>
      <c r="W22" s="92"/>
      <c r="X22" s="92"/>
      <c r="Y22" s="68"/>
      <c r="Z22" s="69"/>
      <c r="AA22" s="70" t="s">
        <v>37</v>
      </c>
    </row>
    <row r="23" spans="1:27" s="79" customFormat="1" ht="36" hidden="1" customHeight="1" x14ac:dyDescent="0.3">
      <c r="A23" s="66">
        <v>2025</v>
      </c>
      <c r="B23" s="67" t="s">
        <v>87</v>
      </c>
      <c r="C23" s="67" t="s">
        <v>28</v>
      </c>
      <c r="D23" s="67" t="s">
        <v>29</v>
      </c>
      <c r="E23" s="72">
        <v>1</v>
      </c>
      <c r="F23" s="73" t="s">
        <v>89</v>
      </c>
      <c r="G23" s="74" t="s">
        <v>90</v>
      </c>
      <c r="H23" s="74" t="s">
        <v>32</v>
      </c>
      <c r="I23" s="72" t="s">
        <v>33</v>
      </c>
      <c r="J23" s="74" t="s">
        <v>34</v>
      </c>
      <c r="K23" s="89">
        <v>600000</v>
      </c>
      <c r="L23" s="90">
        <v>600000</v>
      </c>
      <c r="M23" s="90">
        <v>500000</v>
      </c>
      <c r="N23" s="91">
        <v>416666.66666666669</v>
      </c>
      <c r="O23" s="75"/>
      <c r="P23" s="76">
        <v>2025</v>
      </c>
      <c r="Q23" s="77"/>
      <c r="R23" s="76" t="s">
        <v>35</v>
      </c>
      <c r="S23" s="76" t="s">
        <v>36</v>
      </c>
      <c r="T23" s="78"/>
      <c r="U23" s="92"/>
      <c r="V23" s="92"/>
      <c r="W23" s="92"/>
      <c r="X23" s="92"/>
      <c r="Y23" s="68"/>
      <c r="Z23" s="69"/>
      <c r="AA23" s="70" t="s">
        <v>37</v>
      </c>
    </row>
    <row r="24" spans="1:27" s="79" customFormat="1" ht="24" hidden="1" customHeight="1" x14ac:dyDescent="0.3">
      <c r="A24" s="66">
        <v>2025</v>
      </c>
      <c r="B24" s="67" t="s">
        <v>87</v>
      </c>
      <c r="C24" s="67" t="s">
        <v>28</v>
      </c>
      <c r="D24" s="67" t="s">
        <v>29</v>
      </c>
      <c r="E24" s="72">
        <v>1</v>
      </c>
      <c r="F24" s="73" t="s">
        <v>30</v>
      </c>
      <c r="G24" s="74" t="s">
        <v>91</v>
      </c>
      <c r="H24" s="74" t="s">
        <v>32</v>
      </c>
      <c r="I24" s="72" t="s">
        <v>33</v>
      </c>
      <c r="J24" s="74" t="s">
        <v>92</v>
      </c>
      <c r="K24" s="89">
        <v>1028592</v>
      </c>
      <c r="L24" s="90">
        <v>1028592</v>
      </c>
      <c r="M24" s="90">
        <v>857160</v>
      </c>
      <c r="N24" s="91">
        <v>714300</v>
      </c>
      <c r="O24" s="75"/>
      <c r="P24" s="76">
        <v>2025</v>
      </c>
      <c r="Q24" s="77"/>
      <c r="R24" s="76" t="s">
        <v>35</v>
      </c>
      <c r="S24" s="76" t="s">
        <v>36</v>
      </c>
      <c r="T24" s="78"/>
      <c r="U24" s="92"/>
      <c r="V24" s="92"/>
      <c r="W24" s="92"/>
      <c r="X24" s="92"/>
      <c r="Y24" s="68"/>
      <c r="Z24" s="69"/>
      <c r="AA24" s="70" t="s">
        <v>37</v>
      </c>
    </row>
    <row r="25" spans="1:27" s="79" customFormat="1" ht="24" hidden="1" customHeight="1" x14ac:dyDescent="0.3">
      <c r="A25" s="66">
        <v>2025</v>
      </c>
      <c r="B25" s="67" t="s">
        <v>87</v>
      </c>
      <c r="C25" s="67" t="s">
        <v>28</v>
      </c>
      <c r="D25" s="67" t="s">
        <v>29</v>
      </c>
      <c r="E25" s="72">
        <v>1</v>
      </c>
      <c r="F25" s="73" t="s">
        <v>30</v>
      </c>
      <c r="G25" s="74" t="s">
        <v>93</v>
      </c>
      <c r="H25" s="74" t="s">
        <v>32</v>
      </c>
      <c r="I25" s="72" t="s">
        <v>33</v>
      </c>
      <c r="J25" s="74" t="s">
        <v>94</v>
      </c>
      <c r="K25" s="89">
        <v>4038480</v>
      </c>
      <c r="L25" s="90">
        <v>4038480</v>
      </c>
      <c r="M25" s="90">
        <v>3365400</v>
      </c>
      <c r="N25" s="91">
        <v>2804500</v>
      </c>
      <c r="O25" s="75"/>
      <c r="P25" s="76">
        <v>2025</v>
      </c>
      <c r="Q25" s="77"/>
      <c r="R25" s="76" t="s">
        <v>35</v>
      </c>
      <c r="S25" s="76" t="s">
        <v>36</v>
      </c>
      <c r="T25" s="78"/>
      <c r="U25" s="92"/>
      <c r="V25" s="92"/>
      <c r="W25" s="92"/>
      <c r="X25" s="92"/>
      <c r="Y25" s="68"/>
      <c r="Z25" s="69"/>
      <c r="AA25" s="70" t="s">
        <v>37</v>
      </c>
    </row>
    <row r="26" spans="1:27" s="79" customFormat="1" ht="24" hidden="1" customHeight="1" x14ac:dyDescent="0.3">
      <c r="A26" s="66">
        <v>2025</v>
      </c>
      <c r="B26" s="67" t="s">
        <v>87</v>
      </c>
      <c r="C26" s="67" t="s">
        <v>28</v>
      </c>
      <c r="D26" s="67" t="s">
        <v>29</v>
      </c>
      <c r="E26" s="72">
        <v>1</v>
      </c>
      <c r="F26" s="73" t="s">
        <v>30</v>
      </c>
      <c r="G26" s="74" t="s">
        <v>95</v>
      </c>
      <c r="H26" s="74" t="s">
        <v>32</v>
      </c>
      <c r="I26" s="72" t="s">
        <v>33</v>
      </c>
      <c r="J26" s="74" t="s">
        <v>34</v>
      </c>
      <c r="K26" s="89">
        <v>3248928</v>
      </c>
      <c r="L26" s="90">
        <f>M26*1.2</f>
        <v>3248928</v>
      </c>
      <c r="M26" s="90">
        <v>2707440</v>
      </c>
      <c r="N26" s="91">
        <f>M26/1.2</f>
        <v>2256200</v>
      </c>
      <c r="O26" s="75"/>
      <c r="P26" s="76">
        <v>2025</v>
      </c>
      <c r="Q26" s="77"/>
      <c r="R26" s="76" t="s">
        <v>35</v>
      </c>
      <c r="S26" s="76" t="s">
        <v>36</v>
      </c>
      <c r="T26" s="78"/>
      <c r="U26" s="92"/>
      <c r="V26" s="92"/>
      <c r="W26" s="92"/>
      <c r="X26" s="92"/>
      <c r="Y26" s="68"/>
      <c r="Z26" s="69"/>
      <c r="AA26" s="70" t="s">
        <v>37</v>
      </c>
    </row>
    <row r="27" spans="1:27" s="79" customFormat="1" ht="24" hidden="1" customHeight="1" x14ac:dyDescent="0.3">
      <c r="A27" s="66">
        <v>2025</v>
      </c>
      <c r="B27" s="67" t="s">
        <v>87</v>
      </c>
      <c r="C27" s="67" t="s">
        <v>28</v>
      </c>
      <c r="D27" s="67" t="s">
        <v>29</v>
      </c>
      <c r="E27" s="72">
        <v>2</v>
      </c>
      <c r="F27" s="73" t="s">
        <v>30</v>
      </c>
      <c r="G27" s="74" t="s">
        <v>96</v>
      </c>
      <c r="H27" s="74" t="s">
        <v>32</v>
      </c>
      <c r="I27" s="72" t="s">
        <v>33</v>
      </c>
      <c r="J27" s="74" t="s">
        <v>34</v>
      </c>
      <c r="K27" s="89">
        <v>587419.19999999995</v>
      </c>
      <c r="L27" s="90">
        <v>587419.19999999995</v>
      </c>
      <c r="M27" s="90">
        <v>489516</v>
      </c>
      <c r="N27" s="91">
        <v>407930</v>
      </c>
      <c r="O27" s="75"/>
      <c r="P27" s="76">
        <v>2025</v>
      </c>
      <c r="Q27" s="77"/>
      <c r="R27" s="76" t="s">
        <v>35</v>
      </c>
      <c r="S27" s="76" t="s">
        <v>36</v>
      </c>
      <c r="T27" s="78"/>
      <c r="U27" s="92"/>
      <c r="V27" s="92"/>
      <c r="W27" s="92"/>
      <c r="X27" s="92"/>
      <c r="Y27" s="68"/>
      <c r="Z27" s="69"/>
      <c r="AA27" s="70" t="s">
        <v>37</v>
      </c>
    </row>
    <row r="28" spans="1:27" s="79" customFormat="1" ht="24" hidden="1" customHeight="1" x14ac:dyDescent="0.3">
      <c r="A28" s="66">
        <v>2025</v>
      </c>
      <c r="B28" s="67" t="s">
        <v>87</v>
      </c>
      <c r="C28" s="67" t="s">
        <v>28</v>
      </c>
      <c r="D28" s="67" t="s">
        <v>29</v>
      </c>
      <c r="E28" s="72">
        <v>1</v>
      </c>
      <c r="F28" s="73" t="s">
        <v>30</v>
      </c>
      <c r="G28" s="74" t="s">
        <v>97</v>
      </c>
      <c r="H28" s="74" t="s">
        <v>32</v>
      </c>
      <c r="I28" s="72" t="s">
        <v>33</v>
      </c>
      <c r="J28" s="74" t="s">
        <v>34</v>
      </c>
      <c r="K28" s="89">
        <v>300000</v>
      </c>
      <c r="L28" s="90">
        <f>M28*1.2</f>
        <v>300000</v>
      </c>
      <c r="M28" s="90">
        <v>250000</v>
      </c>
      <c r="N28" s="91">
        <f>M28/1.2</f>
        <v>208333.33333333334</v>
      </c>
      <c r="O28" s="75"/>
      <c r="P28" s="77"/>
      <c r="Q28" s="76"/>
      <c r="R28" s="76" t="s">
        <v>35</v>
      </c>
      <c r="S28" s="76" t="s">
        <v>36</v>
      </c>
      <c r="T28" s="78"/>
      <c r="U28" s="92"/>
      <c r="V28" s="92"/>
      <c r="W28" s="92"/>
      <c r="X28" s="92"/>
      <c r="Y28" s="68"/>
      <c r="Z28" s="69"/>
      <c r="AA28" s="70" t="s">
        <v>37</v>
      </c>
    </row>
  </sheetData>
  <autoFilter ref="A1:AA28" xr:uid="{00000000-0009-0000-0000-000000000000}">
    <filterColumn colId="5">
      <filters>
        <filter val="TDF -SITES"/>
        <filter val="TDF-EXP&amp;MAIN"/>
      </filters>
    </filterColumn>
    <filterColumn colId="6">
      <filters>
        <filter val="Fourniture d’un nouveau groupe électrogène pour le centre de PALOMAS de puissance 200 KW/PRP, ainsi que la mise à niveau et transfert de quelques groupes électrogène entre quelques centres SNRT"/>
      </filters>
    </filterColumn>
  </autoFilter>
  <conditionalFormatting sqref="A2:F2 A4:F5 A6:J8 A9:F11 A12:E27 C3:F3 H9:J9 K2:K27 L2:AA2 L3:Q3 L4:AA10 L11:T28 X28 AA28">
    <cfRule type="expression" dxfId="216" priority="250">
      <formula>IF(OR($D2=INF,$D2=ANN),1,0)</formula>
    </cfRule>
  </conditionalFormatting>
  <conditionalFormatting sqref="A2:J2 A4:H8 A9:E9 A10:H10 A11:J11 A12:E16 A20:E20 C3:F3 G12:J16 G20:J20 K2:K16 L2:Z2 L3:Q3 L4:Z10 L11:T16 L20:T20">
    <cfRule type="expression" dxfId="215" priority="251">
      <formula>IF(#REF!=NA,1,0)</formula>
    </cfRule>
  </conditionalFormatting>
  <conditionalFormatting sqref="H2:I2">
    <cfRule type="expression" dxfId="214" priority="249">
      <formula>IF(OR($D2=INF,$D2=ANN),1,0)</formula>
    </cfRule>
  </conditionalFormatting>
  <conditionalFormatting sqref="G2 J2">
    <cfRule type="expression" dxfId="213" priority="248">
      <formula>IF(OR($D2=INF,$D2=ANN),1,0)</formula>
    </cfRule>
  </conditionalFormatting>
  <conditionalFormatting sqref="A18:E19 A21:E21 G18:J19 G21:J21 L18:T19 L21:T21">
    <cfRule type="expression" dxfId="212" priority="241">
      <formula>IF(#REF!=NA,1,0)</formula>
    </cfRule>
  </conditionalFormatting>
  <conditionalFormatting sqref="A3:B3 G3:I3 T3:Z3">
    <cfRule type="expression" dxfId="211" priority="240">
      <formula>IF(#REF!=NA,1,0)</formula>
    </cfRule>
    <cfRule type="expression" dxfId="210" priority="239">
      <formula>IF(OR($D3=INF,$D3=ANN),1,0)</formula>
    </cfRule>
  </conditionalFormatting>
  <conditionalFormatting sqref="J3">
    <cfRule type="expression" dxfId="209" priority="237">
      <formula>IF(OR($D3=INF,$D3=ANN),1,0)</formula>
    </cfRule>
    <cfRule type="expression" dxfId="208" priority="238">
      <formula>IF(#REF!=NA,1,0)</formula>
    </cfRule>
  </conditionalFormatting>
  <conditionalFormatting sqref="AA3">
    <cfRule type="expression" dxfId="207" priority="236">
      <formula>IF($D1048528=NA,1,0)</formula>
    </cfRule>
  </conditionalFormatting>
  <conditionalFormatting sqref="R3:S3">
    <cfRule type="expression" dxfId="206" priority="234">
      <formula>IF(#REF!=NA,1,0)</formula>
    </cfRule>
  </conditionalFormatting>
  <conditionalFormatting sqref="R3:S3 AA3">
    <cfRule type="expression" dxfId="205" priority="235">
      <formula>IF(OR($D3=INF,$D3=ANN),1,0)</formula>
    </cfRule>
  </conditionalFormatting>
  <conditionalFormatting sqref="I4:I5">
    <cfRule type="expression" dxfId="204" priority="233">
      <formula>IF(OR($D4=INF,$D4=ANN),1,0)</formula>
    </cfRule>
  </conditionalFormatting>
  <conditionalFormatting sqref="I4:J5">
    <cfRule type="expression" dxfId="203" priority="232">
      <formula>IF(#REF!=NA,1,0)</formula>
    </cfRule>
  </conditionalFormatting>
  <conditionalFormatting sqref="J4:J5">
    <cfRule type="expression" dxfId="202" priority="231">
      <formula>IF(OR($D4=INF,$D4=ANN),1,0)</formula>
    </cfRule>
  </conditionalFormatting>
  <conditionalFormatting sqref="AA4:AA5 AA8">
    <cfRule type="expression" dxfId="201" priority="230">
      <formula>IF($D1048532=NA,1,0)</formula>
    </cfRule>
  </conditionalFormatting>
  <conditionalFormatting sqref="H4:H5">
    <cfRule type="expression" dxfId="200" priority="229">
      <formula>IF(OR($D4=INF,$D4=ANN),1,0)</formula>
    </cfRule>
  </conditionalFormatting>
  <conditionalFormatting sqref="G4:G5">
    <cfRule type="expression" dxfId="199" priority="228">
      <formula>IF(OR($D4=INF,$D4=ANN),1,0)</formula>
    </cfRule>
  </conditionalFormatting>
  <conditionalFormatting sqref="I6:J6 I8:J8">
    <cfRule type="expression" dxfId="198" priority="221">
      <formula>IF(#REF!=NA,1,0)</formula>
    </cfRule>
  </conditionalFormatting>
  <conditionalFormatting sqref="I7:J7">
    <cfRule type="expression" dxfId="197" priority="220">
      <formula>IF(#REF!=NA,1,0)</formula>
    </cfRule>
  </conditionalFormatting>
  <conditionalFormatting sqref="F9 H9">
    <cfRule type="expression" dxfId="196" priority="219">
      <formula>IF(#REF!=NA,1,0)</formula>
    </cfRule>
  </conditionalFormatting>
  <conditionalFormatting sqref="G9">
    <cfRule type="expression" dxfId="195" priority="218">
      <formula>IF(OR($D9=INF,$D9=ANN),1,0)</formula>
    </cfRule>
    <cfRule type="expression" dxfId="194" priority="215">
      <formula>IF(#REF!=NA,1,0)</formula>
    </cfRule>
  </conditionalFormatting>
  <conditionalFormatting sqref="AA9">
    <cfRule type="expression" dxfId="193" priority="217">
      <formula>IF(#REF!=NA,1,0)</formula>
    </cfRule>
  </conditionalFormatting>
  <conditionalFormatting sqref="I9:J9">
    <cfRule type="expression" dxfId="192" priority="216">
      <formula>IF(#REF!=NA,1,0)</formula>
    </cfRule>
  </conditionalFormatting>
  <conditionalFormatting sqref="I10">
    <cfRule type="expression" dxfId="191" priority="214">
      <formula>IF(OR($D10=INF,$D10=ANN),1,0)</formula>
    </cfRule>
  </conditionalFormatting>
  <conditionalFormatting sqref="I10:J10">
    <cfRule type="expression" dxfId="190" priority="213">
      <formula>IF(#REF!=NA,1,0)</formula>
    </cfRule>
  </conditionalFormatting>
  <conditionalFormatting sqref="J10">
    <cfRule type="expression" dxfId="189" priority="212">
      <formula>IF(OR($D10=INF,$D10=ANN),1,0)</formula>
    </cfRule>
  </conditionalFormatting>
  <conditionalFormatting sqref="AA10">
    <cfRule type="expression" dxfId="188" priority="211">
      <formula>IF($D1048529=NA,1,0)</formula>
    </cfRule>
  </conditionalFormatting>
  <conditionalFormatting sqref="H10">
    <cfRule type="expression" dxfId="187" priority="210">
      <formula>IF(OR($D10=INF,$D10=ANN),1,0)</formula>
    </cfRule>
  </conditionalFormatting>
  <conditionalFormatting sqref="G10">
    <cfRule type="expression" dxfId="186" priority="209">
      <formula>IF(OR($D10=INF,$D10=ANN),1,0)</formula>
    </cfRule>
  </conditionalFormatting>
  <conditionalFormatting sqref="AA12">
    <cfRule type="expression" dxfId="185" priority="208">
      <formula>IF(#REF!=NA,1,0)</formula>
    </cfRule>
  </conditionalFormatting>
  <conditionalFormatting sqref="AA11">
    <cfRule type="expression" dxfId="184" priority="207">
      <formula>IF(#REF!=NA,1,0)</formula>
    </cfRule>
  </conditionalFormatting>
  <conditionalFormatting sqref="H11:I12">
    <cfRule type="expression" dxfId="183" priority="205">
      <formula>IF(OR($D11=INF,$D11=ANN),1,0)</formula>
    </cfRule>
  </conditionalFormatting>
  <conditionalFormatting sqref="V11:V12 X11:Z12">
    <cfRule type="expression" dxfId="182" priority="204">
      <formula>IF(#REF!=NA,1,0)</formula>
    </cfRule>
  </conditionalFormatting>
  <conditionalFormatting sqref="G11:G12 J11:J12">
    <cfRule type="expression" dxfId="181" priority="203">
      <formula>IF(OR($D11=INF,$D11=ANN),1,0)</formula>
    </cfRule>
  </conditionalFormatting>
  <conditionalFormatting sqref="V11:V12 X11:AA12">
    <cfRule type="expression" dxfId="180" priority="206">
      <formula>IF(OR($D11=INF,$D11=ANN),1,0)</formula>
    </cfRule>
  </conditionalFormatting>
  <conditionalFormatting sqref="W11:W12">
    <cfRule type="expression" dxfId="179" priority="202">
      <formula>IF(#REF!=NA,1,0)</formula>
    </cfRule>
    <cfRule type="expression" dxfId="178" priority="201">
      <formula>IF(OR($D11=INF,$D11=ANN),1,0)</formula>
    </cfRule>
  </conditionalFormatting>
  <conditionalFormatting sqref="U11:U12">
    <cfRule type="expression" dxfId="177" priority="200">
      <formula>IF(#REF!=NA,1,0)</formula>
    </cfRule>
    <cfRule type="expression" dxfId="176" priority="199">
      <formula>IF(OR($D11=INF,$D11=ANN),1,0)</formula>
    </cfRule>
  </conditionalFormatting>
  <conditionalFormatting sqref="F12">
    <cfRule type="expression" dxfId="175" priority="198">
      <formula>IF(#REF!=NA,1,0)</formula>
    </cfRule>
    <cfRule type="expression" dxfId="174" priority="197">
      <formula>IF(OR($D12=INF,$D12=ANN),1,0)</formula>
    </cfRule>
  </conditionalFormatting>
  <conditionalFormatting sqref="AA13">
    <cfRule type="expression" dxfId="173" priority="189">
      <formula>IF(#REF!=NA,1,0)</formula>
    </cfRule>
  </conditionalFormatting>
  <conditionalFormatting sqref="H13:I13">
    <cfRule type="expression" dxfId="172" priority="187">
      <formula>IF(OR($D13=INF,$D13=ANN),1,0)</formula>
    </cfRule>
  </conditionalFormatting>
  <conditionalFormatting sqref="V13 X13:Z13">
    <cfRule type="expression" dxfId="171" priority="186">
      <formula>IF(#REF!=NA,1,0)</formula>
    </cfRule>
  </conditionalFormatting>
  <conditionalFormatting sqref="G13 J13">
    <cfRule type="expression" dxfId="170" priority="185">
      <formula>IF(OR($D13=INF,$D13=ANN),1,0)</formula>
    </cfRule>
  </conditionalFormatting>
  <conditionalFormatting sqref="V13 X13:AA13">
    <cfRule type="expression" dxfId="169" priority="188">
      <formula>IF(OR($D13=INF,$D13=ANN),1,0)</formula>
    </cfRule>
  </conditionalFormatting>
  <conditionalFormatting sqref="W13">
    <cfRule type="expression" dxfId="168" priority="184">
      <formula>IF(#REF!=NA,1,0)</formula>
    </cfRule>
    <cfRule type="expression" dxfId="167" priority="183">
      <formula>IF(OR($D13=INF,$D13=ANN),1,0)</formula>
    </cfRule>
  </conditionalFormatting>
  <conditionalFormatting sqref="U13">
    <cfRule type="expression" dxfId="166" priority="182">
      <formula>IF(#REF!=NA,1,0)</formula>
    </cfRule>
    <cfRule type="expression" dxfId="165" priority="181">
      <formula>IF(OR($D13=INF,$D13=ANN),1,0)</formula>
    </cfRule>
  </conditionalFormatting>
  <conditionalFormatting sqref="F13">
    <cfRule type="expression" dxfId="164" priority="180">
      <formula>IF(#REF!=NA,1,0)</formula>
    </cfRule>
    <cfRule type="expression" dxfId="163" priority="179">
      <formula>IF(OR($D13=INF,$D13=ANN),1,0)</formula>
    </cfRule>
  </conditionalFormatting>
  <conditionalFormatting sqref="AA14">
    <cfRule type="expression" dxfId="162" priority="167">
      <formula>IF(#REF!=NA,1,0)</formula>
    </cfRule>
  </conditionalFormatting>
  <conditionalFormatting sqref="H14:I14">
    <cfRule type="expression" dxfId="161" priority="165">
      <formula>IF(OR($D14=INF,$D14=ANN),1,0)</formula>
    </cfRule>
  </conditionalFormatting>
  <conditionalFormatting sqref="V14 X14:Z14">
    <cfRule type="expression" dxfId="160" priority="164">
      <formula>IF(#REF!=NA,1,0)</formula>
    </cfRule>
  </conditionalFormatting>
  <conditionalFormatting sqref="G14 J14">
    <cfRule type="expression" dxfId="159" priority="163">
      <formula>IF(OR($D14=INF,$D14=ANN),1,0)</formula>
    </cfRule>
  </conditionalFormatting>
  <conditionalFormatting sqref="V14 X14:AA14">
    <cfRule type="expression" dxfId="158" priority="166">
      <formula>IF(OR($D14=INF,$D14=ANN),1,0)</formula>
    </cfRule>
  </conditionalFormatting>
  <conditionalFormatting sqref="W14">
    <cfRule type="expression" dxfId="157" priority="162">
      <formula>IF(#REF!=NA,1,0)</formula>
    </cfRule>
    <cfRule type="expression" dxfId="156" priority="161">
      <formula>IF(OR($D14=INF,$D14=ANN),1,0)</formula>
    </cfRule>
  </conditionalFormatting>
  <conditionalFormatting sqref="U14">
    <cfRule type="expression" dxfId="155" priority="160">
      <formula>IF(#REF!=NA,1,0)</formula>
    </cfRule>
    <cfRule type="expression" dxfId="154" priority="159">
      <formula>IF(OR($D14=INF,$D14=ANN),1,0)</formula>
    </cfRule>
  </conditionalFormatting>
  <conditionalFormatting sqref="F14">
    <cfRule type="expression" dxfId="153" priority="158">
      <formula>IF(#REF!=NA,1,0)</formula>
    </cfRule>
    <cfRule type="expression" dxfId="152" priority="157">
      <formula>IF(OR($D14=INF,$D14=ANN),1,0)</formula>
    </cfRule>
  </conditionalFormatting>
  <conditionalFormatting sqref="AA16">
    <cfRule type="expression" dxfId="151" priority="141">
      <formula>IF(#REF!=NA,1,0)</formula>
    </cfRule>
  </conditionalFormatting>
  <conditionalFormatting sqref="H16:I16">
    <cfRule type="expression" dxfId="150" priority="139">
      <formula>IF(OR($D16=INF,$D16=ANN),1,0)</formula>
    </cfRule>
  </conditionalFormatting>
  <conditionalFormatting sqref="V16 X16:Z16">
    <cfRule type="expression" dxfId="149" priority="138">
      <formula>IF(#REF!=NA,1,0)</formula>
    </cfRule>
  </conditionalFormatting>
  <conditionalFormatting sqref="G16 J16">
    <cfRule type="expression" dxfId="148" priority="137">
      <formula>IF(OR($D16=INF,$D16=ANN),1,0)</formula>
    </cfRule>
  </conditionalFormatting>
  <conditionalFormatting sqref="V16 X16:AA16">
    <cfRule type="expression" dxfId="147" priority="140">
      <formula>IF(OR($D16=INF,$D16=ANN),1,0)</formula>
    </cfRule>
  </conditionalFormatting>
  <conditionalFormatting sqref="W16">
    <cfRule type="expression" dxfId="146" priority="136">
      <formula>IF(#REF!=NA,1,0)</formula>
    </cfRule>
    <cfRule type="expression" dxfId="145" priority="135">
      <formula>IF(OR($D16=INF,$D16=ANN),1,0)</formula>
    </cfRule>
  </conditionalFormatting>
  <conditionalFormatting sqref="U16">
    <cfRule type="expression" dxfId="144" priority="134">
      <formula>IF(#REF!=NA,1,0)</formula>
    </cfRule>
    <cfRule type="expression" dxfId="143" priority="133">
      <formula>IF(OR($D16=INF,$D16=ANN),1,0)</formula>
    </cfRule>
  </conditionalFormatting>
  <conditionalFormatting sqref="F16">
    <cfRule type="expression" dxfId="142" priority="132">
      <formula>IF(#REF!=NA,1,0)</formula>
    </cfRule>
    <cfRule type="expression" dxfId="141" priority="131">
      <formula>IF(OR($D16=INF,$D16=ANN),1,0)</formula>
    </cfRule>
  </conditionalFormatting>
  <conditionalFormatting sqref="AA15">
    <cfRule type="expression" dxfId="140" priority="130">
      <formula>IF(#REF!=NA,1,0)</formula>
    </cfRule>
  </conditionalFormatting>
  <conditionalFormatting sqref="H15:I15">
    <cfRule type="expression" dxfId="139" priority="128">
      <formula>IF(OR($D15=INF,$D15=ANN),1,0)</formula>
    </cfRule>
  </conditionalFormatting>
  <conditionalFormatting sqref="V15 X15:Z15">
    <cfRule type="expression" dxfId="138" priority="127">
      <formula>IF(#REF!=NA,1,0)</formula>
    </cfRule>
  </conditionalFormatting>
  <conditionalFormatting sqref="G15 J15">
    <cfRule type="expression" dxfId="137" priority="126">
      <formula>IF(OR($D15=INF,$D15=ANN),1,0)</formula>
    </cfRule>
  </conditionalFormatting>
  <conditionalFormatting sqref="V15 X15:AA15">
    <cfRule type="expression" dxfId="136" priority="129">
      <formula>IF(OR($D15=INF,$D15=ANN),1,0)</formula>
    </cfRule>
  </conditionalFormatting>
  <conditionalFormatting sqref="W15">
    <cfRule type="expression" dxfId="135" priority="125">
      <formula>IF(#REF!=NA,1,0)</formula>
    </cfRule>
    <cfRule type="expression" dxfId="134" priority="124">
      <formula>IF(OR($D15=INF,$D15=ANN),1,0)</formula>
    </cfRule>
  </conditionalFormatting>
  <conditionalFormatting sqref="U15">
    <cfRule type="expression" dxfId="133" priority="123">
      <formula>IF(#REF!=NA,1,0)</formula>
    </cfRule>
    <cfRule type="expression" dxfId="132" priority="122">
      <formula>IF(OR($D15=INF,$D15=ANN),1,0)</formula>
    </cfRule>
  </conditionalFormatting>
  <conditionalFormatting sqref="F15">
    <cfRule type="expression" dxfId="131" priority="121">
      <formula>IF(#REF!=NA,1,0)</formula>
    </cfRule>
    <cfRule type="expression" dxfId="130" priority="120">
      <formula>IF(OR($D15=INF,$D15=ANN),1,0)</formula>
    </cfRule>
  </conditionalFormatting>
  <conditionalFormatting sqref="AA17">
    <cfRule type="expression" dxfId="129" priority="119">
      <formula>IF(#REF!=NA,1,0)</formula>
    </cfRule>
  </conditionalFormatting>
  <conditionalFormatting sqref="H17:I17">
    <cfRule type="expression" dxfId="128" priority="117">
      <formula>IF(OR($D17=INF,$D17=ANN),1,0)</formula>
    </cfRule>
  </conditionalFormatting>
  <conditionalFormatting sqref="A17:E17 A22:E22 G17:J17 G22:J22 L17:T17 L22:T22 L28:Q28 S28 V17 X17:Z17">
    <cfRule type="expression" dxfId="127" priority="116">
      <formula>IF(#REF!=NA,1,0)</formula>
    </cfRule>
  </conditionalFormatting>
  <conditionalFormatting sqref="G17 J17">
    <cfRule type="expression" dxfId="126" priority="115">
      <formula>IF(OR($D17=INF,$D17=ANN),1,0)</formula>
    </cfRule>
  </conditionalFormatting>
  <conditionalFormatting sqref="V17 X17:AA17">
    <cfRule type="expression" dxfId="125" priority="118">
      <formula>IF(OR($D17=INF,$D17=ANN),1,0)</formula>
    </cfRule>
  </conditionalFormatting>
  <conditionalFormatting sqref="W17">
    <cfRule type="expression" dxfId="124" priority="114">
      <formula>IF(#REF!=NA,1,0)</formula>
    </cfRule>
    <cfRule type="expression" dxfId="123" priority="113">
      <formula>IF(OR($D17=INF,$D17=ANN),1,0)</formula>
    </cfRule>
  </conditionalFormatting>
  <conditionalFormatting sqref="U17">
    <cfRule type="expression" dxfId="122" priority="112">
      <formula>IF(#REF!=NA,1,0)</formula>
    </cfRule>
    <cfRule type="expression" dxfId="121" priority="111">
      <formula>IF(OR($D17=INF,$D17=ANN),1,0)</formula>
    </cfRule>
  </conditionalFormatting>
  <conditionalFormatting sqref="F17">
    <cfRule type="expression" dxfId="120" priority="110">
      <formula>IF(#REF!=NA,1,0)</formula>
    </cfRule>
    <cfRule type="expression" dxfId="119" priority="109">
      <formula>IF(OR($D17=INF,$D17=ANN),1,0)</formula>
    </cfRule>
  </conditionalFormatting>
  <conditionalFormatting sqref="AA20">
    <cfRule type="expression" dxfId="118" priority="108">
      <formula>IF(#REF!=NA,1,0)</formula>
    </cfRule>
  </conditionalFormatting>
  <conditionalFormatting sqref="H20:I20">
    <cfRule type="expression" dxfId="117" priority="106">
      <formula>IF(OR($D20=INF,$D20=ANN),1,0)</formula>
    </cfRule>
  </conditionalFormatting>
  <conditionalFormatting sqref="V20 X20:Z20">
    <cfRule type="expression" dxfId="116" priority="105">
      <formula>IF(#REF!=NA,1,0)</formula>
    </cfRule>
  </conditionalFormatting>
  <conditionalFormatting sqref="G20 J20">
    <cfRule type="expression" dxfId="115" priority="104">
      <formula>IF(OR($D20=INF,$D20=ANN),1,0)</formula>
    </cfRule>
  </conditionalFormatting>
  <conditionalFormatting sqref="V20 X20:AA20">
    <cfRule type="expression" dxfId="114" priority="107">
      <formula>IF(OR($D20=INF,$D20=ANN),1,0)</formula>
    </cfRule>
  </conditionalFormatting>
  <conditionalFormatting sqref="W20">
    <cfRule type="expression" dxfId="113" priority="103">
      <formula>IF(#REF!=NA,1,0)</formula>
    </cfRule>
    <cfRule type="expression" dxfId="112" priority="102">
      <formula>IF(OR($D20=INF,$D20=ANN),1,0)</formula>
    </cfRule>
  </conditionalFormatting>
  <conditionalFormatting sqref="U20">
    <cfRule type="expression" dxfId="111" priority="101">
      <formula>IF(#REF!=NA,1,0)</formula>
    </cfRule>
    <cfRule type="expression" dxfId="110" priority="100">
      <formula>IF(OR($D20=INF,$D20=ANN),1,0)</formula>
    </cfRule>
  </conditionalFormatting>
  <conditionalFormatting sqref="F20">
    <cfRule type="expression" dxfId="109" priority="99">
      <formula>IF(#REF!=NA,1,0)</formula>
    </cfRule>
    <cfRule type="expression" dxfId="108" priority="98">
      <formula>IF(OR($D20=INF,$D20=ANN),1,0)</formula>
    </cfRule>
  </conditionalFormatting>
  <conditionalFormatting sqref="U19">
    <cfRule type="expression" dxfId="107" priority="78">
      <formula>IF(OR($D19=INF,$D19=ANN),1,0)</formula>
    </cfRule>
    <cfRule type="expression" dxfId="106" priority="79">
      <formula>IF(#REF!=NA,1,0)</formula>
    </cfRule>
  </conditionalFormatting>
  <conditionalFormatting sqref="AA18">
    <cfRule type="expression" dxfId="105" priority="97">
      <formula>IF(#REF!=NA,1,0)</formula>
    </cfRule>
  </conditionalFormatting>
  <conditionalFormatting sqref="H18:I18">
    <cfRule type="expression" dxfId="104" priority="95">
      <formula>IF(OR($D18=INF,$D18=ANN),1,0)</formula>
    </cfRule>
  </conditionalFormatting>
  <conditionalFormatting sqref="V18 X18:Z18">
    <cfRule type="expression" dxfId="103" priority="94">
      <formula>IF(#REF!=NA,1,0)</formula>
    </cfRule>
  </conditionalFormatting>
  <conditionalFormatting sqref="G18 J18">
    <cfRule type="expression" dxfId="102" priority="93">
      <formula>IF(OR($D18=INF,$D18=ANN),1,0)</formula>
    </cfRule>
  </conditionalFormatting>
  <conditionalFormatting sqref="V18 X18:AA18">
    <cfRule type="expression" dxfId="101" priority="96">
      <formula>IF(OR($D18=INF,$D18=ANN),1,0)</formula>
    </cfRule>
  </conditionalFormatting>
  <conditionalFormatting sqref="W18">
    <cfRule type="expression" dxfId="100" priority="92">
      <formula>IF(#REF!=NA,1,0)</formula>
    </cfRule>
    <cfRule type="expression" dxfId="99" priority="91">
      <formula>IF(OR($D18=INF,$D18=ANN),1,0)</formula>
    </cfRule>
  </conditionalFormatting>
  <conditionalFormatting sqref="U18">
    <cfRule type="expression" dxfId="98" priority="90">
      <formula>IF(#REF!=NA,1,0)</formula>
    </cfRule>
    <cfRule type="expression" dxfId="97" priority="89">
      <formula>IF(OR($D18=INF,$D18=ANN),1,0)</formula>
    </cfRule>
  </conditionalFormatting>
  <conditionalFormatting sqref="F18">
    <cfRule type="expression" dxfId="96" priority="88">
      <formula>IF(#REF!=NA,1,0)</formula>
    </cfRule>
    <cfRule type="expression" dxfId="95" priority="87">
      <formula>IF(OR($D18=INF,$D18=ANN),1,0)</formula>
    </cfRule>
  </conditionalFormatting>
  <conditionalFormatting sqref="AA19">
    <cfRule type="expression" dxfId="94" priority="86">
      <formula>IF(#REF!=NA,1,0)</formula>
    </cfRule>
  </conditionalFormatting>
  <conditionalFormatting sqref="H19:I19">
    <cfRule type="expression" dxfId="93" priority="84">
      <formula>IF(OR($D19=INF,$D19=ANN),1,0)</formula>
    </cfRule>
  </conditionalFormatting>
  <conditionalFormatting sqref="V19 X19:Z19">
    <cfRule type="expression" dxfId="92" priority="83">
      <formula>IF(#REF!=NA,1,0)</formula>
    </cfRule>
  </conditionalFormatting>
  <conditionalFormatting sqref="G19 J19">
    <cfRule type="expression" dxfId="91" priority="82">
      <formula>IF(OR($D19=INF,$D19=ANN),1,0)</formula>
    </cfRule>
  </conditionalFormatting>
  <conditionalFormatting sqref="V19 X19:AA19">
    <cfRule type="expression" dxfId="90" priority="85">
      <formula>IF(OR($D19=INF,$D19=ANN),1,0)</formula>
    </cfRule>
  </conditionalFormatting>
  <conditionalFormatting sqref="W19">
    <cfRule type="expression" dxfId="89" priority="81">
      <formula>IF(#REF!=NA,1,0)</formula>
    </cfRule>
    <cfRule type="expression" dxfId="88" priority="80">
      <formula>IF(OR($D19=INF,$D19=ANN),1,0)</formula>
    </cfRule>
  </conditionalFormatting>
  <conditionalFormatting sqref="F19">
    <cfRule type="expression" dxfId="87" priority="77">
      <formula>IF(#REF!=NA,1,0)</formula>
    </cfRule>
    <cfRule type="expression" dxfId="86" priority="76">
      <formula>IF(OR($D19=INF,$D19=ANN),1,0)</formula>
    </cfRule>
  </conditionalFormatting>
  <conditionalFormatting sqref="AA21">
    <cfRule type="expression" dxfId="85" priority="75">
      <formula>IF(#REF!=NA,1,0)</formula>
    </cfRule>
  </conditionalFormatting>
  <conditionalFormatting sqref="H21:I21">
    <cfRule type="expression" dxfId="84" priority="73">
      <formula>IF(OR($D21=INF,$D21=ANN),1,0)</formula>
    </cfRule>
  </conditionalFormatting>
  <conditionalFormatting sqref="V21 X21:Z21">
    <cfRule type="expression" dxfId="83" priority="72">
      <formula>IF(#REF!=NA,1,0)</formula>
    </cfRule>
  </conditionalFormatting>
  <conditionalFormatting sqref="G21 J21">
    <cfRule type="expression" dxfId="82" priority="71">
      <formula>IF(OR($D21=INF,$D21=ANN),1,0)</formula>
    </cfRule>
  </conditionalFormatting>
  <conditionalFormatting sqref="V21 X21:AA21">
    <cfRule type="expression" dxfId="81" priority="74">
      <formula>IF(OR($D21=INF,$D21=ANN),1,0)</formula>
    </cfRule>
  </conditionalFormatting>
  <conditionalFormatting sqref="W21">
    <cfRule type="expression" dxfId="80" priority="70">
      <formula>IF(#REF!=NA,1,0)</formula>
    </cfRule>
    <cfRule type="expression" dxfId="79" priority="69">
      <formula>IF(OR($D21=INF,$D21=ANN),1,0)</formula>
    </cfRule>
  </conditionalFormatting>
  <conditionalFormatting sqref="U21">
    <cfRule type="expression" dxfId="78" priority="68">
      <formula>IF(#REF!=NA,1,0)</formula>
    </cfRule>
    <cfRule type="expression" dxfId="77" priority="67">
      <formula>IF(OR($D21=INF,$D21=ANN),1,0)</formula>
    </cfRule>
  </conditionalFormatting>
  <conditionalFormatting sqref="F21">
    <cfRule type="expression" dxfId="76" priority="66">
      <formula>IF(#REF!=NA,1,0)</formula>
    </cfRule>
    <cfRule type="expression" dxfId="75" priority="65">
      <formula>IF(OR($D21=INF,$D21=ANN),1,0)</formula>
    </cfRule>
  </conditionalFormatting>
  <conditionalFormatting sqref="AA22">
    <cfRule type="expression" dxfId="74" priority="64">
      <formula>IF($D6=NA,1,0)</formula>
    </cfRule>
  </conditionalFormatting>
  <conditionalFormatting sqref="H22:I22">
    <cfRule type="expression" dxfId="73" priority="62">
      <formula>IF(OR($D22=INF,$D22=ANN),1,0)</formula>
    </cfRule>
  </conditionalFormatting>
  <conditionalFormatting sqref="V22 X22:Z22">
    <cfRule type="expression" dxfId="72" priority="61">
      <formula>IF(#REF!=NA,1,0)</formula>
    </cfRule>
  </conditionalFormatting>
  <conditionalFormatting sqref="G22 J22">
    <cfRule type="expression" dxfId="71" priority="60">
      <formula>IF(OR($D22=INF,$D22=ANN),1,0)</formula>
    </cfRule>
  </conditionalFormatting>
  <conditionalFormatting sqref="V22 X22:AA22">
    <cfRule type="expression" dxfId="70" priority="63">
      <formula>IF(OR($D22=INF,$D22=ANN),1,0)</formula>
    </cfRule>
  </conditionalFormatting>
  <conditionalFormatting sqref="W22">
    <cfRule type="expression" dxfId="69" priority="59">
      <formula>IF(#REF!=NA,1,0)</formula>
    </cfRule>
    <cfRule type="expression" dxfId="68" priority="58">
      <formula>IF(OR($D22=INF,$D22=ANN),1,0)</formula>
    </cfRule>
  </conditionalFormatting>
  <conditionalFormatting sqref="U22">
    <cfRule type="expression" dxfId="67" priority="57">
      <formula>IF(#REF!=NA,1,0)</formula>
    </cfRule>
    <cfRule type="expression" dxfId="66" priority="56">
      <formula>IF(OR($D22=INF,$D22=ANN),1,0)</formula>
    </cfRule>
  </conditionalFormatting>
  <conditionalFormatting sqref="F22">
    <cfRule type="expression" dxfId="65" priority="55">
      <formula>IF(#REF!=NA,1,0)</formula>
    </cfRule>
    <cfRule type="expression" dxfId="64" priority="54">
      <formula>IF(OR($D22=INF,$D22=ANN),1,0)</formula>
    </cfRule>
  </conditionalFormatting>
  <conditionalFormatting sqref="AA23:AA25">
    <cfRule type="expression" dxfId="63" priority="53">
      <formula>IF($D7=NA,1,0)</formula>
    </cfRule>
  </conditionalFormatting>
  <conditionalFormatting sqref="H23:I25">
    <cfRule type="expression" dxfId="62" priority="51">
      <formula>IF(OR($D23=INF,$D23=ANN),1,0)</formula>
    </cfRule>
  </conditionalFormatting>
  <conditionalFormatting sqref="A23:E27 G23:J26 L23:T27 R28 T28 V23:V25 X23:Z25">
    <cfRule type="expression" dxfId="61" priority="50">
      <formula>IF(#REF!=NA,1,0)</formula>
    </cfRule>
  </conditionalFormatting>
  <conditionalFormatting sqref="G23:G25 J23:J25">
    <cfRule type="expression" dxfId="60" priority="49">
      <formula>IF(OR($D23=INF,$D23=ANN),1,0)</formula>
    </cfRule>
  </conditionalFormatting>
  <conditionalFormatting sqref="V23:V25 X23:AA25">
    <cfRule type="expression" dxfId="59" priority="52">
      <formula>IF(OR($D23=INF,$D23=ANN),1,0)</formula>
    </cfRule>
  </conditionalFormatting>
  <conditionalFormatting sqref="W23:W25">
    <cfRule type="expression" dxfId="58" priority="48">
      <formula>IF(#REF!=NA,1,0)</formula>
    </cfRule>
    <cfRule type="expression" dxfId="57" priority="47">
      <formula>IF(OR($D23=INF,$D23=ANN),1,0)</formula>
    </cfRule>
  </conditionalFormatting>
  <conditionalFormatting sqref="U23:U25">
    <cfRule type="expression" dxfId="56" priority="46">
      <formula>IF(#REF!=NA,1,0)</formula>
    </cfRule>
    <cfRule type="expression" dxfId="55" priority="45">
      <formula>IF(OR($D23=INF,$D23=ANN),1,0)</formula>
    </cfRule>
  </conditionalFormatting>
  <conditionalFormatting sqref="F23:F25">
    <cfRule type="expression" dxfId="54" priority="44">
      <formula>IF(#REF!=NA,1,0)</formula>
    </cfRule>
    <cfRule type="expression" dxfId="53" priority="43">
      <formula>IF(OR($D23=INF,$D23=ANN),1,0)</formula>
    </cfRule>
  </conditionalFormatting>
  <conditionalFormatting sqref="AA26">
    <cfRule type="expression" dxfId="52" priority="42">
      <formula>IF($D9=NA,1,0)</formula>
    </cfRule>
  </conditionalFormatting>
  <conditionalFormatting sqref="H26:I26">
    <cfRule type="expression" dxfId="51" priority="40">
      <formula>IF(OR($D26=INF,$D26=ANN),1,0)</formula>
    </cfRule>
  </conditionalFormatting>
  <conditionalFormatting sqref="G27 J27 V26 X26:Z26">
    <cfRule type="expression" dxfId="50" priority="39">
      <formula>IF(#REF!=NA,1,0)</formula>
    </cfRule>
  </conditionalFormatting>
  <conditionalFormatting sqref="G26:G27 J26:J27">
    <cfRule type="expression" dxfId="49" priority="38">
      <formula>IF(OR($D26=INF,$D26=ANN),1,0)</formula>
    </cfRule>
  </conditionalFormatting>
  <conditionalFormatting sqref="V26 X26:AA26">
    <cfRule type="expression" dxfId="48" priority="41">
      <formula>IF(OR($D26=INF,$D26=ANN),1,0)</formula>
    </cfRule>
  </conditionalFormatting>
  <conditionalFormatting sqref="W26">
    <cfRule type="expression" dxfId="47" priority="37">
      <formula>IF(#REF!=NA,1,0)</formula>
    </cfRule>
    <cfRule type="expression" dxfId="46" priority="36">
      <formula>IF(OR($D26=INF,$D26=ANN),1,0)</formula>
    </cfRule>
  </conditionalFormatting>
  <conditionalFormatting sqref="U26">
    <cfRule type="expression" dxfId="45" priority="35">
      <formula>IF(#REF!=NA,1,0)</formula>
    </cfRule>
    <cfRule type="expression" dxfId="44" priority="34">
      <formula>IF(OR($D26=INF,$D26=ANN),1,0)</formula>
    </cfRule>
  </conditionalFormatting>
  <conditionalFormatting sqref="F26">
    <cfRule type="expression" dxfId="43" priority="33">
      <formula>IF(#REF!=NA,1,0)</formula>
    </cfRule>
    <cfRule type="expression" dxfId="42" priority="32">
      <formula>IF(OR($D26=INF,$D26=ANN),1,0)</formula>
    </cfRule>
  </conditionalFormatting>
  <conditionalFormatting sqref="AA27">
    <cfRule type="expression" dxfId="41" priority="31">
      <formula>IF($D10=NA,1,0)</formula>
    </cfRule>
  </conditionalFormatting>
  <conditionalFormatting sqref="H27:I27">
    <cfRule type="expression" dxfId="40" priority="29">
      <formula>IF(OR($D27=INF,$D27=ANN),1,0)</formula>
    </cfRule>
  </conditionalFormatting>
  <conditionalFormatting sqref="H27:I27 V27 X27:Z27 Y28:Z28">
    <cfRule type="expression" dxfId="39" priority="28">
      <formula>IF(#REF!=NA,1,0)</formula>
    </cfRule>
  </conditionalFormatting>
  <conditionalFormatting sqref="V27 X27:AA27 Y28:Z28">
    <cfRule type="expression" dxfId="38" priority="30">
      <formula>IF(OR($D27=INF,$D27=ANN),1,0)</formula>
    </cfRule>
  </conditionalFormatting>
  <conditionalFormatting sqref="W27">
    <cfRule type="expression" dxfId="37" priority="27">
      <formula>IF(#REF!=NA,1,0)</formula>
    </cfRule>
    <cfRule type="expression" dxfId="36" priority="26">
      <formula>IF(OR($D27=INF,$D27=ANN),1,0)</formula>
    </cfRule>
  </conditionalFormatting>
  <conditionalFormatting sqref="U27">
    <cfRule type="expression" dxfId="35" priority="25">
      <formula>IF(#REF!=NA,1,0)</formula>
    </cfRule>
    <cfRule type="expression" dxfId="34" priority="24">
      <formula>IF(OR($D27=INF,$D27=ANN),1,0)</formula>
    </cfRule>
  </conditionalFormatting>
  <conditionalFormatting sqref="F27">
    <cfRule type="expression" dxfId="33" priority="23">
      <formula>IF(#REF!=NA,1,0)</formula>
    </cfRule>
    <cfRule type="expression" dxfId="32" priority="22">
      <formula>IF(OR($D27=INF,$D27=ANN),1,0)</formula>
    </cfRule>
  </conditionalFormatting>
  <conditionalFormatting sqref="AA2">
    <cfRule type="expression" dxfId="31" priority="252">
      <formula>IF($D1048536=NA,1,0)</formula>
    </cfRule>
  </conditionalFormatting>
  <conditionalFormatting sqref="AA6:AA7">
    <cfRule type="expression" dxfId="30" priority="253">
      <formula>IF($D1048535=NA,1,0)</formula>
    </cfRule>
  </conditionalFormatting>
  <conditionalFormatting sqref="K20">
    <cfRule type="expression" dxfId="29" priority="21">
      <formula>IF(#REF!=NA,1,0)</formula>
    </cfRule>
  </conditionalFormatting>
  <conditionalFormatting sqref="K18:K19 K21">
    <cfRule type="expression" dxfId="28" priority="19">
      <formula>IF(#REF!=NA,1,0)</formula>
    </cfRule>
  </conditionalFormatting>
  <conditionalFormatting sqref="K17 K22">
    <cfRule type="expression" dxfId="27" priority="18">
      <formula>IF(#REF!=NA,1,0)</formula>
    </cfRule>
  </conditionalFormatting>
  <conditionalFormatting sqref="K23:K27">
    <cfRule type="expression" dxfId="26" priority="17">
      <formula>IF(#REF!=NA,1,0)</formula>
    </cfRule>
  </conditionalFormatting>
  <conditionalFormatting sqref="A28:E28">
    <cfRule type="expression" dxfId="25" priority="16">
      <formula>IF(OR($D28=INF,$D28=ANN),1,0)</formula>
    </cfRule>
    <cfRule type="expression" dxfId="24" priority="15">
      <formula>IF(#REF!=NA,1,0)</formula>
    </cfRule>
  </conditionalFormatting>
  <conditionalFormatting sqref="G28 J28">
    <cfRule type="expression" dxfId="23" priority="14">
      <formula>IF(#REF!=NA,1,0)</formula>
    </cfRule>
    <cfRule type="expression" dxfId="22" priority="13">
      <formula>IF(OR($D28=INF,$D28=ANN),1,0)</formula>
    </cfRule>
  </conditionalFormatting>
  <conditionalFormatting sqref="H28:I28">
    <cfRule type="expression" dxfId="21" priority="12">
      <formula>IF(OR($D28=INF,$D28=ANN),1,0)</formula>
    </cfRule>
  </conditionalFormatting>
  <conditionalFormatting sqref="H28:I28 V28 X28">
    <cfRule type="expression" dxfId="20" priority="11">
      <formula>IF(#REF!=NA,1,0)</formula>
    </cfRule>
  </conditionalFormatting>
  <conditionalFormatting sqref="F28">
    <cfRule type="expression" dxfId="19" priority="10">
      <formula>IF(#REF!=NA,1,0)</formula>
    </cfRule>
    <cfRule type="expression" dxfId="18" priority="9">
      <formula>IF(OR($D28=INF,$D28=ANN),1,0)</formula>
    </cfRule>
  </conditionalFormatting>
  <conditionalFormatting sqref="K28">
    <cfRule type="expression" dxfId="17" priority="8">
      <formula>IF(OR($D28=INF,$D28=ANN),1,0)</formula>
    </cfRule>
    <cfRule type="expression" dxfId="16" priority="7">
      <formula>IF(#REF!=NA,1,0)</formula>
    </cfRule>
  </conditionalFormatting>
  <conditionalFormatting sqref="AA28">
    <cfRule type="expression" dxfId="15" priority="6">
      <formula>IF($D11=NA,1,0)</formula>
    </cfRule>
  </conditionalFormatting>
  <conditionalFormatting sqref="V28">
    <cfRule type="expression" dxfId="14" priority="5">
      <formula>IF(OR($D28=INF,$D28=ANN),1,0)</formula>
    </cfRule>
  </conditionalFormatting>
  <conditionalFormatting sqref="W28">
    <cfRule type="expression" dxfId="13" priority="4">
      <formula>IF(#REF!=NA,1,0)</formula>
    </cfRule>
    <cfRule type="expression" dxfId="12" priority="3">
      <formula>IF(OR($D28=INF,$D28=ANN),1,0)</formula>
    </cfRule>
  </conditionalFormatting>
  <conditionalFormatting sqref="U28">
    <cfRule type="expression" dxfId="11" priority="2">
      <formula>IF(#REF!=NA,1,0)</formula>
    </cfRule>
    <cfRule type="expression" dxfId="10" priority="1">
      <formula>IF(OR($D28=INF,$D28=ANN),1,0)</formula>
    </cfRule>
  </conditionalFormatting>
  <conditionalFormatting sqref="A1:AA1">
    <cfRule type="expression" dxfId="9" priority="320">
      <formula>IF(OR($D1=INF,$D1=ANN),1,0)</formula>
    </cfRule>
    <cfRule type="expression" dxfId="8" priority="321">
      <formula>IF($D1047667=NA,1,0)</formula>
    </cfRule>
  </conditionalFormatting>
  <dataValidations count="9">
    <dataValidation type="list" allowBlank="1" showInputMessage="1" showErrorMessage="1" sqref="Q28 R2:R28" xr:uid="{00000000-0002-0000-0000-000000000000}">
      <formula1>xTYPSUP</formula1>
    </dataValidation>
    <dataValidation type="list" allowBlank="1" showInputMessage="1" showErrorMessage="1" sqref="J2:J28" xr:uid="{00000000-0002-0000-0000-000001000000}">
      <formula1>INDIRECT($I2)</formula1>
    </dataValidation>
    <dataValidation type="list" allowBlank="1" showInputMessage="1" showErrorMessage="1" sqref="I2:I28" xr:uid="{00000000-0002-0000-0000-000002000000}">
      <formula1>xBUDGET</formula1>
    </dataValidation>
    <dataValidation type="list" allowBlank="1" showInputMessage="1" showErrorMessage="1" sqref="H2:H28" xr:uid="{00000000-0002-0000-0000-000003000000}">
      <formula1>TypBudget</formula1>
    </dataValidation>
    <dataValidation type="list" allowBlank="1" showInputMessage="1" showErrorMessage="1" sqref="S1:S28 V2:V28" xr:uid="{00000000-0002-0000-0000-000004000000}">
      <formula1>xSTATUTSUP</formula1>
    </dataValidation>
    <dataValidation type="list" allowBlank="1" showInputMessage="1" showErrorMessage="1" sqref="AA1:AA28" xr:uid="{00000000-0002-0000-0000-000005000000}">
      <formula1>xStEng</formula1>
    </dataValidation>
    <dataValidation type="list" allowBlank="1" showInputMessage="1" showErrorMessage="1" sqref="C1:C28" xr:uid="{00000000-0002-0000-0000-000006000000}">
      <formula1>xTYPE1</formula1>
    </dataValidation>
    <dataValidation type="list" allowBlank="1" showInputMessage="1" showErrorMessage="1" sqref="D1:D28" xr:uid="{00000000-0002-0000-0000-000007000000}">
      <formula1>xStatut1</formula1>
    </dataValidation>
    <dataValidation type="list" allowBlank="1" showInputMessage="1" showErrorMessage="1" sqref="F1:F28" xr:uid="{00000000-0002-0000-0000-000008000000}">
      <formula1>xDIRECTION</formula1>
    </dataValidation>
  </dataValidations>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69"/>
  <sheetViews>
    <sheetView tabSelected="1" zoomScale="80" zoomScaleNormal="80" workbookViewId="0">
      <selection activeCell="A168" sqref="A168:XFD168"/>
    </sheetView>
  </sheetViews>
  <sheetFormatPr baseColWidth="10" defaultColWidth="9.1796875" defaultRowHeight="14.5" x14ac:dyDescent="0.35"/>
  <cols>
    <col min="1" max="1" width="26.54296875" style="11" customWidth="1"/>
    <col min="2" max="2" width="48.54296875" style="3" customWidth="1"/>
    <col min="3" max="3" width="13.7265625" style="5" customWidth="1"/>
    <col min="4" max="4" width="19.26953125" style="11" customWidth="1"/>
    <col min="5" max="5" width="16.7265625" style="3" customWidth="1"/>
    <col min="6" max="6" width="19.1796875" style="11" customWidth="1"/>
    <col min="7" max="7" width="14.1796875" style="11" customWidth="1"/>
    <col min="8" max="8" width="14.54296875" style="11" customWidth="1"/>
    <col min="9" max="9" width="16" style="11" bestFit="1" customWidth="1"/>
    <col min="10" max="22" width="9.1796875" style="11" customWidth="1"/>
  </cols>
  <sheetData>
    <row r="1" spans="1:9" x14ac:dyDescent="0.35">
      <c r="A1" s="114" t="s">
        <v>98</v>
      </c>
      <c r="B1" s="110"/>
      <c r="C1" s="111"/>
      <c r="D1" s="112"/>
      <c r="E1" s="110"/>
      <c r="F1" s="112"/>
      <c r="G1" s="112"/>
      <c r="H1" s="112"/>
    </row>
    <row r="2" spans="1:9" x14ac:dyDescent="0.35">
      <c r="A2" s="109"/>
      <c r="B2" s="110"/>
      <c r="C2" s="111"/>
      <c r="D2" s="112"/>
      <c r="E2" s="110"/>
      <c r="F2" s="112"/>
      <c r="G2" s="112"/>
      <c r="H2" s="112"/>
    </row>
    <row r="3" spans="1:9" x14ac:dyDescent="0.35">
      <c r="A3" s="112"/>
      <c r="B3" s="110"/>
      <c r="C3" s="111"/>
      <c r="D3" s="112"/>
      <c r="E3" s="110"/>
      <c r="F3" s="112"/>
      <c r="G3" s="112"/>
      <c r="H3" s="112"/>
    </row>
    <row r="4" spans="1:9" x14ac:dyDescent="0.35">
      <c r="A4" s="112"/>
      <c r="B4" s="110"/>
      <c r="C4" s="111"/>
      <c r="D4" s="112"/>
      <c r="E4" s="110"/>
      <c r="F4" s="112"/>
      <c r="G4" s="112"/>
      <c r="H4" s="112"/>
    </row>
    <row r="5" spans="1:9" x14ac:dyDescent="0.35">
      <c r="A5" s="112"/>
      <c r="B5" s="110"/>
      <c r="C5" s="111"/>
      <c r="D5" s="112"/>
      <c r="E5" s="110"/>
      <c r="F5" s="112"/>
      <c r="G5" s="112"/>
      <c r="H5" s="112"/>
    </row>
    <row r="6" spans="1:9" x14ac:dyDescent="0.35">
      <c r="A6" s="112"/>
      <c r="B6" s="110"/>
      <c r="C6" s="111"/>
      <c r="D6" s="112"/>
      <c r="E6" s="110"/>
      <c r="F6" s="112"/>
      <c r="G6" s="112"/>
      <c r="H6" s="112"/>
    </row>
    <row r="7" spans="1:9" x14ac:dyDescent="0.35">
      <c r="A7" s="112"/>
      <c r="B7" s="110"/>
      <c r="C7" s="111"/>
      <c r="D7" s="112"/>
      <c r="E7" s="110"/>
      <c r="F7" s="112"/>
      <c r="G7" s="112"/>
      <c r="H7" s="112"/>
    </row>
    <row r="8" spans="1:9" x14ac:dyDescent="0.35">
      <c r="A8" s="113"/>
      <c r="B8" s="113"/>
      <c r="C8" s="113"/>
      <c r="D8" s="113"/>
      <c r="E8" s="113"/>
      <c r="F8" s="113"/>
      <c r="G8" s="113"/>
      <c r="H8" s="113"/>
    </row>
    <row r="9" spans="1:9" s="7" customFormat="1" ht="47.25" customHeight="1" x14ac:dyDescent="0.35">
      <c r="A9" s="45" t="s">
        <v>5</v>
      </c>
      <c r="B9" s="45" t="s">
        <v>99</v>
      </c>
      <c r="C9" s="45" t="s">
        <v>100</v>
      </c>
      <c r="D9" s="45" t="s">
        <v>101</v>
      </c>
      <c r="E9" s="45" t="s">
        <v>102</v>
      </c>
      <c r="F9" s="45" t="s">
        <v>103</v>
      </c>
      <c r="G9" s="45" t="s">
        <v>104</v>
      </c>
      <c r="H9" s="45" t="s">
        <v>105</v>
      </c>
      <c r="I9" s="45" t="s">
        <v>106</v>
      </c>
    </row>
    <row r="10" spans="1:9" s="7" customFormat="1" ht="37.5" customHeight="1" x14ac:dyDescent="0.35">
      <c r="A10" s="17" t="s">
        <v>107</v>
      </c>
      <c r="B10" s="17" t="s">
        <v>108</v>
      </c>
      <c r="C10" s="13" t="s">
        <v>109</v>
      </c>
      <c r="D10" s="14" t="s">
        <v>110</v>
      </c>
      <c r="E10" s="13" t="s">
        <v>111</v>
      </c>
      <c r="F10" s="13" t="s">
        <v>112</v>
      </c>
      <c r="G10" s="13" t="s">
        <v>113</v>
      </c>
      <c r="H10" s="32">
        <v>1800000</v>
      </c>
      <c r="I10" s="19" t="s">
        <v>114</v>
      </c>
    </row>
    <row r="11" spans="1:9" s="8" customFormat="1" ht="39.75" customHeight="1" x14ac:dyDescent="0.35">
      <c r="A11" s="17" t="s">
        <v>107</v>
      </c>
      <c r="B11" s="17" t="s">
        <v>115</v>
      </c>
      <c r="C11" s="13" t="s">
        <v>109</v>
      </c>
      <c r="D11" s="14" t="s">
        <v>110</v>
      </c>
      <c r="E11" s="13" t="s">
        <v>116</v>
      </c>
      <c r="F11" s="13" t="s">
        <v>117</v>
      </c>
      <c r="G11" s="13" t="s">
        <v>113</v>
      </c>
      <c r="H11" s="32">
        <v>2755000</v>
      </c>
      <c r="I11" s="19" t="s">
        <v>114</v>
      </c>
    </row>
    <row r="12" spans="1:9" s="8" customFormat="1" ht="41.25" customHeight="1" x14ac:dyDescent="0.35">
      <c r="A12" s="17" t="s">
        <v>107</v>
      </c>
      <c r="B12" s="17" t="s">
        <v>118</v>
      </c>
      <c r="C12" s="13" t="s">
        <v>109</v>
      </c>
      <c r="D12" s="14" t="s">
        <v>110</v>
      </c>
      <c r="E12" s="13" t="s">
        <v>116</v>
      </c>
      <c r="F12" s="13" t="s">
        <v>117</v>
      </c>
      <c r="G12" s="13" t="s">
        <v>113</v>
      </c>
      <c r="H12" s="32">
        <v>1000000</v>
      </c>
      <c r="I12" s="19" t="s">
        <v>114</v>
      </c>
    </row>
    <row r="13" spans="1:9" s="7" customFormat="1" ht="38.25" customHeight="1" x14ac:dyDescent="0.35">
      <c r="A13" s="17" t="s">
        <v>107</v>
      </c>
      <c r="B13" s="38" t="s">
        <v>119</v>
      </c>
      <c r="C13" s="13" t="s">
        <v>109</v>
      </c>
      <c r="D13" s="14" t="s">
        <v>110</v>
      </c>
      <c r="E13" s="13" t="s">
        <v>111</v>
      </c>
      <c r="F13" s="13" t="s">
        <v>117</v>
      </c>
      <c r="G13" s="13" t="s">
        <v>120</v>
      </c>
      <c r="H13" s="32">
        <v>3500000</v>
      </c>
      <c r="I13" s="19" t="s">
        <v>114</v>
      </c>
    </row>
    <row r="14" spans="1:9" s="8" customFormat="1" ht="31.5" customHeight="1" x14ac:dyDescent="0.35">
      <c r="A14" s="17" t="s">
        <v>107</v>
      </c>
      <c r="B14" s="18" t="s">
        <v>121</v>
      </c>
      <c r="C14" s="19" t="s">
        <v>109</v>
      </c>
      <c r="D14" s="14" t="s">
        <v>110</v>
      </c>
      <c r="E14" s="19" t="s">
        <v>116</v>
      </c>
      <c r="F14" s="19" t="s">
        <v>112</v>
      </c>
      <c r="G14" s="19" t="s">
        <v>113</v>
      </c>
      <c r="H14" s="33">
        <v>800000</v>
      </c>
      <c r="I14" s="19" t="s">
        <v>114</v>
      </c>
    </row>
    <row r="15" spans="1:9" s="8" customFormat="1" ht="39.75" customHeight="1" x14ac:dyDescent="0.35">
      <c r="A15" s="17" t="s">
        <v>107</v>
      </c>
      <c r="B15" s="17" t="s">
        <v>122</v>
      </c>
      <c r="C15" s="13" t="s">
        <v>109</v>
      </c>
      <c r="D15" s="14" t="s">
        <v>110</v>
      </c>
      <c r="E15" s="13" t="s">
        <v>111</v>
      </c>
      <c r="F15" s="13" t="s">
        <v>117</v>
      </c>
      <c r="G15" s="19" t="s">
        <v>113</v>
      </c>
      <c r="H15" s="32">
        <v>1000000</v>
      </c>
      <c r="I15" s="19" t="s">
        <v>114</v>
      </c>
    </row>
    <row r="16" spans="1:9" s="8" customFormat="1" ht="40.5" customHeight="1" x14ac:dyDescent="0.35">
      <c r="A16" s="17" t="s">
        <v>107</v>
      </c>
      <c r="B16" s="18" t="s">
        <v>123</v>
      </c>
      <c r="C16" s="43" t="s">
        <v>109</v>
      </c>
      <c r="D16" s="14" t="s">
        <v>110</v>
      </c>
      <c r="E16" s="43" t="s">
        <v>111</v>
      </c>
      <c r="F16" s="43" t="s">
        <v>112</v>
      </c>
      <c r="G16" s="19" t="s">
        <v>113</v>
      </c>
      <c r="H16" s="34">
        <v>1200000</v>
      </c>
      <c r="I16" s="43" t="s">
        <v>114</v>
      </c>
    </row>
    <row r="17" spans="1:22" s="82" customFormat="1" ht="25.5" customHeight="1" x14ac:dyDescent="0.35">
      <c r="A17" s="46" t="s">
        <v>107</v>
      </c>
      <c r="B17" s="46" t="s">
        <v>124</v>
      </c>
      <c r="C17" s="49" t="s">
        <v>109</v>
      </c>
      <c r="D17" s="48" t="s">
        <v>110</v>
      </c>
      <c r="E17" s="49" t="s">
        <v>116</v>
      </c>
      <c r="F17" s="49" t="s">
        <v>112</v>
      </c>
      <c r="G17" s="49" t="s">
        <v>113</v>
      </c>
      <c r="H17" s="83">
        <v>6500000</v>
      </c>
      <c r="I17" s="49" t="s">
        <v>125</v>
      </c>
    </row>
    <row r="18" spans="1:22" s="82" customFormat="1" ht="25.5" customHeight="1" x14ac:dyDescent="0.35">
      <c r="A18" s="46" t="s">
        <v>107</v>
      </c>
      <c r="B18" s="46" t="s">
        <v>126</v>
      </c>
      <c r="C18" s="49" t="s">
        <v>109</v>
      </c>
      <c r="D18" s="48" t="s">
        <v>110</v>
      </c>
      <c r="E18" s="49" t="s">
        <v>116</v>
      </c>
      <c r="F18" s="49" t="s">
        <v>112</v>
      </c>
      <c r="G18" s="49" t="s">
        <v>113</v>
      </c>
      <c r="H18" s="83">
        <v>6500000</v>
      </c>
      <c r="I18" s="49" t="s">
        <v>125</v>
      </c>
    </row>
    <row r="19" spans="1:22" s="8" customFormat="1" ht="25.5" customHeight="1" x14ac:dyDescent="0.35">
      <c r="A19" s="17" t="s">
        <v>107</v>
      </c>
      <c r="B19" s="17" t="s">
        <v>127</v>
      </c>
      <c r="C19" s="13" t="s">
        <v>109</v>
      </c>
      <c r="D19" s="14" t="s">
        <v>110</v>
      </c>
      <c r="E19" s="13" t="s">
        <v>111</v>
      </c>
      <c r="F19" s="13" t="s">
        <v>112</v>
      </c>
      <c r="G19" s="19" t="s">
        <v>113</v>
      </c>
      <c r="H19" s="32">
        <v>1600000</v>
      </c>
      <c r="I19" s="19" t="s">
        <v>125</v>
      </c>
    </row>
    <row r="20" spans="1:22" s="8" customFormat="1" ht="25.5" customHeight="1" x14ac:dyDescent="0.35">
      <c r="A20" s="17" t="s">
        <v>107</v>
      </c>
      <c r="B20" s="18" t="s">
        <v>128</v>
      </c>
      <c r="C20" s="19" t="s">
        <v>109</v>
      </c>
      <c r="D20" s="14" t="s">
        <v>110</v>
      </c>
      <c r="E20" s="19" t="s">
        <v>111</v>
      </c>
      <c r="F20" s="19" t="s">
        <v>112</v>
      </c>
      <c r="G20" s="19" t="s">
        <v>113</v>
      </c>
      <c r="H20" s="35">
        <v>3500000</v>
      </c>
      <c r="I20" s="19" t="s">
        <v>125</v>
      </c>
    </row>
    <row r="21" spans="1:22" s="8" customFormat="1" ht="38.25" customHeight="1" x14ac:dyDescent="0.35">
      <c r="A21" s="17" t="s">
        <v>107</v>
      </c>
      <c r="B21" s="17" t="s">
        <v>129</v>
      </c>
      <c r="C21" s="13" t="s">
        <v>109</v>
      </c>
      <c r="D21" s="14" t="s">
        <v>110</v>
      </c>
      <c r="E21" s="13" t="s">
        <v>116</v>
      </c>
      <c r="F21" s="13" t="s">
        <v>112</v>
      </c>
      <c r="G21" s="19" t="s">
        <v>113</v>
      </c>
      <c r="H21" s="32">
        <v>1100000</v>
      </c>
      <c r="I21" s="19" t="s">
        <v>125</v>
      </c>
    </row>
    <row r="22" spans="1:22" s="8" customFormat="1" ht="44.25" customHeight="1" x14ac:dyDescent="0.35">
      <c r="A22" s="17" t="s">
        <v>107</v>
      </c>
      <c r="B22" s="17" t="s">
        <v>130</v>
      </c>
      <c r="C22" s="13" t="s">
        <v>131</v>
      </c>
      <c r="D22" s="14" t="s">
        <v>110</v>
      </c>
      <c r="E22" s="13" t="s">
        <v>116</v>
      </c>
      <c r="F22" s="13" t="s">
        <v>132</v>
      </c>
      <c r="G22" s="13" t="s">
        <v>120</v>
      </c>
      <c r="H22" s="32">
        <v>500000</v>
      </c>
      <c r="I22" s="19" t="s">
        <v>125</v>
      </c>
    </row>
    <row r="23" spans="1:22" s="9" customFormat="1" ht="37.5" customHeight="1" x14ac:dyDescent="0.35">
      <c r="A23" s="17" t="s">
        <v>107</v>
      </c>
      <c r="B23" s="18" t="s">
        <v>133</v>
      </c>
      <c r="C23" s="19" t="s">
        <v>131</v>
      </c>
      <c r="D23" s="14" t="s">
        <v>110</v>
      </c>
      <c r="E23" s="13" t="s">
        <v>116</v>
      </c>
      <c r="F23" s="19" t="s">
        <v>134</v>
      </c>
      <c r="G23" s="13" t="s">
        <v>120</v>
      </c>
      <c r="H23" s="35">
        <v>2600000</v>
      </c>
      <c r="I23" s="19" t="s">
        <v>125</v>
      </c>
    </row>
    <row r="24" spans="1:22" s="82" customFormat="1" ht="43.5" customHeight="1" x14ac:dyDescent="0.35">
      <c r="A24" s="46" t="s">
        <v>107</v>
      </c>
      <c r="B24" s="46" t="s">
        <v>135</v>
      </c>
      <c r="C24" s="49" t="s">
        <v>131</v>
      </c>
      <c r="D24" s="48" t="s">
        <v>110</v>
      </c>
      <c r="E24" s="49" t="s">
        <v>111</v>
      </c>
      <c r="F24" s="49" t="s">
        <v>132</v>
      </c>
      <c r="G24" s="49" t="s">
        <v>120</v>
      </c>
      <c r="H24" s="50">
        <v>1800000</v>
      </c>
      <c r="I24" s="49" t="s">
        <v>125</v>
      </c>
    </row>
    <row r="25" spans="1:22" s="8" customFormat="1" ht="25.5" customHeight="1" x14ac:dyDescent="0.35">
      <c r="A25" s="17" t="s">
        <v>107</v>
      </c>
      <c r="B25" s="17" t="s">
        <v>136</v>
      </c>
      <c r="C25" s="19" t="s">
        <v>131</v>
      </c>
      <c r="D25" s="14" t="s">
        <v>110</v>
      </c>
      <c r="E25" s="19" t="s">
        <v>116</v>
      </c>
      <c r="F25" s="13" t="s">
        <v>137</v>
      </c>
      <c r="G25" s="13" t="s">
        <v>120</v>
      </c>
      <c r="H25" s="35">
        <v>180000</v>
      </c>
      <c r="I25" s="19" t="s">
        <v>125</v>
      </c>
    </row>
    <row r="26" spans="1:22" s="8" customFormat="1" ht="38.25" customHeight="1" x14ac:dyDescent="0.35">
      <c r="A26" s="17" t="s">
        <v>107</v>
      </c>
      <c r="B26" s="17" t="s">
        <v>138</v>
      </c>
      <c r="C26" s="27" t="s">
        <v>131</v>
      </c>
      <c r="D26" s="14" t="s">
        <v>110</v>
      </c>
      <c r="E26" s="27" t="s">
        <v>116</v>
      </c>
      <c r="F26" s="13" t="s">
        <v>139</v>
      </c>
      <c r="G26" s="13" t="s">
        <v>120</v>
      </c>
      <c r="H26" s="94">
        <v>4500000</v>
      </c>
      <c r="I26" s="19" t="s">
        <v>125</v>
      </c>
    </row>
    <row r="27" spans="1:22" s="1" customFormat="1" ht="38.25" customHeight="1" x14ac:dyDescent="0.35">
      <c r="A27" s="17" t="s">
        <v>107</v>
      </c>
      <c r="B27" s="17" t="s">
        <v>140</v>
      </c>
      <c r="C27" s="13" t="s">
        <v>109</v>
      </c>
      <c r="D27" s="14" t="s">
        <v>110</v>
      </c>
      <c r="E27" s="13" t="s">
        <v>116</v>
      </c>
      <c r="F27" s="13" t="s">
        <v>141</v>
      </c>
      <c r="G27" s="13" t="s">
        <v>113</v>
      </c>
      <c r="H27" s="35">
        <v>4000000</v>
      </c>
      <c r="I27" s="19" t="s">
        <v>114</v>
      </c>
      <c r="J27" s="10"/>
      <c r="K27" s="10"/>
      <c r="L27" s="10"/>
      <c r="M27" s="10"/>
      <c r="N27" s="10"/>
      <c r="O27" s="10"/>
      <c r="P27" s="10"/>
      <c r="Q27" s="10"/>
      <c r="R27" s="10"/>
      <c r="S27" s="10"/>
      <c r="T27" s="10"/>
      <c r="U27" s="10"/>
      <c r="V27" s="10"/>
    </row>
    <row r="28" spans="1:22" s="1" customFormat="1" ht="38.25" customHeight="1" x14ac:dyDescent="0.35">
      <c r="A28" s="17" t="s">
        <v>107</v>
      </c>
      <c r="B28" s="17" t="s">
        <v>142</v>
      </c>
      <c r="C28" s="13" t="s">
        <v>109</v>
      </c>
      <c r="D28" s="14" t="s">
        <v>110</v>
      </c>
      <c r="E28" s="13" t="s">
        <v>116</v>
      </c>
      <c r="F28" s="13" t="s">
        <v>143</v>
      </c>
      <c r="G28" s="13" t="s">
        <v>113</v>
      </c>
      <c r="H28" s="35">
        <v>4400000</v>
      </c>
      <c r="I28" s="19" t="s">
        <v>114</v>
      </c>
      <c r="J28" s="10"/>
      <c r="K28" s="10"/>
      <c r="L28" s="10"/>
      <c r="M28" s="10"/>
      <c r="N28" s="10"/>
      <c r="O28" s="10"/>
      <c r="P28" s="10"/>
      <c r="Q28" s="10"/>
      <c r="R28" s="10"/>
      <c r="S28" s="10"/>
      <c r="T28" s="10"/>
      <c r="U28" s="10"/>
      <c r="V28" s="10"/>
    </row>
    <row r="29" spans="1:22" s="1" customFormat="1" ht="75" customHeight="1" x14ac:dyDescent="0.35">
      <c r="A29" s="17" t="s">
        <v>107</v>
      </c>
      <c r="B29" s="17" t="s">
        <v>144</v>
      </c>
      <c r="C29" s="13" t="s">
        <v>109</v>
      </c>
      <c r="D29" s="14" t="s">
        <v>110</v>
      </c>
      <c r="E29" s="13" t="s">
        <v>111</v>
      </c>
      <c r="F29" s="13" t="s">
        <v>145</v>
      </c>
      <c r="G29" s="13" t="s">
        <v>113</v>
      </c>
      <c r="H29" s="35">
        <v>8000000</v>
      </c>
      <c r="I29" s="19" t="s">
        <v>114</v>
      </c>
      <c r="J29" s="10"/>
      <c r="K29" s="10"/>
      <c r="L29" s="10"/>
      <c r="M29" s="10"/>
      <c r="N29" s="10"/>
      <c r="O29" s="10"/>
      <c r="P29" s="10"/>
      <c r="Q29" s="10"/>
      <c r="R29" s="10"/>
      <c r="S29" s="10"/>
      <c r="T29" s="10"/>
      <c r="U29" s="10"/>
      <c r="V29" s="10"/>
    </row>
    <row r="30" spans="1:22" s="1" customFormat="1" ht="34.5" customHeight="1" x14ac:dyDescent="0.35">
      <c r="A30" s="46" t="s">
        <v>107</v>
      </c>
      <c r="B30" s="46" t="s">
        <v>146</v>
      </c>
      <c r="C30" s="47" t="s">
        <v>109</v>
      </c>
      <c r="D30" s="48" t="s">
        <v>110</v>
      </c>
      <c r="E30" s="49" t="s">
        <v>147</v>
      </c>
      <c r="F30" s="49" t="s">
        <v>148</v>
      </c>
      <c r="G30" s="49" t="s">
        <v>113</v>
      </c>
      <c r="H30" s="50">
        <v>979200</v>
      </c>
      <c r="I30" s="19" t="s">
        <v>114</v>
      </c>
      <c r="J30" s="10"/>
      <c r="K30" s="10"/>
      <c r="L30" s="10"/>
      <c r="M30" s="10"/>
      <c r="N30" s="10"/>
      <c r="O30" s="10"/>
      <c r="P30" s="10"/>
      <c r="Q30" s="10"/>
      <c r="R30" s="10"/>
      <c r="S30" s="10"/>
      <c r="T30" s="10"/>
      <c r="U30" s="10"/>
      <c r="V30" s="10"/>
    </row>
    <row r="31" spans="1:22" s="1" customFormat="1" ht="47.25" customHeight="1" x14ac:dyDescent="0.35">
      <c r="A31" s="46" t="s">
        <v>107</v>
      </c>
      <c r="B31" s="46" t="s">
        <v>149</v>
      </c>
      <c r="C31" s="47" t="s">
        <v>109</v>
      </c>
      <c r="D31" s="48" t="s">
        <v>110</v>
      </c>
      <c r="E31" s="49" t="s">
        <v>147</v>
      </c>
      <c r="F31" s="49" t="s">
        <v>150</v>
      </c>
      <c r="G31" s="49" t="s">
        <v>120</v>
      </c>
      <c r="H31" s="50">
        <v>3301704</v>
      </c>
      <c r="I31" s="19" t="s">
        <v>114</v>
      </c>
      <c r="J31" s="10"/>
      <c r="K31" s="10"/>
      <c r="L31" s="10"/>
      <c r="M31" s="10"/>
      <c r="N31" s="10"/>
      <c r="O31" s="10"/>
      <c r="P31" s="10"/>
      <c r="Q31" s="10"/>
      <c r="R31" s="10"/>
      <c r="S31" s="10"/>
      <c r="T31" s="10"/>
      <c r="U31" s="10"/>
      <c r="V31" s="10"/>
    </row>
    <row r="32" spans="1:22" s="1" customFormat="1" ht="52.5" customHeight="1" x14ac:dyDescent="0.35">
      <c r="A32" s="46" t="s">
        <v>107</v>
      </c>
      <c r="B32" s="46" t="s">
        <v>151</v>
      </c>
      <c r="C32" s="47" t="s">
        <v>109</v>
      </c>
      <c r="D32" s="48" t="s">
        <v>110</v>
      </c>
      <c r="E32" s="49" t="s">
        <v>147</v>
      </c>
      <c r="F32" s="49" t="s">
        <v>152</v>
      </c>
      <c r="G32" s="49" t="s">
        <v>113</v>
      </c>
      <c r="H32" s="50">
        <v>540000</v>
      </c>
      <c r="I32" s="19" t="s">
        <v>114</v>
      </c>
      <c r="J32" s="10"/>
      <c r="K32" s="10"/>
      <c r="L32" s="10"/>
      <c r="M32" s="10"/>
      <c r="N32" s="10"/>
      <c r="O32" s="10"/>
      <c r="P32" s="10"/>
      <c r="Q32" s="10"/>
      <c r="R32" s="10"/>
      <c r="S32" s="10"/>
      <c r="T32" s="10"/>
      <c r="U32" s="10"/>
      <c r="V32" s="10"/>
    </row>
    <row r="33" spans="1:22" s="1" customFormat="1" ht="75.75" customHeight="1" x14ac:dyDescent="0.35">
      <c r="A33" s="46" t="s">
        <v>107</v>
      </c>
      <c r="B33" s="46" t="s">
        <v>153</v>
      </c>
      <c r="C33" s="47" t="s">
        <v>154</v>
      </c>
      <c r="D33" s="48" t="s">
        <v>110</v>
      </c>
      <c r="E33" s="49" t="s">
        <v>147</v>
      </c>
      <c r="F33" s="49" t="s">
        <v>155</v>
      </c>
      <c r="G33" s="49" t="s">
        <v>120</v>
      </c>
      <c r="H33" s="50">
        <v>1200000</v>
      </c>
      <c r="I33" s="19" t="s">
        <v>114</v>
      </c>
      <c r="J33" s="10"/>
      <c r="K33" s="10"/>
      <c r="L33" s="10"/>
      <c r="M33" s="10"/>
      <c r="N33" s="10"/>
      <c r="O33" s="10"/>
      <c r="P33" s="10"/>
      <c r="Q33" s="10"/>
      <c r="R33" s="10"/>
      <c r="S33" s="10"/>
      <c r="T33" s="10"/>
      <c r="U33" s="10"/>
      <c r="V33" s="10"/>
    </row>
    <row r="34" spans="1:22" s="1" customFormat="1" ht="51" customHeight="1" x14ac:dyDescent="0.35">
      <c r="A34" s="17" t="s">
        <v>107</v>
      </c>
      <c r="B34" s="17" t="s">
        <v>156</v>
      </c>
      <c r="C34" s="13" t="s">
        <v>109</v>
      </c>
      <c r="D34" s="14" t="s">
        <v>110</v>
      </c>
      <c r="E34" s="13" t="s">
        <v>116</v>
      </c>
      <c r="F34" s="13" t="s">
        <v>157</v>
      </c>
      <c r="G34" s="13" t="s">
        <v>120</v>
      </c>
      <c r="H34" s="35">
        <v>4000000</v>
      </c>
      <c r="I34" s="19" t="s">
        <v>114</v>
      </c>
      <c r="J34" s="10"/>
      <c r="K34" s="10"/>
      <c r="L34" s="10"/>
      <c r="M34" s="10"/>
      <c r="N34" s="10"/>
      <c r="O34" s="10"/>
      <c r="P34" s="10"/>
      <c r="Q34" s="10"/>
      <c r="R34" s="10"/>
      <c r="S34" s="10"/>
      <c r="T34" s="10"/>
      <c r="U34" s="10"/>
      <c r="V34" s="10"/>
    </row>
    <row r="35" spans="1:22" s="1" customFormat="1" ht="38.25" customHeight="1" x14ac:dyDescent="0.35">
      <c r="A35" s="17" t="s">
        <v>107</v>
      </c>
      <c r="B35" s="17" t="s">
        <v>158</v>
      </c>
      <c r="C35" s="13" t="s">
        <v>154</v>
      </c>
      <c r="D35" s="14" t="s">
        <v>110</v>
      </c>
      <c r="E35" s="13" t="s">
        <v>116</v>
      </c>
      <c r="F35" s="13" t="s">
        <v>159</v>
      </c>
      <c r="G35" s="13" t="s">
        <v>120</v>
      </c>
      <c r="H35" s="35">
        <v>3000000</v>
      </c>
      <c r="I35" s="19" t="s">
        <v>114</v>
      </c>
      <c r="J35" s="10"/>
      <c r="K35" s="10"/>
      <c r="L35" s="10"/>
      <c r="M35" s="10"/>
      <c r="N35" s="10"/>
      <c r="O35" s="10"/>
      <c r="P35" s="10"/>
      <c r="Q35" s="10"/>
      <c r="R35" s="10"/>
      <c r="S35" s="10"/>
      <c r="T35" s="10"/>
      <c r="U35" s="10"/>
      <c r="V35" s="10"/>
    </row>
    <row r="36" spans="1:22" s="1" customFormat="1" ht="48.75" customHeight="1" x14ac:dyDescent="0.35">
      <c r="A36" s="46" t="s">
        <v>107</v>
      </c>
      <c r="B36" s="46" t="s">
        <v>160</v>
      </c>
      <c r="C36" s="49" t="s">
        <v>154</v>
      </c>
      <c r="D36" s="48" t="s">
        <v>110</v>
      </c>
      <c r="E36" s="49" t="s">
        <v>111</v>
      </c>
      <c r="F36" s="49" t="s">
        <v>161</v>
      </c>
      <c r="G36" s="49" t="s">
        <v>120</v>
      </c>
      <c r="H36" s="50">
        <v>4000000</v>
      </c>
      <c r="I36" s="19" t="s">
        <v>114</v>
      </c>
      <c r="J36" s="10"/>
      <c r="K36" s="10"/>
      <c r="L36" s="10"/>
      <c r="M36" s="10"/>
      <c r="N36" s="10"/>
      <c r="O36" s="10"/>
      <c r="P36" s="10"/>
      <c r="Q36" s="10"/>
      <c r="R36" s="10"/>
      <c r="S36" s="10"/>
      <c r="T36" s="10"/>
      <c r="U36" s="10"/>
      <c r="V36" s="10"/>
    </row>
    <row r="37" spans="1:22" s="1" customFormat="1" ht="76.5" customHeight="1" x14ac:dyDescent="0.35">
      <c r="A37" s="17" t="s">
        <v>107</v>
      </c>
      <c r="B37" s="17" t="s">
        <v>162</v>
      </c>
      <c r="C37" s="13" t="s">
        <v>109</v>
      </c>
      <c r="D37" s="14" t="s">
        <v>110</v>
      </c>
      <c r="E37" s="13" t="s">
        <v>116</v>
      </c>
      <c r="F37" s="13" t="s">
        <v>163</v>
      </c>
      <c r="G37" s="13" t="s">
        <v>120</v>
      </c>
      <c r="H37" s="35">
        <v>900000</v>
      </c>
      <c r="I37" s="19" t="s">
        <v>114</v>
      </c>
      <c r="J37" s="10"/>
      <c r="K37" s="10"/>
      <c r="L37" s="10"/>
      <c r="M37" s="10"/>
      <c r="N37" s="10"/>
      <c r="O37" s="10"/>
      <c r="P37" s="10"/>
      <c r="Q37" s="10"/>
      <c r="R37" s="10"/>
      <c r="S37" s="10"/>
      <c r="T37" s="10"/>
      <c r="U37" s="10"/>
      <c r="V37" s="10"/>
    </row>
    <row r="38" spans="1:22" s="1" customFormat="1" ht="25.5" customHeight="1" x14ac:dyDescent="0.35">
      <c r="A38" s="17" t="s">
        <v>107</v>
      </c>
      <c r="B38" s="17" t="s">
        <v>164</v>
      </c>
      <c r="C38" s="13" t="s">
        <v>109</v>
      </c>
      <c r="D38" s="14" t="s">
        <v>110</v>
      </c>
      <c r="E38" s="13" t="s">
        <v>165</v>
      </c>
      <c r="F38" s="13" t="s">
        <v>166</v>
      </c>
      <c r="G38" s="13" t="s">
        <v>120</v>
      </c>
      <c r="H38" s="35">
        <v>200000</v>
      </c>
      <c r="I38" s="19" t="s">
        <v>114</v>
      </c>
      <c r="J38" s="10"/>
      <c r="K38" s="10"/>
      <c r="L38" s="10"/>
      <c r="M38" s="10"/>
      <c r="N38" s="10"/>
      <c r="O38" s="10"/>
      <c r="P38" s="10"/>
      <c r="Q38" s="10"/>
      <c r="R38" s="10"/>
      <c r="S38" s="10"/>
      <c r="T38" s="10"/>
      <c r="U38" s="10"/>
      <c r="V38" s="10"/>
    </row>
    <row r="39" spans="1:22" s="1" customFormat="1" ht="38.25" customHeight="1" x14ac:dyDescent="0.35">
      <c r="A39" s="17" t="s">
        <v>107</v>
      </c>
      <c r="B39" s="17" t="s">
        <v>167</v>
      </c>
      <c r="C39" s="13" t="s">
        <v>154</v>
      </c>
      <c r="D39" s="14" t="s">
        <v>110</v>
      </c>
      <c r="E39" s="13" t="s">
        <v>111</v>
      </c>
      <c r="F39" s="13" t="s">
        <v>168</v>
      </c>
      <c r="G39" s="13" t="s">
        <v>120</v>
      </c>
      <c r="H39" s="35">
        <v>2000000</v>
      </c>
      <c r="I39" s="19" t="s">
        <v>114</v>
      </c>
      <c r="J39" s="10"/>
      <c r="K39" s="10"/>
      <c r="L39" s="10"/>
      <c r="M39" s="10"/>
      <c r="N39" s="10"/>
      <c r="O39" s="10"/>
      <c r="P39" s="10"/>
      <c r="Q39" s="10"/>
      <c r="R39" s="10"/>
      <c r="S39" s="10"/>
      <c r="T39" s="10"/>
      <c r="U39" s="10"/>
      <c r="V39" s="10"/>
    </row>
    <row r="40" spans="1:22" s="2" customFormat="1" ht="68.25" customHeight="1" x14ac:dyDescent="0.35">
      <c r="A40" s="46" t="s">
        <v>107</v>
      </c>
      <c r="B40" s="46" t="s">
        <v>169</v>
      </c>
      <c r="C40" s="49" t="s">
        <v>131</v>
      </c>
      <c r="D40" s="48" t="s">
        <v>110</v>
      </c>
      <c r="E40" s="49" t="s">
        <v>116</v>
      </c>
      <c r="F40" s="49" t="s">
        <v>170</v>
      </c>
      <c r="G40" s="49" t="s">
        <v>113</v>
      </c>
      <c r="H40" s="50">
        <v>120000</v>
      </c>
      <c r="I40" s="19" t="s">
        <v>114</v>
      </c>
      <c r="J40" s="10"/>
      <c r="K40" s="10"/>
      <c r="L40" s="10"/>
      <c r="M40" s="10"/>
      <c r="N40" s="10"/>
      <c r="O40" s="10"/>
      <c r="P40" s="10"/>
      <c r="Q40" s="10"/>
      <c r="R40" s="10"/>
      <c r="S40" s="10"/>
      <c r="T40" s="10"/>
      <c r="U40" s="10"/>
      <c r="V40" s="10"/>
    </row>
    <row r="41" spans="1:22" s="2" customFormat="1" ht="51.75" customHeight="1" x14ac:dyDescent="0.35">
      <c r="A41" s="17" t="s">
        <v>107</v>
      </c>
      <c r="B41" s="17" t="s">
        <v>171</v>
      </c>
      <c r="C41" s="13" t="s">
        <v>131</v>
      </c>
      <c r="D41" s="14" t="s">
        <v>110</v>
      </c>
      <c r="E41" s="13" t="s">
        <v>116</v>
      </c>
      <c r="F41" s="13" t="s">
        <v>172</v>
      </c>
      <c r="G41" s="13" t="s">
        <v>113</v>
      </c>
      <c r="H41" s="36">
        <v>180000</v>
      </c>
      <c r="I41" s="19" t="s">
        <v>114</v>
      </c>
      <c r="J41" s="10"/>
      <c r="K41" s="10"/>
      <c r="L41" s="10"/>
      <c r="M41" s="10"/>
      <c r="N41" s="10"/>
      <c r="O41" s="10"/>
      <c r="P41" s="10"/>
      <c r="Q41" s="10"/>
      <c r="R41" s="10"/>
      <c r="S41" s="10"/>
      <c r="T41" s="10"/>
      <c r="U41" s="10"/>
      <c r="V41" s="10"/>
    </row>
    <row r="42" spans="1:22" s="2" customFormat="1" ht="58.5" customHeight="1" x14ac:dyDescent="0.35">
      <c r="A42" s="46" t="s">
        <v>107</v>
      </c>
      <c r="B42" s="46" t="s">
        <v>173</v>
      </c>
      <c r="C42" s="49" t="s">
        <v>131</v>
      </c>
      <c r="D42" s="48" t="s">
        <v>110</v>
      </c>
      <c r="E42" s="49" t="s">
        <v>116</v>
      </c>
      <c r="F42" s="49" t="s">
        <v>172</v>
      </c>
      <c r="G42" s="49" t="s">
        <v>113</v>
      </c>
      <c r="H42" s="50">
        <v>150000</v>
      </c>
      <c r="I42" s="19" t="s">
        <v>114</v>
      </c>
      <c r="J42" s="10"/>
      <c r="K42" s="10"/>
      <c r="L42" s="10"/>
      <c r="M42" s="10"/>
      <c r="N42" s="10"/>
      <c r="O42" s="10"/>
      <c r="P42" s="10"/>
      <c r="Q42" s="10"/>
      <c r="R42" s="10"/>
      <c r="S42" s="10"/>
      <c r="T42" s="10"/>
      <c r="U42" s="10"/>
      <c r="V42" s="10"/>
    </row>
    <row r="43" spans="1:22" s="1" customFormat="1" ht="25.5" customHeight="1" x14ac:dyDescent="0.35">
      <c r="A43" s="17" t="s">
        <v>107</v>
      </c>
      <c r="B43" s="17" t="s">
        <v>174</v>
      </c>
      <c r="C43" s="13" t="s">
        <v>154</v>
      </c>
      <c r="D43" s="14" t="s">
        <v>110</v>
      </c>
      <c r="E43" s="13" t="s">
        <v>111</v>
      </c>
      <c r="F43" s="13" t="s">
        <v>172</v>
      </c>
      <c r="G43" s="13" t="s">
        <v>120</v>
      </c>
      <c r="H43" s="35">
        <v>3000000</v>
      </c>
      <c r="I43" s="19" t="s">
        <v>114</v>
      </c>
      <c r="J43" s="10"/>
      <c r="K43" s="10"/>
      <c r="L43" s="10"/>
      <c r="M43" s="10"/>
      <c r="N43" s="10"/>
      <c r="O43" s="10"/>
      <c r="P43" s="10"/>
      <c r="Q43" s="10"/>
      <c r="R43" s="10"/>
      <c r="S43" s="10"/>
      <c r="T43" s="10"/>
      <c r="U43" s="10"/>
      <c r="V43" s="10"/>
    </row>
    <row r="44" spans="1:22" s="2" customFormat="1" ht="55.5" customHeight="1" x14ac:dyDescent="0.35">
      <c r="A44" s="17" t="s">
        <v>107</v>
      </c>
      <c r="B44" s="17" t="s">
        <v>175</v>
      </c>
      <c r="C44" s="13" t="s">
        <v>154</v>
      </c>
      <c r="D44" s="14" t="s">
        <v>110</v>
      </c>
      <c r="E44" s="13" t="s">
        <v>176</v>
      </c>
      <c r="F44" s="13" t="s">
        <v>177</v>
      </c>
      <c r="G44" s="13" t="s">
        <v>120</v>
      </c>
      <c r="H44" s="36">
        <v>4800000</v>
      </c>
      <c r="I44" s="19" t="s">
        <v>114</v>
      </c>
      <c r="J44" s="10"/>
      <c r="K44" s="10"/>
      <c r="L44" s="10"/>
      <c r="M44" s="10"/>
      <c r="N44" s="10"/>
      <c r="O44" s="10"/>
      <c r="P44" s="10"/>
      <c r="Q44" s="10"/>
      <c r="R44" s="10"/>
      <c r="S44" s="10"/>
      <c r="T44" s="10"/>
      <c r="U44" s="10"/>
      <c r="V44" s="10"/>
    </row>
    <row r="45" spans="1:22" s="1" customFormat="1" ht="51" customHeight="1" x14ac:dyDescent="0.35">
      <c r="A45" s="17" t="s">
        <v>107</v>
      </c>
      <c r="B45" s="17" t="s">
        <v>178</v>
      </c>
      <c r="C45" s="13" t="s">
        <v>154</v>
      </c>
      <c r="D45" s="14" t="s">
        <v>110</v>
      </c>
      <c r="E45" s="13" t="s">
        <v>111</v>
      </c>
      <c r="F45" s="13" t="s">
        <v>179</v>
      </c>
      <c r="G45" s="13" t="s">
        <v>120</v>
      </c>
      <c r="H45" s="35">
        <v>2000000</v>
      </c>
      <c r="I45" s="19" t="s">
        <v>114</v>
      </c>
      <c r="J45" s="10"/>
      <c r="K45" s="10"/>
      <c r="L45" s="10"/>
      <c r="M45" s="10"/>
      <c r="N45" s="10"/>
      <c r="O45" s="10"/>
      <c r="P45" s="10"/>
      <c r="Q45" s="10"/>
      <c r="R45" s="10"/>
      <c r="S45" s="10"/>
      <c r="T45" s="10"/>
      <c r="U45" s="10"/>
      <c r="V45" s="10"/>
    </row>
    <row r="46" spans="1:22" s="1" customFormat="1" ht="38.25" customHeight="1" x14ac:dyDescent="0.35">
      <c r="A46" s="17" t="s">
        <v>107</v>
      </c>
      <c r="B46" s="17" t="s">
        <v>180</v>
      </c>
      <c r="C46" s="13" t="s">
        <v>109</v>
      </c>
      <c r="D46" s="14" t="s">
        <v>110</v>
      </c>
      <c r="E46" s="13" t="s">
        <v>116</v>
      </c>
      <c r="F46" s="13" t="s">
        <v>181</v>
      </c>
      <c r="G46" s="13" t="s">
        <v>113</v>
      </c>
      <c r="H46" s="35">
        <v>5000000</v>
      </c>
      <c r="I46" s="19" t="s">
        <v>114</v>
      </c>
      <c r="J46" s="10"/>
      <c r="K46" s="10"/>
      <c r="L46" s="10"/>
      <c r="M46" s="10"/>
      <c r="N46" s="10"/>
      <c r="O46" s="10"/>
      <c r="P46" s="10"/>
      <c r="Q46" s="10"/>
      <c r="R46" s="10"/>
      <c r="S46" s="10"/>
      <c r="T46" s="10"/>
      <c r="U46" s="10"/>
      <c r="V46" s="10"/>
    </row>
    <row r="47" spans="1:22" s="85" customFormat="1" ht="38.25" customHeight="1" x14ac:dyDescent="0.35">
      <c r="A47" s="46" t="s">
        <v>107</v>
      </c>
      <c r="B47" s="46" t="s">
        <v>182</v>
      </c>
      <c r="C47" s="49" t="s">
        <v>109</v>
      </c>
      <c r="D47" s="48" t="s">
        <v>110</v>
      </c>
      <c r="E47" s="49" t="s">
        <v>116</v>
      </c>
      <c r="F47" s="49" t="s">
        <v>183</v>
      </c>
      <c r="G47" s="49" t="s">
        <v>113</v>
      </c>
      <c r="H47" s="50">
        <v>8000000</v>
      </c>
      <c r="I47" s="49" t="s">
        <v>114</v>
      </c>
      <c r="J47" s="84"/>
      <c r="K47" s="84"/>
      <c r="L47" s="84"/>
      <c r="M47" s="84"/>
      <c r="N47" s="84"/>
      <c r="O47" s="84"/>
      <c r="P47" s="84"/>
      <c r="Q47" s="84"/>
      <c r="R47" s="84"/>
      <c r="S47" s="84"/>
      <c r="T47" s="84"/>
      <c r="U47" s="84"/>
      <c r="V47" s="84"/>
    </row>
    <row r="48" spans="1:22" s="1" customFormat="1" ht="25.5" customHeight="1" x14ac:dyDescent="0.35">
      <c r="A48" s="17" t="s">
        <v>107</v>
      </c>
      <c r="B48" s="17" t="s">
        <v>184</v>
      </c>
      <c r="C48" s="13" t="s">
        <v>131</v>
      </c>
      <c r="D48" s="14" t="s">
        <v>110</v>
      </c>
      <c r="E48" s="13" t="s">
        <v>165</v>
      </c>
      <c r="F48" s="13" t="s">
        <v>148</v>
      </c>
      <c r="G48" s="13" t="s">
        <v>113</v>
      </c>
      <c r="H48" s="36">
        <v>500000</v>
      </c>
      <c r="I48" s="19" t="s">
        <v>114</v>
      </c>
      <c r="J48" s="10"/>
      <c r="K48" s="10"/>
      <c r="L48" s="10"/>
      <c r="M48" s="10"/>
      <c r="N48" s="10"/>
      <c r="O48" s="10"/>
      <c r="P48" s="10"/>
      <c r="Q48" s="10"/>
      <c r="R48" s="10"/>
      <c r="S48" s="10"/>
      <c r="T48" s="10"/>
      <c r="U48" s="10"/>
      <c r="V48" s="10"/>
    </row>
    <row r="49" spans="1:22" s="1" customFormat="1" ht="25.5" customHeight="1" x14ac:dyDescent="0.35">
      <c r="A49" s="17" t="s">
        <v>107</v>
      </c>
      <c r="B49" s="4" t="s">
        <v>185</v>
      </c>
      <c r="C49" s="13" t="s">
        <v>131</v>
      </c>
      <c r="D49" s="14" t="s">
        <v>110</v>
      </c>
      <c r="E49" s="13" t="s">
        <v>116</v>
      </c>
      <c r="F49" s="13" t="s">
        <v>186</v>
      </c>
      <c r="G49" s="13" t="s">
        <v>113</v>
      </c>
      <c r="H49" s="36">
        <v>934000</v>
      </c>
      <c r="I49" s="19" t="s">
        <v>114</v>
      </c>
      <c r="J49" s="10"/>
      <c r="K49" s="10"/>
      <c r="L49" s="10"/>
      <c r="M49" s="10"/>
      <c r="N49" s="10"/>
      <c r="O49" s="10"/>
      <c r="P49" s="10"/>
      <c r="Q49" s="10"/>
      <c r="R49" s="10"/>
      <c r="S49" s="10"/>
      <c r="T49" s="10"/>
      <c r="U49" s="10"/>
      <c r="V49" s="10"/>
    </row>
    <row r="50" spans="1:22" ht="25.5" customHeight="1" x14ac:dyDescent="0.35">
      <c r="A50" s="17" t="s">
        <v>187</v>
      </c>
      <c r="B50" s="4" t="s">
        <v>188</v>
      </c>
      <c r="C50" s="13" t="s">
        <v>131</v>
      </c>
      <c r="D50" s="14" t="s">
        <v>110</v>
      </c>
      <c r="E50" s="13" t="s">
        <v>116</v>
      </c>
      <c r="F50" s="13" t="s">
        <v>189</v>
      </c>
      <c r="G50" s="13" t="s">
        <v>113</v>
      </c>
      <c r="H50" s="95">
        <v>360000</v>
      </c>
      <c r="I50" s="19" t="s">
        <v>114</v>
      </c>
    </row>
    <row r="51" spans="1:22" ht="25.5" customHeight="1" x14ac:dyDescent="0.35">
      <c r="A51" s="17" t="s">
        <v>187</v>
      </c>
      <c r="B51" s="4" t="s">
        <v>190</v>
      </c>
      <c r="C51" s="13" t="s">
        <v>131</v>
      </c>
      <c r="D51" s="14" t="s">
        <v>110</v>
      </c>
      <c r="E51" s="13" t="s">
        <v>116</v>
      </c>
      <c r="F51" s="13" t="s">
        <v>191</v>
      </c>
      <c r="G51" s="13" t="s">
        <v>113</v>
      </c>
      <c r="H51" s="95">
        <v>600000</v>
      </c>
      <c r="I51" s="19" t="s">
        <v>114</v>
      </c>
    </row>
    <row r="52" spans="1:22" ht="63.75" customHeight="1" x14ac:dyDescent="0.35">
      <c r="A52" s="17" t="s">
        <v>187</v>
      </c>
      <c r="B52" s="4" t="s">
        <v>192</v>
      </c>
      <c r="C52" s="13" t="s">
        <v>131</v>
      </c>
      <c r="D52" s="14" t="s">
        <v>110</v>
      </c>
      <c r="E52" s="13" t="s">
        <v>116</v>
      </c>
      <c r="F52" s="13" t="s">
        <v>193</v>
      </c>
      <c r="G52" s="13" t="s">
        <v>113</v>
      </c>
      <c r="H52" s="95">
        <v>2600000</v>
      </c>
      <c r="I52" s="19" t="s">
        <v>114</v>
      </c>
    </row>
    <row r="53" spans="1:22" ht="25.5" customHeight="1" x14ac:dyDescent="0.35">
      <c r="A53" s="17" t="s">
        <v>194</v>
      </c>
      <c r="B53" s="4" t="s">
        <v>195</v>
      </c>
      <c r="C53" s="13" t="s">
        <v>131</v>
      </c>
      <c r="D53" s="14" t="s">
        <v>110</v>
      </c>
      <c r="E53" s="13" t="s">
        <v>165</v>
      </c>
      <c r="F53" s="13" t="s">
        <v>196</v>
      </c>
      <c r="G53" s="13" t="s">
        <v>113</v>
      </c>
      <c r="H53" s="95">
        <v>800000</v>
      </c>
      <c r="I53" s="19" t="s">
        <v>125</v>
      </c>
    </row>
    <row r="54" spans="1:22" ht="25.5" customHeight="1" x14ac:dyDescent="0.35">
      <c r="A54" s="17" t="s">
        <v>194</v>
      </c>
      <c r="B54" s="17" t="s">
        <v>197</v>
      </c>
      <c r="C54" s="19" t="s">
        <v>131</v>
      </c>
      <c r="D54" s="18" t="s">
        <v>110</v>
      </c>
      <c r="E54" s="13" t="s">
        <v>116</v>
      </c>
      <c r="F54" s="19" t="s">
        <v>148</v>
      </c>
      <c r="G54" s="19" t="s">
        <v>113</v>
      </c>
      <c r="H54" s="96">
        <v>730000</v>
      </c>
      <c r="I54" s="19" t="s">
        <v>125</v>
      </c>
    </row>
    <row r="55" spans="1:22" ht="25.5" customHeight="1" x14ac:dyDescent="0.35">
      <c r="A55" s="17" t="s">
        <v>194</v>
      </c>
      <c r="B55" s="17" t="s">
        <v>198</v>
      </c>
      <c r="C55" s="19" t="s">
        <v>109</v>
      </c>
      <c r="D55" s="18" t="s">
        <v>110</v>
      </c>
      <c r="E55" s="13" t="s">
        <v>116</v>
      </c>
      <c r="F55" s="19" t="s">
        <v>148</v>
      </c>
      <c r="G55" s="19" t="s">
        <v>113</v>
      </c>
      <c r="H55" s="96">
        <v>500000</v>
      </c>
      <c r="I55" s="19" t="s">
        <v>125</v>
      </c>
    </row>
    <row r="56" spans="1:22" ht="25.5" customHeight="1" x14ac:dyDescent="0.35">
      <c r="A56" s="17" t="s">
        <v>194</v>
      </c>
      <c r="B56" s="17" t="s">
        <v>199</v>
      </c>
      <c r="C56" s="19" t="s">
        <v>131</v>
      </c>
      <c r="D56" s="18" t="s">
        <v>110</v>
      </c>
      <c r="E56" s="13" t="s">
        <v>165</v>
      </c>
      <c r="F56" s="19" t="s">
        <v>148</v>
      </c>
      <c r="G56" s="19" t="s">
        <v>113</v>
      </c>
      <c r="H56" s="96">
        <v>4000000</v>
      </c>
      <c r="I56" s="19" t="s">
        <v>125</v>
      </c>
    </row>
    <row r="57" spans="1:22" ht="25.5" customHeight="1" x14ac:dyDescent="0.35">
      <c r="A57" s="46" t="s">
        <v>194</v>
      </c>
      <c r="B57" s="46" t="s">
        <v>200</v>
      </c>
      <c r="C57" s="49" t="s">
        <v>131</v>
      </c>
      <c r="D57" s="46" t="s">
        <v>110</v>
      </c>
      <c r="E57" s="49" t="s">
        <v>116</v>
      </c>
      <c r="F57" s="49" t="s">
        <v>148</v>
      </c>
      <c r="G57" s="49" t="s">
        <v>113</v>
      </c>
      <c r="H57" s="97">
        <v>11700000</v>
      </c>
      <c r="I57" s="19" t="s">
        <v>125</v>
      </c>
    </row>
    <row r="58" spans="1:22" ht="25.5" customHeight="1" x14ac:dyDescent="0.35">
      <c r="A58" s="17" t="s">
        <v>194</v>
      </c>
      <c r="B58" s="17" t="s">
        <v>201</v>
      </c>
      <c r="C58" s="19" t="s">
        <v>131</v>
      </c>
      <c r="D58" s="18" t="s">
        <v>110</v>
      </c>
      <c r="E58" s="13" t="s">
        <v>116</v>
      </c>
      <c r="F58" s="19" t="s">
        <v>196</v>
      </c>
      <c r="G58" s="19" t="s">
        <v>113</v>
      </c>
      <c r="H58" s="96">
        <v>2750000</v>
      </c>
      <c r="I58" s="19" t="s">
        <v>125</v>
      </c>
    </row>
    <row r="59" spans="1:22" ht="25.5" customHeight="1" x14ac:dyDescent="0.35">
      <c r="A59" s="17" t="s">
        <v>194</v>
      </c>
      <c r="B59" s="17" t="s">
        <v>202</v>
      </c>
      <c r="C59" s="19" t="s">
        <v>109</v>
      </c>
      <c r="D59" s="18" t="s">
        <v>110</v>
      </c>
      <c r="E59" s="13" t="s">
        <v>116</v>
      </c>
      <c r="F59" s="19" t="s">
        <v>203</v>
      </c>
      <c r="G59" s="19" t="s">
        <v>113</v>
      </c>
      <c r="H59" s="96">
        <v>5500000</v>
      </c>
      <c r="I59" s="19" t="s">
        <v>114</v>
      </c>
    </row>
    <row r="60" spans="1:22" ht="25.5" customHeight="1" x14ac:dyDescent="0.35">
      <c r="A60" s="17" t="s">
        <v>194</v>
      </c>
      <c r="B60" s="25" t="s">
        <v>204</v>
      </c>
      <c r="C60" s="30" t="s">
        <v>131</v>
      </c>
      <c r="D60" s="39" t="s">
        <v>110</v>
      </c>
      <c r="E60" s="31" t="s">
        <v>116</v>
      </c>
      <c r="F60" s="30" t="s">
        <v>205</v>
      </c>
      <c r="G60" s="30" t="s">
        <v>113</v>
      </c>
      <c r="H60" s="98">
        <v>2000000</v>
      </c>
      <c r="I60" s="30" t="s">
        <v>114</v>
      </c>
    </row>
    <row r="61" spans="1:22" ht="25.5" customHeight="1" x14ac:dyDescent="0.35">
      <c r="A61" s="46" t="s">
        <v>206</v>
      </c>
      <c r="B61" s="46" t="s">
        <v>207</v>
      </c>
      <c r="C61" s="47" t="s">
        <v>109</v>
      </c>
      <c r="D61" s="51" t="s">
        <v>110</v>
      </c>
      <c r="E61" s="49" t="s">
        <v>208</v>
      </c>
      <c r="F61" s="49" t="s">
        <v>209</v>
      </c>
      <c r="G61" s="49" t="s">
        <v>120</v>
      </c>
      <c r="H61" s="50">
        <v>6838480</v>
      </c>
      <c r="I61" s="19" t="s">
        <v>114</v>
      </c>
    </row>
    <row r="62" spans="1:22" ht="25.5" customHeight="1" x14ac:dyDescent="0.35">
      <c r="A62" s="17" t="s">
        <v>206</v>
      </c>
      <c r="B62" s="17" t="s">
        <v>210</v>
      </c>
      <c r="C62" s="15" t="s">
        <v>154</v>
      </c>
      <c r="D62" s="16" t="s">
        <v>110</v>
      </c>
      <c r="E62" s="13" t="s">
        <v>116</v>
      </c>
      <c r="F62" s="13" t="s">
        <v>211</v>
      </c>
      <c r="G62" s="13" t="s">
        <v>120</v>
      </c>
      <c r="H62" s="36">
        <v>600000</v>
      </c>
      <c r="I62" s="19" t="s">
        <v>114</v>
      </c>
    </row>
    <row r="63" spans="1:22" ht="25.5" customHeight="1" x14ac:dyDescent="0.35">
      <c r="A63" s="17" t="s">
        <v>206</v>
      </c>
      <c r="B63" s="17" t="s">
        <v>212</v>
      </c>
      <c r="C63" s="15" t="s">
        <v>154</v>
      </c>
      <c r="D63" s="16" t="s">
        <v>110</v>
      </c>
      <c r="E63" s="13" t="s">
        <v>111</v>
      </c>
      <c r="F63" s="13" t="s">
        <v>211</v>
      </c>
      <c r="G63" s="13" t="s">
        <v>120</v>
      </c>
      <c r="H63" s="36">
        <v>3000000</v>
      </c>
      <c r="I63" s="19" t="s">
        <v>114</v>
      </c>
    </row>
    <row r="64" spans="1:22" ht="25.5" customHeight="1" x14ac:dyDescent="0.35">
      <c r="A64" s="17" t="s">
        <v>206</v>
      </c>
      <c r="B64" s="17" t="s">
        <v>213</v>
      </c>
      <c r="C64" s="15" t="s">
        <v>154</v>
      </c>
      <c r="D64" s="16" t="s">
        <v>110</v>
      </c>
      <c r="E64" s="13" t="s">
        <v>116</v>
      </c>
      <c r="F64" s="13" t="s">
        <v>214</v>
      </c>
      <c r="G64" s="13" t="s">
        <v>120</v>
      </c>
      <c r="H64" s="36">
        <v>1400000</v>
      </c>
      <c r="I64" s="19" t="s">
        <v>114</v>
      </c>
    </row>
    <row r="65" spans="1:9" ht="25.5" customHeight="1" x14ac:dyDescent="0.35">
      <c r="A65" s="17" t="s">
        <v>206</v>
      </c>
      <c r="B65" s="17" t="s">
        <v>215</v>
      </c>
      <c r="C65" s="15" t="s">
        <v>154</v>
      </c>
      <c r="D65" s="16" t="s">
        <v>110</v>
      </c>
      <c r="E65" s="13" t="s">
        <v>111</v>
      </c>
      <c r="F65" s="13" t="s">
        <v>155</v>
      </c>
      <c r="G65" s="13" t="s">
        <v>120</v>
      </c>
      <c r="H65" s="36">
        <v>800000</v>
      </c>
      <c r="I65" s="19" t="s">
        <v>114</v>
      </c>
    </row>
    <row r="66" spans="1:9" ht="25.5" customHeight="1" x14ac:dyDescent="0.35">
      <c r="A66" s="17" t="s">
        <v>206</v>
      </c>
      <c r="B66" s="17" t="s">
        <v>216</v>
      </c>
      <c r="C66" s="15" t="s">
        <v>154</v>
      </c>
      <c r="D66" s="16" t="s">
        <v>110</v>
      </c>
      <c r="E66" s="13" t="s">
        <v>116</v>
      </c>
      <c r="F66" s="13" t="s">
        <v>155</v>
      </c>
      <c r="G66" s="13" t="s">
        <v>120</v>
      </c>
      <c r="H66" s="36">
        <v>1000000</v>
      </c>
      <c r="I66" s="19" t="s">
        <v>114</v>
      </c>
    </row>
    <row r="67" spans="1:9" ht="25.5" customHeight="1" x14ac:dyDescent="0.35">
      <c r="A67" s="17" t="s">
        <v>206</v>
      </c>
      <c r="B67" s="25" t="s">
        <v>217</v>
      </c>
      <c r="C67" s="15" t="s">
        <v>154</v>
      </c>
      <c r="D67" s="16" t="s">
        <v>110</v>
      </c>
      <c r="E67" s="13" t="s">
        <v>116</v>
      </c>
      <c r="F67" s="13" t="s">
        <v>211</v>
      </c>
      <c r="G67" s="13" t="s">
        <v>113</v>
      </c>
      <c r="H67" s="36">
        <v>450000</v>
      </c>
      <c r="I67" s="19" t="s">
        <v>114</v>
      </c>
    </row>
    <row r="68" spans="1:9" ht="25.5" customHeight="1" x14ac:dyDescent="0.35">
      <c r="A68" s="17" t="s">
        <v>206</v>
      </c>
      <c r="B68" s="17" t="s">
        <v>218</v>
      </c>
      <c r="C68" s="15" t="s">
        <v>154</v>
      </c>
      <c r="D68" s="16" t="s">
        <v>110</v>
      </c>
      <c r="E68" s="13" t="s">
        <v>111</v>
      </c>
      <c r="F68" s="13" t="s">
        <v>211</v>
      </c>
      <c r="G68" s="13" t="s">
        <v>120</v>
      </c>
      <c r="H68" s="36">
        <v>600000</v>
      </c>
      <c r="I68" s="19" t="s">
        <v>114</v>
      </c>
    </row>
    <row r="69" spans="1:9" ht="25.5" customHeight="1" x14ac:dyDescent="0.35">
      <c r="A69" s="17" t="s">
        <v>206</v>
      </c>
      <c r="B69" s="17" t="s">
        <v>219</v>
      </c>
      <c r="C69" s="15" t="s">
        <v>154</v>
      </c>
      <c r="D69" s="16" t="s">
        <v>110</v>
      </c>
      <c r="E69" s="13" t="s">
        <v>116</v>
      </c>
      <c r="F69" s="13" t="s">
        <v>211</v>
      </c>
      <c r="G69" s="13" t="s">
        <v>120</v>
      </c>
      <c r="H69" s="36">
        <v>650000</v>
      </c>
      <c r="I69" s="19" t="s">
        <v>114</v>
      </c>
    </row>
    <row r="70" spans="1:9" ht="25.5" customHeight="1" x14ac:dyDescent="0.35">
      <c r="A70" s="17" t="s">
        <v>206</v>
      </c>
      <c r="B70" s="17" t="s">
        <v>220</v>
      </c>
      <c r="C70" s="15" t="s">
        <v>154</v>
      </c>
      <c r="D70" s="16" t="s">
        <v>110</v>
      </c>
      <c r="E70" s="13" t="s">
        <v>116</v>
      </c>
      <c r="F70" s="13" t="s">
        <v>221</v>
      </c>
      <c r="G70" s="13" t="s">
        <v>113</v>
      </c>
      <c r="H70" s="36">
        <v>1000000</v>
      </c>
      <c r="I70" s="19" t="s">
        <v>114</v>
      </c>
    </row>
    <row r="71" spans="1:9" ht="38.25" customHeight="1" x14ac:dyDescent="0.35">
      <c r="A71" s="17" t="s">
        <v>206</v>
      </c>
      <c r="B71" s="17" t="s">
        <v>222</v>
      </c>
      <c r="C71" s="15" t="s">
        <v>154</v>
      </c>
      <c r="D71" s="16" t="s">
        <v>110</v>
      </c>
      <c r="E71" s="13" t="s">
        <v>116</v>
      </c>
      <c r="F71" s="13" t="s">
        <v>221</v>
      </c>
      <c r="G71" s="13" t="s">
        <v>113</v>
      </c>
      <c r="H71" s="36">
        <v>2420000</v>
      </c>
      <c r="I71" s="19" t="s">
        <v>114</v>
      </c>
    </row>
    <row r="72" spans="1:9" ht="25.5" customHeight="1" x14ac:dyDescent="0.35">
      <c r="A72" s="17" t="s">
        <v>206</v>
      </c>
      <c r="B72" s="17" t="s">
        <v>223</v>
      </c>
      <c r="C72" s="15" t="s">
        <v>154</v>
      </c>
      <c r="D72" s="16" t="s">
        <v>110</v>
      </c>
      <c r="E72" s="13" t="s">
        <v>116</v>
      </c>
      <c r="F72" s="13" t="s">
        <v>224</v>
      </c>
      <c r="G72" s="13" t="s">
        <v>120</v>
      </c>
      <c r="H72" s="36">
        <v>400000</v>
      </c>
      <c r="I72" s="19" t="s">
        <v>114</v>
      </c>
    </row>
    <row r="73" spans="1:9" ht="25.5" customHeight="1" x14ac:dyDescent="0.35">
      <c r="A73" s="17" t="s">
        <v>206</v>
      </c>
      <c r="B73" s="17" t="s">
        <v>225</v>
      </c>
      <c r="C73" s="15" t="s">
        <v>154</v>
      </c>
      <c r="D73" s="16" t="s">
        <v>110</v>
      </c>
      <c r="E73" s="13" t="s">
        <v>111</v>
      </c>
      <c r="F73" s="13" t="s">
        <v>226</v>
      </c>
      <c r="G73" s="13" t="s">
        <v>113</v>
      </c>
      <c r="H73" s="36">
        <v>1000000</v>
      </c>
      <c r="I73" s="19" t="s">
        <v>114</v>
      </c>
    </row>
    <row r="74" spans="1:9" ht="25.5" customHeight="1" x14ac:dyDescent="0.35">
      <c r="A74" s="46" t="s">
        <v>206</v>
      </c>
      <c r="B74" s="46" t="s">
        <v>227</v>
      </c>
      <c r="C74" s="47" t="s">
        <v>131</v>
      </c>
      <c r="D74" s="51" t="s">
        <v>110</v>
      </c>
      <c r="E74" s="49" t="s">
        <v>147</v>
      </c>
      <c r="F74" s="49" t="s">
        <v>228</v>
      </c>
      <c r="G74" s="49" t="s">
        <v>120</v>
      </c>
      <c r="H74" s="50">
        <v>400000</v>
      </c>
      <c r="I74" s="19" t="s">
        <v>125</v>
      </c>
    </row>
    <row r="75" spans="1:9" ht="25.5" customHeight="1" x14ac:dyDescent="0.35">
      <c r="A75" s="17" t="s">
        <v>206</v>
      </c>
      <c r="B75" s="17" t="s">
        <v>229</v>
      </c>
      <c r="C75" s="15" t="s">
        <v>131</v>
      </c>
      <c r="D75" s="16" t="s">
        <v>110</v>
      </c>
      <c r="E75" s="13" t="s">
        <v>165</v>
      </c>
      <c r="F75" s="13" t="s">
        <v>230</v>
      </c>
      <c r="G75" s="13" t="s">
        <v>113</v>
      </c>
      <c r="H75" s="36">
        <v>200000</v>
      </c>
      <c r="I75" s="19" t="s">
        <v>125</v>
      </c>
    </row>
    <row r="76" spans="1:9" ht="25.5" customHeight="1" x14ac:dyDescent="0.35">
      <c r="A76" s="17" t="s">
        <v>206</v>
      </c>
      <c r="B76" s="17" t="s">
        <v>231</v>
      </c>
      <c r="C76" s="15" t="s">
        <v>131</v>
      </c>
      <c r="D76" s="16" t="s">
        <v>110</v>
      </c>
      <c r="E76" s="13" t="s">
        <v>165</v>
      </c>
      <c r="F76" s="13" t="s">
        <v>232</v>
      </c>
      <c r="G76" s="13" t="s">
        <v>120</v>
      </c>
      <c r="H76" s="36">
        <v>150000</v>
      </c>
      <c r="I76" s="19" t="s">
        <v>125</v>
      </c>
    </row>
    <row r="77" spans="1:9" ht="25.5" customHeight="1" x14ac:dyDescent="0.35">
      <c r="A77" s="46" t="s">
        <v>206</v>
      </c>
      <c r="B77" s="46" t="s">
        <v>233</v>
      </c>
      <c r="C77" s="47" t="s">
        <v>131</v>
      </c>
      <c r="D77" s="51" t="s">
        <v>110</v>
      </c>
      <c r="E77" s="49" t="s">
        <v>116</v>
      </c>
      <c r="F77" s="49" t="s">
        <v>224</v>
      </c>
      <c r="G77" s="49" t="s">
        <v>113</v>
      </c>
      <c r="H77" s="50">
        <v>600000</v>
      </c>
      <c r="I77" s="19" t="s">
        <v>125</v>
      </c>
    </row>
    <row r="78" spans="1:9" ht="38.25" customHeight="1" x14ac:dyDescent="0.35">
      <c r="A78" s="17" t="s">
        <v>206</v>
      </c>
      <c r="B78" s="17" t="s">
        <v>234</v>
      </c>
      <c r="C78" s="15" t="s">
        <v>131</v>
      </c>
      <c r="D78" s="16" t="s">
        <v>110</v>
      </c>
      <c r="E78" s="13" t="s">
        <v>116</v>
      </c>
      <c r="F78" s="13" t="s">
        <v>224</v>
      </c>
      <c r="G78" s="13" t="s">
        <v>120</v>
      </c>
      <c r="H78" s="36">
        <v>650000</v>
      </c>
      <c r="I78" s="19" t="s">
        <v>125</v>
      </c>
    </row>
    <row r="79" spans="1:9" ht="25.5" customHeight="1" x14ac:dyDescent="0.35">
      <c r="A79" s="46" t="s">
        <v>206</v>
      </c>
      <c r="B79" s="46" t="s">
        <v>235</v>
      </c>
      <c r="C79" s="47" t="s">
        <v>131</v>
      </c>
      <c r="D79" s="51" t="s">
        <v>110</v>
      </c>
      <c r="E79" s="49" t="s">
        <v>116</v>
      </c>
      <c r="F79" s="49" t="s">
        <v>232</v>
      </c>
      <c r="G79" s="49" t="s">
        <v>113</v>
      </c>
      <c r="H79" s="50">
        <v>590000</v>
      </c>
      <c r="I79" s="19" t="s">
        <v>125</v>
      </c>
    </row>
    <row r="80" spans="1:9" ht="25.5" customHeight="1" x14ac:dyDescent="0.35">
      <c r="A80" s="17" t="s">
        <v>206</v>
      </c>
      <c r="B80" s="17" t="s">
        <v>236</v>
      </c>
      <c r="C80" s="15" t="s">
        <v>131</v>
      </c>
      <c r="D80" s="16" t="s">
        <v>110</v>
      </c>
      <c r="E80" s="13" t="s">
        <v>111</v>
      </c>
      <c r="F80" s="13" t="s">
        <v>237</v>
      </c>
      <c r="G80" s="13" t="s">
        <v>113</v>
      </c>
      <c r="H80" s="36">
        <v>500000</v>
      </c>
      <c r="I80" s="19" t="s">
        <v>125</v>
      </c>
    </row>
    <row r="81" spans="1:9" ht="25.5" customHeight="1" x14ac:dyDescent="0.35">
      <c r="A81" s="17" t="s">
        <v>206</v>
      </c>
      <c r="B81" s="17" t="s">
        <v>238</v>
      </c>
      <c r="C81" s="15" t="s">
        <v>109</v>
      </c>
      <c r="D81" s="16" t="s">
        <v>110</v>
      </c>
      <c r="E81" s="13" t="s">
        <v>111</v>
      </c>
      <c r="F81" s="13" t="s">
        <v>232</v>
      </c>
      <c r="G81" s="13" t="s">
        <v>120</v>
      </c>
      <c r="H81" s="36">
        <v>200000</v>
      </c>
      <c r="I81" s="19" t="s">
        <v>125</v>
      </c>
    </row>
    <row r="82" spans="1:9" ht="25.5" customHeight="1" x14ac:dyDescent="0.35">
      <c r="A82" s="17" t="s">
        <v>206</v>
      </c>
      <c r="B82" s="17" t="s">
        <v>239</v>
      </c>
      <c r="C82" s="15" t="s">
        <v>109</v>
      </c>
      <c r="D82" s="16" t="s">
        <v>110</v>
      </c>
      <c r="E82" s="13" t="s">
        <v>116</v>
      </c>
      <c r="F82" s="13" t="s">
        <v>148</v>
      </c>
      <c r="G82" s="13" t="s">
        <v>120</v>
      </c>
      <c r="H82" s="36">
        <v>800000</v>
      </c>
      <c r="I82" s="19" t="s">
        <v>114</v>
      </c>
    </row>
    <row r="83" spans="1:9" ht="25.5" customHeight="1" x14ac:dyDescent="0.35">
      <c r="A83" s="17" t="s">
        <v>206</v>
      </c>
      <c r="B83" s="17" t="s">
        <v>240</v>
      </c>
      <c r="C83" s="15" t="s">
        <v>109</v>
      </c>
      <c r="D83" s="16" t="s">
        <v>110</v>
      </c>
      <c r="E83" s="13" t="s">
        <v>111</v>
      </c>
      <c r="F83" s="13" t="s">
        <v>232</v>
      </c>
      <c r="G83" s="13" t="s">
        <v>120</v>
      </c>
      <c r="H83" s="36">
        <v>1500000</v>
      </c>
      <c r="I83" s="19" t="s">
        <v>114</v>
      </c>
    </row>
    <row r="84" spans="1:9" ht="25.5" customHeight="1" x14ac:dyDescent="0.35">
      <c r="A84" s="17" t="s">
        <v>206</v>
      </c>
      <c r="B84" s="17" t="s">
        <v>241</v>
      </c>
      <c r="C84" s="15" t="s">
        <v>154</v>
      </c>
      <c r="D84" s="16" t="s">
        <v>110</v>
      </c>
      <c r="E84" s="13" t="s">
        <v>111</v>
      </c>
      <c r="F84" s="13" t="s">
        <v>148</v>
      </c>
      <c r="G84" s="13" t="s">
        <v>113</v>
      </c>
      <c r="H84" s="36">
        <v>800000</v>
      </c>
      <c r="I84" s="19" t="s">
        <v>114</v>
      </c>
    </row>
    <row r="85" spans="1:9" ht="45" customHeight="1" x14ac:dyDescent="0.35">
      <c r="A85" s="17" t="s">
        <v>206</v>
      </c>
      <c r="B85" s="17" t="s">
        <v>242</v>
      </c>
      <c r="C85" s="15" t="s">
        <v>154</v>
      </c>
      <c r="D85" s="16" t="s">
        <v>110</v>
      </c>
      <c r="E85" s="13" t="s">
        <v>116</v>
      </c>
      <c r="F85" s="13" t="s">
        <v>148</v>
      </c>
      <c r="G85" s="13" t="s">
        <v>120</v>
      </c>
      <c r="H85" s="37">
        <v>1076000</v>
      </c>
      <c r="I85" s="99" t="s">
        <v>114</v>
      </c>
    </row>
    <row r="86" spans="1:9" ht="38.25" customHeight="1" x14ac:dyDescent="0.35">
      <c r="A86" s="46" t="s">
        <v>206</v>
      </c>
      <c r="B86" s="46" t="s">
        <v>243</v>
      </c>
      <c r="C86" s="47" t="s">
        <v>131</v>
      </c>
      <c r="D86" s="51" t="s">
        <v>110</v>
      </c>
      <c r="E86" s="49" t="s">
        <v>147</v>
      </c>
      <c r="F86" s="49" t="s">
        <v>148</v>
      </c>
      <c r="G86" s="49" t="s">
        <v>113</v>
      </c>
      <c r="H86" s="50">
        <v>8234049.5999999996</v>
      </c>
      <c r="I86" s="19" t="s">
        <v>125</v>
      </c>
    </row>
    <row r="87" spans="1:9" ht="35.25" customHeight="1" x14ac:dyDescent="0.35">
      <c r="A87" s="46" t="s">
        <v>206</v>
      </c>
      <c r="B87" s="46" t="s">
        <v>244</v>
      </c>
      <c r="C87" s="47" t="s">
        <v>109</v>
      </c>
      <c r="D87" s="51" t="s">
        <v>110</v>
      </c>
      <c r="E87" s="49" t="s">
        <v>116</v>
      </c>
      <c r="F87" s="49" t="s">
        <v>148</v>
      </c>
      <c r="G87" s="49" t="s">
        <v>113</v>
      </c>
      <c r="H87" s="50">
        <v>2000000</v>
      </c>
      <c r="I87" s="19" t="s">
        <v>114</v>
      </c>
    </row>
    <row r="88" spans="1:9" ht="25.5" customHeight="1" x14ac:dyDescent="0.35">
      <c r="A88" s="46" t="s">
        <v>206</v>
      </c>
      <c r="B88" s="46" t="s">
        <v>245</v>
      </c>
      <c r="C88" s="47" t="s">
        <v>109</v>
      </c>
      <c r="D88" s="51" t="s">
        <v>110</v>
      </c>
      <c r="E88" s="49" t="s">
        <v>246</v>
      </c>
      <c r="F88" s="49" t="s">
        <v>148</v>
      </c>
      <c r="G88" s="49" t="s">
        <v>120</v>
      </c>
      <c r="H88" s="50">
        <v>2028592</v>
      </c>
      <c r="I88" s="19" t="s">
        <v>114</v>
      </c>
    </row>
    <row r="89" spans="1:9" ht="25.5" customHeight="1" x14ac:dyDescent="0.35">
      <c r="A89" s="46" t="s">
        <v>206</v>
      </c>
      <c r="B89" s="46" t="s">
        <v>247</v>
      </c>
      <c r="C89" s="47" t="s">
        <v>109</v>
      </c>
      <c r="D89" s="51" t="s">
        <v>110</v>
      </c>
      <c r="E89" s="49" t="s">
        <v>147</v>
      </c>
      <c r="F89" s="49" t="s">
        <v>148</v>
      </c>
      <c r="G89" s="49" t="s">
        <v>120</v>
      </c>
      <c r="H89" s="50">
        <v>300000</v>
      </c>
      <c r="I89" s="19" t="s">
        <v>125</v>
      </c>
    </row>
    <row r="90" spans="1:9" ht="25.5" customHeight="1" x14ac:dyDescent="0.35">
      <c r="A90" s="46" t="s">
        <v>206</v>
      </c>
      <c r="B90" s="46" t="s">
        <v>248</v>
      </c>
      <c r="C90" s="47" t="s">
        <v>109</v>
      </c>
      <c r="D90" s="51" t="s">
        <v>110</v>
      </c>
      <c r="E90" s="49" t="s">
        <v>147</v>
      </c>
      <c r="F90" s="49" t="s">
        <v>148</v>
      </c>
      <c r="G90" s="49" t="s">
        <v>120</v>
      </c>
      <c r="H90" s="50">
        <v>3000000</v>
      </c>
      <c r="I90" s="19" t="s">
        <v>125</v>
      </c>
    </row>
    <row r="91" spans="1:9" ht="41.25" customHeight="1" x14ac:dyDescent="0.35">
      <c r="A91" s="17" t="s">
        <v>206</v>
      </c>
      <c r="B91" s="17" t="s">
        <v>249</v>
      </c>
      <c r="C91" s="15" t="s">
        <v>131</v>
      </c>
      <c r="D91" s="16" t="s">
        <v>110</v>
      </c>
      <c r="E91" s="13" t="s">
        <v>116</v>
      </c>
      <c r="F91" s="13" t="s">
        <v>250</v>
      </c>
      <c r="G91" s="13" t="s">
        <v>113</v>
      </c>
      <c r="H91" s="36">
        <v>3000000</v>
      </c>
      <c r="I91" s="19" t="s">
        <v>125</v>
      </c>
    </row>
    <row r="92" spans="1:9" ht="29.25" customHeight="1" x14ac:dyDescent="0.35">
      <c r="A92" s="17" t="s">
        <v>206</v>
      </c>
      <c r="B92" s="17" t="s">
        <v>251</v>
      </c>
      <c r="C92" s="15" t="s">
        <v>154</v>
      </c>
      <c r="D92" s="16" t="s">
        <v>110</v>
      </c>
      <c r="E92" s="13" t="s">
        <v>116</v>
      </c>
      <c r="F92" s="13" t="s">
        <v>152</v>
      </c>
      <c r="G92" s="13" t="s">
        <v>120</v>
      </c>
      <c r="H92" s="36">
        <v>7792000</v>
      </c>
      <c r="I92" s="19" t="s">
        <v>114</v>
      </c>
    </row>
    <row r="93" spans="1:9" ht="25.5" customHeight="1" x14ac:dyDescent="0.35">
      <c r="A93" s="46" t="s">
        <v>206</v>
      </c>
      <c r="B93" s="46" t="s">
        <v>47</v>
      </c>
      <c r="C93" s="47" t="s">
        <v>154</v>
      </c>
      <c r="D93" s="51" t="s">
        <v>110</v>
      </c>
      <c r="E93" s="49" t="s">
        <v>147</v>
      </c>
      <c r="F93" s="49" t="s">
        <v>252</v>
      </c>
      <c r="G93" s="49" t="s">
        <v>120</v>
      </c>
      <c r="H93" s="50">
        <v>1050000</v>
      </c>
      <c r="I93" s="19" t="s">
        <v>114</v>
      </c>
    </row>
    <row r="94" spans="1:9" ht="25.5" customHeight="1" x14ac:dyDescent="0.35">
      <c r="A94" s="17" t="s">
        <v>206</v>
      </c>
      <c r="B94" s="17" t="s">
        <v>86</v>
      </c>
      <c r="C94" s="15" t="s">
        <v>154</v>
      </c>
      <c r="D94" s="16" t="s">
        <v>110</v>
      </c>
      <c r="E94" s="13" t="s">
        <v>116</v>
      </c>
      <c r="F94" s="13" t="s">
        <v>253</v>
      </c>
      <c r="G94" s="13" t="s">
        <v>120</v>
      </c>
      <c r="H94" s="36">
        <v>2551240.7999999998</v>
      </c>
      <c r="I94" s="19" t="s">
        <v>114</v>
      </c>
    </row>
    <row r="95" spans="1:9" ht="35.25" customHeight="1" x14ac:dyDescent="0.35">
      <c r="A95" s="46" t="s">
        <v>206</v>
      </c>
      <c r="B95" s="46" t="s">
        <v>254</v>
      </c>
      <c r="C95" s="47" t="s">
        <v>154</v>
      </c>
      <c r="D95" s="51" t="s">
        <v>110</v>
      </c>
      <c r="E95" s="49" t="s">
        <v>116</v>
      </c>
      <c r="F95" s="49" t="s">
        <v>148</v>
      </c>
      <c r="G95" s="49" t="s">
        <v>120</v>
      </c>
      <c r="H95" s="50">
        <v>3248928</v>
      </c>
      <c r="I95" s="19" t="s">
        <v>114</v>
      </c>
    </row>
    <row r="96" spans="1:9" ht="25.5" customHeight="1" x14ac:dyDescent="0.35">
      <c r="A96" s="46" t="s">
        <v>206</v>
      </c>
      <c r="B96" s="46" t="s">
        <v>255</v>
      </c>
      <c r="C96" s="47" t="s">
        <v>154</v>
      </c>
      <c r="D96" s="51" t="s">
        <v>110</v>
      </c>
      <c r="E96" s="49" t="s">
        <v>116</v>
      </c>
      <c r="F96" s="49" t="s">
        <v>148</v>
      </c>
      <c r="G96" s="49" t="s">
        <v>120</v>
      </c>
      <c r="H96" s="50">
        <v>587419.19999999995</v>
      </c>
      <c r="I96" s="19" t="s">
        <v>114</v>
      </c>
    </row>
    <row r="97" spans="1:9" ht="36" customHeight="1" x14ac:dyDescent="0.35">
      <c r="A97" s="17" t="s">
        <v>206</v>
      </c>
      <c r="B97" s="17" t="s">
        <v>256</v>
      </c>
      <c r="C97" s="15" t="s">
        <v>109</v>
      </c>
      <c r="D97" s="16" t="s">
        <v>110</v>
      </c>
      <c r="E97" s="13" t="s">
        <v>111</v>
      </c>
      <c r="F97" s="13" t="s">
        <v>257</v>
      </c>
      <c r="G97" s="13" t="s">
        <v>113</v>
      </c>
      <c r="H97" s="36">
        <v>300000</v>
      </c>
      <c r="I97" s="19" t="s">
        <v>114</v>
      </c>
    </row>
    <row r="98" spans="1:9" ht="25.5" customHeight="1" x14ac:dyDescent="0.35">
      <c r="A98" s="17" t="s">
        <v>258</v>
      </c>
      <c r="B98" s="17" t="s">
        <v>259</v>
      </c>
      <c r="C98" s="13" t="s">
        <v>131</v>
      </c>
      <c r="D98" s="14" t="s">
        <v>110</v>
      </c>
      <c r="E98" s="13" t="s">
        <v>116</v>
      </c>
      <c r="F98" s="13" t="s">
        <v>260</v>
      </c>
      <c r="G98" s="13" t="s">
        <v>120</v>
      </c>
      <c r="H98" s="95">
        <f>60000+500000+60000+1000000</f>
        <v>1620000</v>
      </c>
      <c r="I98" s="19" t="s">
        <v>114</v>
      </c>
    </row>
    <row r="99" spans="1:9" ht="25.5" customHeight="1" x14ac:dyDescent="0.35">
      <c r="A99" s="17" t="s">
        <v>258</v>
      </c>
      <c r="B99" s="17" t="s">
        <v>261</v>
      </c>
      <c r="C99" s="13" t="s">
        <v>131</v>
      </c>
      <c r="D99" s="14" t="s">
        <v>110</v>
      </c>
      <c r="E99" s="13" t="s">
        <v>116</v>
      </c>
      <c r="F99" s="13" t="s">
        <v>260</v>
      </c>
      <c r="G99" s="13" t="s">
        <v>120</v>
      </c>
      <c r="H99" s="95">
        <v>360000</v>
      </c>
      <c r="I99" s="19" t="s">
        <v>114</v>
      </c>
    </row>
    <row r="100" spans="1:9" ht="25.5" customHeight="1" x14ac:dyDescent="0.35">
      <c r="A100" s="17" t="s">
        <v>258</v>
      </c>
      <c r="B100" s="17" t="s">
        <v>262</v>
      </c>
      <c r="C100" s="13" t="s">
        <v>131</v>
      </c>
      <c r="D100" s="14" t="s">
        <v>110</v>
      </c>
      <c r="E100" s="13" t="s">
        <v>116</v>
      </c>
      <c r="F100" s="13" t="s">
        <v>260</v>
      </c>
      <c r="G100" s="13" t="s">
        <v>120</v>
      </c>
      <c r="H100" s="95">
        <f>660000+572000</f>
        <v>1232000</v>
      </c>
      <c r="I100" s="19" t="s">
        <v>114</v>
      </c>
    </row>
    <row r="101" spans="1:9" ht="38.25" customHeight="1" x14ac:dyDescent="0.35">
      <c r="A101" s="17" t="s">
        <v>263</v>
      </c>
      <c r="B101" s="17" t="s">
        <v>264</v>
      </c>
      <c r="C101" s="13" t="s">
        <v>131</v>
      </c>
      <c r="D101" s="14" t="s">
        <v>110</v>
      </c>
      <c r="E101" s="13" t="s">
        <v>116</v>
      </c>
      <c r="F101" s="13" t="s">
        <v>148</v>
      </c>
      <c r="G101" s="13" t="s">
        <v>120</v>
      </c>
      <c r="H101" s="95">
        <v>60000</v>
      </c>
      <c r="I101" s="19" t="s">
        <v>114</v>
      </c>
    </row>
    <row r="102" spans="1:9" x14ac:dyDescent="0.35">
      <c r="A102" s="17" t="s">
        <v>263</v>
      </c>
      <c r="B102" s="17" t="s">
        <v>265</v>
      </c>
      <c r="C102" s="13" t="s">
        <v>131</v>
      </c>
      <c r="D102" s="14" t="s">
        <v>110</v>
      </c>
      <c r="E102" s="13" t="s">
        <v>116</v>
      </c>
      <c r="F102" s="13" t="s">
        <v>148</v>
      </c>
      <c r="G102" s="13" t="s">
        <v>120</v>
      </c>
      <c r="H102" s="95">
        <v>150000</v>
      </c>
      <c r="I102" s="19" t="s">
        <v>114</v>
      </c>
    </row>
    <row r="103" spans="1:9" ht="25.5" customHeight="1" x14ac:dyDescent="0.35">
      <c r="A103" s="46" t="s">
        <v>266</v>
      </c>
      <c r="B103" s="46" t="s">
        <v>267</v>
      </c>
      <c r="C103" s="49" t="s">
        <v>131</v>
      </c>
      <c r="D103" s="48" t="s">
        <v>110</v>
      </c>
      <c r="E103" s="49" t="s">
        <v>116</v>
      </c>
      <c r="F103" s="49" t="s">
        <v>148</v>
      </c>
      <c r="G103" s="49" t="s">
        <v>113</v>
      </c>
      <c r="H103" s="100">
        <v>840000</v>
      </c>
      <c r="I103" s="108" t="s">
        <v>114</v>
      </c>
    </row>
    <row r="104" spans="1:9" ht="38.25" customHeight="1" x14ac:dyDescent="0.35">
      <c r="A104" s="17" t="s">
        <v>268</v>
      </c>
      <c r="B104" s="25" t="s">
        <v>269</v>
      </c>
      <c r="C104" s="13" t="s">
        <v>131</v>
      </c>
      <c r="D104" s="14" t="s">
        <v>110</v>
      </c>
      <c r="E104" s="13" t="s">
        <v>116</v>
      </c>
      <c r="F104" s="13" t="s">
        <v>148</v>
      </c>
      <c r="G104" s="13" t="s">
        <v>113</v>
      </c>
      <c r="H104" s="95">
        <v>1500000</v>
      </c>
      <c r="I104" s="19" t="s">
        <v>114</v>
      </c>
    </row>
    <row r="105" spans="1:9" ht="38.25" customHeight="1" x14ac:dyDescent="0.35">
      <c r="A105" s="17" t="s">
        <v>268</v>
      </c>
      <c r="B105" s="17" t="s">
        <v>270</v>
      </c>
      <c r="C105" s="13" t="s">
        <v>131</v>
      </c>
      <c r="D105" s="14" t="s">
        <v>110</v>
      </c>
      <c r="E105" s="13" t="s">
        <v>116</v>
      </c>
      <c r="F105" s="13" t="s">
        <v>148</v>
      </c>
      <c r="G105" s="13" t="s">
        <v>120</v>
      </c>
      <c r="H105" s="95">
        <v>600000</v>
      </c>
      <c r="I105" s="19" t="s">
        <v>114</v>
      </c>
    </row>
    <row r="106" spans="1:9" ht="38.25" customHeight="1" x14ac:dyDescent="0.35">
      <c r="A106" s="17" t="s">
        <v>268</v>
      </c>
      <c r="B106" s="17" t="s">
        <v>271</v>
      </c>
      <c r="C106" s="13" t="s">
        <v>131</v>
      </c>
      <c r="D106" s="14" t="s">
        <v>110</v>
      </c>
      <c r="E106" s="13" t="s">
        <v>111</v>
      </c>
      <c r="F106" s="13" t="s">
        <v>148</v>
      </c>
      <c r="G106" s="13" t="s">
        <v>113</v>
      </c>
      <c r="H106" s="95">
        <v>500000</v>
      </c>
      <c r="I106" s="19" t="s">
        <v>114</v>
      </c>
    </row>
    <row r="107" spans="1:9" ht="25.5" customHeight="1" x14ac:dyDescent="0.35">
      <c r="A107" s="17" t="s">
        <v>272</v>
      </c>
      <c r="B107" s="17" t="s">
        <v>273</v>
      </c>
      <c r="C107" s="13" t="s">
        <v>131</v>
      </c>
      <c r="D107" s="14" t="s">
        <v>110</v>
      </c>
      <c r="E107" s="27" t="s">
        <v>116</v>
      </c>
      <c r="F107" s="13" t="s">
        <v>148</v>
      </c>
      <c r="G107" s="29" t="s">
        <v>113</v>
      </c>
      <c r="H107" s="95">
        <v>1208041.3999999999</v>
      </c>
      <c r="I107" s="19" t="s">
        <v>125</v>
      </c>
    </row>
    <row r="108" spans="1:9" ht="45.75" customHeight="1" x14ac:dyDescent="0.35">
      <c r="A108" s="17" t="s">
        <v>274</v>
      </c>
      <c r="B108" s="17" t="s">
        <v>275</v>
      </c>
      <c r="C108" s="13" t="s">
        <v>131</v>
      </c>
      <c r="D108" s="14" t="s">
        <v>110</v>
      </c>
      <c r="E108" s="27" t="s">
        <v>116</v>
      </c>
      <c r="F108" s="13" t="s">
        <v>148</v>
      </c>
      <c r="G108" s="13" t="s">
        <v>120</v>
      </c>
      <c r="H108" s="95">
        <v>100000</v>
      </c>
      <c r="I108" s="19" t="s">
        <v>125</v>
      </c>
    </row>
    <row r="109" spans="1:9" ht="25.5" customHeight="1" x14ac:dyDescent="0.35">
      <c r="A109" s="17" t="s">
        <v>206</v>
      </c>
      <c r="B109" s="17" t="s">
        <v>276</v>
      </c>
      <c r="C109" s="15" t="s">
        <v>109</v>
      </c>
      <c r="D109" s="14" t="s">
        <v>110</v>
      </c>
      <c r="E109" s="27" t="s">
        <v>116</v>
      </c>
      <c r="F109" s="13" t="s">
        <v>148</v>
      </c>
      <c r="G109" s="13" t="s">
        <v>113</v>
      </c>
      <c r="H109" s="95">
        <v>300000</v>
      </c>
      <c r="I109" s="19" t="s">
        <v>114</v>
      </c>
    </row>
    <row r="110" spans="1:9" ht="25.5" customHeight="1" x14ac:dyDescent="0.35">
      <c r="A110" s="17" t="s">
        <v>274</v>
      </c>
      <c r="B110" s="17" t="s">
        <v>277</v>
      </c>
      <c r="C110" s="15" t="s">
        <v>109</v>
      </c>
      <c r="D110" s="14" t="s">
        <v>110</v>
      </c>
      <c r="E110" s="27" t="s">
        <v>116</v>
      </c>
      <c r="F110" s="13" t="s">
        <v>148</v>
      </c>
      <c r="G110" s="13" t="s">
        <v>113</v>
      </c>
      <c r="H110" s="95">
        <v>700000</v>
      </c>
      <c r="I110" s="19" t="s">
        <v>114</v>
      </c>
    </row>
    <row r="111" spans="1:9" ht="38.25" customHeight="1" x14ac:dyDescent="0.35">
      <c r="A111" s="17" t="s">
        <v>274</v>
      </c>
      <c r="B111" s="17" t="s">
        <v>278</v>
      </c>
      <c r="C111" s="15" t="s">
        <v>109</v>
      </c>
      <c r="D111" s="14" t="s">
        <v>110</v>
      </c>
      <c r="E111" s="27" t="s">
        <v>116</v>
      </c>
      <c r="F111" s="13" t="s">
        <v>148</v>
      </c>
      <c r="G111" s="13" t="s">
        <v>113</v>
      </c>
      <c r="H111" s="95">
        <v>400000</v>
      </c>
      <c r="I111" s="19" t="s">
        <v>114</v>
      </c>
    </row>
    <row r="112" spans="1:9" ht="38.25" customHeight="1" x14ac:dyDescent="0.35">
      <c r="A112" s="17" t="s">
        <v>274</v>
      </c>
      <c r="B112" s="25" t="s">
        <v>279</v>
      </c>
      <c r="C112" s="15" t="s">
        <v>131</v>
      </c>
      <c r="D112" s="14" t="s">
        <v>110</v>
      </c>
      <c r="E112" s="27" t="s">
        <v>116</v>
      </c>
      <c r="F112" s="13" t="s">
        <v>148</v>
      </c>
      <c r="G112" s="13" t="s">
        <v>113</v>
      </c>
      <c r="H112" s="95">
        <v>500000</v>
      </c>
      <c r="I112" s="19" t="s">
        <v>114</v>
      </c>
    </row>
    <row r="113" spans="1:22" ht="25.5" customHeight="1" x14ac:dyDescent="0.35">
      <c r="A113" s="17" t="s">
        <v>274</v>
      </c>
      <c r="B113" s="17" t="s">
        <v>280</v>
      </c>
      <c r="C113" s="15" t="s">
        <v>109</v>
      </c>
      <c r="D113" s="14" t="s">
        <v>110</v>
      </c>
      <c r="E113" s="27" t="s">
        <v>116</v>
      </c>
      <c r="F113" s="13" t="s">
        <v>148</v>
      </c>
      <c r="G113" s="13" t="s">
        <v>113</v>
      </c>
      <c r="H113" s="95">
        <v>400000</v>
      </c>
      <c r="I113" s="101" t="s">
        <v>114</v>
      </c>
    </row>
    <row r="114" spans="1:22" ht="25.5" customHeight="1" x14ac:dyDescent="0.35">
      <c r="A114" s="17" t="s">
        <v>274</v>
      </c>
      <c r="B114" s="25" t="s">
        <v>281</v>
      </c>
      <c r="C114" s="15" t="s">
        <v>109</v>
      </c>
      <c r="D114" s="14" t="s">
        <v>110</v>
      </c>
      <c r="E114" s="27" t="s">
        <v>116</v>
      </c>
      <c r="F114" s="16" t="s">
        <v>148</v>
      </c>
      <c r="G114" s="13" t="s">
        <v>113</v>
      </c>
      <c r="H114" s="95">
        <v>300000</v>
      </c>
      <c r="I114" s="19" t="s">
        <v>125</v>
      </c>
    </row>
    <row r="115" spans="1:22" s="6" customFormat="1" ht="38.25" customHeight="1" x14ac:dyDescent="0.35">
      <c r="A115" s="17" t="s">
        <v>282</v>
      </c>
      <c r="B115" s="23" t="s">
        <v>283</v>
      </c>
      <c r="C115" s="27" t="s">
        <v>109</v>
      </c>
      <c r="D115" s="16" t="s">
        <v>110</v>
      </c>
      <c r="E115" s="16" t="s">
        <v>116</v>
      </c>
      <c r="F115" s="16" t="s">
        <v>284</v>
      </c>
      <c r="G115" s="16" t="s">
        <v>113</v>
      </c>
      <c r="H115" s="21">
        <v>13200000</v>
      </c>
      <c r="I115" s="30" t="s">
        <v>114</v>
      </c>
    </row>
    <row r="116" spans="1:22" s="6" customFormat="1" ht="33.75" customHeight="1" x14ac:dyDescent="0.35">
      <c r="A116" s="17" t="s">
        <v>282</v>
      </c>
      <c r="B116" s="22" t="s">
        <v>285</v>
      </c>
      <c r="C116" s="15" t="s">
        <v>109</v>
      </c>
      <c r="D116" s="16" t="s">
        <v>110</v>
      </c>
      <c r="E116" s="16" t="s">
        <v>116</v>
      </c>
      <c r="F116" s="16" t="s">
        <v>152</v>
      </c>
      <c r="G116" s="16" t="s">
        <v>113</v>
      </c>
      <c r="H116" s="20">
        <v>6000000</v>
      </c>
      <c r="I116" s="30" t="s">
        <v>114</v>
      </c>
    </row>
    <row r="117" spans="1:22" s="6" customFormat="1" ht="33" customHeight="1" x14ac:dyDescent="0.35">
      <c r="A117" s="17" t="s">
        <v>282</v>
      </c>
      <c r="B117" s="23" t="s">
        <v>286</v>
      </c>
      <c r="C117" s="15" t="s">
        <v>109</v>
      </c>
      <c r="D117" s="16" t="s">
        <v>110</v>
      </c>
      <c r="E117" s="16" t="s">
        <v>116</v>
      </c>
      <c r="F117" s="16" t="s">
        <v>152</v>
      </c>
      <c r="G117" s="16" t="s">
        <v>113</v>
      </c>
      <c r="H117" s="21">
        <v>7200000</v>
      </c>
      <c r="I117" s="30" t="s">
        <v>114</v>
      </c>
    </row>
    <row r="118" spans="1:22" s="55" customFormat="1" ht="44.25" customHeight="1" x14ac:dyDescent="0.35">
      <c r="A118" s="46" t="s">
        <v>282</v>
      </c>
      <c r="B118" s="52" t="s">
        <v>287</v>
      </c>
      <c r="C118" s="47" t="s">
        <v>109</v>
      </c>
      <c r="D118" s="51" t="s">
        <v>110</v>
      </c>
      <c r="E118" s="51" t="s">
        <v>116</v>
      </c>
      <c r="F118" s="51" t="s">
        <v>152</v>
      </c>
      <c r="G118" s="51" t="s">
        <v>113</v>
      </c>
      <c r="H118" s="53">
        <v>2400000</v>
      </c>
      <c r="I118" s="102" t="s">
        <v>114</v>
      </c>
      <c r="J118" s="54"/>
      <c r="K118" s="54"/>
      <c r="L118" s="54"/>
      <c r="M118" s="54"/>
      <c r="N118" s="54"/>
      <c r="O118" s="54"/>
      <c r="P118" s="54"/>
      <c r="Q118" s="54"/>
      <c r="R118" s="54"/>
      <c r="S118" s="54"/>
      <c r="T118" s="54"/>
      <c r="U118" s="54"/>
      <c r="V118" s="54"/>
    </row>
    <row r="119" spans="1:22" s="6" customFormat="1" ht="41.25" customHeight="1" x14ac:dyDescent="0.35">
      <c r="A119" s="17" t="s">
        <v>282</v>
      </c>
      <c r="B119" s="24" t="s">
        <v>288</v>
      </c>
      <c r="C119" s="15" t="s">
        <v>109</v>
      </c>
      <c r="D119" s="16" t="s">
        <v>110</v>
      </c>
      <c r="E119" s="16" t="s">
        <v>116</v>
      </c>
      <c r="F119" s="16" t="s">
        <v>152</v>
      </c>
      <c r="G119" s="16" t="s">
        <v>113</v>
      </c>
      <c r="H119" s="21">
        <v>4800000</v>
      </c>
      <c r="I119" s="30" t="s">
        <v>114</v>
      </c>
    </row>
    <row r="120" spans="1:22" s="6" customFormat="1" ht="42.75" customHeight="1" x14ac:dyDescent="0.35">
      <c r="A120" s="17" t="s">
        <v>282</v>
      </c>
      <c r="B120" s="23" t="s">
        <v>289</v>
      </c>
      <c r="C120" s="15" t="s">
        <v>109</v>
      </c>
      <c r="D120" s="16" t="s">
        <v>110</v>
      </c>
      <c r="E120" s="16" t="s">
        <v>116</v>
      </c>
      <c r="F120" s="16" t="s">
        <v>148</v>
      </c>
      <c r="G120" s="16" t="s">
        <v>113</v>
      </c>
      <c r="H120" s="21">
        <v>7200000</v>
      </c>
      <c r="I120" s="30" t="s">
        <v>114</v>
      </c>
    </row>
    <row r="121" spans="1:22" s="6" customFormat="1" ht="44.25" customHeight="1" x14ac:dyDescent="0.35">
      <c r="A121" s="17" t="s">
        <v>282</v>
      </c>
      <c r="B121" s="22" t="s">
        <v>290</v>
      </c>
      <c r="C121" s="15" t="s">
        <v>131</v>
      </c>
      <c r="D121" s="16" t="s">
        <v>110</v>
      </c>
      <c r="E121" s="16" t="s">
        <v>116</v>
      </c>
      <c r="F121" s="16" t="s">
        <v>148</v>
      </c>
      <c r="G121" s="16" t="s">
        <v>113</v>
      </c>
      <c r="H121" s="20">
        <v>600000</v>
      </c>
      <c r="I121" s="30" t="s">
        <v>125</v>
      </c>
    </row>
    <row r="122" spans="1:22" s="6" customFormat="1" ht="54" customHeight="1" x14ac:dyDescent="0.35">
      <c r="A122" s="17" t="s">
        <v>282</v>
      </c>
      <c r="B122" s="23" t="s">
        <v>291</v>
      </c>
      <c r="C122" s="15" t="s">
        <v>131</v>
      </c>
      <c r="D122" s="16" t="s">
        <v>110</v>
      </c>
      <c r="E122" s="16" t="s">
        <v>116</v>
      </c>
      <c r="F122" s="16" t="s">
        <v>148</v>
      </c>
      <c r="G122" s="13" t="s">
        <v>120</v>
      </c>
      <c r="H122" s="21">
        <v>480000</v>
      </c>
      <c r="I122" s="30" t="s">
        <v>125</v>
      </c>
    </row>
    <row r="123" spans="1:22" s="6" customFormat="1" ht="51" customHeight="1" x14ac:dyDescent="0.35">
      <c r="A123" s="17" t="s">
        <v>282</v>
      </c>
      <c r="B123" s="22" t="s">
        <v>292</v>
      </c>
      <c r="C123" s="15" t="s">
        <v>109</v>
      </c>
      <c r="D123" s="16" t="s">
        <v>110</v>
      </c>
      <c r="E123" s="16" t="s">
        <v>116</v>
      </c>
      <c r="F123" s="16" t="s">
        <v>148</v>
      </c>
      <c r="G123" s="16" t="s">
        <v>113</v>
      </c>
      <c r="H123" s="20">
        <v>2400000</v>
      </c>
      <c r="I123" s="30" t="s">
        <v>114</v>
      </c>
    </row>
    <row r="124" spans="1:22" s="6" customFormat="1" ht="43.5" customHeight="1" x14ac:dyDescent="0.35">
      <c r="A124" s="17" t="s">
        <v>282</v>
      </c>
      <c r="B124" s="23" t="s">
        <v>293</v>
      </c>
      <c r="C124" s="15" t="s">
        <v>109</v>
      </c>
      <c r="D124" s="16" t="s">
        <v>110</v>
      </c>
      <c r="E124" s="16" t="s">
        <v>111</v>
      </c>
      <c r="F124" s="16" t="s">
        <v>148</v>
      </c>
      <c r="G124" s="16" t="s">
        <v>113</v>
      </c>
      <c r="H124" s="21">
        <v>6000000</v>
      </c>
      <c r="I124" s="30" t="s">
        <v>114</v>
      </c>
    </row>
    <row r="125" spans="1:22" s="6" customFormat="1" ht="40.5" customHeight="1" x14ac:dyDescent="0.35">
      <c r="A125" s="46" t="s">
        <v>282</v>
      </c>
      <c r="B125" s="52" t="s">
        <v>294</v>
      </c>
      <c r="C125" s="47" t="s">
        <v>109</v>
      </c>
      <c r="D125" s="51" t="s">
        <v>110</v>
      </c>
      <c r="E125" s="51" t="s">
        <v>111</v>
      </c>
      <c r="F125" s="51" t="s">
        <v>148</v>
      </c>
      <c r="G125" s="51" t="s">
        <v>113</v>
      </c>
      <c r="H125" s="53">
        <v>2400000</v>
      </c>
      <c r="I125" s="30" t="s">
        <v>114</v>
      </c>
    </row>
    <row r="126" spans="1:22" s="6" customFormat="1" ht="45.75" customHeight="1" x14ac:dyDescent="0.35">
      <c r="A126" s="17" t="s">
        <v>282</v>
      </c>
      <c r="B126" s="25" t="s">
        <v>295</v>
      </c>
      <c r="C126" s="15" t="s">
        <v>109</v>
      </c>
      <c r="D126" s="16" t="s">
        <v>110</v>
      </c>
      <c r="E126" s="16" t="s">
        <v>116</v>
      </c>
      <c r="F126" s="16" t="s">
        <v>148</v>
      </c>
      <c r="G126" s="16" t="s">
        <v>113</v>
      </c>
      <c r="H126" s="20">
        <v>6000000</v>
      </c>
      <c r="I126" s="30" t="s">
        <v>114</v>
      </c>
    </row>
    <row r="127" spans="1:22" s="6" customFormat="1" ht="44.25" customHeight="1" x14ac:dyDescent="0.35">
      <c r="A127" s="17" t="s">
        <v>282</v>
      </c>
      <c r="B127" s="22" t="s">
        <v>296</v>
      </c>
      <c r="C127" s="15" t="s">
        <v>109</v>
      </c>
      <c r="D127" s="16" t="s">
        <v>110</v>
      </c>
      <c r="E127" s="16" t="s">
        <v>116</v>
      </c>
      <c r="F127" s="16" t="s">
        <v>148</v>
      </c>
      <c r="G127" s="16" t="s">
        <v>113</v>
      </c>
      <c r="H127" s="21">
        <v>9600000</v>
      </c>
      <c r="I127" s="30" t="s">
        <v>114</v>
      </c>
    </row>
    <row r="128" spans="1:22" s="6" customFormat="1" ht="30.75" customHeight="1" x14ac:dyDescent="0.35">
      <c r="A128" s="17" t="s">
        <v>282</v>
      </c>
      <c r="B128" s="25" t="s">
        <v>297</v>
      </c>
      <c r="C128" s="15" t="s">
        <v>109</v>
      </c>
      <c r="D128" s="16" t="s">
        <v>110</v>
      </c>
      <c r="E128" s="16" t="s">
        <v>116</v>
      </c>
      <c r="F128" s="16" t="s">
        <v>148</v>
      </c>
      <c r="G128" s="16" t="s">
        <v>113</v>
      </c>
      <c r="H128" s="20">
        <v>2400000</v>
      </c>
      <c r="I128" s="30" t="s">
        <v>114</v>
      </c>
    </row>
    <row r="129" spans="1:30" s="6" customFormat="1" ht="46.5" customHeight="1" x14ac:dyDescent="0.35">
      <c r="A129" s="17" t="s">
        <v>282</v>
      </c>
      <c r="B129" s="22" t="s">
        <v>298</v>
      </c>
      <c r="C129" s="15" t="s">
        <v>109</v>
      </c>
      <c r="D129" s="16" t="s">
        <v>110</v>
      </c>
      <c r="E129" s="16" t="s">
        <v>116</v>
      </c>
      <c r="F129" s="16" t="s">
        <v>148</v>
      </c>
      <c r="G129" s="16" t="s">
        <v>113</v>
      </c>
      <c r="H129" s="21">
        <v>2400000</v>
      </c>
      <c r="I129" s="30" t="s">
        <v>114</v>
      </c>
    </row>
    <row r="130" spans="1:30" s="6" customFormat="1" ht="51.75" customHeight="1" x14ac:dyDescent="0.35">
      <c r="A130" s="17" t="s">
        <v>282</v>
      </c>
      <c r="B130" s="25" t="s">
        <v>299</v>
      </c>
      <c r="C130" s="15" t="s">
        <v>109</v>
      </c>
      <c r="D130" s="16" t="s">
        <v>110</v>
      </c>
      <c r="E130" s="16" t="s">
        <v>116</v>
      </c>
      <c r="F130" s="16" t="s">
        <v>226</v>
      </c>
      <c r="G130" s="16" t="s">
        <v>113</v>
      </c>
      <c r="H130" s="21">
        <v>4200000</v>
      </c>
      <c r="I130" s="30" t="s">
        <v>114</v>
      </c>
    </row>
    <row r="131" spans="1:30" s="6" customFormat="1" ht="25.5" customHeight="1" x14ac:dyDescent="0.35">
      <c r="A131" s="17" t="s">
        <v>282</v>
      </c>
      <c r="B131" s="22" t="s">
        <v>300</v>
      </c>
      <c r="C131" s="15" t="s">
        <v>109</v>
      </c>
      <c r="D131" s="16" t="s">
        <v>110</v>
      </c>
      <c r="E131" s="16" t="s">
        <v>116</v>
      </c>
      <c r="F131" s="16" t="s">
        <v>148</v>
      </c>
      <c r="G131" s="16" t="s">
        <v>113</v>
      </c>
      <c r="H131" s="20">
        <v>2400000</v>
      </c>
      <c r="I131" s="30" t="s">
        <v>114</v>
      </c>
    </row>
    <row r="132" spans="1:30" s="6" customFormat="1" ht="56.25" customHeight="1" x14ac:dyDescent="0.35">
      <c r="A132" s="17" t="s">
        <v>282</v>
      </c>
      <c r="B132" s="23" t="s">
        <v>301</v>
      </c>
      <c r="C132" s="15" t="s">
        <v>109</v>
      </c>
      <c r="D132" s="16" t="s">
        <v>110</v>
      </c>
      <c r="E132" s="16" t="s">
        <v>116</v>
      </c>
      <c r="F132" s="16" t="s">
        <v>148</v>
      </c>
      <c r="G132" s="16" t="s">
        <v>113</v>
      </c>
      <c r="H132" s="21">
        <v>3600000</v>
      </c>
      <c r="I132" s="30" t="s">
        <v>114</v>
      </c>
    </row>
    <row r="133" spans="1:30" s="6" customFormat="1" ht="36.75" customHeight="1" x14ac:dyDescent="0.35">
      <c r="A133" s="17" t="s">
        <v>282</v>
      </c>
      <c r="B133" s="22" t="s">
        <v>302</v>
      </c>
      <c r="C133" s="15" t="s">
        <v>109</v>
      </c>
      <c r="D133" s="16" t="s">
        <v>110</v>
      </c>
      <c r="E133" s="16" t="s">
        <v>116</v>
      </c>
      <c r="F133" s="16" t="s">
        <v>303</v>
      </c>
      <c r="G133" s="16" t="s">
        <v>113</v>
      </c>
      <c r="H133" s="20">
        <v>4800000</v>
      </c>
      <c r="I133" s="30" t="s">
        <v>114</v>
      </c>
    </row>
    <row r="134" spans="1:30" s="6" customFormat="1" ht="40.5" customHeight="1" x14ac:dyDescent="0.35">
      <c r="A134" s="17" t="s">
        <v>282</v>
      </c>
      <c r="B134" s="25" t="s">
        <v>304</v>
      </c>
      <c r="C134" s="15" t="s">
        <v>109</v>
      </c>
      <c r="D134" s="16" t="s">
        <v>110</v>
      </c>
      <c r="E134" s="16" t="s">
        <v>111</v>
      </c>
      <c r="F134" s="16" t="s">
        <v>148</v>
      </c>
      <c r="G134" s="16" t="s">
        <v>113</v>
      </c>
      <c r="H134" s="21">
        <v>3000000</v>
      </c>
      <c r="I134" s="30" t="s">
        <v>114</v>
      </c>
    </row>
    <row r="135" spans="1:30" s="55" customFormat="1" ht="44.25" customHeight="1" x14ac:dyDescent="0.35">
      <c r="A135" s="46" t="s">
        <v>282</v>
      </c>
      <c r="B135" s="52" t="s">
        <v>305</v>
      </c>
      <c r="C135" s="47" t="s">
        <v>109</v>
      </c>
      <c r="D135" s="51" t="s">
        <v>110</v>
      </c>
      <c r="E135" s="51" t="s">
        <v>116</v>
      </c>
      <c r="F135" s="51" t="s">
        <v>148</v>
      </c>
      <c r="G135" s="51" t="s">
        <v>113</v>
      </c>
      <c r="H135" s="53">
        <v>480000</v>
      </c>
      <c r="I135" s="31" t="s">
        <v>125</v>
      </c>
      <c r="J135" s="57"/>
      <c r="K135" s="57"/>
      <c r="L135" s="57"/>
      <c r="M135" s="57"/>
      <c r="N135" s="57"/>
      <c r="O135" s="57"/>
      <c r="P135" s="57"/>
      <c r="Q135" s="57"/>
      <c r="R135" s="57"/>
      <c r="S135" s="57"/>
      <c r="T135" s="57"/>
      <c r="U135" s="57"/>
      <c r="V135" s="57"/>
      <c r="W135" s="57"/>
      <c r="X135" s="57"/>
      <c r="Y135" s="57"/>
      <c r="Z135" s="57"/>
      <c r="AA135" s="57"/>
      <c r="AB135" s="57"/>
      <c r="AC135" s="57"/>
      <c r="AD135" s="57"/>
    </row>
    <row r="136" spans="1:30" s="55" customFormat="1" ht="36" customHeight="1" x14ac:dyDescent="0.35">
      <c r="A136" s="46" t="s">
        <v>282</v>
      </c>
      <c r="B136" s="52" t="s">
        <v>306</v>
      </c>
      <c r="C136" s="47" t="s">
        <v>109</v>
      </c>
      <c r="D136" s="51" t="s">
        <v>110</v>
      </c>
      <c r="E136" s="51" t="s">
        <v>116</v>
      </c>
      <c r="F136" s="51" t="s">
        <v>148</v>
      </c>
      <c r="G136" s="51" t="s">
        <v>113</v>
      </c>
      <c r="H136" s="53">
        <v>1200000</v>
      </c>
      <c r="I136" s="102" t="s">
        <v>114</v>
      </c>
      <c r="J136" s="54"/>
      <c r="K136" s="54"/>
      <c r="L136" s="54"/>
      <c r="M136" s="54"/>
      <c r="N136" s="54"/>
      <c r="O136" s="54"/>
      <c r="P136" s="54"/>
      <c r="Q136" s="54"/>
      <c r="R136" s="54"/>
      <c r="S136" s="54"/>
      <c r="T136" s="54"/>
      <c r="U136" s="54"/>
      <c r="V136" s="54"/>
    </row>
    <row r="137" spans="1:30" s="55" customFormat="1" ht="51.75" customHeight="1" x14ac:dyDescent="0.35">
      <c r="A137" s="46" t="s">
        <v>282</v>
      </c>
      <c r="B137" s="52" t="s">
        <v>307</v>
      </c>
      <c r="C137" s="47" t="s">
        <v>131</v>
      </c>
      <c r="D137" s="51" t="s">
        <v>110</v>
      </c>
      <c r="E137" s="51" t="s">
        <v>116</v>
      </c>
      <c r="F137" s="51" t="s">
        <v>148</v>
      </c>
      <c r="G137" s="51" t="s">
        <v>113</v>
      </c>
      <c r="H137" s="53">
        <v>1200000</v>
      </c>
      <c r="I137" s="102" t="s">
        <v>125</v>
      </c>
      <c r="J137" s="54"/>
      <c r="K137" s="54"/>
      <c r="L137" s="54"/>
      <c r="M137" s="54"/>
      <c r="N137" s="54"/>
      <c r="O137" s="54"/>
      <c r="P137" s="54"/>
      <c r="Q137" s="54"/>
      <c r="R137" s="54"/>
      <c r="S137" s="54"/>
      <c r="T137" s="54"/>
      <c r="U137" s="54"/>
      <c r="V137" s="54"/>
    </row>
    <row r="138" spans="1:30" s="6" customFormat="1" ht="36.75" customHeight="1" x14ac:dyDescent="0.35">
      <c r="A138" s="46" t="s">
        <v>282</v>
      </c>
      <c r="B138" s="52" t="s">
        <v>308</v>
      </c>
      <c r="C138" s="47" t="s">
        <v>109</v>
      </c>
      <c r="D138" s="51" t="s">
        <v>110</v>
      </c>
      <c r="E138" s="51" t="s">
        <v>208</v>
      </c>
      <c r="F138" s="51" t="s">
        <v>148</v>
      </c>
      <c r="G138" s="51" t="s">
        <v>113</v>
      </c>
      <c r="H138" s="53">
        <v>10200000</v>
      </c>
      <c r="I138" s="30" t="s">
        <v>114</v>
      </c>
    </row>
    <row r="139" spans="1:30" s="6" customFormat="1" ht="26.25" customHeight="1" x14ac:dyDescent="0.35">
      <c r="A139" s="46" t="s">
        <v>282</v>
      </c>
      <c r="B139" s="52" t="s">
        <v>309</v>
      </c>
      <c r="C139" s="47" t="s">
        <v>131</v>
      </c>
      <c r="D139" s="51" t="s">
        <v>110</v>
      </c>
      <c r="E139" s="51" t="s">
        <v>116</v>
      </c>
      <c r="F139" s="51" t="s">
        <v>148</v>
      </c>
      <c r="G139" s="49" t="s">
        <v>120</v>
      </c>
      <c r="H139" s="53">
        <v>1800000</v>
      </c>
      <c r="I139" s="30" t="s">
        <v>125</v>
      </c>
    </row>
    <row r="140" spans="1:30" s="6" customFormat="1" ht="42.75" customHeight="1" x14ac:dyDescent="0.35">
      <c r="A140" s="17" t="s">
        <v>282</v>
      </c>
      <c r="B140" s="26" t="s">
        <v>310</v>
      </c>
      <c r="C140" s="15" t="s">
        <v>109</v>
      </c>
      <c r="D140" s="16" t="s">
        <v>110</v>
      </c>
      <c r="E140" s="16" t="s">
        <v>116</v>
      </c>
      <c r="F140" s="16" t="s">
        <v>148</v>
      </c>
      <c r="G140" s="13" t="s">
        <v>120</v>
      </c>
      <c r="H140" s="21">
        <v>2400000</v>
      </c>
      <c r="I140" s="30" t="s">
        <v>114</v>
      </c>
    </row>
    <row r="141" spans="1:30" s="6" customFormat="1" ht="36" customHeight="1" x14ac:dyDescent="0.35">
      <c r="A141" s="46" t="s">
        <v>282</v>
      </c>
      <c r="B141" s="52" t="s">
        <v>311</v>
      </c>
      <c r="C141" s="47" t="s">
        <v>109</v>
      </c>
      <c r="D141" s="51" t="s">
        <v>110</v>
      </c>
      <c r="E141" s="51" t="s">
        <v>208</v>
      </c>
      <c r="F141" s="51" t="s">
        <v>148</v>
      </c>
      <c r="G141" s="51" t="s">
        <v>113</v>
      </c>
      <c r="H141" s="53">
        <v>4800000</v>
      </c>
      <c r="I141" s="30" t="s">
        <v>114</v>
      </c>
    </row>
    <row r="142" spans="1:30" s="6" customFormat="1" ht="29.25" customHeight="1" x14ac:dyDescent="0.35">
      <c r="A142" s="17" t="s">
        <v>282</v>
      </c>
      <c r="B142" s="26" t="s">
        <v>312</v>
      </c>
      <c r="C142" s="15" t="s">
        <v>109</v>
      </c>
      <c r="D142" s="16" t="s">
        <v>110</v>
      </c>
      <c r="E142" s="16" t="s">
        <v>116</v>
      </c>
      <c r="F142" s="16" t="s">
        <v>148</v>
      </c>
      <c r="G142" s="16" t="s">
        <v>113</v>
      </c>
      <c r="H142" s="21">
        <v>5400000</v>
      </c>
      <c r="I142" s="30" t="s">
        <v>114</v>
      </c>
    </row>
    <row r="143" spans="1:30" s="6" customFormat="1" ht="33" customHeight="1" x14ac:dyDescent="0.35">
      <c r="A143" s="17" t="s">
        <v>282</v>
      </c>
      <c r="B143" s="23" t="s">
        <v>313</v>
      </c>
      <c r="C143" s="15" t="s">
        <v>109</v>
      </c>
      <c r="D143" s="16" t="s">
        <v>110</v>
      </c>
      <c r="E143" s="16" t="s">
        <v>116</v>
      </c>
      <c r="F143" s="16" t="s">
        <v>148</v>
      </c>
      <c r="G143" s="13" t="s">
        <v>120</v>
      </c>
      <c r="H143" s="20">
        <v>3600000</v>
      </c>
      <c r="I143" s="30" t="s">
        <v>114</v>
      </c>
    </row>
    <row r="144" spans="1:30" s="6" customFormat="1" ht="34.5" customHeight="1" x14ac:dyDescent="0.35">
      <c r="A144" s="46" t="s">
        <v>282</v>
      </c>
      <c r="B144" s="56" t="s">
        <v>314</v>
      </c>
      <c r="C144" s="47" t="s">
        <v>109</v>
      </c>
      <c r="D144" s="51" t="s">
        <v>110</v>
      </c>
      <c r="E144" s="51" t="s">
        <v>116</v>
      </c>
      <c r="F144" s="51" t="s">
        <v>148</v>
      </c>
      <c r="G144" s="49" t="s">
        <v>120</v>
      </c>
      <c r="H144" s="53">
        <v>1400000</v>
      </c>
      <c r="I144" s="30" t="s">
        <v>114</v>
      </c>
    </row>
    <row r="145" spans="1:22" s="6" customFormat="1" ht="37.5" customHeight="1" x14ac:dyDescent="0.35">
      <c r="A145" s="17" t="s">
        <v>282</v>
      </c>
      <c r="B145" s="23" t="s">
        <v>315</v>
      </c>
      <c r="C145" s="15" t="s">
        <v>109</v>
      </c>
      <c r="D145" s="16" t="s">
        <v>110</v>
      </c>
      <c r="E145" s="16" t="s">
        <v>116</v>
      </c>
      <c r="F145" s="16" t="s">
        <v>148</v>
      </c>
      <c r="G145" s="13" t="s">
        <v>120</v>
      </c>
      <c r="H145" s="21">
        <v>210000</v>
      </c>
      <c r="I145" s="30" t="s">
        <v>125</v>
      </c>
    </row>
    <row r="146" spans="1:22" s="6" customFormat="1" ht="42" customHeight="1" x14ac:dyDescent="0.35">
      <c r="A146" s="17" t="s">
        <v>316</v>
      </c>
      <c r="B146" s="25" t="s">
        <v>317</v>
      </c>
      <c r="C146" s="13" t="s">
        <v>131</v>
      </c>
      <c r="D146" s="14" t="s">
        <v>110</v>
      </c>
      <c r="E146" s="44" t="s">
        <v>116</v>
      </c>
      <c r="F146" s="13" t="s">
        <v>318</v>
      </c>
      <c r="G146" s="13" t="s">
        <v>120</v>
      </c>
      <c r="H146" s="95">
        <v>250000</v>
      </c>
      <c r="I146" s="19" t="s">
        <v>125</v>
      </c>
    </row>
    <row r="147" spans="1:22" s="55" customFormat="1" ht="68.25" customHeight="1" x14ac:dyDescent="0.35">
      <c r="A147" s="46" t="s">
        <v>316</v>
      </c>
      <c r="B147" s="46" t="s">
        <v>319</v>
      </c>
      <c r="C147" s="49" t="s">
        <v>131</v>
      </c>
      <c r="D147" s="48" t="s">
        <v>110</v>
      </c>
      <c r="E147" s="80" t="s">
        <v>116</v>
      </c>
      <c r="F147" s="49" t="s">
        <v>318</v>
      </c>
      <c r="G147" s="49" t="s">
        <v>113</v>
      </c>
      <c r="H147" s="103">
        <v>753940</v>
      </c>
      <c r="I147" s="49" t="s">
        <v>125</v>
      </c>
      <c r="J147" s="54"/>
      <c r="K147" s="54"/>
      <c r="L147" s="54"/>
      <c r="M147" s="54"/>
      <c r="N147" s="54"/>
      <c r="O147" s="54"/>
      <c r="P147" s="54"/>
      <c r="Q147" s="54"/>
      <c r="R147" s="54"/>
      <c r="S147" s="54"/>
      <c r="T147" s="54"/>
      <c r="U147" s="54"/>
      <c r="V147" s="54"/>
    </row>
    <row r="148" spans="1:22" s="6" customFormat="1" ht="51" customHeight="1" x14ac:dyDescent="0.35">
      <c r="A148" s="17" t="s">
        <v>316</v>
      </c>
      <c r="B148" s="18" t="s">
        <v>320</v>
      </c>
      <c r="C148" s="13" t="s">
        <v>131</v>
      </c>
      <c r="D148" s="14" t="s">
        <v>110</v>
      </c>
      <c r="E148" s="12" t="s">
        <v>116</v>
      </c>
      <c r="F148" s="13" t="s">
        <v>318</v>
      </c>
      <c r="G148" s="13" t="s">
        <v>120</v>
      </c>
      <c r="H148" s="104">
        <v>250000</v>
      </c>
      <c r="I148" s="19" t="s">
        <v>125</v>
      </c>
    </row>
    <row r="149" spans="1:22" s="6" customFormat="1" ht="63.75" customHeight="1" x14ac:dyDescent="0.35">
      <c r="A149" s="17" t="s">
        <v>316</v>
      </c>
      <c r="B149" s="18" t="s">
        <v>321</v>
      </c>
      <c r="C149" s="13" t="s">
        <v>131</v>
      </c>
      <c r="D149" s="14" t="s">
        <v>110</v>
      </c>
      <c r="E149" s="12" t="s">
        <v>116</v>
      </c>
      <c r="F149" s="13" t="s">
        <v>318</v>
      </c>
      <c r="G149" s="13" t="s">
        <v>120</v>
      </c>
      <c r="H149" s="104">
        <v>600000</v>
      </c>
      <c r="I149" s="19" t="s">
        <v>125</v>
      </c>
    </row>
    <row r="150" spans="1:22" s="6" customFormat="1" ht="62.25" customHeight="1" x14ac:dyDescent="0.35">
      <c r="A150" s="17" t="s">
        <v>316</v>
      </c>
      <c r="B150" s="18" t="s">
        <v>322</v>
      </c>
      <c r="C150" s="13" t="s">
        <v>131</v>
      </c>
      <c r="D150" s="14" t="s">
        <v>110</v>
      </c>
      <c r="E150" s="12" t="s">
        <v>116</v>
      </c>
      <c r="F150" s="13" t="s">
        <v>318</v>
      </c>
      <c r="G150" s="13" t="s">
        <v>120</v>
      </c>
      <c r="H150" s="104">
        <v>600000</v>
      </c>
      <c r="I150" s="19" t="s">
        <v>125</v>
      </c>
    </row>
    <row r="151" spans="1:22" s="6" customFormat="1" ht="54" customHeight="1" x14ac:dyDescent="0.35">
      <c r="A151" s="17" t="s">
        <v>316</v>
      </c>
      <c r="B151" s="39" t="s">
        <v>323</v>
      </c>
      <c r="C151" s="13" t="s">
        <v>131</v>
      </c>
      <c r="D151" s="14" t="s">
        <v>110</v>
      </c>
      <c r="E151" s="12" t="s">
        <v>116</v>
      </c>
      <c r="F151" s="13" t="s">
        <v>318</v>
      </c>
      <c r="G151" s="13" t="s">
        <v>120</v>
      </c>
      <c r="H151" s="104">
        <v>600000</v>
      </c>
      <c r="I151" s="19" t="s">
        <v>125</v>
      </c>
    </row>
    <row r="152" spans="1:22" s="55" customFormat="1" ht="46.5" customHeight="1" x14ac:dyDescent="0.35">
      <c r="A152" s="46" t="s">
        <v>316</v>
      </c>
      <c r="B152" s="56" t="s">
        <v>324</v>
      </c>
      <c r="C152" s="49" t="s">
        <v>131</v>
      </c>
      <c r="D152" s="48" t="s">
        <v>110</v>
      </c>
      <c r="E152" s="81" t="s">
        <v>165</v>
      </c>
      <c r="F152" s="49" t="s">
        <v>318</v>
      </c>
      <c r="G152" s="49" t="s">
        <v>120</v>
      </c>
      <c r="H152" s="103">
        <v>51000</v>
      </c>
      <c r="I152" s="49" t="s">
        <v>125</v>
      </c>
      <c r="J152" s="54"/>
      <c r="K152" s="54"/>
      <c r="L152" s="54"/>
      <c r="M152" s="54"/>
      <c r="N152" s="54"/>
      <c r="O152" s="54"/>
      <c r="P152" s="54"/>
      <c r="Q152" s="54"/>
      <c r="R152" s="54"/>
      <c r="S152" s="54"/>
      <c r="T152" s="54"/>
      <c r="U152" s="54"/>
      <c r="V152" s="54"/>
    </row>
    <row r="153" spans="1:22" s="6" customFormat="1" ht="38.25" customHeight="1" x14ac:dyDescent="0.35">
      <c r="A153" s="17" t="s">
        <v>316</v>
      </c>
      <c r="B153" s="39" t="s">
        <v>325</v>
      </c>
      <c r="C153" s="13" t="s">
        <v>131</v>
      </c>
      <c r="D153" s="14" t="s">
        <v>110</v>
      </c>
      <c r="E153" s="28" t="s">
        <v>116</v>
      </c>
      <c r="F153" s="13" t="s">
        <v>318</v>
      </c>
      <c r="G153" s="13" t="s">
        <v>326</v>
      </c>
      <c r="H153" s="104">
        <v>350000</v>
      </c>
      <c r="I153" s="19" t="s">
        <v>114</v>
      </c>
    </row>
    <row r="154" spans="1:22" s="6" customFormat="1" ht="45" customHeight="1" x14ac:dyDescent="0.35">
      <c r="A154" s="17" t="s">
        <v>316</v>
      </c>
      <c r="B154" s="18" t="s">
        <v>327</v>
      </c>
      <c r="C154" s="13" t="s">
        <v>131</v>
      </c>
      <c r="D154" s="14" t="s">
        <v>110</v>
      </c>
      <c r="E154" s="28" t="s">
        <v>116</v>
      </c>
      <c r="F154" s="13" t="s">
        <v>318</v>
      </c>
      <c r="G154" s="13" t="s">
        <v>120</v>
      </c>
      <c r="H154" s="95">
        <v>400000</v>
      </c>
      <c r="I154" s="19" t="s">
        <v>114</v>
      </c>
    </row>
    <row r="155" spans="1:22" s="6" customFormat="1" ht="38.25" customHeight="1" x14ac:dyDescent="0.35">
      <c r="A155" s="17" t="s">
        <v>316</v>
      </c>
      <c r="B155" s="18" t="s">
        <v>328</v>
      </c>
      <c r="C155" s="13" t="s">
        <v>131</v>
      </c>
      <c r="D155" s="14" t="s">
        <v>110</v>
      </c>
      <c r="E155" s="12" t="s">
        <v>116</v>
      </c>
      <c r="F155" s="13" t="s">
        <v>318</v>
      </c>
      <c r="G155" s="13" t="s">
        <v>120</v>
      </c>
      <c r="H155" s="104">
        <v>350000</v>
      </c>
      <c r="I155" s="19" t="s">
        <v>125</v>
      </c>
    </row>
    <row r="156" spans="1:22" s="6" customFormat="1" ht="38.25" customHeight="1" x14ac:dyDescent="0.35">
      <c r="A156" s="17" t="s">
        <v>316</v>
      </c>
      <c r="B156" s="18" t="s">
        <v>329</v>
      </c>
      <c r="C156" s="13" t="s">
        <v>131</v>
      </c>
      <c r="D156" s="14" t="s">
        <v>110</v>
      </c>
      <c r="E156" s="12" t="s">
        <v>116</v>
      </c>
      <c r="F156" s="13" t="s">
        <v>318</v>
      </c>
      <c r="G156" s="13" t="s">
        <v>113</v>
      </c>
      <c r="H156" s="104">
        <v>500000</v>
      </c>
      <c r="I156" s="19" t="s">
        <v>125</v>
      </c>
    </row>
    <row r="157" spans="1:22" s="6" customFormat="1" ht="38.25" customHeight="1" x14ac:dyDescent="0.35">
      <c r="A157" s="17" t="s">
        <v>316</v>
      </c>
      <c r="B157" s="18" t="s">
        <v>330</v>
      </c>
      <c r="C157" s="13" t="s">
        <v>131</v>
      </c>
      <c r="D157" s="14" t="s">
        <v>110</v>
      </c>
      <c r="E157" s="12" t="s">
        <v>116</v>
      </c>
      <c r="F157" s="13" t="s">
        <v>318</v>
      </c>
      <c r="G157" s="13" t="s">
        <v>120</v>
      </c>
      <c r="H157" s="104">
        <v>300000</v>
      </c>
      <c r="I157" s="19" t="s">
        <v>114</v>
      </c>
    </row>
    <row r="158" spans="1:22" s="6" customFormat="1" ht="38.25" customHeight="1" x14ac:dyDescent="0.35">
      <c r="A158" s="17" t="s">
        <v>316</v>
      </c>
      <c r="B158" s="18" t="s">
        <v>331</v>
      </c>
      <c r="C158" s="13" t="s">
        <v>131</v>
      </c>
      <c r="D158" s="14" t="s">
        <v>110</v>
      </c>
      <c r="E158" s="12" t="s">
        <v>116</v>
      </c>
      <c r="F158" s="13" t="s">
        <v>318</v>
      </c>
      <c r="G158" s="13" t="s">
        <v>120</v>
      </c>
      <c r="H158" s="104">
        <v>450000</v>
      </c>
      <c r="I158" s="19" t="s">
        <v>114</v>
      </c>
    </row>
    <row r="159" spans="1:22" ht="63.75" customHeight="1" x14ac:dyDescent="0.35">
      <c r="A159" s="17" t="s">
        <v>332</v>
      </c>
      <c r="B159" s="17" t="s">
        <v>333</v>
      </c>
      <c r="C159" s="13" t="s">
        <v>131</v>
      </c>
      <c r="D159" s="14" t="s">
        <v>110</v>
      </c>
      <c r="E159" s="13" t="s">
        <v>116</v>
      </c>
      <c r="F159" s="13" t="s">
        <v>148</v>
      </c>
      <c r="G159" s="13" t="s">
        <v>334</v>
      </c>
      <c r="H159" s="105">
        <v>1800000</v>
      </c>
      <c r="I159" s="19" t="s">
        <v>114</v>
      </c>
    </row>
    <row r="160" spans="1:22" ht="63.75" customHeight="1" x14ac:dyDescent="0.35">
      <c r="A160" s="17" t="s">
        <v>332</v>
      </c>
      <c r="B160" s="17" t="s">
        <v>335</v>
      </c>
      <c r="C160" s="13" t="s">
        <v>131</v>
      </c>
      <c r="D160" s="14" t="s">
        <v>110</v>
      </c>
      <c r="E160" s="13" t="s">
        <v>116</v>
      </c>
      <c r="F160" s="13" t="s">
        <v>148</v>
      </c>
      <c r="G160" s="19" t="s">
        <v>113</v>
      </c>
      <c r="H160" s="105">
        <v>750000</v>
      </c>
      <c r="I160" s="19" t="s">
        <v>114</v>
      </c>
    </row>
    <row r="161" spans="1:9" ht="102" customHeight="1" x14ac:dyDescent="0.35">
      <c r="A161" s="17" t="s">
        <v>332</v>
      </c>
      <c r="B161" s="17" t="s">
        <v>336</v>
      </c>
      <c r="C161" s="13" t="s">
        <v>131</v>
      </c>
      <c r="D161" s="14" t="s">
        <v>110</v>
      </c>
      <c r="E161" s="13" t="s">
        <v>116</v>
      </c>
      <c r="F161" s="13" t="s">
        <v>148</v>
      </c>
      <c r="G161" s="19" t="s">
        <v>113</v>
      </c>
      <c r="H161" s="105">
        <v>850000</v>
      </c>
      <c r="I161" s="19" t="s">
        <v>114</v>
      </c>
    </row>
    <row r="162" spans="1:9" ht="116.25" customHeight="1" x14ac:dyDescent="0.35">
      <c r="A162" s="17" t="s">
        <v>332</v>
      </c>
      <c r="B162" s="17" t="s">
        <v>337</v>
      </c>
      <c r="C162" s="13" t="s">
        <v>131</v>
      </c>
      <c r="D162" s="14" t="s">
        <v>110</v>
      </c>
      <c r="E162" s="13" t="s">
        <v>165</v>
      </c>
      <c r="F162" s="13" t="s">
        <v>148</v>
      </c>
      <c r="G162" s="19" t="s">
        <v>113</v>
      </c>
      <c r="H162" s="105">
        <v>800000</v>
      </c>
      <c r="I162" s="19" t="s">
        <v>114</v>
      </c>
    </row>
    <row r="163" spans="1:9" ht="51" customHeight="1" x14ac:dyDescent="0.35">
      <c r="A163" s="17" t="s">
        <v>332</v>
      </c>
      <c r="B163" s="17" t="s">
        <v>338</v>
      </c>
      <c r="C163" s="13" t="s">
        <v>131</v>
      </c>
      <c r="D163" s="14" t="s">
        <v>110</v>
      </c>
      <c r="E163" s="13" t="s">
        <v>165</v>
      </c>
      <c r="F163" s="13" t="s">
        <v>148</v>
      </c>
      <c r="G163" s="19" t="s">
        <v>113</v>
      </c>
      <c r="H163" s="105">
        <v>450000</v>
      </c>
      <c r="I163" s="19" t="s">
        <v>114</v>
      </c>
    </row>
    <row r="164" spans="1:9" ht="56.25" customHeight="1" x14ac:dyDescent="0.35">
      <c r="A164" s="40" t="s">
        <v>332</v>
      </c>
      <c r="B164" s="40" t="s">
        <v>339</v>
      </c>
      <c r="C164" s="41" t="s">
        <v>131</v>
      </c>
      <c r="D164" s="42" t="s">
        <v>110</v>
      </c>
      <c r="E164" s="41" t="s">
        <v>165</v>
      </c>
      <c r="F164" s="41" t="s">
        <v>148</v>
      </c>
      <c r="G164" s="43" t="s">
        <v>113</v>
      </c>
      <c r="H164" s="106">
        <v>200000</v>
      </c>
      <c r="I164" s="43" t="s">
        <v>114</v>
      </c>
    </row>
    <row r="165" spans="1:9" ht="30.75" customHeight="1" x14ac:dyDescent="0.35">
      <c r="A165" s="17" t="s">
        <v>340</v>
      </c>
      <c r="B165" s="17" t="s">
        <v>341</v>
      </c>
      <c r="C165" s="13" t="s">
        <v>131</v>
      </c>
      <c r="D165" s="14" t="s">
        <v>110</v>
      </c>
      <c r="E165" s="13" t="s">
        <v>116</v>
      </c>
      <c r="F165" s="13" t="s">
        <v>148</v>
      </c>
      <c r="G165" s="19" t="s">
        <v>120</v>
      </c>
      <c r="H165" s="105">
        <v>60000</v>
      </c>
      <c r="I165" s="19" t="s">
        <v>125</v>
      </c>
    </row>
    <row r="166" spans="1:9" ht="34.5" customHeight="1" x14ac:dyDescent="0.35">
      <c r="A166" s="17" t="s">
        <v>342</v>
      </c>
      <c r="B166" s="18" t="s">
        <v>343</v>
      </c>
      <c r="C166" s="13" t="s">
        <v>109</v>
      </c>
      <c r="D166" s="14" t="s">
        <v>110</v>
      </c>
      <c r="E166" s="12" t="s">
        <v>116</v>
      </c>
      <c r="F166" s="13" t="s">
        <v>226</v>
      </c>
      <c r="G166" s="13" t="s">
        <v>113</v>
      </c>
      <c r="H166" s="105">
        <v>300000</v>
      </c>
      <c r="I166" s="19" t="s">
        <v>114</v>
      </c>
    </row>
    <row r="167" spans="1:9" ht="34.5" customHeight="1" x14ac:dyDescent="0.35">
      <c r="A167" s="17" t="s">
        <v>342</v>
      </c>
      <c r="B167" s="18" t="s">
        <v>344</v>
      </c>
      <c r="C167" s="13" t="s">
        <v>109</v>
      </c>
      <c r="D167" s="14" t="s">
        <v>110</v>
      </c>
      <c r="E167" s="12" t="s">
        <v>116</v>
      </c>
      <c r="F167" s="13" t="s">
        <v>226</v>
      </c>
      <c r="G167" s="13" t="s">
        <v>113</v>
      </c>
      <c r="H167" s="105">
        <v>300000</v>
      </c>
      <c r="I167" s="19" t="s">
        <v>114</v>
      </c>
    </row>
    <row r="168" spans="1:9" s="59" customFormat="1" ht="51" customHeight="1" x14ac:dyDescent="0.35">
      <c r="A168" s="58" t="s">
        <v>282</v>
      </c>
      <c r="B168" s="58" t="s">
        <v>345</v>
      </c>
      <c r="C168" s="58" t="s">
        <v>109</v>
      </c>
      <c r="D168" s="58" t="s">
        <v>110</v>
      </c>
      <c r="E168" s="58" t="s">
        <v>116</v>
      </c>
      <c r="F168" s="58" t="s">
        <v>148</v>
      </c>
      <c r="G168" s="58" t="s">
        <v>113</v>
      </c>
      <c r="H168" s="58">
        <v>8948880</v>
      </c>
      <c r="I168" s="107" t="s">
        <v>114</v>
      </c>
    </row>
    <row r="169" spans="1:9" ht="25.5" customHeight="1" x14ac:dyDescent="0.35">
      <c r="A169" s="58" t="s">
        <v>282</v>
      </c>
      <c r="B169" s="58" t="s">
        <v>54</v>
      </c>
      <c r="C169" s="58" t="s">
        <v>109</v>
      </c>
      <c r="D169" s="58" t="s">
        <v>110</v>
      </c>
      <c r="E169" s="58" t="s">
        <v>116</v>
      </c>
      <c r="F169" s="58" t="s">
        <v>148</v>
      </c>
      <c r="G169" s="58" t="s">
        <v>113</v>
      </c>
      <c r="H169" s="60">
        <v>291156</v>
      </c>
      <c r="I169" s="19" t="s">
        <v>114</v>
      </c>
    </row>
  </sheetData>
  <autoFilter ref="A9:AD169" xr:uid="{00000000-0009-0000-0000-000001000000}"/>
  <mergeCells count="2">
    <mergeCell ref="A2:H8"/>
    <mergeCell ref="A1:H1"/>
  </mergeCells>
  <conditionalFormatting sqref="B94">
    <cfRule type="expression" dxfId="7" priority="14">
      <formula>IF(#REF!=NA,1,0)</formula>
    </cfRule>
  </conditionalFormatting>
  <conditionalFormatting sqref="B95">
    <cfRule type="expression" dxfId="6" priority="16">
      <formula>IF(#REF!=NA,1,0)</formula>
    </cfRule>
  </conditionalFormatting>
  <conditionalFormatting sqref="B96">
    <cfRule type="expression" dxfId="5" priority="15">
      <formula>IF(#REF!=NA,1,0)</formula>
    </cfRule>
  </conditionalFormatting>
  <conditionalFormatting sqref="B94:B96">
    <cfRule type="expression" dxfId="4" priority="27">
      <formula>IF(OR(#REF!=INF,#REF!=ANN),1,0)</formula>
    </cfRule>
  </conditionalFormatting>
  <conditionalFormatting sqref="H121:H126">
    <cfRule type="expression" dxfId="3" priority="5">
      <formula>IF(#REF!=NA,1,0)</formula>
    </cfRule>
  </conditionalFormatting>
  <conditionalFormatting sqref="H127">
    <cfRule type="expression" dxfId="2" priority="7">
      <formula>IF(#REF!=NA,1,0)</formula>
    </cfRule>
  </conditionalFormatting>
  <conditionalFormatting sqref="H128">
    <cfRule type="expression" dxfId="1" priority="6">
      <formula>IF(#REF!=NA,1,0)</formula>
    </cfRule>
  </conditionalFormatting>
  <conditionalFormatting sqref="H121:H128">
    <cfRule type="expression" dxfId="0" priority="8">
      <formula>IF(OR($E121=INF,$E121=ANN),1,0)</formula>
    </cfRule>
  </conditionalFormatting>
  <dataValidations count="1">
    <dataValidation type="list" allowBlank="1" showInputMessage="1" showErrorMessage="1" sqref="C10:C12 C34:C35 C39:C45 C103 C107:C108" xr:uid="{00000000-0002-0000-0100-000000000000}">
      <formula1>"Travaux,Fournitures,Services,Etudes"</formula1>
    </dataValidation>
  </dataValidations>
  <printOptions horizontalCentered="1"/>
  <pageMargins left="0.23622047244094491" right="0.19685039370078741" top="0.43307086614173229" bottom="0.39370078740157483" header="0.31496062992125978" footer="0.31496062992125978"/>
  <pageSetup paperSize="9" scale="83" orientation="landscape"/>
  <rowBreaks count="1" manualBreakCount="1">
    <brk id="7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Report 2025 à 2026</vt:lpstr>
      <vt:lpstr>PPM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2006-09-16T00:00:00Z</dcterms:created>
  <dcterms:modified xsi:type="dcterms:W3CDTF">2026-09-04T10:06:43Z</dcterms:modified>
</cp:coreProperties>
</file>