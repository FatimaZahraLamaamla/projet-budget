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jet Budget\"/>
    </mc:Choice>
  </mc:AlternateContent>
  <xr:revisionPtr revIDLastSave="0" documentId="13_ncr:1_{67862528-FD68-4AF4-98DB-D5718F2554EE}" xr6:coauthVersionLast="36" xr6:coauthVersionMax="36" xr10:uidLastSave="{00000000-0000-0000-0000-000000000000}"/>
  <bookViews>
    <workbookView minimized="1" xWindow="0" yWindow="0" windowWidth="14380" windowHeight="3980" tabRatio="500" xr2:uid="{00000000-000D-0000-FFFF-FFFF00000000}"/>
  </bookViews>
  <sheets>
    <sheet name="Fiche Direction" sheetId="1" r:id="rId1"/>
    <sheet name="SUIVI BUDGETAIRE RECAP" sheetId="2" state="hidden" r:id="rId2"/>
    <sheet name="POSTE" sheetId="3" r:id="rId3"/>
    <sheet name="COMPTE" sheetId="4" r:id="rId4"/>
    <sheet name="TV LAAYOUNE" sheetId="5" r:id="rId5"/>
    <sheet name="TDF -SITES" sheetId="6" r:id="rId6"/>
    <sheet name="TDF-EXP&amp;MAIN" sheetId="7" r:id="rId7"/>
    <sheet name="Donnees Consolidees" sheetId="8" r:id="rId8"/>
  </sheets>
  <definedNames>
    <definedName name="_xlnm._FilterDatabase" localSheetId="1" hidden="1">'SUIVI BUDGETAIRE RECAP'!$A$15:$AB$31</definedName>
    <definedName name="_xlnm._FilterDatabase" localSheetId="5" hidden="1">'TDF -SITES'!$A$10:$J$17</definedName>
    <definedName name="_xlnm._FilterDatabase" localSheetId="6" hidden="1">'TDF-EXP&amp;MAIN'!$A$11:$I$18</definedName>
    <definedName name="_xlnm._FilterDatabase" localSheetId="4" hidden="1">'TV LAAYOUNE'!$A$9:$H$24</definedName>
    <definedName name="BNQ" localSheetId="1">#REF!</definedName>
    <definedName name="BNQ" localSheetId="5">#REF!</definedName>
    <definedName name="BNQ" localSheetId="6">#REF!</definedName>
    <definedName name="BNQ" localSheetId="4">#REF!</definedName>
    <definedName name="BNQ">#REF!</definedName>
    <definedName name="CAUTION" localSheetId="1">#REF!</definedName>
    <definedName name="CAUTION" localSheetId="5">#REF!</definedName>
    <definedName name="CAUTION" localSheetId="6">#REF!</definedName>
    <definedName name="CAUTION" localSheetId="4">#REF!</definedName>
    <definedName name="CAUTION">#REF!</definedName>
    <definedName name="CONTRACTANT" localSheetId="1">#REF!</definedName>
    <definedName name="CONTRACTANT" localSheetId="5">#REF!</definedName>
    <definedName name="CONTRACTANT" localSheetId="6">#REF!</definedName>
    <definedName name="CONTRACTANT" localSheetId="4">#REF!</definedName>
    <definedName name="CONTRACTANT">#REF!</definedName>
    <definedName name="DIRECTION" localSheetId="1">#REF!</definedName>
    <definedName name="DIRECTION" localSheetId="5">#REF!</definedName>
    <definedName name="DIRECTION" localSheetId="6">#REF!</definedName>
    <definedName name="DIRECTION" localSheetId="4">#REF!</definedName>
    <definedName name="DIRECTION">#REF!</definedName>
    <definedName name="ECAUTION" localSheetId="1">#REF!</definedName>
    <definedName name="ECAUTION" localSheetId="5">#REF!</definedName>
    <definedName name="ECAUTION" localSheetId="6">#REF!</definedName>
    <definedName name="ECAUTION" localSheetId="4">#REF!</definedName>
    <definedName name="ECAUTION">#REF!</definedName>
    <definedName name="Etat" localSheetId="1">#REF!</definedName>
    <definedName name="Etat" localSheetId="5">#REF!</definedName>
    <definedName name="Etat" localSheetId="6">#REF!</definedName>
    <definedName name="Etat" localSheetId="4">#REF!</definedName>
    <definedName name="Etat">#REF!</definedName>
    <definedName name="MAR21_BDG" localSheetId="1">#REF!</definedName>
    <definedName name="MAR21_BDG" localSheetId="5">#REF!</definedName>
    <definedName name="MAR21_BDG" localSheetId="6">#REF!</definedName>
    <definedName name="MAR21_BDG" localSheetId="4">#REF!</definedName>
    <definedName name="MAR21_BDG">#REF!</definedName>
    <definedName name="MAR21_DIR" localSheetId="1">#REF!</definedName>
    <definedName name="MAR21_DIR" localSheetId="5">#REF!</definedName>
    <definedName name="MAR21_DIR" localSheetId="6">#REF!</definedName>
    <definedName name="MAR21_DIR" localSheetId="4">#REF!</definedName>
    <definedName name="MAR21_DIR">#REF!</definedName>
    <definedName name="MAR21_MNT" localSheetId="1">#REF!</definedName>
    <definedName name="MAR21_MNT" localSheetId="5">#REF!</definedName>
    <definedName name="MAR21_MNT" localSheetId="6">#REF!</definedName>
    <definedName name="MAR21_MNT" localSheetId="4">#REF!</definedName>
    <definedName name="MAR21_MNT">#REF!</definedName>
    <definedName name="MARCHE_ANNE" localSheetId="1">#REF!</definedName>
    <definedName name="MARCHE_ANNE" localSheetId="5">#REF!</definedName>
    <definedName name="MARCHE_ANNE" localSheetId="6">#REF!</definedName>
    <definedName name="MARCHE_ANNE" localSheetId="4">#REF!</definedName>
    <definedName name="MARCHE_ANNE">#REF!</definedName>
    <definedName name="MARCHE_BDG" localSheetId="1">#REF!</definedName>
    <definedName name="MARCHE_BDG" localSheetId="5">#REF!</definedName>
    <definedName name="MARCHE_BDG" localSheetId="6">#REF!</definedName>
    <definedName name="MARCHE_BDG" localSheetId="4">#REF!</definedName>
    <definedName name="MARCHE_BDG">#REF!</definedName>
    <definedName name="MARCHE_BDG1" localSheetId="1">#REF!</definedName>
    <definedName name="MARCHE_BDG1" localSheetId="5">#REF!</definedName>
    <definedName name="MARCHE_BDG1" localSheetId="6">#REF!</definedName>
    <definedName name="MARCHE_BDG1" localSheetId="4">#REF!</definedName>
    <definedName name="MARCHE_BDG1">#REF!</definedName>
    <definedName name="MARCHE_DIRCT" localSheetId="1">#REF!</definedName>
    <definedName name="MARCHE_DIRCT" localSheetId="5">#REF!</definedName>
    <definedName name="MARCHE_DIRCT" localSheetId="6">#REF!</definedName>
    <definedName name="MARCHE_DIRCT" localSheetId="4">#REF!</definedName>
    <definedName name="MARCHE_DIRCT">#REF!</definedName>
    <definedName name="MARCHE_HT" localSheetId="1">#REF!</definedName>
    <definedName name="MARCHE_HT" localSheetId="5">#REF!</definedName>
    <definedName name="MARCHE_HT" localSheetId="6">#REF!</definedName>
    <definedName name="MARCHE_HT" localSheetId="4">#REF!</definedName>
    <definedName name="MARCHE_HT">#REF!</definedName>
    <definedName name="MARCHE_TTC" localSheetId="1">#REF!</definedName>
    <definedName name="MARCHE_TTC" localSheetId="5">#REF!</definedName>
    <definedName name="MARCHE_TTC" localSheetId="6">#REF!</definedName>
    <definedName name="MARCHE_TTC" localSheetId="4">#REF!</definedName>
    <definedName name="MARCHE_TTC">#REF!</definedName>
    <definedName name="NANTI" localSheetId="1">#REF!</definedName>
    <definedName name="NANTI" localSheetId="5">#REF!</definedName>
    <definedName name="NANTI" localSheetId="6">#REF!</definedName>
    <definedName name="NANTI" localSheetId="4">#REF!</definedName>
    <definedName name="NANTI">#REF!</definedName>
    <definedName name="NATURE" localSheetId="1">#REF!</definedName>
    <definedName name="NATURE" localSheetId="5">#REF!</definedName>
    <definedName name="NATURE" localSheetId="6">#REF!</definedName>
    <definedName name="NATURE" localSheetId="4">#REF!</definedName>
    <definedName name="NATURE">#REF!</definedName>
    <definedName name="NATURE1" localSheetId="1">#REF!</definedName>
    <definedName name="NATURE1" localSheetId="5">#REF!</definedName>
    <definedName name="NATURE1" localSheetId="6">#REF!</definedName>
    <definedName name="NATURE1" localSheetId="4">#REF!</definedName>
    <definedName name="NATURE1">#REF!</definedName>
    <definedName name="SNATURE" localSheetId="1">#REF!</definedName>
    <definedName name="SNATURE" localSheetId="5">#REF!</definedName>
    <definedName name="SNATURE" localSheetId="6">#REF!</definedName>
    <definedName name="SNATURE" localSheetId="4">#REF!</definedName>
    <definedName name="SNATURE">#REF!</definedName>
    <definedName name="_xlnm.Print_Area" localSheetId="0">'Fiche Direction'!$A$1:$K$16</definedName>
    <definedName name="_xlnm.Print_Area" localSheetId="1">'SUIVI BUDGETAIRE RECAP'!$A$1:$DH$31</definedName>
    <definedName name="_xlnm.Print_Area" localSheetId="5">'TDF -SITES'!$A$1:$L$19</definedName>
    <definedName name="_xlnm.Print_Area" localSheetId="6">'TDF-EXP&amp;MAIN'!$A$1:$K$18</definedName>
    <definedName name="_xlnm.Print_Area" localSheetId="4">'TV LAAYOUNE'!$A$1:$J$23</definedName>
  </definedNames>
  <calcPr calcId="191029" iterateDelta="1E-4"/>
</workbook>
</file>

<file path=xl/calcChain.xml><?xml version="1.0" encoding="utf-8"?>
<calcChain xmlns="http://schemas.openxmlformats.org/spreadsheetml/2006/main">
  <c r="I20" i="8" l="1"/>
  <c r="G20" i="8"/>
  <c r="F20" i="8"/>
  <c r="E20" i="8"/>
  <c r="D20" i="8"/>
  <c r="C20" i="8"/>
  <c r="J19" i="8"/>
  <c r="I19" i="8"/>
  <c r="F19" i="8"/>
  <c r="E19" i="8"/>
  <c r="D19" i="8"/>
  <c r="C19" i="8"/>
  <c r="J18" i="8"/>
  <c r="I18" i="8"/>
  <c r="G18" i="8"/>
  <c r="F18" i="8"/>
  <c r="E18" i="8"/>
  <c r="D18" i="8"/>
  <c r="C18" i="8"/>
  <c r="G17" i="8"/>
  <c r="F17" i="8"/>
  <c r="D17" i="8"/>
  <c r="C17" i="8"/>
  <c r="J16" i="8"/>
  <c r="I16" i="8"/>
  <c r="H16" i="8"/>
  <c r="G16" i="8"/>
  <c r="F16" i="8"/>
  <c r="E16" i="8"/>
  <c r="D16" i="8"/>
  <c r="C16" i="8"/>
  <c r="J15" i="8"/>
  <c r="I15" i="8"/>
  <c r="H15" i="8"/>
  <c r="F15" i="8"/>
  <c r="E15" i="8"/>
  <c r="D15" i="8"/>
  <c r="C15" i="8"/>
  <c r="J14" i="8"/>
  <c r="F14" i="8"/>
  <c r="E14" i="8"/>
  <c r="D14" i="8"/>
  <c r="C14" i="8"/>
  <c r="J13" i="8"/>
  <c r="I13" i="8"/>
  <c r="H13" i="8"/>
  <c r="G13" i="8"/>
  <c r="F13" i="8"/>
  <c r="E13" i="8"/>
  <c r="D13" i="8"/>
  <c r="C13" i="8"/>
  <c r="J12" i="8"/>
  <c r="I12" i="8"/>
  <c r="H12" i="8"/>
  <c r="F12" i="8"/>
  <c r="E12" i="8"/>
  <c r="D12" i="8"/>
  <c r="C12" i="8"/>
  <c r="J11" i="8"/>
  <c r="J15" i="1" s="1"/>
  <c r="I11" i="8"/>
  <c r="I15" i="1" s="1"/>
  <c r="G11" i="8"/>
  <c r="F11" i="8"/>
  <c r="E11" i="8"/>
  <c r="D11" i="8"/>
  <c r="C11" i="8"/>
  <c r="B11" i="8"/>
  <c r="K10" i="8"/>
  <c r="K14" i="1" s="1"/>
  <c r="J10" i="8"/>
  <c r="J14" i="1" s="1"/>
  <c r="I10" i="8"/>
  <c r="G10" i="8"/>
  <c r="F10" i="8"/>
  <c r="E10" i="8"/>
  <c r="D10" i="8"/>
  <c r="C10" i="8"/>
  <c r="B10" i="8"/>
  <c r="K9" i="8"/>
  <c r="K13" i="1" s="1"/>
  <c r="J9" i="8"/>
  <c r="I9" i="8"/>
  <c r="G9" i="8"/>
  <c r="F9" i="8"/>
  <c r="E9" i="8"/>
  <c r="D9" i="8"/>
  <c r="C9" i="8"/>
  <c r="B9" i="8"/>
  <c r="A13" i="1" s="1"/>
  <c r="J8" i="8"/>
  <c r="I8" i="8"/>
  <c r="G8" i="8"/>
  <c r="F8" i="8"/>
  <c r="E8" i="8"/>
  <c r="D8" i="8"/>
  <c r="C8" i="8"/>
  <c r="B12" i="1" s="1"/>
  <c r="B8" i="8"/>
  <c r="J7" i="8"/>
  <c r="I7" i="8"/>
  <c r="G7" i="8"/>
  <c r="F7" i="8"/>
  <c r="E7" i="8"/>
  <c r="E11" i="1" s="1"/>
  <c r="D7" i="8"/>
  <c r="D16" i="1" s="1"/>
  <c r="C7" i="8"/>
  <c r="B7" i="8"/>
  <c r="J6" i="8"/>
  <c r="I6" i="8"/>
  <c r="G6" i="8"/>
  <c r="F6" i="8"/>
  <c r="E6" i="8"/>
  <c r="D6" i="8"/>
  <c r="C6" i="8"/>
  <c r="B6" i="8"/>
  <c r="A10" i="1" s="1"/>
  <c r="J5" i="8"/>
  <c r="I5" i="8"/>
  <c r="G5" i="8"/>
  <c r="F5" i="8"/>
  <c r="F9" i="1" s="1"/>
  <c r="E5" i="8"/>
  <c r="D5" i="8"/>
  <c r="C5" i="8"/>
  <c r="B5" i="8"/>
  <c r="J4" i="8"/>
  <c r="I4" i="8"/>
  <c r="G4" i="8"/>
  <c r="G8" i="1" s="1"/>
  <c r="F4" i="8"/>
  <c r="E4" i="8"/>
  <c r="D4" i="8"/>
  <c r="C4" i="8"/>
  <c r="B4" i="8"/>
  <c r="J3" i="8"/>
  <c r="J7" i="1" s="1"/>
  <c r="I3" i="8"/>
  <c r="I16" i="1" s="1"/>
  <c r="G3" i="8"/>
  <c r="F3" i="8"/>
  <c r="E3" i="8"/>
  <c r="E16" i="1" s="1"/>
  <c r="D3" i="8"/>
  <c r="C3" i="8"/>
  <c r="B3" i="8"/>
  <c r="K2" i="8"/>
  <c r="K6" i="1" s="1"/>
  <c r="J2" i="8"/>
  <c r="J16" i="1" s="1"/>
  <c r="I2" i="8"/>
  <c r="G2" i="8"/>
  <c r="F2" i="8"/>
  <c r="F16" i="1" s="1"/>
  <c r="E2" i="8"/>
  <c r="D2" i="8"/>
  <c r="C2" i="8"/>
  <c r="B2" i="8"/>
  <c r="F17" i="7"/>
  <c r="D17" i="7"/>
  <c r="I16" i="7"/>
  <c r="J20" i="8" s="1"/>
  <c r="D16" i="7"/>
  <c r="G15" i="7"/>
  <c r="G17" i="7" s="1"/>
  <c r="K14" i="7"/>
  <c r="K18" i="8" s="1"/>
  <c r="I13" i="7"/>
  <c r="I17" i="7" s="1"/>
  <c r="H13" i="7"/>
  <c r="H17" i="7" s="1"/>
  <c r="E13" i="7"/>
  <c r="E17" i="7" s="1"/>
  <c r="I17" i="6"/>
  <c r="F17" i="6"/>
  <c r="E17" i="6"/>
  <c r="D17" i="6"/>
  <c r="L16" i="6"/>
  <c r="K16" i="8" s="1"/>
  <c r="G15" i="6"/>
  <c r="L15" i="6" s="1"/>
  <c r="K15" i="8" s="1"/>
  <c r="J14" i="6"/>
  <c r="J17" i="6" s="1"/>
  <c r="H14" i="6"/>
  <c r="H17" i="6" s="1"/>
  <c r="G14" i="6"/>
  <c r="L14" i="6" s="1"/>
  <c r="K14" i="8" s="1"/>
  <c r="L13" i="6"/>
  <c r="K13" i="8" s="1"/>
  <c r="G13" i="6"/>
  <c r="G12" i="6"/>
  <c r="G12" i="8" s="1"/>
  <c r="I21" i="5"/>
  <c r="H21" i="5"/>
  <c r="G21" i="5"/>
  <c r="F21" i="5"/>
  <c r="E21" i="5"/>
  <c r="D21" i="5"/>
  <c r="J20" i="5"/>
  <c r="K11" i="8" s="1"/>
  <c r="K15" i="1" s="1"/>
  <c r="J19" i="5"/>
  <c r="J18" i="5"/>
  <c r="J17" i="5"/>
  <c r="K8" i="8" s="1"/>
  <c r="K12" i="1" s="1"/>
  <c r="J16" i="5"/>
  <c r="K7" i="8" s="1"/>
  <c r="K11" i="1" s="1"/>
  <c r="J15" i="5"/>
  <c r="K6" i="8" s="1"/>
  <c r="K10" i="1" s="1"/>
  <c r="J14" i="5"/>
  <c r="K5" i="8" s="1"/>
  <c r="K9" i="1" s="1"/>
  <c r="J13" i="5"/>
  <c r="K4" i="8" s="1"/>
  <c r="K8" i="1" s="1"/>
  <c r="J12" i="5"/>
  <c r="K3" i="8" s="1"/>
  <c r="J11" i="5"/>
  <c r="J21" i="5" s="1"/>
  <c r="AD46" i="4"/>
  <c r="AC46" i="4"/>
  <c r="AB46" i="4"/>
  <c r="AA46" i="4"/>
  <c r="Z46" i="4"/>
  <c r="Y46" i="4"/>
  <c r="X46" i="4"/>
  <c r="W46" i="4"/>
  <c r="V46" i="4"/>
  <c r="U46" i="4"/>
  <c r="T46" i="4"/>
  <c r="S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5" i="4"/>
  <c r="R44" i="4"/>
  <c r="C44" i="4"/>
  <c r="C43" i="4"/>
  <c r="R42" i="4"/>
  <c r="R46" i="4" s="1"/>
  <c r="C42" i="4"/>
  <c r="C41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P19" i="4"/>
  <c r="C19" i="4" s="1"/>
  <c r="C18" i="4"/>
  <c r="C17" i="4"/>
  <c r="C16" i="4"/>
  <c r="U15" i="4"/>
  <c r="C15" i="4" s="1"/>
  <c r="C14" i="4"/>
  <c r="C13" i="4"/>
  <c r="C12" i="4"/>
  <c r="C11" i="4"/>
  <c r="C10" i="4"/>
  <c r="C9" i="4"/>
  <c r="C8" i="4"/>
  <c r="C7" i="4"/>
  <c r="C6" i="4"/>
  <c r="C5" i="4"/>
  <c r="C4" i="4"/>
  <c r="C3" i="4"/>
  <c r="C2" i="4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8" i="3" s="1"/>
  <c r="DH31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Q31" i="2"/>
  <c r="AP31" i="2"/>
  <c r="AO31" i="2"/>
  <c r="AM31" i="2"/>
  <c r="AL31" i="2"/>
  <c r="AK31" i="2"/>
  <c r="AJ31" i="2"/>
  <c r="AI31" i="2"/>
  <c r="AH31" i="2"/>
  <c r="AG31" i="2"/>
  <c r="AE31" i="2"/>
  <c r="AD31" i="2"/>
  <c r="AC31" i="2"/>
  <c r="AA31" i="2"/>
  <c r="Z31" i="2"/>
  <c r="Y31" i="2"/>
  <c r="W31" i="2"/>
  <c r="V31" i="2"/>
  <c r="U31" i="2"/>
  <c r="T31" i="2"/>
  <c r="S31" i="2"/>
  <c r="R31" i="2"/>
  <c r="Q31" i="2"/>
  <c r="O31" i="2"/>
  <c r="N31" i="2"/>
  <c r="M31" i="2"/>
  <c r="K31" i="2"/>
  <c r="J31" i="2"/>
  <c r="I31" i="2"/>
  <c r="D31" i="2"/>
  <c r="AR30" i="2"/>
  <c r="AN30" i="2"/>
  <c r="AJ30" i="2"/>
  <c r="AF30" i="2"/>
  <c r="AB30" i="2"/>
  <c r="X30" i="2"/>
  <c r="T30" i="2"/>
  <c r="P30" i="2"/>
  <c r="L30" i="2"/>
  <c r="G30" i="2" s="1"/>
  <c r="F30" i="2"/>
  <c r="E30" i="2"/>
  <c r="AR29" i="2"/>
  <c r="AN29" i="2"/>
  <c r="AJ29" i="2"/>
  <c r="AF29" i="2"/>
  <c r="AB29" i="2"/>
  <c r="X29" i="2"/>
  <c r="T29" i="2"/>
  <c r="P29" i="2"/>
  <c r="G29" i="2" s="1"/>
  <c r="L29" i="2"/>
  <c r="F29" i="2"/>
  <c r="E29" i="2"/>
  <c r="AR28" i="2"/>
  <c r="AN28" i="2"/>
  <c r="AJ28" i="2"/>
  <c r="AF28" i="2"/>
  <c r="AB28" i="2"/>
  <c r="X28" i="2"/>
  <c r="T28" i="2"/>
  <c r="P28" i="2"/>
  <c r="L28" i="2"/>
  <c r="G28" i="2" s="1"/>
  <c r="F28" i="2"/>
  <c r="E28" i="2"/>
  <c r="AR27" i="2"/>
  <c r="AN27" i="2"/>
  <c r="AJ27" i="2"/>
  <c r="AF27" i="2"/>
  <c r="AB27" i="2"/>
  <c r="X27" i="2"/>
  <c r="T27" i="2"/>
  <c r="P27" i="2"/>
  <c r="G27" i="2" s="1"/>
  <c r="L27" i="2"/>
  <c r="F27" i="2"/>
  <c r="E27" i="2"/>
  <c r="AR26" i="2"/>
  <c r="AN26" i="2"/>
  <c r="AJ26" i="2"/>
  <c r="AF26" i="2"/>
  <c r="AB26" i="2"/>
  <c r="X26" i="2"/>
  <c r="T26" i="2"/>
  <c r="P26" i="2"/>
  <c r="L26" i="2"/>
  <c r="G26" i="2" s="1"/>
  <c r="F26" i="2"/>
  <c r="E26" i="2"/>
  <c r="AR25" i="2"/>
  <c r="AN25" i="2"/>
  <c r="AJ25" i="2"/>
  <c r="AF25" i="2"/>
  <c r="AB25" i="2"/>
  <c r="X25" i="2"/>
  <c r="T25" i="2"/>
  <c r="P25" i="2"/>
  <c r="G25" i="2" s="1"/>
  <c r="L25" i="2"/>
  <c r="F25" i="2"/>
  <c r="E25" i="2"/>
  <c r="AR24" i="2"/>
  <c r="AN24" i="2"/>
  <c r="AJ24" i="2"/>
  <c r="AF24" i="2"/>
  <c r="AB24" i="2"/>
  <c r="X24" i="2"/>
  <c r="T24" i="2"/>
  <c r="P24" i="2"/>
  <c r="L24" i="2"/>
  <c r="G24" i="2" s="1"/>
  <c r="F24" i="2"/>
  <c r="E24" i="2"/>
  <c r="AR23" i="2"/>
  <c r="AN23" i="2"/>
  <c r="AJ23" i="2"/>
  <c r="AF23" i="2"/>
  <c r="AB23" i="2"/>
  <c r="X23" i="2"/>
  <c r="T23" i="2"/>
  <c r="P23" i="2"/>
  <c r="G23" i="2" s="1"/>
  <c r="L23" i="2"/>
  <c r="F23" i="2"/>
  <c r="E23" i="2"/>
  <c r="AR22" i="2"/>
  <c r="AN22" i="2"/>
  <c r="AJ22" i="2"/>
  <c r="AF22" i="2"/>
  <c r="AB22" i="2"/>
  <c r="X22" i="2"/>
  <c r="T22" i="2"/>
  <c r="P22" i="2"/>
  <c r="L22" i="2"/>
  <c r="G22" i="2" s="1"/>
  <c r="F22" i="2"/>
  <c r="E22" i="2"/>
  <c r="AR21" i="2"/>
  <c r="AN21" i="2"/>
  <c r="AJ21" i="2"/>
  <c r="AF21" i="2"/>
  <c r="AB21" i="2"/>
  <c r="X21" i="2"/>
  <c r="T21" i="2"/>
  <c r="P21" i="2"/>
  <c r="G21" i="2" s="1"/>
  <c r="L21" i="2"/>
  <c r="F21" i="2"/>
  <c r="E21" i="2"/>
  <c r="AR20" i="2"/>
  <c r="AN20" i="2"/>
  <c r="AJ20" i="2"/>
  <c r="AF20" i="2"/>
  <c r="AB20" i="2"/>
  <c r="X20" i="2"/>
  <c r="T20" i="2"/>
  <c r="P20" i="2"/>
  <c r="L20" i="2"/>
  <c r="G20" i="2" s="1"/>
  <c r="F20" i="2"/>
  <c r="E20" i="2"/>
  <c r="AR19" i="2"/>
  <c r="AN19" i="2"/>
  <c r="AJ19" i="2"/>
  <c r="AF19" i="2"/>
  <c r="AB19" i="2"/>
  <c r="X19" i="2"/>
  <c r="T19" i="2"/>
  <c r="P19" i="2"/>
  <c r="G19" i="2" s="1"/>
  <c r="L19" i="2"/>
  <c r="F19" i="2"/>
  <c r="E19" i="2"/>
  <c r="AR18" i="2"/>
  <c r="AR31" i="2" s="1"/>
  <c r="AN18" i="2"/>
  <c r="AJ18" i="2"/>
  <c r="AF18" i="2"/>
  <c r="AB18" i="2"/>
  <c r="X18" i="2"/>
  <c r="T18" i="2"/>
  <c r="P18" i="2"/>
  <c r="L18" i="2"/>
  <c r="G18" i="2" s="1"/>
  <c r="F18" i="2"/>
  <c r="E18" i="2"/>
  <c r="AR17" i="2"/>
  <c r="AN17" i="2"/>
  <c r="AN31" i="2" s="1"/>
  <c r="AJ17" i="2"/>
  <c r="AF17" i="2"/>
  <c r="AF31" i="2" s="1"/>
  <c r="AB17" i="2"/>
  <c r="AB31" i="2" s="1"/>
  <c r="X17" i="2"/>
  <c r="X31" i="2" s="1"/>
  <c r="T17" i="2"/>
  <c r="P17" i="2"/>
  <c r="P31" i="2" s="1"/>
  <c r="L17" i="2"/>
  <c r="F17" i="2"/>
  <c r="F31" i="2" s="1"/>
  <c r="E17" i="2"/>
  <c r="E31" i="2" s="1"/>
  <c r="H16" i="1"/>
  <c r="H15" i="1"/>
  <c r="G15" i="1"/>
  <c r="F15" i="1"/>
  <c r="E15" i="1"/>
  <c r="D15" i="1"/>
  <c r="B15" i="1"/>
  <c r="A15" i="1"/>
  <c r="I14" i="1"/>
  <c r="H14" i="1"/>
  <c r="G14" i="1"/>
  <c r="F14" i="1"/>
  <c r="E14" i="1"/>
  <c r="D14" i="1"/>
  <c r="B14" i="1"/>
  <c r="A14" i="1"/>
  <c r="J13" i="1"/>
  <c r="I13" i="1"/>
  <c r="H13" i="1"/>
  <c r="G13" i="1"/>
  <c r="F13" i="1"/>
  <c r="E13" i="1"/>
  <c r="D13" i="1"/>
  <c r="B13" i="1"/>
  <c r="J12" i="1"/>
  <c r="I12" i="1"/>
  <c r="H12" i="1"/>
  <c r="G12" i="1"/>
  <c r="F12" i="1"/>
  <c r="E12" i="1"/>
  <c r="D12" i="1"/>
  <c r="A12" i="1"/>
  <c r="J11" i="1"/>
  <c r="I11" i="1"/>
  <c r="H11" i="1"/>
  <c r="G11" i="1"/>
  <c r="F11" i="1"/>
  <c r="B11" i="1"/>
  <c r="A11" i="1"/>
  <c r="J10" i="1"/>
  <c r="I10" i="1"/>
  <c r="H10" i="1"/>
  <c r="G10" i="1"/>
  <c r="F10" i="1"/>
  <c r="E10" i="1"/>
  <c r="D10" i="1"/>
  <c r="B10" i="1"/>
  <c r="J9" i="1"/>
  <c r="I9" i="1"/>
  <c r="H9" i="1"/>
  <c r="G9" i="1"/>
  <c r="E9" i="1"/>
  <c r="D9" i="1"/>
  <c r="B9" i="1"/>
  <c r="A9" i="1"/>
  <c r="J8" i="1"/>
  <c r="I8" i="1"/>
  <c r="H8" i="1"/>
  <c r="F8" i="1"/>
  <c r="E8" i="1"/>
  <c r="D8" i="1"/>
  <c r="B8" i="1"/>
  <c r="A8" i="1"/>
  <c r="H7" i="1"/>
  <c r="G7" i="1"/>
  <c r="F7" i="1"/>
  <c r="D7" i="1"/>
  <c r="B7" i="1"/>
  <c r="A7" i="1"/>
  <c r="I6" i="1"/>
  <c r="H6" i="1"/>
  <c r="G6" i="1"/>
  <c r="F6" i="1"/>
  <c r="E6" i="1"/>
  <c r="D6" i="1"/>
  <c r="B6" i="1"/>
  <c r="A6" i="1"/>
  <c r="K16" i="1" l="1"/>
  <c r="K7" i="1"/>
  <c r="C46" i="4"/>
  <c r="L31" i="2"/>
  <c r="D11" i="1"/>
  <c r="K16" i="7"/>
  <c r="K20" i="8" s="1"/>
  <c r="G14" i="8"/>
  <c r="E7" i="1"/>
  <c r="H14" i="8"/>
  <c r="G15" i="8"/>
  <c r="E17" i="8"/>
  <c r="G17" i="2"/>
  <c r="G31" i="2" s="1"/>
  <c r="G17" i="6"/>
  <c r="K13" i="7"/>
  <c r="I14" i="8"/>
  <c r="G16" i="1"/>
  <c r="G19" i="8"/>
  <c r="I17" i="8"/>
  <c r="I7" i="1"/>
  <c r="L12" i="6"/>
  <c r="K15" i="7"/>
  <c r="K19" i="8" s="1"/>
  <c r="J17" i="8"/>
  <c r="J6" i="1"/>
  <c r="L17" i="6" l="1"/>
  <c r="K12" i="8"/>
  <c r="K17" i="8"/>
  <c r="K17" i="7"/>
</calcChain>
</file>

<file path=xl/sharedStrings.xml><?xml version="1.0" encoding="utf-8"?>
<sst xmlns="http://schemas.openxmlformats.org/spreadsheetml/2006/main" count="467" uniqueCount="222">
  <si>
    <t>SNRT  -  SUIVI BUDGETAIRE DES ENGAGEMENTS -2026-</t>
  </si>
  <si>
    <t>DIRECTION DES ACHATS
SERVICE PLANIFICATION, PROGRAMMATION 
ET SUIVI BUDGETAIRE DU PPA</t>
  </si>
  <si>
    <t>BUDGET</t>
  </si>
  <si>
    <t>FONCTIONNEMENT</t>
  </si>
  <si>
    <t>DIRECTION</t>
  </si>
  <si>
    <t>TV LAAYOUNE</t>
  </si>
  <si>
    <t>Categorie</t>
  </si>
  <si>
    <t>Ligne Budgetaire</t>
  </si>
  <si>
    <t>Budget</t>
  </si>
  <si>
    <t>PREENGAGEMENTS</t>
  </si>
  <si>
    <t>ENGAGEMENTS</t>
  </si>
  <si>
    <t>Projet d'Engagement</t>
  </si>
  <si>
    <t>Projet de Preengagement</t>
  </si>
  <si>
    <t>Disponible</t>
  </si>
  <si>
    <t>ESTIMES</t>
  </si>
  <si>
    <t>ADJUGES</t>
  </si>
  <si>
    <t>RECONDUCTION</t>
  </si>
  <si>
    <t>NOUVEAU</t>
  </si>
  <si>
    <t>TOTAL</t>
  </si>
  <si>
    <t>SUIVI BUDGETAIRE DES ACHATS -2024</t>
  </si>
  <si>
    <t>Valeur HT en dh</t>
  </si>
  <si>
    <t>LIGNES BUDGETAIRES</t>
  </si>
  <si>
    <t xml:space="preserve"> BUDGET GLOBAL</t>
  </si>
  <si>
    <t>ACTIVITES ROYALES</t>
  </si>
  <si>
    <t>ALMAGHRIBIA</t>
  </si>
  <si>
    <t>AMAZIGHIA</t>
  </si>
  <si>
    <t>ARRIADIA</t>
  </si>
  <si>
    <t>ASSADISSA</t>
  </si>
  <si>
    <t>ATTAKAFIA</t>
  </si>
  <si>
    <t>DA</t>
  </si>
  <si>
    <t>DACG</t>
  </si>
  <si>
    <t>DCPA-PROD INTERNE</t>
  </si>
  <si>
    <t>DCRI</t>
  </si>
  <si>
    <t>DMPTV</t>
  </si>
  <si>
    <t>DMPTV/DCPA</t>
  </si>
  <si>
    <t>DPMG</t>
  </si>
  <si>
    <t>DPPR</t>
  </si>
  <si>
    <t>DRH</t>
  </si>
  <si>
    <t>DROI</t>
  </si>
  <si>
    <t>DRPSD</t>
  </si>
  <si>
    <t>DTSI</t>
  </si>
  <si>
    <t>INFO RADIO</t>
  </si>
  <si>
    <t>INFO TV</t>
  </si>
  <si>
    <t>JURIDIQUE</t>
  </si>
  <si>
    <t>LAAYOUNE</t>
  </si>
  <si>
    <t>RSSI</t>
  </si>
  <si>
    <t>TDF-SITES</t>
  </si>
  <si>
    <t>TDF-EM</t>
  </si>
  <si>
    <t>DF</t>
  </si>
  <si>
    <t xml:space="preserve">PREENGAGEMENTS </t>
  </si>
  <si>
    <t>DISPONIBLE</t>
  </si>
  <si>
    <t xml:space="preserve">BUDGET </t>
  </si>
  <si>
    <t>Achats de productions et de programmes</t>
  </si>
  <si>
    <t>Achats de droits</t>
  </si>
  <si>
    <t>Achats de matières et fournitures consommables</t>
  </si>
  <si>
    <t xml:space="preserve">Achats non stockés de matières et fournitures </t>
  </si>
  <si>
    <t>Prestations de service</t>
  </si>
  <si>
    <t>Redevances satellitaires</t>
  </si>
  <si>
    <t>Locations</t>
  </si>
  <si>
    <t>Entretien, réparation et assurance</t>
  </si>
  <si>
    <t>Honoraires et rémunération du personnel occasionnel</t>
  </si>
  <si>
    <t>Redevances et cotisations</t>
  </si>
  <si>
    <t>Déplacements, missions et réceptions</t>
  </si>
  <si>
    <t>Charges marketing et relations publiques</t>
  </si>
  <si>
    <t>Autres charges de fonctionnement</t>
  </si>
  <si>
    <t xml:space="preserve">Charges du personnel </t>
  </si>
  <si>
    <t xml:space="preserve">POSTE </t>
  </si>
  <si>
    <t xml:space="preserve">Intitulé poste </t>
  </si>
  <si>
    <t>TOTAL GENERAL</t>
  </si>
  <si>
    <t>Activité Royale</t>
  </si>
  <si>
    <t>Amazighia</t>
  </si>
  <si>
    <t>Arriadya</t>
  </si>
  <si>
    <t>Arriadya - Annexe</t>
  </si>
  <si>
    <t>Assadissa</t>
  </si>
  <si>
    <t xml:space="preserve">ATTAKAFIA </t>
  </si>
  <si>
    <t xml:space="preserve"> DCPA / DMPTV</t>
  </si>
  <si>
    <t>DCPA PROD INTERNE</t>
  </si>
  <si>
    <t xml:space="preserve"> DRH</t>
  </si>
  <si>
    <t xml:space="preserve"> INFO TV</t>
  </si>
  <si>
    <t>Juridique</t>
  </si>
  <si>
    <t>LAAYOUNE - Annexe</t>
  </si>
  <si>
    <t>MAGHRIBIA</t>
  </si>
  <si>
    <t xml:space="preserve"> RPSD</t>
  </si>
  <si>
    <t>TDF - Exploitation</t>
  </si>
  <si>
    <t>TDF - SITES</t>
  </si>
  <si>
    <t>612-1</t>
  </si>
  <si>
    <t>612-2</t>
  </si>
  <si>
    <t>612-3</t>
  </si>
  <si>
    <t>612-4</t>
  </si>
  <si>
    <t>612-5</t>
  </si>
  <si>
    <t>612-6</t>
  </si>
  <si>
    <t>613-1</t>
  </si>
  <si>
    <t>613-2</t>
  </si>
  <si>
    <t>613-3</t>
  </si>
  <si>
    <t>613-4</t>
  </si>
  <si>
    <t>614-1</t>
  </si>
  <si>
    <t>614-2</t>
  </si>
  <si>
    <t>614-3</t>
  </si>
  <si>
    <t>617-1</t>
  </si>
  <si>
    <t>Charges du personnel</t>
  </si>
  <si>
    <t>617-2</t>
  </si>
  <si>
    <t>Charges sociales</t>
  </si>
  <si>
    <t>617-3</t>
  </si>
  <si>
    <t>Charges sociales diverses</t>
  </si>
  <si>
    <t>Comptes budgétaires</t>
  </si>
  <si>
    <t>Intitulé</t>
  </si>
  <si>
    <t>DCPA / DMPTV</t>
  </si>
  <si>
    <t>RPSD</t>
  </si>
  <si>
    <t>612-1-1</t>
  </si>
  <si>
    <t>Acquis définitive Programmes TV externes</t>
  </si>
  <si>
    <t>612-1-3</t>
  </si>
  <si>
    <t>Achat des programmes en production interne</t>
  </si>
  <si>
    <t>612-1-4</t>
  </si>
  <si>
    <t>Achats des programmes en co-production</t>
  </si>
  <si>
    <t>612-2-1</t>
  </si>
  <si>
    <t>Achats des droits de captation</t>
  </si>
  <si>
    <t>612-2-2</t>
  </si>
  <si>
    <t xml:space="preserve">Cession de Droits de sport </t>
  </si>
  <si>
    <t>612-3-2</t>
  </si>
  <si>
    <t>Achats des pièces de rechange</t>
  </si>
  <si>
    <t>612-3-3</t>
  </si>
  <si>
    <t>Fournitures de bureau et fournitures informatiques</t>
  </si>
  <si>
    <t>612-3-4</t>
  </si>
  <si>
    <t>Autres Matières et fournitures consommables</t>
  </si>
  <si>
    <t>612-4-2</t>
  </si>
  <si>
    <t>Achats de carburants</t>
  </si>
  <si>
    <t>612-4-3</t>
  </si>
  <si>
    <t>Achats Petit outillage &amp; petit équipement</t>
  </si>
  <si>
    <t>612-4-4</t>
  </si>
  <si>
    <t>Achat fournitures (entretien, fournitures de bureau et fournitures informatiques)</t>
  </si>
  <si>
    <t>612-5-1</t>
  </si>
  <si>
    <t xml:space="preserve">Achats d'études </t>
  </si>
  <si>
    <t>612-5-2</t>
  </si>
  <si>
    <t>Achat prestations de services locales - sociétés</t>
  </si>
  <si>
    <t>612-5-3</t>
  </si>
  <si>
    <t xml:space="preserve">Achat prestations de services locales - personnes physiques </t>
  </si>
  <si>
    <t>612-5-4</t>
  </si>
  <si>
    <t>Achat prestations services Etrangères</t>
  </si>
  <si>
    <t>612-6-1</t>
  </si>
  <si>
    <t xml:space="preserve">Achat prestations satellitaires </t>
  </si>
  <si>
    <t>613-1-1</t>
  </si>
  <si>
    <t>Location de terrains et constructions</t>
  </si>
  <si>
    <t>613-1-4</t>
  </si>
  <si>
    <t>Location matériel transport</t>
  </si>
  <si>
    <t>613-2-1</t>
  </si>
  <si>
    <t>Entr&amp;réparat biens immoblier</t>
  </si>
  <si>
    <t>613-2-2</t>
  </si>
  <si>
    <t>Entr&amp;réparat biens mobilier</t>
  </si>
  <si>
    <t>613-2-3</t>
  </si>
  <si>
    <t>Entretien et réparation matériel transport</t>
  </si>
  <si>
    <t>613-2-4</t>
  </si>
  <si>
    <t>Entretien et réparation matériel&amp;outillage</t>
  </si>
  <si>
    <t>613-2-5</t>
  </si>
  <si>
    <t>Entretien et maintenance matériel Informatiq &amp; logiciels</t>
  </si>
  <si>
    <t>613-2-6</t>
  </si>
  <si>
    <t xml:space="preserve">Assurances </t>
  </si>
  <si>
    <t>613-3-2</t>
  </si>
  <si>
    <t>Honoraires</t>
  </si>
  <si>
    <t>613-3-3</t>
  </si>
  <si>
    <t>Frais d'actes et contentieux</t>
  </si>
  <si>
    <t>613-4-2</t>
  </si>
  <si>
    <t>Autres redevances</t>
  </si>
  <si>
    <t>613-4-3</t>
  </si>
  <si>
    <t xml:space="preserve">Documentation </t>
  </si>
  <si>
    <t>613-4-4</t>
  </si>
  <si>
    <t>Abonnements</t>
  </si>
  <si>
    <t>613-4-5</t>
  </si>
  <si>
    <t>Cotisations</t>
  </si>
  <si>
    <t>614-1-1</t>
  </si>
  <si>
    <t>Mission au Maroc</t>
  </si>
  <si>
    <t>614-1-2</t>
  </si>
  <si>
    <t>Mission à l'étranger</t>
  </si>
  <si>
    <t>614-1-3</t>
  </si>
  <si>
    <t>Réceptions</t>
  </si>
  <si>
    <t>614-2-1</t>
  </si>
  <si>
    <t>Annonces et insertions</t>
  </si>
  <si>
    <t>614-2-2</t>
  </si>
  <si>
    <t>Charges de publicité</t>
  </si>
  <si>
    <t>614-2-3</t>
  </si>
  <si>
    <t>Autres charges de relations publiques</t>
  </si>
  <si>
    <t>614-3-1</t>
  </si>
  <si>
    <t>Frais postaux</t>
  </si>
  <si>
    <t>614-3-2</t>
  </si>
  <si>
    <t>Téléphone &amp; internet</t>
  </si>
  <si>
    <t>614-3-4</t>
  </si>
  <si>
    <t>Transport du personnel</t>
  </si>
  <si>
    <t>614-3-5</t>
  </si>
  <si>
    <t>Autres Transports</t>
  </si>
  <si>
    <t>617-1-1</t>
  </si>
  <si>
    <t>Salaires de bases +rappels</t>
  </si>
  <si>
    <t>617-1-2</t>
  </si>
  <si>
    <t xml:space="preserve">Primes et indemnités </t>
  </si>
  <si>
    <t>SUIVI BUDGETAIRE DES ENGAGEMENTS -2026-</t>
  </si>
  <si>
    <t>Valeur TTC en dh</t>
  </si>
  <si>
    <t xml:space="preserve">ENGAGEMENTS </t>
  </si>
  <si>
    <t>PROJET D'ENGAGEMENT*</t>
  </si>
  <si>
    <t>PROJET DE PRE ENGAGEMENT*</t>
  </si>
  <si>
    <t>ESTIMES (1)</t>
  </si>
  <si>
    <t>ADJUGES (2)</t>
  </si>
  <si>
    <t>P
R
I
N
C
I
P
A
L 
E</t>
  </si>
  <si>
    <t>Achats de productions et de programmes
Acquis définitive Programmes TV externes 
Achats des programmes en co-production</t>
  </si>
  <si>
    <t>Achat de matières et fournitures consommables</t>
  </si>
  <si>
    <t>Achats non stockés de matières et fournitures</t>
  </si>
  <si>
    <t>Prestations de service
Achat prestations de services locales - personnes physiques</t>
  </si>
  <si>
    <t>Prestations de service
Achat prestations de services locales - sociétés</t>
  </si>
  <si>
    <t>A
N
N
E
X
E</t>
  </si>
  <si>
    <t xml:space="preserve">Achats de productions et de programmes
Achat des programmes en production interne </t>
  </si>
  <si>
    <t xml:space="preserve">CETTE FICHE CONCERNE: 
- LE PROJET D’APPEL D'OFFRES N° 24 AOM/SNRT/2026, DONT LE MONTANT DE L'ESTIMATION TTC EST DE 85 000,00 DHs.
*NB:le montant à préengager des AO est calculé en prenant en considération le seuil tolérable de +20% prévu par le règlement des biens et services de la SNRT (ESTIMES). Ce montant est corrigé une fois l'offre est adjugée et est inscrit au niveau des préengagements à la valeur réélle de l'offre retenue (ADJUGES).
</t>
  </si>
  <si>
    <t>PREENGAGEMENTS *</t>
  </si>
  <si>
    <t>PROJET DE PREENGAGEMENT*</t>
  </si>
  <si>
    <t>PROJET D'ENGAGEMENT</t>
  </si>
  <si>
    <t>CETTE FICHE CONCERNE: 
- LE PROJET D’APPEL D'OFFRES N° 39 AOM/SNRT/2026, DONT LE MONTANT DE L'ESTIMATION TTC EST DE 793 728,00 DHs.
- LE PROJET DE BON DE COMMADE N° 26000044 CL D'UN MONTANT TTC DE 14 000,00 DHS ;
*NB:le montant à préengager des AO est calculé en prenant en considération le seuil tolérable de +20% prévu par le règlement des biens et services de la SNRT (ESTIMES). Ce montant est corrigé une fois l'offre est adjugée et est inscrit au niveau des préengagements à la valeur réélle de l'offre retenue (ADJUGES).</t>
  </si>
  <si>
    <t>TDF-DEM</t>
  </si>
  <si>
    <t>CETTE FICHE CONCERNE : 
- LE PROJET DE MARCHE ISSU DE L'APPEL D'OFFRES N°18AOM/SNRT/2026 DONT LE MONTANT TTC EST DE 832 134,00DHS.
- LE PROJET DE L'APPEL D'OFFRES N° 55 AOM/SNRT/2026  DONT LE MONTANT DE L'ESTIMATION TTC EST DE 3 600 000,00 DHS ;
- LE PROJET DE L'APPEL D'OFFRES N° 47 AOM/SNRT/2026 LOT 1, 2 ET 3 DONT LE MONTANT DE L'ESTIMATION TTC EST DE 5 199 966,00 DHS ;
- LE PROJET DE L'APPEL D'OFFRES N° 13 AOM/SNRT/2026 DONT LE MONTANT DE L'ESTIMATION TTC EST DE 1 650 000,00 DHS ;
*NB: le montant à préengager des AO est calculé en prenant en considération le seuil tolérable de +20% prévu par le règlement des biens et services de la SNRT (ESTIMES). Ce montant est corrigé une fois l'offre est adjugée et est inscrit au niveau des préengagements à la valeur réélle de l'offre retenue (ADJUGES).</t>
  </si>
  <si>
    <t>Direction</t>
  </si>
  <si>
    <t>Preeng. Estimes</t>
  </si>
  <si>
    <t>Preeng. Adjuges</t>
  </si>
  <si>
    <t>Engagement Reconduction</t>
  </si>
  <si>
    <t>Engagement Nouveau</t>
  </si>
  <si>
    <t>Directions</t>
  </si>
  <si>
    <t>TDF -SITES</t>
  </si>
  <si>
    <t>TDF-EXP&amp;MAIN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</si>
</sst>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\-??_-;_-@_-"/>
    <numFmt numFmtId="165" formatCode="_-* #,##0.00\ _€_-;\-* #,##0.00\ _€_-;_-* \-??\ _€_-;_-@_-"/>
    <numFmt numFmtId="166" formatCode="#.##0\.00"/>
    <numFmt numFmtId="167" formatCode="_-* #,##0.00\ _D_H_-;\-* #,##0.00\ _D_H_-;_-* \-??\ _D_H_-;_-@_-"/>
  </numFmts>
  <fonts count="43" x14ac:knownFonts="1">
    <font>
      <sz val="11"/>
      <color theme="1"/>
      <name val="Calibri"/>
      <charset val="1"/>
    </font>
    <font>
      <b/>
      <sz val="18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3"/>
      <color theme="0"/>
      <name val="Calibri"/>
      <family val="2"/>
    </font>
    <font>
      <b/>
      <sz val="13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1"/>
      <color theme="1"/>
      <name val="Calibri"/>
      <family val="2"/>
    </font>
    <font>
      <b/>
      <sz val="12"/>
      <color theme="4" tint="-0.499984740745262"/>
      <name val="Calibri"/>
      <family val="2"/>
    </font>
    <font>
      <sz val="13"/>
      <color theme="0"/>
      <name val="Calibri"/>
      <family val="2"/>
    </font>
    <font>
      <sz val="12"/>
      <color theme="1"/>
      <name val="Calibri"/>
      <family val="2"/>
    </font>
    <font>
      <sz val="12"/>
      <color theme="4" tint="-0.499984740745262"/>
      <name val="Calibri"/>
      <family val="2"/>
    </font>
    <font>
      <sz val="12"/>
      <color theme="0"/>
      <name val="Calibri"/>
      <family val="2"/>
    </font>
    <font>
      <b/>
      <sz val="13"/>
      <color rgb="FFFFFFFF"/>
      <name val="Calibri"/>
      <family val="2"/>
    </font>
    <font>
      <b/>
      <sz val="12"/>
      <color theme="1"/>
      <name val="Calibri"/>
      <family val="2"/>
    </font>
    <font>
      <b/>
      <sz val="13"/>
      <color theme="4" tint="-0.499984740745262"/>
      <name val="Calibri"/>
      <family val="2"/>
    </font>
    <font>
      <b/>
      <sz val="12"/>
      <color rgb="FF000000"/>
      <name val="Calibri"/>
      <family val="2"/>
    </font>
    <font>
      <b/>
      <sz val="16"/>
      <color theme="1"/>
      <name val="Calibri"/>
      <family val="2"/>
    </font>
    <font>
      <b/>
      <sz val="20"/>
      <color theme="4" tint="-0.249977111117893"/>
      <name val="Calibri"/>
      <family val="2"/>
    </font>
    <font>
      <i/>
      <sz val="11"/>
      <color rgb="FFFFFFFF"/>
      <name val="Calibri"/>
      <family val="2"/>
    </font>
    <font>
      <b/>
      <sz val="13"/>
      <color theme="0"/>
      <name val="Calibri"/>
      <family val="2"/>
    </font>
    <font>
      <sz val="13"/>
      <color theme="0"/>
      <name val="Calibri"/>
      <family val="2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b/>
      <sz val="11"/>
      <color rgb="FFFFFFFF"/>
      <name val="Calibri"/>
    </font>
    <font>
      <b/>
      <sz val="11"/>
      <name val="Calibri"/>
    </font>
    <font>
      <b/>
      <sz val="16"/>
      <color rgb="FF1F4E79"/>
      <name val="Calibri"/>
    </font>
    <font>
      <i/>
      <sz val="10"/>
      <color rgb="FF595959"/>
      <name val="Calibri"/>
    </font>
    <font>
      <b/>
      <sz val="13"/>
      <color rgb="FFFFFFFF"/>
      <name val="Calibri"/>
    </font>
    <font>
      <b/>
      <sz val="13"/>
      <color rgb="FF1F4E79"/>
      <name val="Calibri"/>
    </font>
    <font>
      <b/>
      <sz val="12"/>
      <color rgb="FFFFFFFF"/>
      <name val="Calibri"/>
    </font>
    <font>
      <b/>
      <sz val="11"/>
      <color rgb="FFFFFFFF"/>
      <name val="Calibri"/>
    </font>
    <font>
      <sz val="11"/>
      <color rgb="FFFFFFFF"/>
      <name val="Calibri"/>
    </font>
    <font>
      <sz val="11"/>
      <color rgb="FF1F4E79"/>
      <name val="Calibri"/>
    </font>
    <font>
      <b/>
      <sz val="14"/>
      <color rgb="FFFFFFFF"/>
      <name val="Calibri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9"/>
      <color rgb="FF000000"/>
      <name val="Calibri"/>
    </font>
  </fonts>
  <fills count="18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4" tint="-0.249977111117893"/>
        <bgColor rgb="FF0066CC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59987182226020086"/>
        <bgColor rgb="FF99CCFF"/>
      </patternFill>
    </fill>
    <fill>
      <patternFill patternType="solid">
        <fgColor theme="0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rgb="FF003366"/>
      </patternFill>
    </fill>
    <fill>
      <patternFill patternType="solid">
        <fgColor rgb="FFFFFF00"/>
        <bgColor rgb="FFFFFF00"/>
      </patternFill>
    </fill>
    <fill>
      <patternFill patternType="solid">
        <fgColor rgb="FF2E75B6"/>
      </patternFill>
    </fill>
    <fill>
      <patternFill patternType="solid">
        <fgColor rgb="FFBDD7EE"/>
      </patternFill>
    </fill>
    <fill>
      <patternFill patternType="solid">
        <fgColor rgb="FF2E75B6"/>
      </patternFill>
    </fill>
    <fill>
      <patternFill patternType="solid">
        <fgColor rgb="FFF2F2F2"/>
      </patternFill>
    </fill>
    <fill>
      <patternFill patternType="solid">
        <fgColor rgb="FFFFF2CC"/>
      </patternFill>
    </fill>
    <fill>
      <patternFill patternType="solid">
        <fgColor rgb="FF2E75B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DD7EE"/>
      </patternFill>
    </fill>
  </fills>
  <borders count="40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/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 style="medium">
        <color rgb="FF2E75B6"/>
      </top>
      <bottom style="medium">
        <color rgb="FF2E75B6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 style="medium">
        <color rgb="FF2E75B6"/>
      </top>
      <bottom/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/>
      <diagonal/>
    </border>
    <border>
      <left/>
      <right style="medium">
        <color rgb="FF2E75B6"/>
      </right>
      <top style="medium">
        <color rgb="FF2E75B6"/>
      </top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2E75B6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165" fontId="28" fillId="0" borderId="0"/>
    <xf numFmtId="164" fontId="28" fillId="0" borderId="0"/>
    <xf numFmtId="167" fontId="28" fillId="0" borderId="0"/>
  </cellStyleXfs>
  <cellXfs count="132">
    <xf numFmtId="0" fontId="0" fillId="0" borderId="0" xfId="0"/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3" borderId="0" xfId="0" applyFont="1" applyFill="1" applyAlignment="1">
      <alignment vertical="center"/>
    </xf>
    <xf numFmtId="4" fontId="6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4" fontId="12" fillId="4" borderId="1" xfId="0" applyNumberFormat="1" applyFont="1" applyFill="1" applyBorder="1" applyAlignment="1">
      <alignment horizontal="right" vertical="center" wrapText="1"/>
    </xf>
    <xf numFmtId="4" fontId="13" fillId="3" borderId="1" xfId="0" applyNumberFormat="1" applyFont="1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4" fontId="16" fillId="5" borderId="1" xfId="0" applyNumberFormat="1" applyFont="1" applyFill="1" applyBorder="1" applyAlignment="1">
      <alignment horizontal="right" vertical="center"/>
    </xf>
    <xf numFmtId="4" fontId="7" fillId="3" borderId="1" xfId="0" applyNumberFormat="1" applyFont="1" applyFill="1" applyBorder="1" applyAlignment="1">
      <alignment horizontal="right" vertical="center"/>
    </xf>
    <xf numFmtId="0" fontId="4" fillId="6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left" vertical="center"/>
    </xf>
    <xf numFmtId="4" fontId="16" fillId="6" borderId="0" xfId="0" applyNumberFormat="1" applyFont="1" applyFill="1" applyAlignment="1">
      <alignment horizontal="right" vertical="center"/>
    </xf>
    <xf numFmtId="4" fontId="7" fillId="6" borderId="0" xfId="0" applyNumberFormat="1" applyFont="1" applyFill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14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14" fillId="3" borderId="1" xfId="0" applyFont="1" applyFill="1" applyBorder="1" applyAlignment="1">
      <alignment vertical="top" wrapText="1"/>
    </xf>
    <xf numFmtId="0" fontId="21" fillId="3" borderId="1" xfId="0" applyFont="1" applyFill="1" applyBorder="1" applyAlignment="1">
      <alignment vertical="center" wrapText="1"/>
    </xf>
    <xf numFmtId="0" fontId="22" fillId="3" borderId="1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23" fillId="8" borderId="5" xfId="0" applyFont="1" applyFill="1" applyBorder="1"/>
    <xf numFmtId="0" fontId="24" fillId="0" borderId="5" xfId="0" applyFont="1" applyBorder="1"/>
    <xf numFmtId="0" fontId="5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9" fillId="6" borderId="13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4" fontId="9" fillId="4" borderId="1" xfId="0" applyNumberFormat="1" applyFont="1" applyFill="1" applyBorder="1" applyAlignment="1">
      <alignment horizontal="right" vertical="center" wrapText="1"/>
    </xf>
    <xf numFmtId="4" fontId="12" fillId="6" borderId="1" xfId="0" applyNumberFormat="1" applyFont="1" applyFill="1" applyBorder="1" applyAlignment="1">
      <alignment horizontal="right" vertical="center" wrapText="1"/>
    </xf>
    <xf numFmtId="4" fontId="16" fillId="6" borderId="1" xfId="0" applyNumberFormat="1" applyFont="1" applyFill="1" applyBorder="1" applyAlignment="1">
      <alignment horizontal="right" vertical="center"/>
    </xf>
    <xf numFmtId="0" fontId="18" fillId="0" borderId="0" xfId="0" applyFont="1" applyAlignment="1">
      <alignment vertical="center"/>
    </xf>
    <xf numFmtId="164" fontId="5" fillId="4" borderId="0" xfId="2" applyFont="1" applyFill="1" applyAlignment="1">
      <alignment vertical="center"/>
    </xf>
    <xf numFmtId="164" fontId="11" fillId="0" borderId="0" xfId="2" applyFont="1" applyAlignment="1">
      <alignment vertical="center"/>
    </xf>
    <xf numFmtId="165" fontId="0" fillId="0" borderId="0" xfId="1" applyFont="1"/>
    <xf numFmtId="165" fontId="23" fillId="8" borderId="6" xfId="1" applyFont="1" applyFill="1" applyBorder="1"/>
    <xf numFmtId="165" fontId="23" fillId="8" borderId="7" xfId="1" applyFont="1" applyFill="1" applyBorder="1"/>
    <xf numFmtId="165" fontId="23" fillId="8" borderId="8" xfId="1" applyFont="1" applyFill="1" applyBorder="1"/>
    <xf numFmtId="165" fontId="23" fillId="8" borderId="9" xfId="1" applyFont="1" applyFill="1" applyBorder="1"/>
    <xf numFmtId="165" fontId="26" fillId="0" borderId="10" xfId="1" applyFont="1" applyBorder="1"/>
    <xf numFmtId="165" fontId="26" fillId="0" borderId="5" xfId="1" applyFont="1" applyBorder="1"/>
    <xf numFmtId="165" fontId="27" fillId="0" borderId="5" xfId="1" applyFont="1" applyBorder="1"/>
    <xf numFmtId="165" fontId="27" fillId="0" borderId="11" xfId="1" applyFont="1" applyBorder="1"/>
    <xf numFmtId="165" fontId="23" fillId="8" borderId="12" xfId="1" applyFont="1" applyFill="1" applyBorder="1"/>
    <xf numFmtId="165" fontId="23" fillId="8" borderId="5" xfId="1" applyFont="1" applyFill="1" applyBorder="1"/>
    <xf numFmtId="165" fontId="24" fillId="0" borderId="5" xfId="0" applyNumberFormat="1" applyFont="1" applyBorder="1"/>
    <xf numFmtId="165" fontId="25" fillId="0" borderId="5" xfId="1" applyFont="1" applyBorder="1"/>
    <xf numFmtId="165" fontId="25" fillId="9" borderId="5" xfId="1" applyFont="1" applyFill="1" applyBorder="1"/>
    <xf numFmtId="165" fontId="25" fillId="0" borderId="5" xfId="0" applyNumberFormat="1" applyFont="1" applyBorder="1"/>
    <xf numFmtId="165" fontId="23" fillId="8" borderId="5" xfId="0" applyNumberFormat="1" applyFont="1" applyFill="1" applyBorder="1"/>
    <xf numFmtId="165" fontId="0" fillId="0" borderId="0" xfId="1" applyFont="1" applyAlignment="1">
      <alignment vertical="center" wrapText="1"/>
    </xf>
    <xf numFmtId="165" fontId="0" fillId="0" borderId="0" xfId="0" applyNumberFormat="1" applyAlignment="1">
      <alignment vertical="center" wrapText="1"/>
    </xf>
    <xf numFmtId="0" fontId="29" fillId="10" borderId="0" xfId="0" applyFont="1" applyFill="1"/>
    <xf numFmtId="4" fontId="0" fillId="0" borderId="0" xfId="0" applyNumberFormat="1"/>
    <xf numFmtId="0" fontId="30" fillId="0" borderId="0" xfId="0" applyFont="1"/>
    <xf numFmtId="4" fontId="38" fillId="13" borderId="23" xfId="0" applyNumberFormat="1" applyFont="1" applyFill="1" applyBorder="1" applyAlignment="1">
      <alignment horizontal="right" vertical="center"/>
    </xf>
    <xf numFmtId="4" fontId="35" fillId="12" borderId="23" xfId="0" applyNumberFormat="1" applyFont="1" applyFill="1" applyBorder="1" applyAlignment="1">
      <alignment horizontal="right" vertical="center"/>
    </xf>
    <xf numFmtId="4" fontId="33" fillId="12" borderId="21" xfId="0" applyNumberFormat="1" applyFont="1" applyFill="1" applyBorder="1" applyAlignment="1">
      <alignment horizontal="right" vertical="center"/>
    </xf>
    <xf numFmtId="4" fontId="39" fillId="12" borderId="21" xfId="0" applyNumberFormat="1" applyFont="1" applyFill="1" applyBorder="1" applyAlignment="1">
      <alignment horizontal="right" vertical="center"/>
    </xf>
    <xf numFmtId="0" fontId="36" fillId="12" borderId="23" xfId="0" applyFont="1" applyFill="1" applyBorder="1" applyAlignment="1">
      <alignment horizontal="center" vertical="center"/>
    </xf>
    <xf numFmtId="0" fontId="41" fillId="16" borderId="0" xfId="0" applyFont="1" applyFill="1"/>
    <xf numFmtId="0" fontId="35" fillId="12" borderId="32" xfId="0" applyFont="1" applyFill="1" applyBorder="1" applyAlignment="1">
      <alignment horizontal="center" vertical="center" wrapText="1"/>
    </xf>
    <xf numFmtId="166" fontId="38" fillId="13" borderId="23" xfId="0" applyNumberFormat="1" applyFont="1" applyFill="1" applyBorder="1" applyAlignment="1">
      <alignment horizontal="right" vertical="center"/>
    </xf>
    <xf numFmtId="166" fontId="33" fillId="12" borderId="21" xfId="0" applyNumberFormat="1" applyFont="1" applyFill="1" applyBorder="1" applyAlignment="1">
      <alignment horizontal="right" vertical="center"/>
    </xf>
    <xf numFmtId="166" fontId="0" fillId="0" borderId="0" xfId="0" applyNumberFormat="1"/>
    <xf numFmtId="0" fontId="0" fillId="0" borderId="0" xfId="0"/>
    <xf numFmtId="14" fontId="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19" fillId="4" borderId="0" xfId="0" applyFont="1" applyFill="1" applyAlignment="1">
      <alignment horizontal="center" vertical="center"/>
    </xf>
    <xf numFmtId="0" fontId="9" fillId="5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5" fillId="4" borderId="0" xfId="2" applyFont="1" applyFill="1" applyAlignment="1">
      <alignment horizontal="center" vertical="center"/>
    </xf>
    <xf numFmtId="0" fontId="42" fillId="17" borderId="0" xfId="0" applyFont="1" applyFill="1" applyAlignment="1">
      <alignment horizontal="center" vertical="center" wrapText="1"/>
    </xf>
    <xf numFmtId="0" fontId="0" fillId="0" borderId="0" xfId="0"/>
    <xf numFmtId="0" fontId="37" fillId="12" borderId="23" xfId="0" applyFont="1" applyFill="1" applyBorder="1" applyAlignment="1">
      <alignment horizontal="left" vertical="center" wrapText="1"/>
    </xf>
    <xf numFmtId="0" fontId="0" fillId="0" borderId="25" xfId="0" applyBorder="1"/>
    <xf numFmtId="0" fontId="31" fillId="11" borderId="0" xfId="0" applyFont="1" applyFill="1" applyAlignment="1">
      <alignment horizontal="center" vertical="center"/>
    </xf>
    <xf numFmtId="0" fontId="40" fillId="15" borderId="30" xfId="0" applyFont="1" applyFill="1" applyBorder="1" applyAlignment="1">
      <alignment horizontal="center" vertical="center"/>
    </xf>
    <xf numFmtId="0" fontId="0" fillId="0" borderId="36" xfId="0" applyBorder="1"/>
    <xf numFmtId="0" fontId="34" fillId="13" borderId="27" xfId="0" applyFont="1" applyFill="1" applyBorder="1" applyAlignment="1">
      <alignment horizontal="center" vertical="center"/>
    </xf>
    <xf numFmtId="0" fontId="0" fillId="0" borderId="26" xfId="0" applyBorder="1"/>
    <xf numFmtId="0" fontId="0" fillId="0" borderId="28" xfId="0" applyBorder="1"/>
    <xf numFmtId="0" fontId="40" fillId="15" borderId="30" xfId="0" applyFont="1" applyFill="1" applyBorder="1" applyAlignment="1">
      <alignment horizontal="center" vertical="center" wrapText="1"/>
    </xf>
    <xf numFmtId="0" fontId="0" fillId="0" borderId="34" xfId="0" applyBorder="1"/>
    <xf numFmtId="0" fontId="33" fillId="12" borderId="27" xfId="0" applyFont="1" applyFill="1" applyBorder="1" applyAlignment="1">
      <alignment horizontal="center" vertical="center"/>
    </xf>
    <xf numFmtId="0" fontId="34" fillId="14" borderId="27" xfId="0" applyFont="1" applyFill="1" applyBorder="1" applyAlignment="1">
      <alignment horizontal="center" vertical="center"/>
    </xf>
    <xf numFmtId="0" fontId="0" fillId="0" borderId="35" xfId="0" applyBorder="1"/>
    <xf numFmtId="0" fontId="0" fillId="0" borderId="38" xfId="0" applyBorder="1"/>
    <xf numFmtId="0" fontId="0" fillId="0" borderId="39" xfId="0" applyBorder="1"/>
    <xf numFmtId="0" fontId="40" fillId="15" borderId="29" xfId="0" applyFont="1" applyFill="1" applyBorder="1" applyAlignment="1">
      <alignment horizontal="center" vertical="center" wrapText="1"/>
    </xf>
    <xf numFmtId="0" fontId="0" fillId="0" borderId="33" xfId="0" applyBorder="1"/>
    <xf numFmtId="0" fontId="32" fillId="0" borderId="0" xfId="0" applyFont="1" applyAlignment="1">
      <alignment horizontal="center" vertical="center"/>
    </xf>
    <xf numFmtId="0" fontId="40" fillId="15" borderId="31" xfId="0" applyFont="1" applyFill="1" applyBorder="1" applyAlignment="1">
      <alignment horizontal="center" vertical="center" wrapText="1"/>
    </xf>
    <xf numFmtId="0" fontId="0" fillId="0" borderId="37" xfId="0" applyBorder="1"/>
    <xf numFmtId="0" fontId="33" fillId="12" borderId="21" xfId="0" applyFont="1" applyFill="1" applyBorder="1" applyAlignment="1">
      <alignment horizontal="center" vertical="center"/>
    </xf>
    <xf numFmtId="0" fontId="0" fillId="0" borderId="24" xfId="0" applyBorder="1"/>
    <xf numFmtId="0" fontId="0" fillId="0" borderId="22" xfId="0" applyBorder="1"/>
    <xf numFmtId="0" fontId="9" fillId="5" borderId="4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10" fillId="3" borderId="1" xfId="0" applyFont="1" applyFill="1" applyBorder="1" applyAlignment="1">
      <alignment horizontal="left" vertical="center" wrapText="1"/>
    </xf>
    <xf numFmtId="0" fontId="0" fillId="0" borderId="16" xfId="0" applyBorder="1"/>
    <xf numFmtId="14" fontId="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19" fillId="4" borderId="0" xfId="0" applyFont="1" applyFill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4" fillId="3" borderId="1" xfId="0" applyFont="1" applyFill="1" applyBorder="1" applyAlignment="1">
      <alignment horizontal="center" vertical="center"/>
    </xf>
    <xf numFmtId="165" fontId="23" fillId="8" borderId="8" xfId="1" applyFont="1" applyFill="1" applyBorder="1" applyAlignment="1">
      <alignment horizontal="center"/>
    </xf>
    <xf numFmtId="0" fontId="0" fillId="0" borderId="18" xfId="0" applyBorder="1"/>
    <xf numFmtId="0" fontId="23" fillId="8" borderId="19" xfId="0" applyFont="1" applyFill="1" applyBorder="1" applyAlignment="1">
      <alignment horizontal="center"/>
    </xf>
    <xf numFmtId="0" fontId="0" fillId="0" borderId="20" xfId="0" applyBorder="1"/>
    <xf numFmtId="0" fontId="9" fillId="5" borderId="1" xfId="0" applyFont="1" applyFill="1" applyBorder="1" applyAlignment="1">
      <alignment horizontal="center" vertical="center" wrapText="1"/>
    </xf>
    <xf numFmtId="0" fontId="0" fillId="0" borderId="4" xfId="0" applyBorder="1"/>
    <xf numFmtId="0" fontId="2" fillId="0" borderId="0" xfId="0" applyFont="1" applyAlignment="1">
      <alignment horizontal="center" vertical="center" wrapText="1"/>
    </xf>
    <xf numFmtId="4" fontId="7" fillId="3" borderId="1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left" vertical="top" wrapText="1"/>
    </xf>
    <xf numFmtId="0" fontId="20" fillId="3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18" fillId="7" borderId="0" xfId="0" applyFont="1" applyFill="1" applyAlignment="1">
      <alignment horizontal="center" vertical="center"/>
    </xf>
    <xf numFmtId="0" fontId="9" fillId="5" borderId="1" xfId="0" applyFont="1" applyFill="1" applyBorder="1" applyAlignment="1">
      <alignment horizontal="right" vertical="center" wrapText="1"/>
    </xf>
    <xf numFmtId="0" fontId="20" fillId="3" borderId="2" xfId="0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left" vertical="center" wrapText="1"/>
    </xf>
    <xf numFmtId="164" fontId="5" fillId="4" borderId="0" xfId="2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top" wrapText="1"/>
    </xf>
  </cellXfs>
  <cellStyles count="4">
    <cellStyle name="Milliers" xfId="1" builtinId="3"/>
    <cellStyle name="Milliers 2" xfId="2" xr:uid="{00000000-0005-0000-0000-000002000000}"/>
    <cellStyle name="Milliers 3" xfId="3" xr:uid="{00000000-0005-0000-0000-000003000000}"/>
    <cellStyle name="Normal" xfId="0" builtinId="0"/>
  </cellStyles>
  <dxfs count="1">
    <dxf>
      <font>
        <b/>
        <sz val="12"/>
        <color rgb="FFC00000"/>
        <name val="Calibri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6000"/>
      <rgbColor rgb="00800080"/>
      <rgbColor rgb="00008080"/>
      <rgbColor rgb="00C0C0C0"/>
      <rgbColor rgb="00808080"/>
      <rgbColor rgb="009999FF"/>
      <rgbColor rgb="00993366"/>
      <rgbColor rgb="00F2F2F2"/>
      <rgbColor rgb="00CCFFFF"/>
      <rgbColor rgb="00660066"/>
      <rgbColor rgb="00FF8080"/>
      <rgbColor rgb="000066CC"/>
      <rgbColor rgb="00BDD7EE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2E75B6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E7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K16"/>
  <sheetViews>
    <sheetView showGridLines="0" tabSelected="1" zoomScale="70" zoomScaleNormal="70" workbookViewId="0">
      <pane ySplit="5" topLeftCell="A9" activePane="bottomLeft" state="frozen"/>
      <selection pane="bottomLeft" activeCell="L6" sqref="L6"/>
    </sheetView>
  </sheetViews>
  <sheetFormatPr baseColWidth="10" defaultColWidth="8.7265625" defaultRowHeight="14.5" x14ac:dyDescent="0.35"/>
  <cols>
    <col min="1" max="1" width="12" style="68" hidden="1" customWidth="1"/>
    <col min="2" max="2" width="20" style="68" customWidth="1"/>
    <col min="3" max="3" width="22" style="68" customWidth="1"/>
    <col min="4" max="4" width="15.81640625" style="68" bestFit="1" customWidth="1"/>
    <col min="5" max="5" width="15" style="68" customWidth="1"/>
    <col min="6" max="6" width="16.26953125" style="68" customWidth="1"/>
    <col min="7" max="7" width="19.54296875" style="68" customWidth="1"/>
    <col min="8" max="8" width="14.6328125" style="68" customWidth="1"/>
    <col min="9" max="9" width="18" style="68" customWidth="1"/>
    <col min="10" max="10" width="20" style="68" customWidth="1"/>
    <col min="11" max="11" width="16.1796875" style="68" bestFit="1" customWidth="1"/>
  </cols>
  <sheetData>
    <row r="1" spans="1:11" ht="30" customHeight="1" x14ac:dyDescent="0.35">
      <c r="A1" s="80" t="s">
        <v>0</v>
      </c>
      <c r="B1" s="77"/>
      <c r="C1" s="77"/>
      <c r="D1" s="77"/>
      <c r="E1" s="77"/>
      <c r="F1" s="77"/>
      <c r="G1" s="77"/>
      <c r="H1" s="77"/>
      <c r="I1" s="76" t="s">
        <v>1</v>
      </c>
      <c r="J1" s="77"/>
      <c r="K1" s="77"/>
    </row>
    <row r="2" spans="1:11" ht="16" customHeight="1" thickBot="1" x14ac:dyDescent="0.4">
      <c r="A2" s="95"/>
      <c r="B2" s="77"/>
      <c r="C2" s="77"/>
      <c r="D2" s="77"/>
      <c r="E2" s="77"/>
      <c r="F2" s="77"/>
      <c r="G2" s="77"/>
      <c r="H2" s="77"/>
      <c r="I2" s="77"/>
      <c r="J2" s="77"/>
      <c r="K2" s="77"/>
    </row>
    <row r="3" spans="1:11" ht="22" customHeight="1" thickBot="1" x14ac:dyDescent="0.4">
      <c r="A3" s="88" t="s">
        <v>2</v>
      </c>
      <c r="B3" s="85"/>
      <c r="C3" s="83" t="s">
        <v>3</v>
      </c>
      <c r="D3" s="84"/>
      <c r="E3" s="84"/>
      <c r="F3" s="85"/>
      <c r="G3" s="88" t="s">
        <v>4</v>
      </c>
      <c r="H3" s="85"/>
      <c r="I3" s="89" t="s">
        <v>5</v>
      </c>
      <c r="J3" s="85"/>
      <c r="K3" s="63"/>
    </row>
    <row r="4" spans="1:11" ht="20" customHeight="1" x14ac:dyDescent="0.35">
      <c r="A4" s="93" t="s">
        <v>6</v>
      </c>
      <c r="B4" s="86" t="s">
        <v>7</v>
      </c>
      <c r="C4" s="90"/>
      <c r="D4" s="86" t="s">
        <v>8</v>
      </c>
      <c r="E4" s="81" t="s">
        <v>9</v>
      </c>
      <c r="F4" s="82"/>
      <c r="G4" s="81" t="s">
        <v>10</v>
      </c>
      <c r="H4" s="82"/>
      <c r="I4" s="86" t="s">
        <v>11</v>
      </c>
      <c r="J4" s="86" t="s">
        <v>12</v>
      </c>
      <c r="K4" s="96" t="s">
        <v>13</v>
      </c>
    </row>
    <row r="5" spans="1:11" ht="28" customHeight="1" thickBot="1" x14ac:dyDescent="0.4">
      <c r="A5" s="94"/>
      <c r="B5" s="91"/>
      <c r="C5" s="92"/>
      <c r="D5" s="87"/>
      <c r="E5" s="64" t="s">
        <v>14</v>
      </c>
      <c r="F5" s="64" t="s">
        <v>15</v>
      </c>
      <c r="G5" s="64" t="s">
        <v>16</v>
      </c>
      <c r="H5" s="64" t="s">
        <v>17</v>
      </c>
      <c r="I5" s="87"/>
      <c r="J5" s="87"/>
      <c r="K5" s="97"/>
    </row>
    <row r="6" spans="1:11" ht="46" customHeight="1" x14ac:dyDescent="0.35">
      <c r="A6" s="62" t="str">
        <f>IF(1&gt;COUNTIF('Donnees Consolidees'!$A:$A,$I$3),"",INDEX('Donnees Consolidees'!$B:$B,MATCH($I$3,'Donnees Consolidees'!$A:$A,0)+1-1))</f>
        <v>PRINCIPALE</v>
      </c>
      <c r="B6" s="78" t="str">
        <f>IF(1&gt;COUNTIF('Donnees Consolidees'!$A:$A,$I$3),"",INDEX('Donnees Consolidees'!$C:$C,MATCH($I$3,'Donnees Consolidees'!$A:$A,0)+1-1))</f>
        <v>Achats de productions et de programmes
Acquis définitive Programmes TV externes 
Achats des programmes en co-production</v>
      </c>
      <c r="C6" s="79"/>
      <c r="D6" s="58">
        <f>IF(1&gt;COUNTIF('Donnees Consolidees'!$A:$A,$I$3),"",INDEX('Donnees Consolidees'!$D:$D,MATCH($I$3,'Donnees Consolidees'!$A:$A,0)+1-1))</f>
        <v>28721436.899999999</v>
      </c>
      <c r="E6" s="58">
        <f>IF(1&gt;COUNTIF('Donnees Consolidees'!$A:$A,$I$3),"",INDEX('Donnees Consolidees'!$E:$E,MATCH($I$3,'Donnees Consolidees'!$A:$A,0)+1-1))</f>
        <v>0</v>
      </c>
      <c r="F6" s="58">
        <f>IF(1&gt;COUNTIF('Donnees Consolidees'!$A:$A,$I$3),"",INDEX('Donnees Consolidees'!$F:$F,MATCH($I$3,'Donnees Consolidees'!$A:$A,0)+1-1))</f>
        <v>0</v>
      </c>
      <c r="G6" s="58">
        <f>IF(1&gt;COUNTIF('Donnees Consolidees'!$A:$A,$I$3),"",INDEX('Donnees Consolidees'!$G:$G,MATCH($I$3,'Donnees Consolidees'!$A:$A,0)+1-1))</f>
        <v>21385985.260000002</v>
      </c>
      <c r="H6" s="65">
        <f>IF(1&gt;COUNTIF('Donnees Consolidees'!$A:$A,$I$3),"",INDEX('Donnees Consolidees'!$H:$H,MATCH($I$3,'Donnees Consolidees'!$A:$A,0)+1-1))</f>
        <v>0</v>
      </c>
      <c r="I6" s="58">
        <f>IF(1&gt;COUNTIF('Donnees Consolidees'!$A:$A,$I$3),"",INDEX('Donnees Consolidees'!$I:$I,MATCH($I$3,'Donnees Consolidees'!$A:$A,0)+1-1))</f>
        <v>0</v>
      </c>
      <c r="J6" s="58">
        <f>IF(1&gt;COUNTIF('Donnees Consolidees'!$A:$A,$I$3),"",INDEX('Donnees Consolidees'!$J:$J,MATCH($I$3,'Donnees Consolidees'!$A:$A,0)+1-1))</f>
        <v>0</v>
      </c>
      <c r="K6" s="59">
        <f>IF(1&gt;COUNTIF('Donnees Consolidees'!$A:$A,$I$3),"",INDEX('Donnees Consolidees'!$K:$K,MATCH($I$3,'Donnees Consolidees'!$A:$A,0)+1-1))</f>
        <v>7335451.6399999969</v>
      </c>
    </row>
    <row r="7" spans="1:11" ht="38" customHeight="1" x14ac:dyDescent="0.35">
      <c r="A7" s="62" t="str">
        <f>IF(2&gt;COUNTIF('Donnees Consolidees'!$A:$A,$I$3),"",INDEX('Donnees Consolidees'!$B:$B,MATCH($I$3,'Donnees Consolidees'!$A:$A,0)+2-1))</f>
        <v>PRINCIPALE</v>
      </c>
      <c r="B7" s="78" t="str">
        <f>IF(2&gt;COUNTIF('Donnees Consolidees'!$A:$A,$I$3),"",INDEX('Donnees Consolidees'!$C:$C,MATCH($I$3,'Donnees Consolidees'!$A:$A,0)+2-1))</f>
        <v>Achat de matières et fournitures consommables</v>
      </c>
      <c r="C7" s="79"/>
      <c r="D7" s="58">
        <f>IF(2&gt;COUNTIF('Donnees Consolidees'!$A:$A,$I$3),"",INDEX('Donnees Consolidees'!$D:$D,MATCH($I$3,'Donnees Consolidees'!$A:$A,0)+2-1))</f>
        <v>70000</v>
      </c>
      <c r="E7" s="58">
        <f>IF(2&gt;COUNTIF('Donnees Consolidees'!$A:$A,$I$3),"",INDEX('Donnees Consolidees'!$E:$E,MATCH($I$3,'Donnees Consolidees'!$A:$A,0)+2-1))</f>
        <v>0</v>
      </c>
      <c r="F7" s="58">
        <f>IF(2&gt;COUNTIF('Donnees Consolidees'!$A:$A,$I$3),"",INDEX('Donnees Consolidees'!$F:$F,MATCH($I$3,'Donnees Consolidees'!$A:$A,0)+2-1))</f>
        <v>0</v>
      </c>
      <c r="G7" s="58">
        <f>IF(2&gt;COUNTIF('Donnees Consolidees'!$A:$A,$I$3),"",INDEX('Donnees Consolidees'!$G:$G,MATCH($I$3,'Donnees Consolidees'!$A:$A,0)+2-1))</f>
        <v>0</v>
      </c>
      <c r="H7" s="65">
        <f>IF(2&gt;COUNTIF('Donnees Consolidees'!$A:$A,$I$3),"",INDEX('Donnees Consolidees'!$H:$H,MATCH($I$3,'Donnees Consolidees'!$A:$A,0)+2-1))</f>
        <v>0</v>
      </c>
      <c r="I7" s="58">
        <f>IF(2&gt;COUNTIF('Donnees Consolidees'!$A:$A,$I$3),"",INDEX('Donnees Consolidees'!$I:$I,MATCH($I$3,'Donnees Consolidees'!$A:$A,0)+2-1))</f>
        <v>0</v>
      </c>
      <c r="J7" s="58">
        <f>IF(2&gt;COUNTIF('Donnees Consolidees'!$A:$A,$I$3),"",INDEX('Donnees Consolidees'!$J:$J,MATCH($I$3,'Donnees Consolidees'!$A:$A,0)+2-1))</f>
        <v>0</v>
      </c>
      <c r="K7" s="59">
        <f>IF(2&gt;COUNTIF('Donnees Consolidees'!$A:$A,$I$3),"",INDEX('Donnees Consolidees'!$K:$K,MATCH($I$3,'Donnees Consolidees'!$A:$A,0)+2-1))</f>
        <v>70000</v>
      </c>
    </row>
    <row r="8" spans="1:11" ht="38" customHeight="1" x14ac:dyDescent="0.35">
      <c r="A8" s="62" t="str">
        <f>IF(3&gt;COUNTIF('Donnees Consolidees'!$A:$A,$I$3),"",INDEX('Donnees Consolidees'!$B:$B,MATCH($I$3,'Donnees Consolidees'!$A:$A,0)+3-1))</f>
        <v>PRINCIPALE</v>
      </c>
      <c r="B8" s="78" t="str">
        <f>IF(3&gt;COUNTIF('Donnees Consolidees'!$A:$A,$I$3),"",INDEX('Donnees Consolidees'!$C:$C,MATCH($I$3,'Donnees Consolidees'!$A:$A,0)+3-1))</f>
        <v>Achats non stockés de matières et fournitures</v>
      </c>
      <c r="C8" s="79"/>
      <c r="D8" s="58">
        <f>IF(3&gt;COUNTIF('Donnees Consolidees'!$A:$A,$I$3),"",INDEX('Donnees Consolidees'!$D:$D,MATCH($I$3,'Donnees Consolidees'!$A:$A,0)+3-1))</f>
        <v>140000</v>
      </c>
      <c r="E8" s="58">
        <f>IF(3&gt;COUNTIF('Donnees Consolidees'!$A:$A,$I$3),"",INDEX('Donnees Consolidees'!$E:$E,MATCH($I$3,'Donnees Consolidees'!$A:$A,0)+3-1))</f>
        <v>0</v>
      </c>
      <c r="F8" s="58">
        <f>IF(3&gt;COUNTIF('Donnees Consolidees'!$A:$A,$I$3),"",INDEX('Donnees Consolidees'!$F:$F,MATCH($I$3,'Donnees Consolidees'!$A:$A,0)+3-1))</f>
        <v>0</v>
      </c>
      <c r="G8" s="58">
        <f>IF(3&gt;COUNTIF('Donnees Consolidees'!$A:$A,$I$3),"",INDEX('Donnees Consolidees'!$G:$G,MATCH($I$3,'Donnees Consolidees'!$A:$A,0)+3-1))</f>
        <v>21600</v>
      </c>
      <c r="H8" s="65">
        <f>IF(3&gt;COUNTIF('Donnees Consolidees'!$A:$A,$I$3),"",INDEX('Donnees Consolidees'!$H:$H,MATCH($I$3,'Donnees Consolidees'!$A:$A,0)+3-1))</f>
        <v>0</v>
      </c>
      <c r="I8" s="58">
        <f>IF(3&gt;COUNTIF('Donnees Consolidees'!$A:$A,$I$3),"",INDEX('Donnees Consolidees'!$I:$I,MATCH($I$3,'Donnees Consolidees'!$A:$A,0)+3-1))</f>
        <v>0</v>
      </c>
      <c r="J8" s="58">
        <f>IF(3&gt;COUNTIF('Donnees Consolidees'!$A:$A,$I$3),"",INDEX('Donnees Consolidees'!$J:$J,MATCH($I$3,'Donnees Consolidees'!$A:$A,0)+3-1))</f>
        <v>102000</v>
      </c>
      <c r="K8" s="59">
        <f>IF(3&gt;COUNTIF('Donnees Consolidees'!$A:$A,$I$3),"",INDEX('Donnees Consolidees'!$K:$K,MATCH($I$3,'Donnees Consolidees'!$A:$A,0)+3-1))</f>
        <v>16400</v>
      </c>
    </row>
    <row r="9" spans="1:11" ht="46" customHeight="1" x14ac:dyDescent="0.35">
      <c r="A9" s="62" t="str">
        <f>IF(4&gt;COUNTIF('Donnees Consolidees'!$A:$A,$I$3),"",INDEX('Donnees Consolidees'!$B:$B,MATCH($I$3,'Donnees Consolidees'!$A:$A,0)+4-1))</f>
        <v>PRINCIPALE</v>
      </c>
      <c r="B9" s="78" t="str">
        <f>IF(4&gt;COUNTIF('Donnees Consolidees'!$A:$A,$I$3),"",INDEX('Donnees Consolidees'!$C:$C,MATCH($I$3,'Donnees Consolidees'!$A:$A,0)+4-1))</f>
        <v>Prestations de service
Achat prestations de services locales - personnes physiques</v>
      </c>
      <c r="C9" s="79"/>
      <c r="D9" s="58">
        <f>IF(4&gt;COUNTIF('Donnees Consolidees'!$A:$A,$I$3),"",INDEX('Donnees Consolidees'!$D:$D,MATCH($I$3,'Donnees Consolidees'!$A:$A,0)+4-1))</f>
        <v>867514.94</v>
      </c>
      <c r="E9" s="58">
        <f>IF(4&gt;COUNTIF('Donnees Consolidees'!$A:$A,$I$3),"",INDEX('Donnees Consolidees'!$E:$E,MATCH($I$3,'Donnees Consolidees'!$A:$A,0)+4-1))</f>
        <v>0</v>
      </c>
      <c r="F9" s="58">
        <f>IF(4&gt;COUNTIF('Donnees Consolidees'!$A:$A,$I$3),"",INDEX('Donnees Consolidees'!$F:$F,MATCH($I$3,'Donnees Consolidees'!$A:$A,0)+4-1))</f>
        <v>0</v>
      </c>
      <c r="G9" s="58">
        <f>IF(4&gt;COUNTIF('Donnees Consolidees'!$A:$A,$I$3),"",INDEX('Donnees Consolidees'!$G:$G,MATCH($I$3,'Donnees Consolidees'!$A:$A,0)+4-1))</f>
        <v>1061800.6599999999</v>
      </c>
      <c r="H9" s="65">
        <f>IF(4&gt;COUNTIF('Donnees Consolidees'!$A:$A,$I$3),"",INDEX('Donnees Consolidees'!$H:$H,MATCH($I$3,'Donnees Consolidees'!$A:$A,0)+4-1))</f>
        <v>0</v>
      </c>
      <c r="I9" s="58">
        <f>IF(4&gt;COUNTIF('Donnees Consolidees'!$A:$A,$I$3),"",INDEX('Donnees Consolidees'!$I:$I,MATCH($I$3,'Donnees Consolidees'!$A:$A,0)+4-1))</f>
        <v>0</v>
      </c>
      <c r="J9" s="58">
        <f>IF(4&gt;COUNTIF('Donnees Consolidees'!$A:$A,$I$3),"",INDEX('Donnees Consolidees'!$J:$J,MATCH($I$3,'Donnees Consolidees'!$A:$A,0)+4-1))</f>
        <v>0</v>
      </c>
      <c r="K9" s="59">
        <f>IF(4&gt;COUNTIF('Donnees Consolidees'!$A:$A,$I$3),"",INDEX('Donnees Consolidees'!$K:$K,MATCH($I$3,'Donnees Consolidees'!$A:$A,0)+4-1))</f>
        <v>-194285.71999999997</v>
      </c>
    </row>
    <row r="10" spans="1:11" ht="38" customHeight="1" x14ac:dyDescent="0.35">
      <c r="A10" s="62" t="str">
        <f>IF(5&gt;COUNTIF('Donnees Consolidees'!$A:$A,$I$3),"",INDEX('Donnees Consolidees'!$B:$B,MATCH($I$3,'Donnees Consolidees'!$A:$A,0)+5-1))</f>
        <v>PRINCIPALE</v>
      </c>
      <c r="B10" s="78" t="str">
        <f>IF(5&gt;COUNTIF('Donnees Consolidees'!$A:$A,$I$3),"",INDEX('Donnees Consolidees'!$C:$C,MATCH($I$3,'Donnees Consolidees'!$A:$A,0)+5-1))</f>
        <v>Prestations de service
Achat prestations de services locales - sociétés</v>
      </c>
      <c r="C10" s="79"/>
      <c r="D10" s="58">
        <f>IF(5&gt;COUNTIF('Donnees Consolidees'!$A:$A,$I$3),"",INDEX('Donnees Consolidees'!$D:$D,MATCH($I$3,'Donnees Consolidees'!$A:$A,0)+5-1))</f>
        <v>60000</v>
      </c>
      <c r="E10" s="58">
        <f>IF(5&gt;COUNTIF('Donnees Consolidees'!$A:$A,$I$3),"",INDEX('Donnees Consolidees'!$E:$E,MATCH($I$3,'Donnees Consolidees'!$A:$A,0)+5-1))</f>
        <v>0</v>
      </c>
      <c r="F10" s="58">
        <f>IF(5&gt;COUNTIF('Donnees Consolidees'!$A:$A,$I$3),"",INDEX('Donnees Consolidees'!$F:$F,MATCH($I$3,'Donnees Consolidees'!$A:$A,0)+5-1))</f>
        <v>0</v>
      </c>
      <c r="G10" s="58">
        <f>IF(5&gt;COUNTIF('Donnees Consolidees'!$A:$A,$I$3),"",INDEX('Donnees Consolidees'!$G:$G,MATCH($I$3,'Donnees Consolidees'!$A:$A,0)+5-1))</f>
        <v>13900</v>
      </c>
      <c r="H10" s="65">
        <f>IF(5&gt;COUNTIF('Donnees Consolidees'!$A:$A,$I$3),"",INDEX('Donnees Consolidees'!$H:$H,MATCH($I$3,'Donnees Consolidees'!$A:$A,0)+5-1))</f>
        <v>0</v>
      </c>
      <c r="I10" s="58">
        <f>IF(5&gt;COUNTIF('Donnees Consolidees'!$A:$A,$I$3),"",INDEX('Donnees Consolidees'!$I:$I,MATCH($I$3,'Donnees Consolidees'!$A:$A,0)+5-1))</f>
        <v>0</v>
      </c>
      <c r="J10" s="58">
        <f>IF(5&gt;COUNTIF('Donnees Consolidees'!$A:$A,$I$3),"",INDEX('Donnees Consolidees'!$J:$J,MATCH($I$3,'Donnees Consolidees'!$A:$A,0)+5-1))</f>
        <v>0</v>
      </c>
      <c r="K10" s="59">
        <f>IF(5&gt;COUNTIF('Donnees Consolidees'!$A:$A,$I$3),"",INDEX('Donnees Consolidees'!$K:$K,MATCH($I$3,'Donnees Consolidees'!$A:$A,0)+5-1))</f>
        <v>46100</v>
      </c>
    </row>
    <row r="11" spans="1:11" ht="38" customHeight="1" x14ac:dyDescent="0.35">
      <c r="A11" s="62" t="str">
        <f>IF(6&gt;COUNTIF('Donnees Consolidees'!$A:$A,$I$3),"",INDEX('Donnees Consolidees'!$B:$B,MATCH($I$3,'Donnees Consolidees'!$A:$A,0)+6-1))</f>
        <v>PRINCIPALE</v>
      </c>
      <c r="B11" s="78" t="str">
        <f>IF(6&gt;COUNTIF('Donnees Consolidees'!$A:$A,$I$3),"",INDEX('Donnees Consolidees'!$C:$C,MATCH($I$3,'Donnees Consolidees'!$A:$A,0)+6-1))</f>
        <v>Entretien, réparation et assurance</v>
      </c>
      <c r="C11" s="79"/>
      <c r="D11" s="58">
        <f>IF(6&gt;COUNTIF('Donnees Consolidees'!$A:$A,$I$3),"",INDEX('Donnees Consolidees'!$D:$D,MATCH($I$3,'Donnees Consolidees'!$A:$A,0)+6-1))</f>
        <v>100000</v>
      </c>
      <c r="E11" s="58">
        <f>IF(6&gt;COUNTIF('Donnees Consolidees'!$A:$A,$I$3),"",INDEX('Donnees Consolidees'!$E:$E,MATCH($I$3,'Donnees Consolidees'!$A:$A,0)+6-1))</f>
        <v>0</v>
      </c>
      <c r="F11" s="58">
        <f>IF(6&gt;COUNTIF('Donnees Consolidees'!$A:$A,$I$3),"",INDEX('Donnees Consolidees'!$F:$F,MATCH($I$3,'Donnees Consolidees'!$A:$A,0)+6-1))</f>
        <v>0</v>
      </c>
      <c r="G11" s="58">
        <f>IF(6&gt;COUNTIF('Donnees Consolidees'!$A:$A,$I$3),"",INDEX('Donnees Consolidees'!$G:$G,MATCH($I$3,'Donnees Consolidees'!$A:$A,0)+6-1))</f>
        <v>0</v>
      </c>
      <c r="H11" s="65">
        <f>IF(6&gt;COUNTIF('Donnees Consolidees'!$A:$A,$I$3),"",INDEX('Donnees Consolidees'!$H:$H,MATCH($I$3,'Donnees Consolidees'!$A:$A,0)+6-1))</f>
        <v>0</v>
      </c>
      <c r="I11" s="58">
        <f>IF(6&gt;COUNTIF('Donnees Consolidees'!$A:$A,$I$3),"",INDEX('Donnees Consolidees'!$I:$I,MATCH($I$3,'Donnees Consolidees'!$A:$A,0)+6-1))</f>
        <v>0</v>
      </c>
      <c r="J11" s="58">
        <f>IF(6&gt;COUNTIF('Donnees Consolidees'!$A:$A,$I$3),"",INDEX('Donnees Consolidees'!$J:$J,MATCH($I$3,'Donnees Consolidees'!$A:$A,0)+6-1))</f>
        <v>0</v>
      </c>
      <c r="K11" s="59">
        <f>IF(6&gt;COUNTIF('Donnees Consolidees'!$A:$A,$I$3),"",INDEX('Donnees Consolidees'!$K:$K,MATCH($I$3,'Donnees Consolidees'!$A:$A,0)+6-1))</f>
        <v>100000</v>
      </c>
    </row>
    <row r="12" spans="1:11" ht="38" customHeight="1" x14ac:dyDescent="0.35">
      <c r="A12" s="62" t="str">
        <f>IF(7&gt;COUNTIF('Donnees Consolidees'!$A:$A,$I$3),"",INDEX('Donnees Consolidees'!$B:$B,MATCH($I$3,'Donnees Consolidees'!$A:$A,0)+7-1))</f>
        <v>PRINCIPALE</v>
      </c>
      <c r="B12" s="78" t="str">
        <f>IF(7&gt;COUNTIF('Donnees Consolidees'!$A:$A,$I$3),"",INDEX('Donnees Consolidees'!$C:$C,MATCH($I$3,'Donnees Consolidees'!$A:$A,0)+7-1))</f>
        <v>Déplacements, missions et réceptions</v>
      </c>
      <c r="C12" s="79"/>
      <c r="D12" s="58">
        <f>IF(7&gt;COUNTIF('Donnees Consolidees'!$A:$A,$I$3),"",INDEX('Donnees Consolidees'!$D:$D,MATCH($I$3,'Donnees Consolidees'!$A:$A,0)+7-1))</f>
        <v>240000</v>
      </c>
      <c r="E12" s="58">
        <f>IF(7&gt;COUNTIF('Donnees Consolidees'!$A:$A,$I$3),"",INDEX('Donnees Consolidees'!$E:$E,MATCH($I$3,'Donnees Consolidees'!$A:$A,0)+7-1))</f>
        <v>0</v>
      </c>
      <c r="F12" s="58">
        <f>IF(7&gt;COUNTIF('Donnees Consolidees'!$A:$A,$I$3),"",INDEX('Donnees Consolidees'!$F:$F,MATCH($I$3,'Donnees Consolidees'!$A:$A,0)+7-1))</f>
        <v>0</v>
      </c>
      <c r="G12" s="58">
        <f>IF(7&gt;COUNTIF('Donnees Consolidees'!$A:$A,$I$3),"",INDEX('Donnees Consolidees'!$G:$G,MATCH($I$3,'Donnees Consolidees'!$A:$A,0)+7-1))</f>
        <v>109350</v>
      </c>
      <c r="H12" s="65">
        <f>IF(7&gt;COUNTIF('Donnees Consolidees'!$A:$A,$I$3),"",INDEX('Donnees Consolidees'!$H:$H,MATCH($I$3,'Donnees Consolidees'!$A:$A,0)+7-1))</f>
        <v>0</v>
      </c>
      <c r="I12" s="58">
        <f>IF(7&gt;COUNTIF('Donnees Consolidees'!$A:$A,$I$3),"",INDEX('Donnees Consolidees'!$I:$I,MATCH($I$3,'Donnees Consolidees'!$A:$A,0)+7-1))</f>
        <v>0</v>
      </c>
      <c r="J12" s="58">
        <f>IF(7&gt;COUNTIF('Donnees Consolidees'!$A:$A,$I$3),"",INDEX('Donnees Consolidees'!$J:$J,MATCH($I$3,'Donnees Consolidees'!$A:$A,0)+7-1))</f>
        <v>0</v>
      </c>
      <c r="K12" s="59">
        <f>IF(7&gt;COUNTIF('Donnees Consolidees'!$A:$A,$I$3),"",INDEX('Donnees Consolidees'!$K:$K,MATCH($I$3,'Donnees Consolidees'!$A:$A,0)+7-1))</f>
        <v>130650</v>
      </c>
    </row>
    <row r="13" spans="1:11" ht="38" customHeight="1" x14ac:dyDescent="0.35">
      <c r="A13" s="62" t="str">
        <f>IF(8&gt;COUNTIF('Donnees Consolidees'!$A:$A,$I$3),"",INDEX('Donnees Consolidees'!$B:$B,MATCH($I$3,'Donnees Consolidees'!$A:$A,0)+8-1))</f>
        <v>PRINCIPALE</v>
      </c>
      <c r="B13" s="78" t="str">
        <f>IF(8&gt;COUNTIF('Donnees Consolidees'!$A:$A,$I$3),"",INDEX('Donnees Consolidees'!$C:$C,MATCH($I$3,'Donnees Consolidees'!$A:$A,0)+8-1))</f>
        <v>Charges sociales diverses</v>
      </c>
      <c r="C13" s="79"/>
      <c r="D13" s="58">
        <f>IF(8&gt;COUNTIF('Donnees Consolidees'!$A:$A,$I$3),"",INDEX('Donnees Consolidees'!$D:$D,MATCH($I$3,'Donnees Consolidees'!$A:$A,0)+8-1))</f>
        <v>300000</v>
      </c>
      <c r="E13" s="58">
        <f>IF(8&gt;COUNTIF('Donnees Consolidees'!$A:$A,$I$3),"",INDEX('Donnees Consolidees'!$E:$E,MATCH($I$3,'Donnees Consolidees'!$A:$A,0)+8-1))</f>
        <v>0</v>
      </c>
      <c r="F13" s="58">
        <f>IF(8&gt;COUNTIF('Donnees Consolidees'!$A:$A,$I$3),"",INDEX('Donnees Consolidees'!$F:$F,MATCH($I$3,'Donnees Consolidees'!$A:$A,0)+8-1))</f>
        <v>0</v>
      </c>
      <c r="G13" s="58">
        <f>IF(8&gt;COUNTIF('Donnees Consolidees'!$A:$A,$I$3),"",INDEX('Donnees Consolidees'!$G:$G,MATCH($I$3,'Donnees Consolidees'!$A:$A,0)+8-1))</f>
        <v>0</v>
      </c>
      <c r="H13" s="65">
        <f>IF(8&gt;COUNTIF('Donnees Consolidees'!$A:$A,$I$3),"",INDEX('Donnees Consolidees'!$H:$H,MATCH($I$3,'Donnees Consolidees'!$A:$A,0)+8-1))</f>
        <v>0</v>
      </c>
      <c r="I13" s="58">
        <f>IF(8&gt;COUNTIF('Donnees Consolidees'!$A:$A,$I$3),"",INDEX('Donnees Consolidees'!$I:$I,MATCH($I$3,'Donnees Consolidees'!$A:$A,0)+8-1))</f>
        <v>0</v>
      </c>
      <c r="J13" s="58">
        <f>IF(8&gt;COUNTIF('Donnees Consolidees'!$A:$A,$I$3),"",INDEX('Donnees Consolidees'!$J:$J,MATCH($I$3,'Donnees Consolidees'!$A:$A,0)+8-1))</f>
        <v>0</v>
      </c>
      <c r="K13" s="59">
        <f>IF(8&gt;COUNTIF('Donnees Consolidees'!$A:$A,$I$3),"",INDEX('Donnees Consolidees'!$K:$K,MATCH($I$3,'Donnees Consolidees'!$A:$A,0)+8-1))</f>
        <v>300000</v>
      </c>
    </row>
    <row r="14" spans="1:11" ht="38" customHeight="1" x14ac:dyDescent="0.35">
      <c r="A14" s="62" t="str">
        <f>IF(9&gt;COUNTIF('Donnees Consolidees'!$A:$A,$I$3),"",INDEX('Donnees Consolidees'!$B:$B,MATCH($I$3,'Donnees Consolidees'!$A:$A,0)+9-1))</f>
        <v>ANNEXE</v>
      </c>
      <c r="B14" s="78" t="str">
        <f>IF(9&gt;COUNTIF('Donnees Consolidees'!$A:$A,$I$3),"",INDEX('Donnees Consolidees'!$C:$C,MATCH($I$3,'Donnees Consolidees'!$A:$A,0)+9-1))</f>
        <v xml:space="preserve">Achats de productions et de programmes
Achat des programmes en production interne </v>
      </c>
      <c r="C14" s="79"/>
      <c r="D14" s="58">
        <f>IF(9&gt;COUNTIF('Donnees Consolidees'!$A:$A,$I$3),"",INDEX('Donnees Consolidees'!$D:$D,MATCH($I$3,'Donnees Consolidees'!$A:$A,0)+9-1))</f>
        <v>1622030</v>
      </c>
      <c r="E14" s="58">
        <f>IF(9&gt;COUNTIF('Donnees Consolidees'!$A:$A,$I$3),"",INDEX('Donnees Consolidees'!$E:$E,MATCH($I$3,'Donnees Consolidees'!$A:$A,0)+9-1))</f>
        <v>0</v>
      </c>
      <c r="F14" s="58">
        <f>IF(9&gt;COUNTIF('Donnees Consolidees'!$A:$A,$I$3),"",INDEX('Donnees Consolidees'!$F:$F,MATCH($I$3,'Donnees Consolidees'!$A:$A,0)+9-1))</f>
        <v>0</v>
      </c>
      <c r="G14" s="58">
        <f>IF(9&gt;COUNTIF('Donnees Consolidees'!$A:$A,$I$3),"",INDEX('Donnees Consolidees'!$G:$G,MATCH($I$3,'Donnees Consolidees'!$A:$A,0)+9-1))</f>
        <v>0</v>
      </c>
      <c r="H14" s="65">
        <f>IF(9&gt;COUNTIF('Donnees Consolidees'!$A:$A,$I$3),"",INDEX('Donnees Consolidees'!$H:$H,MATCH($I$3,'Donnees Consolidees'!$A:$A,0)+9-1))</f>
        <v>0</v>
      </c>
      <c r="I14" s="58">
        <f>IF(9&gt;COUNTIF('Donnees Consolidees'!$A:$A,$I$3),"",INDEX('Donnees Consolidees'!$I:$I,MATCH($I$3,'Donnees Consolidees'!$A:$A,0)+9-1))</f>
        <v>0</v>
      </c>
      <c r="J14" s="58">
        <f>IF(9&gt;COUNTIF('Donnees Consolidees'!$A:$A,$I$3),"",INDEX('Donnees Consolidees'!$J:$J,MATCH($I$3,'Donnees Consolidees'!$A:$A,0)+9-1))</f>
        <v>0</v>
      </c>
      <c r="K14" s="59">
        <f>IF(9&gt;COUNTIF('Donnees Consolidees'!$A:$A,$I$3),"",INDEX('Donnees Consolidees'!$K:$K,MATCH($I$3,'Donnees Consolidees'!$A:$A,0)+9-1))</f>
        <v>1622030</v>
      </c>
    </row>
    <row r="15" spans="1:11" ht="41.5" customHeight="1" thickBot="1" x14ac:dyDescent="0.4">
      <c r="A15" s="62" t="str">
        <f>IF(10&gt;COUNTIF('Donnees Consolidees'!$A:$A,$I$3),"",INDEX('Donnees Consolidees'!$B:$B,MATCH($I$3,'Donnees Consolidees'!$A:$A,0)+10-1))</f>
        <v>ANNEXE</v>
      </c>
      <c r="B15" s="78" t="str">
        <f>IF(10&gt;COUNTIF('Donnees Consolidees'!$A:$A,$I$3),"",INDEX('Donnees Consolidees'!$C:$C,MATCH($I$3,'Donnees Consolidees'!$A:$A,0)+10-1))</f>
        <v>Déplacements, missions et réceptions</v>
      </c>
      <c r="C15" s="79"/>
      <c r="D15" s="58">
        <f>IF(10&gt;COUNTIF('Donnees Consolidees'!$A:$A,$I$3),"",INDEX('Donnees Consolidees'!$D:$D,MATCH($I$3,'Donnees Consolidees'!$A:$A,0)+10-1))</f>
        <v>800000</v>
      </c>
      <c r="E15" s="58">
        <f>IF(10&gt;COUNTIF('Donnees Consolidees'!$A:$A,$I$3),"",INDEX('Donnees Consolidees'!$E:$E,MATCH($I$3,'Donnees Consolidees'!$A:$A,0)+10-1))</f>
        <v>0</v>
      </c>
      <c r="F15" s="58">
        <f>IF(10&gt;COUNTIF('Donnees Consolidees'!$A:$A,$I$3),"",INDEX('Donnees Consolidees'!$F:$F,MATCH($I$3,'Donnees Consolidees'!$A:$A,0)+10-1))</f>
        <v>0</v>
      </c>
      <c r="G15" s="58">
        <f>IF(10&gt;COUNTIF('Donnees Consolidees'!$A:$A,$I$3),"",INDEX('Donnees Consolidees'!$G:$G,MATCH($I$3,'Donnees Consolidees'!$A:$A,0)+10-1))</f>
        <v>0</v>
      </c>
      <c r="H15" s="65">
        <f>IF(10&gt;COUNTIF('Donnees Consolidees'!$A:$A,$I$3),"",INDEX('Donnees Consolidees'!$H:$H,MATCH($I$3,'Donnees Consolidees'!$A:$A,0)+10-1))</f>
        <v>0</v>
      </c>
      <c r="I15" s="58">
        <f>IF(10&gt;COUNTIF('Donnees Consolidees'!$A:$A,$I$3),"",INDEX('Donnees Consolidees'!$I:$I,MATCH($I$3,'Donnees Consolidees'!$A:$A,0)+10-1))</f>
        <v>0</v>
      </c>
      <c r="J15" s="58">
        <f>IF(10&gt;COUNTIF('Donnees Consolidees'!$A:$A,$I$3),"",INDEX('Donnees Consolidees'!$J:$J,MATCH($I$3,'Donnees Consolidees'!$A:$A,0)+10-1))</f>
        <v>0</v>
      </c>
      <c r="K15" s="59">
        <f>IF(10&gt;COUNTIF('Donnees Consolidees'!$A:$A,$I$3),"",INDEX('Donnees Consolidees'!$K:$K,MATCH($I$3,'Donnees Consolidees'!$A:$A,0)+10-1))</f>
        <v>800000</v>
      </c>
    </row>
    <row r="16" spans="1:11" ht="38" customHeight="1" thickBot="1" x14ac:dyDescent="0.4">
      <c r="A16" s="98" t="s">
        <v>18</v>
      </c>
      <c r="B16" s="99"/>
      <c r="C16" s="100"/>
      <c r="D16" s="60">
        <f>SUMIF('Donnees Consolidees'!$A:$A,$I$3,'Donnees Consolidees'!$D:$D)</f>
        <v>32920981.84</v>
      </c>
      <c r="E16" s="60">
        <f>SUMIF('Donnees Consolidees'!$A:$A,$I$3,'Donnees Consolidees'!$E:$E)</f>
        <v>0</v>
      </c>
      <c r="F16" s="60">
        <f>SUMIF('Donnees Consolidees'!$A:$A,$I$3,'Donnees Consolidees'!$F:$F)</f>
        <v>0</v>
      </c>
      <c r="G16" s="60">
        <f>SUMIF('Donnees Consolidees'!$A:$A,$I$3,'Donnees Consolidees'!$G:$G)</f>
        <v>22592635.920000002</v>
      </c>
      <c r="H16" s="66">
        <f>SUMIF('Donnees Consolidees'!$A:$A,$I$3,'Donnees Consolidees'!$H:$H)</f>
        <v>0</v>
      </c>
      <c r="I16" s="60">
        <f>SUMIF('Donnees Consolidees'!$A:$A,$I$3,'Donnees Consolidees'!$I:$I)</f>
        <v>0</v>
      </c>
      <c r="J16" s="60">
        <f>SUMIF('Donnees Consolidees'!$A:$A,$I$3,'Donnees Consolidees'!$J:$J)</f>
        <v>102000</v>
      </c>
      <c r="K16" s="61">
        <f>SUMIF('Donnees Consolidees'!$A:$A,$I$3,'Donnees Consolidees'!$K:$K)</f>
        <v>10226345.919999998</v>
      </c>
    </row>
  </sheetData>
  <mergeCells count="26">
    <mergeCell ref="B15:C15"/>
    <mergeCell ref="A16:C16"/>
    <mergeCell ref="B14:C14"/>
    <mergeCell ref="B8:C8"/>
    <mergeCell ref="A3:B3"/>
    <mergeCell ref="G3:H3"/>
    <mergeCell ref="I3:J3"/>
    <mergeCell ref="B13:C13"/>
    <mergeCell ref="B4:C5"/>
    <mergeCell ref="A4:A5"/>
    <mergeCell ref="B10:C10"/>
    <mergeCell ref="I4:I5"/>
    <mergeCell ref="B9:C9"/>
    <mergeCell ref="G4:H4"/>
    <mergeCell ref="B6:C6"/>
    <mergeCell ref="I1:K2"/>
    <mergeCell ref="B7:C7"/>
    <mergeCell ref="A1:H1"/>
    <mergeCell ref="B12:C12"/>
    <mergeCell ref="E4:F4"/>
    <mergeCell ref="C3:F3"/>
    <mergeCell ref="B11:C11"/>
    <mergeCell ref="D4:D5"/>
    <mergeCell ref="J4:J5"/>
    <mergeCell ref="A2:H2"/>
    <mergeCell ref="K4:K5"/>
  </mergeCells>
  <conditionalFormatting sqref="K6:K16">
    <cfRule type="cellIs" dxfId="0" priority="1" operator="lessThan">
      <formula>0</formula>
    </cfRule>
  </conditionalFormatting>
  <printOptions horizontalCentered="1"/>
  <pageMargins left="0.3888888888888889" right="0.3888888888888889" top="0.58333333333333337" bottom="0.58333333333333337" header="0.5" footer="0.5"/>
  <pageSetup scale="73" orientation="landscape"/>
  <headerFooter>
    <oddFooter>&amp;LSNRT - Direction des Achats&amp;RPage &amp;P / &amp;N   -   &amp;D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Title="Direction invalide" error="Choisissez une direction dans la liste" xr:uid="{00000000-0002-0000-0000-000000000000}">
          <x14:formula1>
            <xm:f>'Donnees Consolidees'!$N$2:$N$4</xm:f>
          </x14:formula1>
          <xm:sqref>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806000"/>
  </sheetPr>
  <dimension ref="A9:DH31"/>
  <sheetViews>
    <sheetView showGridLines="0" view="pageBreakPreview" zoomScaleNormal="100" workbookViewId="0">
      <pane xSplit="3" topLeftCell="D1" activePane="topRight" state="frozen"/>
      <selection pane="topRight" activeCell="I17" sqref="I17"/>
    </sheetView>
  </sheetViews>
  <sheetFormatPr baseColWidth="10" defaultColWidth="11.453125" defaultRowHeight="15" customHeight="1" x14ac:dyDescent="0.35"/>
  <cols>
    <col min="1" max="1" width="24" style="70" customWidth="1"/>
    <col min="2" max="2" width="20" style="70" customWidth="1"/>
    <col min="3" max="3" width="1.453125" style="70" customWidth="1"/>
    <col min="4" max="4" width="21.26953125" style="70" customWidth="1"/>
    <col min="5" max="5" width="19.1796875" style="70" customWidth="1"/>
    <col min="6" max="6" width="16.54296875" style="70" customWidth="1"/>
    <col min="7" max="7" width="18.26953125" style="70" customWidth="1"/>
    <col min="8" max="8" width="1.453125" style="71" customWidth="1"/>
    <col min="9" max="9" width="18.26953125" style="70" customWidth="1"/>
    <col min="10" max="10" width="19.1796875" style="70" customWidth="1"/>
    <col min="11" max="11" width="16.54296875" style="70" customWidth="1"/>
    <col min="12" max="13" width="18.26953125" style="70" customWidth="1"/>
    <col min="14" max="14" width="19.1796875" style="70" customWidth="1"/>
    <col min="15" max="15" width="16.54296875" style="70" customWidth="1"/>
    <col min="16" max="17" width="18.26953125" style="70" customWidth="1"/>
    <col min="18" max="18" width="19.1796875" style="70" customWidth="1"/>
    <col min="19" max="19" width="16.54296875" style="70" customWidth="1"/>
    <col min="20" max="21" width="18.26953125" style="70" customWidth="1"/>
    <col min="22" max="22" width="19.1796875" style="70" customWidth="1"/>
    <col min="23" max="23" width="16.54296875" style="70" customWidth="1"/>
    <col min="24" max="25" width="18.26953125" style="70" customWidth="1"/>
    <col min="26" max="26" width="19.1796875" style="70" customWidth="1"/>
    <col min="27" max="27" width="16.54296875" style="70" customWidth="1"/>
    <col min="28" max="29" width="18.26953125" style="70" customWidth="1"/>
    <col min="30" max="30" width="19.1796875" style="70" customWidth="1"/>
    <col min="31" max="31" width="16.54296875" style="70" customWidth="1"/>
    <col min="32" max="33" width="18.26953125" style="70" customWidth="1"/>
    <col min="34" max="34" width="19.1796875" style="70" customWidth="1"/>
    <col min="35" max="35" width="16.54296875" style="70" customWidth="1"/>
    <col min="36" max="37" width="18.26953125" style="70" customWidth="1"/>
    <col min="38" max="38" width="19.1796875" style="70" customWidth="1"/>
    <col min="39" max="39" width="16.54296875" style="70" customWidth="1"/>
    <col min="40" max="41" width="18.26953125" style="70" customWidth="1"/>
    <col min="42" max="42" width="19.1796875" style="70" customWidth="1"/>
    <col min="43" max="43" width="16.54296875" style="70" customWidth="1"/>
    <col min="44" max="45" width="18.26953125" style="70" customWidth="1"/>
    <col min="46" max="46" width="20" style="70" customWidth="1"/>
    <col min="47" max="49" width="18.26953125" style="70" customWidth="1"/>
    <col min="50" max="50" width="19.1796875" style="70" customWidth="1"/>
    <col min="51" max="52" width="18.26953125" style="70" customWidth="1"/>
    <col min="53" max="53" width="17.26953125" style="70" customWidth="1"/>
    <col min="54" max="54" width="20.453125" style="70" customWidth="1"/>
    <col min="55" max="56" width="18.26953125" style="70" customWidth="1"/>
    <col min="57" max="57" width="17.26953125" style="70" customWidth="1"/>
    <col min="58" max="58" width="20.7265625" style="70" customWidth="1"/>
    <col min="59" max="60" width="18.26953125" style="70" customWidth="1"/>
    <col min="61" max="61" width="14.54296875" style="70" customWidth="1"/>
    <col min="62" max="62" width="21.1796875" style="70" customWidth="1"/>
    <col min="63" max="64" width="18.26953125" style="70" customWidth="1"/>
    <col min="65" max="65" width="17.7265625" style="70" customWidth="1"/>
    <col min="66" max="66" width="19.54296875" style="70" customWidth="1"/>
    <col min="67" max="68" width="18.26953125" style="70" customWidth="1"/>
    <col min="69" max="69" width="14.54296875" style="70" customWidth="1"/>
    <col min="70" max="70" width="20.1796875" style="70" customWidth="1"/>
    <col min="71" max="72" width="18.26953125" style="70" customWidth="1"/>
    <col min="73" max="73" width="15.81640625" style="70" customWidth="1"/>
    <col min="74" max="74" width="19.54296875" style="70" customWidth="1"/>
    <col min="75" max="76" width="18.26953125" style="70" customWidth="1"/>
    <col min="77" max="77" width="15.81640625" style="70" customWidth="1"/>
    <col min="78" max="78" width="20.81640625" style="70" customWidth="1"/>
    <col min="79" max="80" width="18.26953125" style="70" customWidth="1"/>
    <col min="81" max="81" width="14.54296875" style="70" customWidth="1"/>
    <col min="82" max="82" width="20" style="70" customWidth="1"/>
    <col min="83" max="84" width="18.26953125" style="70" customWidth="1"/>
    <col min="85" max="85" width="15.81640625" style="70" customWidth="1"/>
    <col min="86" max="86" width="20" style="70" customWidth="1"/>
    <col min="87" max="88" width="18.26953125" style="70" customWidth="1"/>
    <col min="89" max="89" width="14.54296875" style="70" customWidth="1"/>
    <col min="90" max="90" width="20" style="70" customWidth="1"/>
    <col min="91" max="92" width="18.26953125" style="70" customWidth="1"/>
    <col min="93" max="93" width="15.81640625" style="70" customWidth="1"/>
    <col min="94" max="94" width="20" style="70" customWidth="1"/>
    <col min="95" max="96" width="18.26953125" style="70" customWidth="1"/>
    <col min="97" max="97" width="15.81640625" style="70" customWidth="1"/>
    <col min="98" max="98" width="21" style="70" customWidth="1"/>
    <col min="99" max="100" width="18.26953125" style="70" customWidth="1"/>
    <col min="101" max="101" width="17.26953125" style="70" customWidth="1"/>
    <col min="102" max="102" width="19.453125" style="70" customWidth="1"/>
    <col min="103" max="104" width="18.26953125" style="70" customWidth="1"/>
    <col min="105" max="105" width="17.26953125" style="70" customWidth="1"/>
    <col min="106" max="106" width="19.453125" style="70" customWidth="1"/>
    <col min="107" max="108" width="18.26953125" style="70" customWidth="1"/>
    <col min="109" max="109" width="12.7265625" style="70" customWidth="1"/>
    <col min="110" max="110" width="19.453125" style="70" customWidth="1"/>
    <col min="111" max="111" width="15.26953125" style="70" customWidth="1"/>
    <col min="112" max="112" width="13.7265625" style="70" customWidth="1"/>
    <col min="113" max="119" width="11.453125" style="70" customWidth="1"/>
    <col min="120" max="16384" width="11.453125" style="70"/>
  </cols>
  <sheetData>
    <row r="9" spans="1:112" ht="28.5" customHeight="1" x14ac:dyDescent="0.35">
      <c r="A9" s="109" t="s">
        <v>19</v>
      </c>
      <c r="B9" s="107"/>
      <c r="C9" s="107"/>
      <c r="D9" s="107"/>
      <c r="E9" s="107"/>
      <c r="F9" s="107"/>
      <c r="G9" s="107"/>
      <c r="H9" s="108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2"/>
      <c r="BG9" s="72"/>
      <c r="BH9" s="72"/>
      <c r="BI9" s="72"/>
      <c r="BJ9" s="72"/>
      <c r="BK9" s="72"/>
      <c r="BL9" s="72"/>
      <c r="BM9" s="72"/>
      <c r="BN9" s="72"/>
      <c r="BO9" s="72"/>
      <c r="BP9" s="72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2"/>
      <c r="CB9" s="72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2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2"/>
      <c r="DG9" s="72"/>
      <c r="DH9" s="72"/>
    </row>
    <row r="10" spans="1:112" ht="17" customHeight="1" x14ac:dyDescent="0.35">
      <c r="A10" s="106">
        <v>45293</v>
      </c>
      <c r="B10" s="107"/>
      <c r="C10" s="107"/>
      <c r="D10" s="107"/>
      <c r="E10" s="107"/>
      <c r="F10" s="107"/>
      <c r="G10" s="107"/>
      <c r="H10" s="108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B10" s="16"/>
      <c r="BC10" s="16"/>
      <c r="BD10" s="16"/>
      <c r="BF10" s="16"/>
      <c r="BG10" s="16"/>
      <c r="BH10" s="16"/>
      <c r="BJ10" s="16"/>
      <c r="BK10" s="16"/>
      <c r="BL10" s="16"/>
      <c r="BN10" s="16"/>
      <c r="BO10" s="16"/>
      <c r="BP10" s="16"/>
      <c r="BR10" s="16"/>
      <c r="BS10" s="16"/>
      <c r="BT10" s="16"/>
      <c r="BV10" s="16"/>
      <c r="BW10" s="16"/>
      <c r="BX10" s="16"/>
      <c r="BZ10" s="16"/>
      <c r="CA10" s="16"/>
      <c r="CB10" s="16"/>
      <c r="CD10" s="16"/>
      <c r="CE10" s="16"/>
      <c r="CF10" s="16"/>
      <c r="CH10" s="16"/>
      <c r="CI10" s="16"/>
      <c r="CJ10" s="16"/>
      <c r="CL10" s="16"/>
      <c r="CM10" s="16"/>
      <c r="CN10" s="16"/>
      <c r="CP10" s="16"/>
      <c r="CQ10" s="16"/>
      <c r="CR10" s="16"/>
      <c r="CT10" s="16"/>
      <c r="CU10" s="16"/>
      <c r="CV10" s="16"/>
      <c r="CX10" s="16"/>
      <c r="CY10" s="16"/>
      <c r="CZ10" s="16"/>
      <c r="DB10" s="16"/>
      <c r="DC10" s="16"/>
      <c r="DD10" s="16"/>
    </row>
    <row r="11" spans="1:112" ht="17" customHeight="1" x14ac:dyDescent="0.35">
      <c r="A11" s="69"/>
      <c r="B11" s="69"/>
      <c r="C11" s="16"/>
      <c r="D11" s="16"/>
      <c r="E11" s="16"/>
      <c r="F11" s="16"/>
      <c r="G11" s="16"/>
      <c r="H11" s="2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B11" s="16"/>
      <c r="BC11" s="16"/>
      <c r="BD11" s="16"/>
      <c r="BF11" s="16"/>
      <c r="BG11" s="16"/>
      <c r="BH11" s="16"/>
      <c r="BJ11" s="16"/>
      <c r="BK11" s="16"/>
      <c r="BL11" s="16"/>
      <c r="BN11" s="16"/>
      <c r="BO11" s="16"/>
      <c r="BP11" s="16"/>
      <c r="BR11" s="16"/>
      <c r="BS11" s="16"/>
      <c r="BT11" s="16"/>
      <c r="BV11" s="16"/>
      <c r="BW11" s="16"/>
      <c r="BX11" s="16"/>
      <c r="BZ11" s="16"/>
      <c r="CA11" s="16"/>
      <c r="CB11" s="16"/>
      <c r="CD11" s="16"/>
      <c r="CE11" s="16"/>
      <c r="CF11" s="16"/>
      <c r="CH11" s="16"/>
      <c r="CI11" s="16"/>
      <c r="CJ11" s="16"/>
      <c r="CL11" s="16"/>
      <c r="CM11" s="16"/>
      <c r="CN11" s="16"/>
      <c r="CP11" s="16"/>
      <c r="CQ11" s="16"/>
      <c r="CR11" s="16"/>
      <c r="CT11" s="16"/>
      <c r="CU11" s="16"/>
      <c r="CV11" s="16"/>
      <c r="CX11" s="16"/>
      <c r="CY11" s="16"/>
      <c r="CZ11" s="16"/>
      <c r="DB11" s="16"/>
      <c r="DC11" s="16"/>
      <c r="DD11" s="16"/>
    </row>
    <row r="12" spans="1:112" ht="18.5" customHeight="1" x14ac:dyDescent="0.35">
      <c r="A12" s="1"/>
      <c r="B12" s="1"/>
      <c r="C12" s="2"/>
      <c r="D12" s="2"/>
      <c r="E12" s="2"/>
      <c r="F12" s="2"/>
      <c r="G12" s="2"/>
      <c r="H12" s="27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B12" s="2"/>
      <c r="BC12" s="2"/>
      <c r="BD12" s="2"/>
      <c r="BF12" s="2"/>
      <c r="BG12" s="2"/>
      <c r="BH12" s="2"/>
      <c r="BJ12" s="2"/>
      <c r="BK12" s="2"/>
      <c r="BL12" s="2"/>
      <c r="BN12" s="2"/>
      <c r="BO12" s="2"/>
      <c r="BP12" s="2"/>
      <c r="BR12" s="2"/>
      <c r="BS12" s="2"/>
      <c r="BT12" s="2"/>
      <c r="BV12" s="2"/>
      <c r="BW12" s="2"/>
      <c r="BX12" s="2"/>
      <c r="BZ12" s="2"/>
      <c r="CA12" s="2"/>
      <c r="CB12" s="2"/>
      <c r="CD12" s="2"/>
      <c r="CE12" s="2"/>
      <c r="CF12" s="2"/>
      <c r="CH12" s="2"/>
      <c r="CI12" s="2"/>
      <c r="CJ12" s="2"/>
      <c r="CL12" s="2"/>
      <c r="CM12" s="2"/>
      <c r="CN12" s="2"/>
      <c r="CP12" s="2"/>
      <c r="CQ12" s="2"/>
      <c r="CR12" s="2"/>
      <c r="CT12" s="2"/>
      <c r="CU12" s="2"/>
      <c r="CV12" s="2"/>
      <c r="CX12" s="2"/>
      <c r="CY12" s="2"/>
      <c r="CZ12" s="2"/>
      <c r="DB12" s="2"/>
      <c r="DC12" s="2"/>
      <c r="DD12" s="2"/>
    </row>
    <row r="13" spans="1:112" ht="17" customHeight="1" x14ac:dyDescent="0.35">
      <c r="A13" s="3" t="s">
        <v>2</v>
      </c>
      <c r="B13" s="35" t="s">
        <v>3</v>
      </c>
      <c r="BA13" s="36"/>
    </row>
    <row r="14" spans="1:112" ht="14.5" customHeight="1" x14ac:dyDescent="0.35">
      <c r="B14" s="4" t="s">
        <v>20</v>
      </c>
    </row>
    <row r="15" spans="1:112" ht="19.5" customHeight="1" x14ac:dyDescent="0.35">
      <c r="A15" s="110" t="s">
        <v>21</v>
      </c>
      <c r="B15" s="111"/>
      <c r="C15" s="5"/>
      <c r="D15" s="101" t="s">
        <v>22</v>
      </c>
      <c r="E15" s="102"/>
      <c r="F15" s="102"/>
      <c r="G15" s="103"/>
      <c r="H15" s="28"/>
      <c r="I15" s="101" t="s">
        <v>23</v>
      </c>
      <c r="J15" s="102"/>
      <c r="K15" s="102"/>
      <c r="L15" s="103"/>
      <c r="M15" s="101" t="s">
        <v>24</v>
      </c>
      <c r="N15" s="102"/>
      <c r="O15" s="102"/>
      <c r="P15" s="103"/>
      <c r="Q15" s="101" t="s">
        <v>25</v>
      </c>
      <c r="R15" s="102"/>
      <c r="S15" s="102"/>
      <c r="T15" s="103"/>
      <c r="U15" s="101" t="s">
        <v>26</v>
      </c>
      <c r="V15" s="102"/>
      <c r="W15" s="102"/>
      <c r="X15" s="103"/>
      <c r="Y15" s="101" t="s">
        <v>27</v>
      </c>
      <c r="Z15" s="102"/>
      <c r="AA15" s="102"/>
      <c r="AB15" s="103"/>
      <c r="AC15" s="101" t="s">
        <v>28</v>
      </c>
      <c r="AD15" s="102"/>
      <c r="AE15" s="102"/>
      <c r="AF15" s="103"/>
      <c r="AG15" s="101" t="s">
        <v>29</v>
      </c>
      <c r="AH15" s="102"/>
      <c r="AI15" s="102"/>
      <c r="AJ15" s="103"/>
      <c r="AK15" s="101" t="s">
        <v>30</v>
      </c>
      <c r="AL15" s="102"/>
      <c r="AM15" s="102"/>
      <c r="AN15" s="103"/>
      <c r="AO15" s="101" t="s">
        <v>31</v>
      </c>
      <c r="AP15" s="102"/>
      <c r="AQ15" s="102"/>
      <c r="AR15" s="103"/>
      <c r="AS15" s="101" t="s">
        <v>32</v>
      </c>
      <c r="AT15" s="102"/>
      <c r="AU15" s="102"/>
      <c r="AV15" s="103"/>
      <c r="AW15" s="101" t="s">
        <v>33</v>
      </c>
      <c r="AX15" s="102"/>
      <c r="AY15" s="102"/>
      <c r="AZ15" s="103"/>
      <c r="BA15" s="101" t="s">
        <v>34</v>
      </c>
      <c r="BB15" s="102"/>
      <c r="BC15" s="102"/>
      <c r="BD15" s="103"/>
      <c r="BE15" s="101" t="s">
        <v>35</v>
      </c>
      <c r="BF15" s="102"/>
      <c r="BG15" s="102"/>
      <c r="BH15" s="103"/>
      <c r="BI15" s="101" t="s">
        <v>36</v>
      </c>
      <c r="BJ15" s="102"/>
      <c r="BK15" s="102"/>
      <c r="BL15" s="103"/>
      <c r="BM15" s="101" t="s">
        <v>37</v>
      </c>
      <c r="BN15" s="102"/>
      <c r="BO15" s="102"/>
      <c r="BP15" s="103"/>
      <c r="BQ15" s="101" t="s">
        <v>38</v>
      </c>
      <c r="BR15" s="102"/>
      <c r="BS15" s="102"/>
      <c r="BT15" s="103"/>
      <c r="BU15" s="101" t="s">
        <v>39</v>
      </c>
      <c r="BV15" s="102"/>
      <c r="BW15" s="102"/>
      <c r="BX15" s="103"/>
      <c r="BY15" s="101" t="s">
        <v>40</v>
      </c>
      <c r="BZ15" s="102"/>
      <c r="CA15" s="102"/>
      <c r="CB15" s="103"/>
      <c r="CC15" s="101" t="s">
        <v>41</v>
      </c>
      <c r="CD15" s="102"/>
      <c r="CE15" s="102"/>
      <c r="CF15" s="103"/>
      <c r="CG15" s="101" t="s">
        <v>42</v>
      </c>
      <c r="CH15" s="102"/>
      <c r="CI15" s="102"/>
      <c r="CJ15" s="103"/>
      <c r="CK15" s="101" t="s">
        <v>43</v>
      </c>
      <c r="CL15" s="102"/>
      <c r="CM15" s="102"/>
      <c r="CN15" s="103"/>
      <c r="CO15" s="101" t="s">
        <v>44</v>
      </c>
      <c r="CP15" s="102"/>
      <c r="CQ15" s="102"/>
      <c r="CR15" s="103"/>
      <c r="CS15" s="101" t="s">
        <v>45</v>
      </c>
      <c r="CT15" s="102"/>
      <c r="CU15" s="102"/>
      <c r="CV15" s="103"/>
      <c r="CW15" s="101" t="s">
        <v>46</v>
      </c>
      <c r="CX15" s="102"/>
      <c r="CY15" s="102"/>
      <c r="CZ15" s="103"/>
      <c r="DA15" s="101" t="s">
        <v>47</v>
      </c>
      <c r="DB15" s="102"/>
      <c r="DC15" s="102"/>
      <c r="DD15" s="103"/>
      <c r="DE15" s="101" t="s">
        <v>48</v>
      </c>
      <c r="DF15" s="102"/>
      <c r="DG15" s="102"/>
      <c r="DH15" s="103"/>
    </row>
    <row r="16" spans="1:112" ht="33" customHeight="1" x14ac:dyDescent="0.35">
      <c r="A16" s="112"/>
      <c r="B16" s="103"/>
      <c r="C16" s="5"/>
      <c r="D16" s="29" t="s">
        <v>2</v>
      </c>
      <c r="E16" s="29" t="s">
        <v>49</v>
      </c>
      <c r="F16" s="29" t="s">
        <v>10</v>
      </c>
      <c r="G16" s="23" t="s">
        <v>50</v>
      </c>
      <c r="H16" s="30"/>
      <c r="I16" s="23" t="s">
        <v>51</v>
      </c>
      <c r="J16" s="29" t="s">
        <v>49</v>
      </c>
      <c r="K16" s="29" t="s">
        <v>10</v>
      </c>
      <c r="L16" s="23" t="s">
        <v>50</v>
      </c>
      <c r="M16" s="23" t="s">
        <v>51</v>
      </c>
      <c r="N16" s="29" t="s">
        <v>49</v>
      </c>
      <c r="O16" s="29" t="s">
        <v>10</v>
      </c>
      <c r="P16" s="23" t="s">
        <v>50</v>
      </c>
      <c r="Q16" s="23" t="s">
        <v>2</v>
      </c>
      <c r="R16" s="29" t="s">
        <v>49</v>
      </c>
      <c r="S16" s="29" t="s">
        <v>10</v>
      </c>
      <c r="T16" s="23" t="s">
        <v>50</v>
      </c>
      <c r="U16" s="23" t="s">
        <v>2</v>
      </c>
      <c r="V16" s="29" t="s">
        <v>49</v>
      </c>
      <c r="W16" s="29" t="s">
        <v>10</v>
      </c>
      <c r="X16" s="23" t="s">
        <v>50</v>
      </c>
      <c r="Y16" s="23" t="s">
        <v>2</v>
      </c>
      <c r="Z16" s="29" t="s">
        <v>49</v>
      </c>
      <c r="AA16" s="29" t="s">
        <v>10</v>
      </c>
      <c r="AB16" s="23" t="s">
        <v>50</v>
      </c>
      <c r="AC16" s="23" t="s">
        <v>2</v>
      </c>
      <c r="AD16" s="29" t="s">
        <v>49</v>
      </c>
      <c r="AE16" s="29" t="s">
        <v>10</v>
      </c>
      <c r="AF16" s="23" t="s">
        <v>50</v>
      </c>
      <c r="AG16" s="23" t="s">
        <v>2</v>
      </c>
      <c r="AH16" s="29" t="s">
        <v>49</v>
      </c>
      <c r="AI16" s="29" t="s">
        <v>10</v>
      </c>
      <c r="AJ16" s="23" t="s">
        <v>50</v>
      </c>
      <c r="AK16" s="23" t="s">
        <v>2</v>
      </c>
      <c r="AL16" s="29" t="s">
        <v>49</v>
      </c>
      <c r="AM16" s="29" t="s">
        <v>10</v>
      </c>
      <c r="AN16" s="23" t="s">
        <v>50</v>
      </c>
      <c r="AO16" s="23" t="s">
        <v>2</v>
      </c>
      <c r="AP16" s="29" t="s">
        <v>49</v>
      </c>
      <c r="AQ16" s="29" t="s">
        <v>10</v>
      </c>
      <c r="AR16" s="23" t="s">
        <v>50</v>
      </c>
      <c r="AS16" s="23" t="s">
        <v>2</v>
      </c>
      <c r="AT16" s="29" t="s">
        <v>49</v>
      </c>
      <c r="AU16" s="29" t="s">
        <v>10</v>
      </c>
      <c r="AV16" s="23" t="s">
        <v>50</v>
      </c>
      <c r="AW16" s="23" t="s">
        <v>2</v>
      </c>
      <c r="AX16" s="29" t="s">
        <v>49</v>
      </c>
      <c r="AY16" s="29" t="s">
        <v>10</v>
      </c>
      <c r="AZ16" s="23" t="s">
        <v>50</v>
      </c>
      <c r="BA16" s="23" t="s">
        <v>2</v>
      </c>
      <c r="BB16" s="29" t="s">
        <v>49</v>
      </c>
      <c r="BC16" s="29" t="s">
        <v>10</v>
      </c>
      <c r="BD16" s="23" t="s">
        <v>50</v>
      </c>
      <c r="BE16" s="23" t="s">
        <v>2</v>
      </c>
      <c r="BF16" s="29" t="s">
        <v>49</v>
      </c>
      <c r="BG16" s="29" t="s">
        <v>10</v>
      </c>
      <c r="BH16" s="23" t="s">
        <v>50</v>
      </c>
      <c r="BI16" s="23" t="s">
        <v>2</v>
      </c>
      <c r="BJ16" s="29" t="s">
        <v>49</v>
      </c>
      <c r="BK16" s="29" t="s">
        <v>10</v>
      </c>
      <c r="BL16" s="23" t="s">
        <v>50</v>
      </c>
      <c r="BM16" s="23" t="s">
        <v>2</v>
      </c>
      <c r="BN16" s="29" t="s">
        <v>49</v>
      </c>
      <c r="BO16" s="29" t="s">
        <v>10</v>
      </c>
      <c r="BP16" s="23" t="s">
        <v>50</v>
      </c>
      <c r="BQ16" s="23" t="s">
        <v>2</v>
      </c>
      <c r="BR16" s="29" t="s">
        <v>49</v>
      </c>
      <c r="BS16" s="29" t="s">
        <v>10</v>
      </c>
      <c r="BT16" s="23" t="s">
        <v>50</v>
      </c>
      <c r="BU16" s="23" t="s">
        <v>2</v>
      </c>
      <c r="BV16" s="29" t="s">
        <v>49</v>
      </c>
      <c r="BW16" s="29" t="s">
        <v>10</v>
      </c>
      <c r="BX16" s="23" t="s">
        <v>50</v>
      </c>
      <c r="BY16" s="23" t="s">
        <v>2</v>
      </c>
      <c r="BZ16" s="29" t="s">
        <v>49</v>
      </c>
      <c r="CA16" s="29" t="s">
        <v>10</v>
      </c>
      <c r="CB16" s="23" t="s">
        <v>50</v>
      </c>
      <c r="CC16" s="23" t="s">
        <v>2</v>
      </c>
      <c r="CD16" s="29" t="s">
        <v>49</v>
      </c>
      <c r="CE16" s="29" t="s">
        <v>10</v>
      </c>
      <c r="CF16" s="23" t="s">
        <v>50</v>
      </c>
      <c r="CG16" s="23" t="s">
        <v>2</v>
      </c>
      <c r="CH16" s="29" t="s">
        <v>49</v>
      </c>
      <c r="CI16" s="29" t="s">
        <v>10</v>
      </c>
      <c r="CJ16" s="23" t="s">
        <v>50</v>
      </c>
      <c r="CK16" s="23" t="s">
        <v>2</v>
      </c>
      <c r="CL16" s="29" t="s">
        <v>49</v>
      </c>
      <c r="CM16" s="29" t="s">
        <v>10</v>
      </c>
      <c r="CN16" s="23" t="s">
        <v>50</v>
      </c>
      <c r="CO16" s="23" t="s">
        <v>2</v>
      </c>
      <c r="CP16" s="29" t="s">
        <v>49</v>
      </c>
      <c r="CQ16" s="29" t="s">
        <v>10</v>
      </c>
      <c r="CR16" s="23" t="s">
        <v>50</v>
      </c>
      <c r="CS16" s="23" t="s">
        <v>2</v>
      </c>
      <c r="CT16" s="29" t="s">
        <v>49</v>
      </c>
      <c r="CU16" s="29" t="s">
        <v>10</v>
      </c>
      <c r="CV16" s="23" t="s">
        <v>50</v>
      </c>
      <c r="CW16" s="23" t="s">
        <v>2</v>
      </c>
      <c r="CX16" s="29" t="s">
        <v>49</v>
      </c>
      <c r="CY16" s="29" t="s">
        <v>10</v>
      </c>
      <c r="CZ16" s="23" t="s">
        <v>50</v>
      </c>
      <c r="DA16" s="23" t="s">
        <v>2</v>
      </c>
      <c r="DB16" s="29" t="s">
        <v>49</v>
      </c>
      <c r="DC16" s="29" t="s">
        <v>10</v>
      </c>
      <c r="DD16" s="23" t="s">
        <v>50</v>
      </c>
      <c r="DE16" s="23" t="s">
        <v>2</v>
      </c>
      <c r="DF16" s="29" t="s">
        <v>49</v>
      </c>
      <c r="DG16" s="29" t="s">
        <v>10</v>
      </c>
      <c r="DH16" s="23" t="s">
        <v>50</v>
      </c>
    </row>
    <row r="17" spans="1:112" ht="35.25" customHeight="1" x14ac:dyDescent="0.35">
      <c r="A17" s="104" t="s">
        <v>52</v>
      </c>
      <c r="B17" s="105"/>
      <c r="C17" s="6"/>
      <c r="D17" s="31">
        <v>401102990.05000001</v>
      </c>
      <c r="E17" s="7">
        <f t="shared" ref="E17:E30" si="0">+J17+N17+R17+V17+Z17+AD17+AH17+AL17+AP17</f>
        <v>0</v>
      </c>
      <c r="F17" s="7">
        <f t="shared" ref="F17:F30" si="1">+K17+O17+S17+W17+AA17+AE17+AI17+AM17+AQ17</f>
        <v>0</v>
      </c>
      <c r="G17" s="7">
        <f t="shared" ref="G17:G30" si="2">+L17+P17+T17+X17+AB17+AF17+AJ17+AN17+AR17</f>
        <v>135433231.54999998</v>
      </c>
      <c r="H17" s="32"/>
      <c r="I17" s="7">
        <v>0</v>
      </c>
      <c r="J17" s="7"/>
      <c r="K17" s="7"/>
      <c r="L17" s="7">
        <f t="shared" ref="L17:L30" si="3">+I17-J17-K17</f>
        <v>0</v>
      </c>
      <c r="M17" s="7">
        <v>0</v>
      </c>
      <c r="N17" s="7"/>
      <c r="O17" s="7"/>
      <c r="P17" s="7">
        <f t="shared" ref="P17:P30" si="4">+M17-N17-O17</f>
        <v>0</v>
      </c>
      <c r="Q17" s="7">
        <v>113647200</v>
      </c>
      <c r="R17" s="7"/>
      <c r="S17" s="7"/>
      <c r="T17" s="7">
        <f t="shared" ref="T17:T30" si="5">+Q17-R17-S17</f>
        <v>113647200</v>
      </c>
      <c r="U17" s="7">
        <v>0</v>
      </c>
      <c r="V17" s="7"/>
      <c r="W17" s="7"/>
      <c r="X17" s="7">
        <f t="shared" ref="X17:X30" si="6">+U17-V17-W17</f>
        <v>0</v>
      </c>
      <c r="Y17" s="7">
        <v>8558071.0999999996</v>
      </c>
      <c r="Z17" s="7"/>
      <c r="AA17" s="7"/>
      <c r="AB17" s="7">
        <f t="shared" ref="AB17:AB30" si="7">+Y17-Z17-AA17</f>
        <v>8558071.0999999996</v>
      </c>
      <c r="AC17" s="7">
        <v>0</v>
      </c>
      <c r="AD17" s="7"/>
      <c r="AE17" s="7"/>
      <c r="AF17" s="7">
        <f t="shared" ref="AF17:AF30" si="8">+AC17-AD17-AE17</f>
        <v>0</v>
      </c>
      <c r="AG17" s="7">
        <v>0</v>
      </c>
      <c r="AH17" s="7"/>
      <c r="AI17" s="7"/>
      <c r="AJ17" s="7">
        <f t="shared" ref="AJ17:AJ30" si="9">+AG17-AH17-AI17</f>
        <v>0</v>
      </c>
      <c r="AK17" s="7">
        <v>0</v>
      </c>
      <c r="AL17" s="7"/>
      <c r="AM17" s="7"/>
      <c r="AN17" s="7">
        <f t="shared" ref="AN17:AN30" si="10">+AK17-AL17-AM17</f>
        <v>0</v>
      </c>
      <c r="AO17" s="7">
        <v>13227960.449999999</v>
      </c>
      <c r="AP17" s="7"/>
      <c r="AQ17" s="7"/>
      <c r="AR17" s="7">
        <f t="shared" ref="AR17:AR30" si="11">+AO17-AP17-AQ17</f>
        <v>13227960.449999999</v>
      </c>
      <c r="AS17" s="7">
        <v>0</v>
      </c>
      <c r="AT17" s="7"/>
      <c r="AU17" s="7"/>
      <c r="AV17" s="7"/>
      <c r="AW17" s="7">
        <v>0</v>
      </c>
      <c r="AX17" s="7"/>
      <c r="AY17" s="7"/>
      <c r="AZ17" s="7"/>
      <c r="BA17" s="7">
        <v>235869691.59599999</v>
      </c>
      <c r="BB17" s="7"/>
      <c r="BC17" s="7"/>
      <c r="BD17" s="7"/>
      <c r="BE17" s="7">
        <v>0</v>
      </c>
      <c r="BF17" s="7"/>
      <c r="BG17" s="7"/>
      <c r="BH17" s="7"/>
      <c r="BI17" s="7">
        <v>0</v>
      </c>
      <c r="BJ17" s="7"/>
      <c r="BK17" s="7"/>
      <c r="BL17" s="7"/>
      <c r="BM17" s="7">
        <v>0</v>
      </c>
      <c r="BN17" s="7"/>
      <c r="BO17" s="7"/>
      <c r="BP17" s="7"/>
      <c r="BQ17" s="7">
        <v>0</v>
      </c>
      <c r="BR17" s="7"/>
      <c r="BS17" s="7"/>
      <c r="BT17" s="7"/>
      <c r="BU17" s="7">
        <v>0</v>
      </c>
      <c r="BV17" s="7"/>
      <c r="BW17" s="7"/>
      <c r="BX17" s="7"/>
      <c r="BY17" s="7">
        <v>0</v>
      </c>
      <c r="BZ17" s="7"/>
      <c r="CA17" s="7"/>
      <c r="CB17" s="7"/>
      <c r="CC17" s="7">
        <v>0</v>
      </c>
      <c r="CD17" s="7"/>
      <c r="CE17" s="7"/>
      <c r="CF17" s="7"/>
      <c r="CG17" s="7">
        <v>0</v>
      </c>
      <c r="CH17" s="7"/>
      <c r="CI17" s="7"/>
      <c r="CJ17" s="7"/>
      <c r="CK17" s="7">
        <v>0</v>
      </c>
      <c r="CL17" s="7"/>
      <c r="CM17" s="7"/>
      <c r="CN17" s="7"/>
      <c r="CO17" s="7">
        <v>28725836.899999999</v>
      </c>
      <c r="CP17" s="7"/>
      <c r="CQ17" s="7"/>
      <c r="CR17" s="7"/>
      <c r="CS17" s="7">
        <v>0</v>
      </c>
      <c r="CT17" s="7"/>
      <c r="CU17" s="7"/>
      <c r="CV17" s="7"/>
      <c r="CW17" s="7">
        <v>0</v>
      </c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</row>
    <row r="18" spans="1:112" ht="36.75" customHeight="1" x14ac:dyDescent="0.35">
      <c r="A18" s="104" t="s">
        <v>53</v>
      </c>
      <c r="B18" s="105"/>
      <c r="C18" s="6"/>
      <c r="D18" s="31">
        <v>149240621.5</v>
      </c>
      <c r="E18" s="7">
        <f t="shared" si="0"/>
        <v>0</v>
      </c>
      <c r="F18" s="7">
        <f t="shared" si="1"/>
        <v>0</v>
      </c>
      <c r="G18" s="7">
        <f t="shared" si="2"/>
        <v>149240621.5</v>
      </c>
      <c r="H18" s="32"/>
      <c r="I18" s="7">
        <v>0</v>
      </c>
      <c r="J18" s="7"/>
      <c r="K18" s="7"/>
      <c r="L18" s="7">
        <f t="shared" si="3"/>
        <v>0</v>
      </c>
      <c r="M18" s="7">
        <v>0</v>
      </c>
      <c r="N18" s="7"/>
      <c r="O18" s="7"/>
      <c r="P18" s="7">
        <f t="shared" si="4"/>
        <v>0</v>
      </c>
      <c r="Q18" s="7">
        <v>1260000</v>
      </c>
      <c r="R18" s="7"/>
      <c r="S18" s="7"/>
      <c r="T18" s="7">
        <f t="shared" si="5"/>
        <v>1260000</v>
      </c>
      <c r="U18" s="7">
        <v>126258437.5</v>
      </c>
      <c r="V18" s="7"/>
      <c r="W18" s="7"/>
      <c r="X18" s="7">
        <f t="shared" si="6"/>
        <v>126258437.5</v>
      </c>
      <c r="Y18" s="7"/>
      <c r="Z18" s="7"/>
      <c r="AA18" s="7"/>
      <c r="AB18" s="7">
        <f t="shared" si="7"/>
        <v>0</v>
      </c>
      <c r="AC18" s="7">
        <v>0</v>
      </c>
      <c r="AD18" s="7"/>
      <c r="AE18" s="7"/>
      <c r="AF18" s="7">
        <f t="shared" si="8"/>
        <v>0</v>
      </c>
      <c r="AG18" s="7">
        <v>0</v>
      </c>
      <c r="AH18" s="7"/>
      <c r="AI18" s="7"/>
      <c r="AJ18" s="7">
        <f t="shared" si="9"/>
        <v>0</v>
      </c>
      <c r="AK18" s="7">
        <v>0</v>
      </c>
      <c r="AL18" s="7"/>
      <c r="AM18" s="7"/>
      <c r="AN18" s="7">
        <f t="shared" si="10"/>
        <v>0</v>
      </c>
      <c r="AO18" s="7">
        <v>21722184</v>
      </c>
      <c r="AP18" s="7"/>
      <c r="AQ18" s="7"/>
      <c r="AR18" s="7">
        <f t="shared" si="11"/>
        <v>21722184</v>
      </c>
      <c r="AS18" s="7">
        <v>0</v>
      </c>
      <c r="AT18" s="7"/>
      <c r="AU18" s="7"/>
      <c r="AV18" s="7"/>
      <c r="AW18" s="7">
        <v>0</v>
      </c>
      <c r="AX18" s="7"/>
      <c r="AY18" s="7"/>
      <c r="AZ18" s="7"/>
      <c r="BA18" s="7">
        <v>0</v>
      </c>
      <c r="BB18" s="7"/>
      <c r="BC18" s="7"/>
      <c r="BD18" s="7"/>
      <c r="BE18" s="7">
        <v>0</v>
      </c>
      <c r="BF18" s="7"/>
      <c r="BG18" s="7"/>
      <c r="BH18" s="7"/>
      <c r="BI18" s="7">
        <v>0</v>
      </c>
      <c r="BJ18" s="7"/>
      <c r="BK18" s="7"/>
      <c r="BL18" s="7"/>
      <c r="BM18" s="7">
        <v>0</v>
      </c>
      <c r="BN18" s="7"/>
      <c r="BO18" s="7"/>
      <c r="BP18" s="7"/>
      <c r="BQ18" s="7">
        <v>0</v>
      </c>
      <c r="BR18" s="7"/>
      <c r="BS18" s="7"/>
      <c r="BT18" s="7"/>
      <c r="BU18" s="7">
        <v>0</v>
      </c>
      <c r="BV18" s="7"/>
      <c r="BW18" s="7"/>
      <c r="BX18" s="7"/>
      <c r="BY18" s="7">
        <v>0</v>
      </c>
      <c r="BZ18" s="7"/>
      <c r="CA18" s="7"/>
      <c r="CB18" s="7"/>
      <c r="CC18" s="7">
        <v>0</v>
      </c>
      <c r="CD18" s="7"/>
      <c r="CE18" s="7"/>
      <c r="CF18" s="7"/>
      <c r="CG18" s="7">
        <v>0</v>
      </c>
      <c r="CH18" s="7"/>
      <c r="CI18" s="7"/>
      <c r="CJ18" s="7"/>
      <c r="CK18" s="7">
        <v>0</v>
      </c>
      <c r="CL18" s="7"/>
      <c r="CM18" s="7"/>
      <c r="CN18" s="7"/>
      <c r="CO18" s="7">
        <v>0</v>
      </c>
      <c r="CP18" s="7"/>
      <c r="CQ18" s="7"/>
      <c r="CR18" s="7"/>
      <c r="CS18" s="7">
        <v>0</v>
      </c>
      <c r="CT18" s="7"/>
      <c r="CU18" s="7"/>
      <c r="CV18" s="7"/>
      <c r="CW18" s="7">
        <v>0</v>
      </c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</row>
    <row r="19" spans="1:112" ht="33" customHeight="1" x14ac:dyDescent="0.35">
      <c r="A19" s="104" t="s">
        <v>54</v>
      </c>
      <c r="B19" s="105"/>
      <c r="C19" s="6"/>
      <c r="D19" s="31">
        <v>14810000</v>
      </c>
      <c r="E19" s="7">
        <f t="shared" si="0"/>
        <v>0</v>
      </c>
      <c r="F19" s="7">
        <f t="shared" si="1"/>
        <v>0</v>
      </c>
      <c r="G19" s="7">
        <f t="shared" si="2"/>
        <v>0</v>
      </c>
      <c r="H19" s="32"/>
      <c r="I19" s="7">
        <v>0</v>
      </c>
      <c r="J19" s="7"/>
      <c r="K19" s="7"/>
      <c r="L19" s="7">
        <f t="shared" si="3"/>
        <v>0</v>
      </c>
      <c r="M19" s="7">
        <v>0</v>
      </c>
      <c r="N19" s="7"/>
      <c r="O19" s="7"/>
      <c r="P19" s="7">
        <f t="shared" si="4"/>
        <v>0</v>
      </c>
      <c r="Q19" s="7">
        <v>0</v>
      </c>
      <c r="R19" s="7"/>
      <c r="S19" s="7"/>
      <c r="T19" s="7">
        <f t="shared" si="5"/>
        <v>0</v>
      </c>
      <c r="U19" s="7">
        <v>0</v>
      </c>
      <c r="V19" s="7"/>
      <c r="W19" s="7"/>
      <c r="X19" s="7">
        <f t="shared" si="6"/>
        <v>0</v>
      </c>
      <c r="Y19" s="7"/>
      <c r="Z19" s="7"/>
      <c r="AA19" s="7"/>
      <c r="AB19" s="7">
        <f t="shared" si="7"/>
        <v>0</v>
      </c>
      <c r="AC19" s="7">
        <v>0</v>
      </c>
      <c r="AD19" s="7"/>
      <c r="AE19" s="7"/>
      <c r="AF19" s="7">
        <f t="shared" si="8"/>
        <v>0</v>
      </c>
      <c r="AG19" s="7">
        <v>0</v>
      </c>
      <c r="AH19" s="7"/>
      <c r="AI19" s="7"/>
      <c r="AJ19" s="7">
        <f t="shared" si="9"/>
        <v>0</v>
      </c>
      <c r="AK19" s="7">
        <v>0</v>
      </c>
      <c r="AL19" s="7"/>
      <c r="AM19" s="7"/>
      <c r="AN19" s="7">
        <f t="shared" si="10"/>
        <v>0</v>
      </c>
      <c r="AO19" s="7">
        <v>0</v>
      </c>
      <c r="AP19" s="7"/>
      <c r="AQ19" s="7"/>
      <c r="AR19" s="7">
        <f t="shared" si="11"/>
        <v>0</v>
      </c>
      <c r="AS19" s="7">
        <v>0</v>
      </c>
      <c r="AT19" s="7"/>
      <c r="AU19" s="7"/>
      <c r="AV19" s="7"/>
      <c r="AW19" s="7">
        <v>0</v>
      </c>
      <c r="AX19" s="7"/>
      <c r="AY19" s="7"/>
      <c r="AZ19" s="7"/>
      <c r="BA19" s="7">
        <v>0</v>
      </c>
      <c r="BB19" s="7"/>
      <c r="BC19" s="7"/>
      <c r="BD19" s="7"/>
      <c r="BE19" s="7">
        <v>2560000</v>
      </c>
      <c r="BF19" s="7"/>
      <c r="BG19" s="7"/>
      <c r="BH19" s="7"/>
      <c r="BI19" s="7">
        <v>0</v>
      </c>
      <c r="BJ19" s="7"/>
      <c r="BK19" s="7"/>
      <c r="BL19" s="7"/>
      <c r="BM19" s="7">
        <v>0</v>
      </c>
      <c r="BN19" s="7"/>
      <c r="BO19" s="7"/>
      <c r="BP19" s="7"/>
      <c r="BQ19" s="7">
        <v>0</v>
      </c>
      <c r="BR19" s="7"/>
      <c r="BS19" s="7"/>
      <c r="BT19" s="7"/>
      <c r="BU19" s="7">
        <v>0</v>
      </c>
      <c r="BV19" s="7"/>
      <c r="BW19" s="7"/>
      <c r="BX19" s="7"/>
      <c r="BY19" s="7">
        <v>2400000</v>
      </c>
      <c r="BZ19" s="7"/>
      <c r="CA19" s="7"/>
      <c r="CB19" s="7"/>
      <c r="CC19" s="7">
        <v>0</v>
      </c>
      <c r="CD19" s="7"/>
      <c r="CE19" s="7"/>
      <c r="CF19" s="7"/>
      <c r="CG19" s="7">
        <v>0</v>
      </c>
      <c r="CH19" s="7"/>
      <c r="CI19" s="7"/>
      <c r="CJ19" s="7"/>
      <c r="CK19" s="7">
        <v>0</v>
      </c>
      <c r="CL19" s="7"/>
      <c r="CM19" s="7"/>
      <c r="CN19" s="7"/>
      <c r="CO19" s="7">
        <v>0</v>
      </c>
      <c r="CP19" s="7"/>
      <c r="CQ19" s="7"/>
      <c r="CR19" s="7"/>
      <c r="CS19" s="7">
        <v>0</v>
      </c>
      <c r="CT19" s="7"/>
      <c r="CU19" s="7"/>
      <c r="CV19" s="7"/>
      <c r="CW19" s="7">
        <v>1450000</v>
      </c>
      <c r="CX19" s="7"/>
      <c r="CY19" s="7"/>
      <c r="CZ19" s="7"/>
      <c r="DA19" s="7">
        <v>8400000</v>
      </c>
      <c r="DB19" s="7"/>
      <c r="DC19" s="7"/>
      <c r="DD19" s="7"/>
      <c r="DE19" s="7"/>
      <c r="DF19" s="7"/>
      <c r="DG19" s="7"/>
      <c r="DH19" s="7"/>
    </row>
    <row r="20" spans="1:112" ht="35.25" customHeight="1" x14ac:dyDescent="0.35">
      <c r="A20" s="104" t="s">
        <v>55</v>
      </c>
      <c r="B20" s="105"/>
      <c r="C20" s="6"/>
      <c r="D20" s="31">
        <v>14821150</v>
      </c>
      <c r="E20" s="7">
        <f t="shared" si="0"/>
        <v>0</v>
      </c>
      <c r="F20" s="7">
        <f t="shared" si="1"/>
        <v>0</v>
      </c>
      <c r="G20" s="7">
        <f t="shared" si="2"/>
        <v>580000</v>
      </c>
      <c r="H20" s="32"/>
      <c r="I20" s="7">
        <v>0</v>
      </c>
      <c r="J20" s="7"/>
      <c r="K20" s="7"/>
      <c r="L20" s="7">
        <f t="shared" si="3"/>
        <v>0</v>
      </c>
      <c r="M20" s="7">
        <v>100000</v>
      </c>
      <c r="N20" s="7"/>
      <c r="O20" s="7"/>
      <c r="P20" s="7">
        <f t="shared" si="4"/>
        <v>100000</v>
      </c>
      <c r="Q20" s="7">
        <v>260000</v>
      </c>
      <c r="R20" s="7"/>
      <c r="S20" s="7"/>
      <c r="T20" s="7">
        <f t="shared" si="5"/>
        <v>260000</v>
      </c>
      <c r="U20" s="7">
        <v>170000</v>
      </c>
      <c r="V20" s="7"/>
      <c r="W20" s="7"/>
      <c r="X20" s="7">
        <f t="shared" si="6"/>
        <v>170000</v>
      </c>
      <c r="Y20" s="7"/>
      <c r="Z20" s="7"/>
      <c r="AA20" s="7"/>
      <c r="AB20" s="7">
        <f t="shared" si="7"/>
        <v>0</v>
      </c>
      <c r="AC20" s="7">
        <v>50000</v>
      </c>
      <c r="AD20" s="7"/>
      <c r="AE20" s="7"/>
      <c r="AF20" s="7">
        <f t="shared" si="8"/>
        <v>50000</v>
      </c>
      <c r="AG20" s="7">
        <v>0</v>
      </c>
      <c r="AH20" s="7"/>
      <c r="AI20" s="7"/>
      <c r="AJ20" s="7">
        <f t="shared" si="9"/>
        <v>0</v>
      </c>
      <c r="AK20" s="7">
        <v>0</v>
      </c>
      <c r="AL20" s="7"/>
      <c r="AM20" s="7"/>
      <c r="AN20" s="7">
        <f t="shared" si="10"/>
        <v>0</v>
      </c>
      <c r="AO20" s="7">
        <v>0</v>
      </c>
      <c r="AP20" s="7"/>
      <c r="AQ20" s="7"/>
      <c r="AR20" s="7">
        <f t="shared" si="11"/>
        <v>0</v>
      </c>
      <c r="AS20" s="7">
        <v>0</v>
      </c>
      <c r="AT20" s="7"/>
      <c r="AU20" s="7"/>
      <c r="AV20" s="7"/>
      <c r="AW20" s="7">
        <v>0</v>
      </c>
      <c r="AX20" s="7"/>
      <c r="AY20" s="7"/>
      <c r="AZ20" s="7"/>
      <c r="BA20" s="7">
        <v>0</v>
      </c>
      <c r="BB20" s="7"/>
      <c r="BC20" s="7"/>
      <c r="BD20" s="7"/>
      <c r="BE20" s="7">
        <v>11841150</v>
      </c>
      <c r="BF20" s="7"/>
      <c r="BG20" s="7"/>
      <c r="BH20" s="7"/>
      <c r="BI20" s="7">
        <v>0</v>
      </c>
      <c r="BJ20" s="7"/>
      <c r="BK20" s="7"/>
      <c r="BL20" s="7"/>
      <c r="BM20" s="7">
        <v>50000</v>
      </c>
      <c r="BN20" s="7"/>
      <c r="BO20" s="7"/>
      <c r="BP20" s="7"/>
      <c r="BQ20" s="7">
        <v>0</v>
      </c>
      <c r="BR20" s="7"/>
      <c r="BS20" s="7"/>
      <c r="BT20" s="7"/>
      <c r="BU20" s="7">
        <v>0</v>
      </c>
      <c r="BV20" s="7"/>
      <c r="BW20" s="7"/>
      <c r="BX20" s="7"/>
      <c r="BY20" s="7">
        <v>0</v>
      </c>
      <c r="BZ20" s="7"/>
      <c r="CA20" s="7"/>
      <c r="CB20" s="7"/>
      <c r="CC20" s="7">
        <v>0</v>
      </c>
      <c r="CD20" s="7"/>
      <c r="CE20" s="7"/>
      <c r="CF20" s="7"/>
      <c r="CG20" s="7">
        <v>300000</v>
      </c>
      <c r="CH20" s="7"/>
      <c r="CI20" s="7"/>
      <c r="CJ20" s="7"/>
      <c r="CK20" s="7">
        <v>0</v>
      </c>
      <c r="CL20" s="7"/>
      <c r="CM20" s="7"/>
      <c r="CN20" s="7"/>
      <c r="CO20" s="7">
        <v>55000</v>
      </c>
      <c r="CP20" s="7"/>
      <c r="CQ20" s="7"/>
      <c r="CR20" s="7"/>
      <c r="CS20" s="7">
        <v>0</v>
      </c>
      <c r="CT20" s="7"/>
      <c r="CU20" s="7"/>
      <c r="CV20" s="7"/>
      <c r="CW20" s="7">
        <v>0</v>
      </c>
      <c r="CX20" s="7"/>
      <c r="CY20" s="7"/>
      <c r="CZ20" s="7"/>
      <c r="DA20" s="7">
        <v>1695000</v>
      </c>
      <c r="DB20" s="7"/>
      <c r="DC20" s="7"/>
      <c r="DD20" s="7"/>
      <c r="DE20" s="7"/>
      <c r="DF20" s="7"/>
      <c r="DG20" s="7"/>
      <c r="DH20" s="7"/>
    </row>
    <row r="21" spans="1:112" ht="32.25" customHeight="1" x14ac:dyDescent="0.35">
      <c r="A21" s="104" t="s">
        <v>56</v>
      </c>
      <c r="B21" s="105"/>
      <c r="C21" s="6"/>
      <c r="D21" s="31">
        <v>130504182.28</v>
      </c>
      <c r="E21" s="7">
        <f t="shared" si="0"/>
        <v>0</v>
      </c>
      <c r="F21" s="7">
        <f t="shared" si="1"/>
        <v>0</v>
      </c>
      <c r="G21" s="7">
        <f t="shared" si="2"/>
        <v>23154309.520000003</v>
      </c>
      <c r="H21" s="32"/>
      <c r="I21" s="7">
        <v>594514.19999999995</v>
      </c>
      <c r="J21" s="7"/>
      <c r="K21" s="7"/>
      <c r="L21" s="7">
        <f t="shared" si="3"/>
        <v>594514.19999999995</v>
      </c>
      <c r="M21" s="7">
        <v>1154000</v>
      </c>
      <c r="N21" s="7"/>
      <c r="O21" s="7"/>
      <c r="P21" s="7">
        <f t="shared" si="4"/>
        <v>1154000</v>
      </c>
      <c r="Q21" s="7">
        <v>6911940.4400000004</v>
      </c>
      <c r="R21" s="7"/>
      <c r="S21" s="7"/>
      <c r="T21" s="7">
        <f t="shared" si="5"/>
        <v>6911940.4400000004</v>
      </c>
      <c r="U21" s="7">
        <v>9634854.8800000008</v>
      </c>
      <c r="V21" s="7"/>
      <c r="W21" s="7"/>
      <c r="X21" s="7">
        <f t="shared" si="6"/>
        <v>9634854.8800000008</v>
      </c>
      <c r="Y21" s="7">
        <v>2976000</v>
      </c>
      <c r="Z21" s="7"/>
      <c r="AA21" s="7"/>
      <c r="AB21" s="7">
        <f t="shared" si="7"/>
        <v>2976000</v>
      </c>
      <c r="AC21" s="7">
        <v>1158000</v>
      </c>
      <c r="AD21" s="7"/>
      <c r="AE21" s="7"/>
      <c r="AF21" s="7">
        <f t="shared" si="8"/>
        <v>1158000</v>
      </c>
      <c r="AG21" s="7">
        <v>725000</v>
      </c>
      <c r="AH21" s="7"/>
      <c r="AI21" s="7"/>
      <c r="AJ21" s="7">
        <f t="shared" si="9"/>
        <v>725000</v>
      </c>
      <c r="AK21" s="7">
        <v>0</v>
      </c>
      <c r="AL21" s="7"/>
      <c r="AM21" s="7"/>
      <c r="AN21" s="7">
        <f t="shared" si="10"/>
        <v>0</v>
      </c>
      <c r="AO21" s="7">
        <v>0</v>
      </c>
      <c r="AP21" s="7"/>
      <c r="AQ21" s="7"/>
      <c r="AR21" s="7">
        <f t="shared" si="11"/>
        <v>0</v>
      </c>
      <c r="AS21" s="7">
        <v>1370000</v>
      </c>
      <c r="AT21" s="7"/>
      <c r="AU21" s="7"/>
      <c r="AV21" s="7"/>
      <c r="AW21" s="7">
        <v>13259142.84</v>
      </c>
      <c r="AX21" s="7"/>
      <c r="AY21" s="7"/>
      <c r="AZ21" s="7"/>
      <c r="BA21" s="7">
        <v>0</v>
      </c>
      <c r="BB21" s="7"/>
      <c r="BC21" s="7"/>
      <c r="BD21" s="7"/>
      <c r="BE21" s="7">
        <v>45367082.119999997</v>
      </c>
      <c r="BF21" s="7"/>
      <c r="BG21" s="7"/>
      <c r="BH21" s="7"/>
      <c r="BI21" s="7">
        <v>4890000</v>
      </c>
      <c r="BJ21" s="7"/>
      <c r="BK21" s="7"/>
      <c r="BL21" s="7"/>
      <c r="BM21" s="7">
        <v>710000</v>
      </c>
      <c r="BN21" s="7"/>
      <c r="BO21" s="7"/>
      <c r="BP21" s="7"/>
      <c r="BQ21" s="7">
        <v>0</v>
      </c>
      <c r="BR21" s="7"/>
      <c r="BS21" s="7"/>
      <c r="BT21" s="7"/>
      <c r="BU21" s="7">
        <v>10038873.800000001</v>
      </c>
      <c r="BV21" s="7"/>
      <c r="BW21" s="7"/>
      <c r="BX21" s="7"/>
      <c r="BY21" s="7">
        <v>13023178.369999999</v>
      </c>
      <c r="BZ21" s="7"/>
      <c r="CA21" s="7"/>
      <c r="CB21" s="7"/>
      <c r="CC21" s="7">
        <v>460000</v>
      </c>
      <c r="CD21" s="7"/>
      <c r="CE21" s="7"/>
      <c r="CF21" s="7"/>
      <c r="CG21" s="7">
        <v>12906280.689999999</v>
      </c>
      <c r="CH21" s="7"/>
      <c r="CI21" s="7"/>
      <c r="CJ21" s="7"/>
      <c r="CK21" s="7">
        <v>0</v>
      </c>
      <c r="CL21" s="7"/>
      <c r="CM21" s="7"/>
      <c r="CN21" s="7"/>
      <c r="CO21" s="7">
        <v>1757514.94</v>
      </c>
      <c r="CP21" s="7"/>
      <c r="CQ21" s="7"/>
      <c r="CR21" s="7"/>
      <c r="CS21" s="7">
        <v>500000</v>
      </c>
      <c r="CT21" s="7"/>
      <c r="CU21" s="7"/>
      <c r="CV21" s="7"/>
      <c r="CW21" s="7">
        <v>1200000</v>
      </c>
      <c r="CX21" s="7"/>
      <c r="CY21" s="7"/>
      <c r="CZ21" s="7"/>
      <c r="DA21" s="7">
        <v>1300000</v>
      </c>
      <c r="DB21" s="7"/>
      <c r="DC21" s="7"/>
      <c r="DD21" s="7"/>
      <c r="DE21" s="7"/>
      <c r="DF21" s="7"/>
      <c r="DG21" s="7"/>
      <c r="DH21" s="7"/>
    </row>
    <row r="22" spans="1:112" ht="28.5" customHeight="1" x14ac:dyDescent="0.35">
      <c r="A22" s="104" t="s">
        <v>57</v>
      </c>
      <c r="B22" s="105"/>
      <c r="C22" s="6"/>
      <c r="D22" s="31">
        <v>111087500.64</v>
      </c>
      <c r="E22" s="7">
        <f t="shared" si="0"/>
        <v>0</v>
      </c>
      <c r="F22" s="7">
        <f t="shared" si="1"/>
        <v>0</v>
      </c>
      <c r="G22" s="7">
        <f t="shared" si="2"/>
        <v>0</v>
      </c>
      <c r="H22" s="32"/>
      <c r="I22" s="7">
        <v>0</v>
      </c>
      <c r="J22" s="7"/>
      <c r="K22" s="7"/>
      <c r="L22" s="7">
        <f t="shared" si="3"/>
        <v>0</v>
      </c>
      <c r="M22" s="7">
        <v>0</v>
      </c>
      <c r="N22" s="7"/>
      <c r="O22" s="7"/>
      <c r="P22" s="7">
        <f t="shared" si="4"/>
        <v>0</v>
      </c>
      <c r="Q22" s="7">
        <v>0</v>
      </c>
      <c r="R22" s="7"/>
      <c r="S22" s="7"/>
      <c r="T22" s="7">
        <f t="shared" si="5"/>
        <v>0</v>
      </c>
      <c r="U22" s="7">
        <v>0</v>
      </c>
      <c r="V22" s="7"/>
      <c r="W22" s="7"/>
      <c r="X22" s="7">
        <f t="shared" si="6"/>
        <v>0</v>
      </c>
      <c r="Y22" s="7"/>
      <c r="Z22" s="7"/>
      <c r="AA22" s="7"/>
      <c r="AB22" s="7">
        <f t="shared" si="7"/>
        <v>0</v>
      </c>
      <c r="AC22" s="7">
        <v>0</v>
      </c>
      <c r="AD22" s="7"/>
      <c r="AE22" s="7"/>
      <c r="AF22" s="7">
        <f t="shared" si="8"/>
        <v>0</v>
      </c>
      <c r="AG22" s="7">
        <v>0</v>
      </c>
      <c r="AH22" s="7"/>
      <c r="AI22" s="7"/>
      <c r="AJ22" s="7">
        <f t="shared" si="9"/>
        <v>0</v>
      </c>
      <c r="AK22" s="7">
        <v>0</v>
      </c>
      <c r="AL22" s="7"/>
      <c r="AM22" s="7"/>
      <c r="AN22" s="7">
        <f t="shared" si="10"/>
        <v>0</v>
      </c>
      <c r="AO22" s="7">
        <v>0</v>
      </c>
      <c r="AP22" s="7"/>
      <c r="AQ22" s="7"/>
      <c r="AR22" s="7">
        <f t="shared" si="11"/>
        <v>0</v>
      </c>
      <c r="AS22" s="7">
        <v>0</v>
      </c>
      <c r="AT22" s="7"/>
      <c r="AU22" s="7"/>
      <c r="AV22" s="7"/>
      <c r="AW22" s="7">
        <v>0</v>
      </c>
      <c r="AX22" s="7"/>
      <c r="AY22" s="7"/>
      <c r="AZ22" s="7"/>
      <c r="BA22" s="7">
        <v>0</v>
      </c>
      <c r="BB22" s="7"/>
      <c r="BC22" s="7"/>
      <c r="BD22" s="7"/>
      <c r="BE22" s="7">
        <v>0</v>
      </c>
      <c r="BF22" s="7"/>
      <c r="BG22" s="7"/>
      <c r="BH22" s="7"/>
      <c r="BI22" s="7">
        <v>0</v>
      </c>
      <c r="BJ22" s="7"/>
      <c r="BK22" s="7"/>
      <c r="BL22" s="7"/>
      <c r="BM22" s="7">
        <v>0</v>
      </c>
      <c r="BN22" s="7"/>
      <c r="BO22" s="7"/>
      <c r="BP22" s="7"/>
      <c r="BQ22" s="7">
        <v>0</v>
      </c>
      <c r="BR22" s="7"/>
      <c r="BS22" s="7"/>
      <c r="BT22" s="7"/>
      <c r="BU22" s="7">
        <v>0</v>
      </c>
      <c r="BV22" s="7"/>
      <c r="BW22" s="7"/>
      <c r="BX22" s="7"/>
      <c r="BY22" s="7">
        <v>0</v>
      </c>
      <c r="BZ22" s="7"/>
      <c r="CA22" s="7"/>
      <c r="CB22" s="7"/>
      <c r="CC22" s="7">
        <v>0</v>
      </c>
      <c r="CD22" s="7"/>
      <c r="CE22" s="7"/>
      <c r="CF22" s="7"/>
      <c r="CG22" s="7">
        <v>0</v>
      </c>
      <c r="CH22" s="7"/>
      <c r="CI22" s="7"/>
      <c r="CJ22" s="7"/>
      <c r="CK22" s="7">
        <v>0</v>
      </c>
      <c r="CL22" s="7"/>
      <c r="CM22" s="7"/>
      <c r="CN22" s="7"/>
      <c r="CO22" s="7">
        <v>0</v>
      </c>
      <c r="CP22" s="7"/>
      <c r="CQ22" s="7"/>
      <c r="CR22" s="7"/>
      <c r="CS22" s="7">
        <v>0</v>
      </c>
      <c r="CT22" s="7"/>
      <c r="CU22" s="7"/>
      <c r="CV22" s="7"/>
      <c r="CW22" s="7">
        <v>111087500.64</v>
      </c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</row>
    <row r="23" spans="1:112" ht="33.75" customHeight="1" x14ac:dyDescent="0.35">
      <c r="A23" s="104" t="s">
        <v>58</v>
      </c>
      <c r="B23" s="105"/>
      <c r="C23" s="6"/>
      <c r="D23" s="31">
        <v>35234965.869999997</v>
      </c>
      <c r="E23" s="7">
        <f t="shared" si="0"/>
        <v>0</v>
      </c>
      <c r="F23" s="7">
        <f t="shared" si="1"/>
        <v>0</v>
      </c>
      <c r="G23" s="7">
        <f t="shared" si="2"/>
        <v>796000</v>
      </c>
      <c r="H23" s="32"/>
      <c r="I23" s="7">
        <v>0</v>
      </c>
      <c r="J23" s="7"/>
      <c r="K23" s="7"/>
      <c r="L23" s="7">
        <f t="shared" si="3"/>
        <v>0</v>
      </c>
      <c r="M23" s="7">
        <v>0</v>
      </c>
      <c r="N23" s="7"/>
      <c r="O23" s="7"/>
      <c r="P23" s="7">
        <f t="shared" si="4"/>
        <v>0</v>
      </c>
      <c r="Q23" s="7">
        <v>600000</v>
      </c>
      <c r="R23" s="7"/>
      <c r="S23" s="7"/>
      <c r="T23" s="7">
        <f t="shared" si="5"/>
        <v>600000</v>
      </c>
      <c r="U23" s="7">
        <v>0</v>
      </c>
      <c r="V23" s="7"/>
      <c r="W23" s="7"/>
      <c r="X23" s="7">
        <f t="shared" si="6"/>
        <v>0</v>
      </c>
      <c r="Y23" s="7"/>
      <c r="Z23" s="7"/>
      <c r="AA23" s="7"/>
      <c r="AB23" s="7">
        <f t="shared" si="7"/>
        <v>0</v>
      </c>
      <c r="AC23" s="7">
        <v>196000</v>
      </c>
      <c r="AD23" s="7"/>
      <c r="AE23" s="7"/>
      <c r="AF23" s="7">
        <f t="shared" si="8"/>
        <v>196000</v>
      </c>
      <c r="AG23" s="7">
        <v>0</v>
      </c>
      <c r="AH23" s="7"/>
      <c r="AI23" s="7"/>
      <c r="AJ23" s="7">
        <f t="shared" si="9"/>
        <v>0</v>
      </c>
      <c r="AK23" s="7">
        <v>0</v>
      </c>
      <c r="AL23" s="7"/>
      <c r="AM23" s="7"/>
      <c r="AN23" s="7">
        <f t="shared" si="10"/>
        <v>0</v>
      </c>
      <c r="AO23" s="7">
        <v>0</v>
      </c>
      <c r="AP23" s="7"/>
      <c r="AQ23" s="7"/>
      <c r="AR23" s="7">
        <f t="shared" si="11"/>
        <v>0</v>
      </c>
      <c r="AS23" s="7">
        <v>0</v>
      </c>
      <c r="AT23" s="7"/>
      <c r="AU23" s="7"/>
      <c r="AV23" s="7"/>
      <c r="AW23" s="7">
        <v>0</v>
      </c>
      <c r="AX23" s="7"/>
      <c r="AY23" s="7"/>
      <c r="AZ23" s="7"/>
      <c r="BA23" s="7">
        <v>0</v>
      </c>
      <c r="BB23" s="7"/>
      <c r="BC23" s="7"/>
      <c r="BD23" s="7"/>
      <c r="BE23" s="7">
        <v>33948965.869999997</v>
      </c>
      <c r="BF23" s="7"/>
      <c r="BG23" s="7"/>
      <c r="BH23" s="7"/>
      <c r="BI23" s="7">
        <v>0</v>
      </c>
      <c r="BJ23" s="7"/>
      <c r="BK23" s="7"/>
      <c r="BL23" s="7"/>
      <c r="BM23" s="7">
        <v>0</v>
      </c>
      <c r="BN23" s="7"/>
      <c r="BO23" s="7"/>
      <c r="BP23" s="7"/>
      <c r="BQ23" s="7">
        <v>0</v>
      </c>
      <c r="BR23" s="7"/>
      <c r="BS23" s="7"/>
      <c r="BT23" s="7"/>
      <c r="BU23" s="7">
        <v>0</v>
      </c>
      <c r="BV23" s="7"/>
      <c r="BW23" s="7"/>
      <c r="BX23" s="7"/>
      <c r="BY23" s="7">
        <v>0</v>
      </c>
      <c r="BZ23" s="7"/>
      <c r="CA23" s="7"/>
      <c r="CB23" s="7"/>
      <c r="CC23" s="7">
        <v>0</v>
      </c>
      <c r="CD23" s="7"/>
      <c r="CE23" s="7"/>
      <c r="CF23" s="7"/>
      <c r="CG23" s="7">
        <v>0</v>
      </c>
      <c r="CH23" s="7"/>
      <c r="CI23" s="7"/>
      <c r="CJ23" s="7"/>
      <c r="CK23" s="7">
        <v>0</v>
      </c>
      <c r="CL23" s="7"/>
      <c r="CM23" s="7"/>
      <c r="CN23" s="7"/>
      <c r="CO23" s="7">
        <v>0</v>
      </c>
      <c r="CP23" s="7"/>
      <c r="CQ23" s="7"/>
      <c r="CR23" s="7"/>
      <c r="CS23" s="7">
        <v>0</v>
      </c>
      <c r="CT23" s="7"/>
      <c r="CU23" s="7"/>
      <c r="CV23" s="7"/>
      <c r="CW23" s="7">
        <v>0</v>
      </c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</row>
    <row r="24" spans="1:112" ht="35.25" customHeight="1" x14ac:dyDescent="0.35">
      <c r="A24" s="104" t="s">
        <v>59</v>
      </c>
      <c r="B24" s="105"/>
      <c r="C24" s="6"/>
      <c r="D24" s="31">
        <v>24814379.030000001</v>
      </c>
      <c r="E24" s="7">
        <f t="shared" si="0"/>
        <v>0</v>
      </c>
      <c r="F24" s="7">
        <f t="shared" si="1"/>
        <v>0</v>
      </c>
      <c r="G24" s="7">
        <f t="shared" si="2"/>
        <v>0</v>
      </c>
      <c r="H24" s="32"/>
      <c r="I24" s="7">
        <v>0</v>
      </c>
      <c r="J24" s="7"/>
      <c r="K24" s="7"/>
      <c r="L24" s="7">
        <f t="shared" si="3"/>
        <v>0</v>
      </c>
      <c r="M24" s="7">
        <v>0</v>
      </c>
      <c r="N24" s="7"/>
      <c r="O24" s="7"/>
      <c r="P24" s="7">
        <f t="shared" si="4"/>
        <v>0</v>
      </c>
      <c r="Q24" s="7">
        <v>0</v>
      </c>
      <c r="R24" s="7"/>
      <c r="S24" s="7"/>
      <c r="T24" s="7">
        <f t="shared" si="5"/>
        <v>0</v>
      </c>
      <c r="U24" s="7">
        <v>0</v>
      </c>
      <c r="V24" s="7"/>
      <c r="W24" s="7"/>
      <c r="X24" s="7">
        <f t="shared" si="6"/>
        <v>0</v>
      </c>
      <c r="Y24" s="7"/>
      <c r="Z24" s="7"/>
      <c r="AA24" s="7"/>
      <c r="AB24" s="7">
        <f t="shared" si="7"/>
        <v>0</v>
      </c>
      <c r="AC24" s="7">
        <v>0</v>
      </c>
      <c r="AD24" s="7"/>
      <c r="AE24" s="7"/>
      <c r="AF24" s="7">
        <f t="shared" si="8"/>
        <v>0</v>
      </c>
      <c r="AG24" s="7">
        <v>0</v>
      </c>
      <c r="AH24" s="7"/>
      <c r="AI24" s="7"/>
      <c r="AJ24" s="7">
        <f t="shared" si="9"/>
        <v>0</v>
      </c>
      <c r="AK24" s="7">
        <v>0</v>
      </c>
      <c r="AL24" s="7"/>
      <c r="AM24" s="7"/>
      <c r="AN24" s="7">
        <f t="shared" si="10"/>
        <v>0</v>
      </c>
      <c r="AO24" s="7">
        <v>0</v>
      </c>
      <c r="AP24" s="7"/>
      <c r="AQ24" s="7"/>
      <c r="AR24" s="7">
        <f t="shared" si="11"/>
        <v>0</v>
      </c>
      <c r="AS24" s="7">
        <v>0</v>
      </c>
      <c r="AT24" s="7"/>
      <c r="AU24" s="7"/>
      <c r="AV24" s="7"/>
      <c r="AW24" s="7">
        <v>0</v>
      </c>
      <c r="AX24" s="7"/>
      <c r="AY24" s="7"/>
      <c r="AZ24" s="7"/>
      <c r="BA24" s="7">
        <v>0</v>
      </c>
      <c r="BB24" s="7"/>
      <c r="BC24" s="7"/>
      <c r="BD24" s="7"/>
      <c r="BE24" s="7">
        <v>5520778.1299999999</v>
      </c>
      <c r="BF24" s="7"/>
      <c r="BG24" s="7"/>
      <c r="BH24" s="7"/>
      <c r="BI24" s="7">
        <v>0</v>
      </c>
      <c r="BJ24" s="7"/>
      <c r="BK24" s="7"/>
      <c r="BL24" s="7"/>
      <c r="BM24" s="7">
        <v>0</v>
      </c>
      <c r="BN24" s="7"/>
      <c r="BO24" s="7"/>
      <c r="BP24" s="7"/>
      <c r="BQ24" s="7">
        <v>0</v>
      </c>
      <c r="BR24" s="7"/>
      <c r="BS24" s="7"/>
      <c r="BT24" s="7"/>
      <c r="BU24" s="7">
        <v>1324940</v>
      </c>
      <c r="BV24" s="7"/>
      <c r="BW24" s="7"/>
      <c r="BX24" s="7"/>
      <c r="BY24" s="7">
        <v>5679700.9000000004</v>
      </c>
      <c r="BZ24" s="7"/>
      <c r="CA24" s="7"/>
      <c r="CB24" s="7"/>
      <c r="CC24" s="7">
        <v>0</v>
      </c>
      <c r="CD24" s="7"/>
      <c r="CE24" s="7"/>
      <c r="CF24" s="7"/>
      <c r="CG24" s="7">
        <v>0</v>
      </c>
      <c r="CH24" s="7"/>
      <c r="CI24" s="7"/>
      <c r="CJ24" s="7"/>
      <c r="CK24" s="7">
        <v>0</v>
      </c>
      <c r="CL24" s="7"/>
      <c r="CM24" s="7"/>
      <c r="CN24" s="7"/>
      <c r="CO24" s="7">
        <v>0</v>
      </c>
      <c r="CP24" s="7"/>
      <c r="CQ24" s="7"/>
      <c r="CR24" s="7"/>
      <c r="CS24" s="7">
        <v>0</v>
      </c>
      <c r="CT24" s="7"/>
      <c r="CU24" s="7"/>
      <c r="CV24" s="7"/>
      <c r="CW24" s="7">
        <v>1818960</v>
      </c>
      <c r="CX24" s="7"/>
      <c r="CY24" s="7"/>
      <c r="CZ24" s="7"/>
      <c r="DA24" s="7">
        <v>10430000</v>
      </c>
      <c r="DB24" s="7"/>
      <c r="DC24" s="7"/>
      <c r="DD24" s="7"/>
      <c r="DE24" s="7"/>
      <c r="DF24" s="7"/>
      <c r="DG24" s="7"/>
      <c r="DH24" s="7"/>
    </row>
    <row r="25" spans="1:112" ht="36.75" customHeight="1" x14ac:dyDescent="0.35">
      <c r="A25" s="104" t="s">
        <v>60</v>
      </c>
      <c r="B25" s="105"/>
      <c r="C25" s="6"/>
      <c r="D25" s="31">
        <v>3446000</v>
      </c>
      <c r="E25" s="7">
        <f t="shared" si="0"/>
        <v>0</v>
      </c>
      <c r="F25" s="7">
        <f t="shared" si="1"/>
        <v>0</v>
      </c>
      <c r="G25" s="7">
        <f t="shared" si="2"/>
        <v>1246000</v>
      </c>
      <c r="H25" s="32"/>
      <c r="I25" s="7">
        <v>0</v>
      </c>
      <c r="J25" s="7"/>
      <c r="K25" s="7"/>
      <c r="L25" s="7">
        <f t="shared" si="3"/>
        <v>0</v>
      </c>
      <c r="M25" s="7">
        <v>0</v>
      </c>
      <c r="N25" s="7"/>
      <c r="O25" s="7"/>
      <c r="P25" s="7">
        <f t="shared" si="4"/>
        <v>0</v>
      </c>
      <c r="Q25" s="7">
        <v>0</v>
      </c>
      <c r="R25" s="7"/>
      <c r="S25" s="7"/>
      <c r="T25" s="7">
        <f t="shared" si="5"/>
        <v>0</v>
      </c>
      <c r="U25" s="7">
        <v>0</v>
      </c>
      <c r="V25" s="7"/>
      <c r="W25" s="7"/>
      <c r="X25" s="7">
        <f t="shared" si="6"/>
        <v>0</v>
      </c>
      <c r="Y25" s="7"/>
      <c r="Z25" s="7"/>
      <c r="AA25" s="7"/>
      <c r="AB25" s="7">
        <f t="shared" si="7"/>
        <v>0</v>
      </c>
      <c r="AC25" s="7">
        <v>0</v>
      </c>
      <c r="AD25" s="7"/>
      <c r="AE25" s="7"/>
      <c r="AF25" s="7">
        <f t="shared" si="8"/>
        <v>0</v>
      </c>
      <c r="AG25" s="7">
        <v>0</v>
      </c>
      <c r="AH25" s="7"/>
      <c r="AI25" s="7"/>
      <c r="AJ25" s="7">
        <f t="shared" si="9"/>
        <v>0</v>
      </c>
      <c r="AK25" s="7">
        <v>1246000</v>
      </c>
      <c r="AL25" s="7"/>
      <c r="AM25" s="7"/>
      <c r="AN25" s="7">
        <f t="shared" si="10"/>
        <v>1246000</v>
      </c>
      <c r="AO25" s="7">
        <v>0</v>
      </c>
      <c r="AP25" s="7"/>
      <c r="AQ25" s="7"/>
      <c r="AR25" s="7">
        <f t="shared" si="11"/>
        <v>0</v>
      </c>
      <c r="AS25" s="7">
        <v>0</v>
      </c>
      <c r="AT25" s="7"/>
      <c r="AU25" s="7"/>
      <c r="AV25" s="7"/>
      <c r="AW25" s="7">
        <v>0</v>
      </c>
      <c r="AX25" s="7"/>
      <c r="AY25" s="7"/>
      <c r="AZ25" s="7"/>
      <c r="BA25" s="7">
        <v>0</v>
      </c>
      <c r="BB25" s="7"/>
      <c r="BC25" s="7"/>
      <c r="BD25" s="7"/>
      <c r="BE25" s="7">
        <v>0</v>
      </c>
      <c r="BF25" s="7"/>
      <c r="BG25" s="7"/>
      <c r="BH25" s="7"/>
      <c r="BI25" s="7">
        <v>0</v>
      </c>
      <c r="BJ25" s="7"/>
      <c r="BK25" s="7"/>
      <c r="BL25" s="7"/>
      <c r="BM25" s="7">
        <v>0</v>
      </c>
      <c r="BN25" s="7"/>
      <c r="BO25" s="7"/>
      <c r="BP25" s="7"/>
      <c r="BQ25" s="7">
        <v>0</v>
      </c>
      <c r="BR25" s="7"/>
      <c r="BS25" s="7"/>
      <c r="BT25" s="7"/>
      <c r="BU25" s="7">
        <v>0</v>
      </c>
      <c r="BV25" s="7"/>
      <c r="BW25" s="7"/>
      <c r="BX25" s="7"/>
      <c r="BY25" s="7">
        <v>0</v>
      </c>
      <c r="BZ25" s="7"/>
      <c r="CA25" s="7"/>
      <c r="CB25" s="7"/>
      <c r="CC25" s="7">
        <v>0</v>
      </c>
      <c r="CD25" s="7"/>
      <c r="CE25" s="7"/>
      <c r="CF25" s="7"/>
      <c r="CG25" s="7">
        <v>0</v>
      </c>
      <c r="CH25" s="7"/>
      <c r="CI25" s="7"/>
      <c r="CJ25" s="7"/>
      <c r="CK25" s="7">
        <v>1100000</v>
      </c>
      <c r="CL25" s="7"/>
      <c r="CM25" s="7"/>
      <c r="CN25" s="7"/>
      <c r="CO25" s="7">
        <v>0</v>
      </c>
      <c r="CP25" s="7"/>
      <c r="CQ25" s="7"/>
      <c r="CR25" s="7"/>
      <c r="CS25" s="7">
        <v>800000</v>
      </c>
      <c r="CT25" s="7"/>
      <c r="CU25" s="7"/>
      <c r="CV25" s="7"/>
      <c r="CW25" s="7">
        <v>0</v>
      </c>
      <c r="CX25" s="7"/>
      <c r="CY25" s="7"/>
      <c r="CZ25" s="7"/>
      <c r="DA25" s="7"/>
      <c r="DB25" s="7"/>
      <c r="DC25" s="7"/>
      <c r="DD25" s="7"/>
      <c r="DE25" s="7">
        <v>300000</v>
      </c>
      <c r="DF25" s="7"/>
      <c r="DG25" s="7"/>
      <c r="DH25" s="7"/>
    </row>
    <row r="26" spans="1:112" ht="33" customHeight="1" x14ac:dyDescent="0.35">
      <c r="A26" s="104" t="s">
        <v>61</v>
      </c>
      <c r="B26" s="105"/>
      <c r="C26" s="6"/>
      <c r="D26" s="31">
        <v>54739064.189999998</v>
      </c>
      <c r="E26" s="7">
        <f t="shared" si="0"/>
        <v>0</v>
      </c>
      <c r="F26" s="7">
        <f t="shared" si="1"/>
        <v>0</v>
      </c>
      <c r="G26" s="7">
        <f t="shared" si="2"/>
        <v>159500</v>
      </c>
      <c r="H26" s="32"/>
      <c r="I26" s="7">
        <v>0</v>
      </c>
      <c r="J26" s="7"/>
      <c r="K26" s="7"/>
      <c r="L26" s="7">
        <f t="shared" si="3"/>
        <v>0</v>
      </c>
      <c r="M26" s="7">
        <v>0</v>
      </c>
      <c r="N26" s="7"/>
      <c r="O26" s="7"/>
      <c r="P26" s="7">
        <f t="shared" si="4"/>
        <v>0</v>
      </c>
      <c r="Q26" s="7">
        <v>0</v>
      </c>
      <c r="R26" s="7"/>
      <c r="S26" s="7"/>
      <c r="T26" s="7">
        <f t="shared" si="5"/>
        <v>0</v>
      </c>
      <c r="U26" s="7">
        <v>0</v>
      </c>
      <c r="V26" s="7"/>
      <c r="W26" s="7"/>
      <c r="X26" s="7">
        <f t="shared" si="6"/>
        <v>0</v>
      </c>
      <c r="Y26" s="7"/>
      <c r="Z26" s="7"/>
      <c r="AA26" s="7"/>
      <c r="AB26" s="7">
        <f t="shared" si="7"/>
        <v>0</v>
      </c>
      <c r="AC26" s="7">
        <v>0</v>
      </c>
      <c r="AD26" s="7"/>
      <c r="AE26" s="7"/>
      <c r="AF26" s="7">
        <f t="shared" si="8"/>
        <v>0</v>
      </c>
      <c r="AG26" s="7">
        <v>5000</v>
      </c>
      <c r="AH26" s="7"/>
      <c r="AI26" s="7"/>
      <c r="AJ26" s="7">
        <f t="shared" si="9"/>
        <v>5000</v>
      </c>
      <c r="AK26" s="7">
        <v>154500</v>
      </c>
      <c r="AL26" s="7"/>
      <c r="AM26" s="7"/>
      <c r="AN26" s="7">
        <f t="shared" si="10"/>
        <v>154500</v>
      </c>
      <c r="AO26" s="7">
        <v>0</v>
      </c>
      <c r="AP26" s="7"/>
      <c r="AQ26" s="7"/>
      <c r="AR26" s="7">
        <f t="shared" si="11"/>
        <v>0</v>
      </c>
      <c r="AS26" s="7">
        <v>0</v>
      </c>
      <c r="AT26" s="7"/>
      <c r="AU26" s="7"/>
      <c r="AV26" s="7"/>
      <c r="AW26" s="7">
        <v>4708550</v>
      </c>
      <c r="AX26" s="7"/>
      <c r="AY26" s="7"/>
      <c r="AZ26" s="7"/>
      <c r="BA26" s="7">
        <v>0</v>
      </c>
      <c r="BB26" s="7"/>
      <c r="BC26" s="7"/>
      <c r="BD26" s="7"/>
      <c r="BE26" s="7">
        <v>586310</v>
      </c>
      <c r="BF26" s="7"/>
      <c r="BG26" s="7"/>
      <c r="BH26" s="7"/>
      <c r="BI26" s="7">
        <v>0</v>
      </c>
      <c r="BJ26" s="7"/>
      <c r="BK26" s="7"/>
      <c r="BL26" s="7"/>
      <c r="BM26" s="7">
        <v>0</v>
      </c>
      <c r="BN26" s="7"/>
      <c r="BO26" s="7"/>
      <c r="BP26" s="7"/>
      <c r="BQ26" s="7">
        <v>9332613.1999999993</v>
      </c>
      <c r="BR26" s="7"/>
      <c r="BS26" s="7"/>
      <c r="BT26" s="7"/>
      <c r="BU26" s="7">
        <v>19090630</v>
      </c>
      <c r="BV26" s="7"/>
      <c r="BW26" s="7"/>
      <c r="BX26" s="7"/>
      <c r="BY26" s="7">
        <v>494628</v>
      </c>
      <c r="BZ26" s="7"/>
      <c r="CA26" s="7"/>
      <c r="CB26" s="7"/>
      <c r="CC26" s="7">
        <v>1837404</v>
      </c>
      <c r="CD26" s="7"/>
      <c r="CE26" s="7"/>
      <c r="CF26" s="7"/>
      <c r="CG26" s="7">
        <v>5260040</v>
      </c>
      <c r="CH26" s="7"/>
      <c r="CI26" s="7"/>
      <c r="CJ26" s="7"/>
      <c r="CK26" s="7">
        <v>0</v>
      </c>
      <c r="CL26" s="7"/>
      <c r="CM26" s="7"/>
      <c r="CN26" s="7"/>
      <c r="CO26" s="7">
        <v>0</v>
      </c>
      <c r="CP26" s="7"/>
      <c r="CQ26" s="7"/>
      <c r="CR26" s="7"/>
      <c r="CS26" s="7">
        <v>0</v>
      </c>
      <c r="CT26" s="7"/>
      <c r="CU26" s="7"/>
      <c r="CV26" s="7"/>
      <c r="CW26" s="7">
        <v>12969388.99</v>
      </c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</row>
    <row r="27" spans="1:112" ht="35.25" customHeight="1" x14ac:dyDescent="0.35">
      <c r="A27" s="104" t="s">
        <v>62</v>
      </c>
      <c r="B27" s="105"/>
      <c r="C27" s="6"/>
      <c r="D27" s="31">
        <v>41730000</v>
      </c>
      <c r="E27" s="7">
        <f t="shared" si="0"/>
        <v>0</v>
      </c>
      <c r="F27" s="7">
        <f t="shared" si="1"/>
        <v>0</v>
      </c>
      <c r="G27" s="7">
        <f t="shared" si="2"/>
        <v>750000</v>
      </c>
      <c r="H27" s="32"/>
      <c r="I27" s="7">
        <v>0</v>
      </c>
      <c r="J27" s="7"/>
      <c r="K27" s="7"/>
      <c r="L27" s="7">
        <f t="shared" si="3"/>
        <v>0</v>
      </c>
      <c r="M27" s="7">
        <v>0</v>
      </c>
      <c r="N27" s="7"/>
      <c r="O27" s="7"/>
      <c r="P27" s="7">
        <f t="shared" si="4"/>
        <v>0</v>
      </c>
      <c r="Q27" s="7">
        <v>600000</v>
      </c>
      <c r="R27" s="7"/>
      <c r="S27" s="7"/>
      <c r="T27" s="7">
        <f t="shared" si="5"/>
        <v>600000</v>
      </c>
      <c r="U27" s="7">
        <v>0</v>
      </c>
      <c r="V27" s="7"/>
      <c r="W27" s="7"/>
      <c r="X27" s="7">
        <f t="shared" si="6"/>
        <v>0</v>
      </c>
      <c r="Y27" s="7"/>
      <c r="Z27" s="7"/>
      <c r="AA27" s="7"/>
      <c r="AB27" s="7">
        <f t="shared" si="7"/>
        <v>0</v>
      </c>
      <c r="AC27" s="7">
        <v>150000</v>
      </c>
      <c r="AD27" s="7"/>
      <c r="AE27" s="7"/>
      <c r="AF27" s="7">
        <f t="shared" si="8"/>
        <v>150000</v>
      </c>
      <c r="AG27" s="7">
        <v>0</v>
      </c>
      <c r="AH27" s="7"/>
      <c r="AI27" s="7"/>
      <c r="AJ27" s="7">
        <f t="shared" si="9"/>
        <v>0</v>
      </c>
      <c r="AK27" s="7">
        <v>0</v>
      </c>
      <c r="AL27" s="7"/>
      <c r="AM27" s="7"/>
      <c r="AN27" s="7">
        <f t="shared" si="10"/>
        <v>0</v>
      </c>
      <c r="AO27" s="7">
        <v>0</v>
      </c>
      <c r="AP27" s="7"/>
      <c r="AQ27" s="7"/>
      <c r="AR27" s="7">
        <f t="shared" si="11"/>
        <v>0</v>
      </c>
      <c r="AS27" s="7">
        <v>100000</v>
      </c>
      <c r="AT27" s="7"/>
      <c r="AU27" s="7"/>
      <c r="AV27" s="7"/>
      <c r="AW27" s="7">
        <v>0</v>
      </c>
      <c r="AX27" s="7"/>
      <c r="AY27" s="7"/>
      <c r="AZ27" s="7"/>
      <c r="BA27" s="7">
        <v>0</v>
      </c>
      <c r="BB27" s="7"/>
      <c r="BC27" s="7"/>
      <c r="BD27" s="7"/>
      <c r="BE27" s="7">
        <v>36090000</v>
      </c>
      <c r="BF27" s="7"/>
      <c r="BG27" s="7"/>
      <c r="BH27" s="7"/>
      <c r="BI27" s="7">
        <v>0</v>
      </c>
      <c r="BJ27" s="7"/>
      <c r="BK27" s="7"/>
      <c r="BL27" s="7"/>
      <c r="BM27" s="7">
        <v>0</v>
      </c>
      <c r="BN27" s="7"/>
      <c r="BO27" s="7"/>
      <c r="BP27" s="7"/>
      <c r="BQ27" s="7">
        <v>0</v>
      </c>
      <c r="BR27" s="7"/>
      <c r="BS27" s="7"/>
      <c r="BT27" s="7"/>
      <c r="BU27" s="7">
        <v>600000</v>
      </c>
      <c r="BV27" s="7"/>
      <c r="BW27" s="7"/>
      <c r="BX27" s="7"/>
      <c r="BY27" s="7">
        <v>0</v>
      </c>
      <c r="BZ27" s="7"/>
      <c r="CA27" s="7"/>
      <c r="CB27" s="7"/>
      <c r="CC27" s="7">
        <v>0</v>
      </c>
      <c r="CD27" s="7"/>
      <c r="CE27" s="7"/>
      <c r="CF27" s="7"/>
      <c r="CG27" s="7">
        <v>0</v>
      </c>
      <c r="CH27" s="7"/>
      <c r="CI27" s="7"/>
      <c r="CJ27" s="7"/>
      <c r="CK27" s="7">
        <v>0</v>
      </c>
      <c r="CL27" s="7"/>
      <c r="CM27" s="7"/>
      <c r="CN27" s="7"/>
      <c r="CO27" s="7">
        <v>240000</v>
      </c>
      <c r="CP27" s="7"/>
      <c r="CQ27" s="7"/>
      <c r="CR27" s="7"/>
      <c r="CS27" s="7">
        <v>0</v>
      </c>
      <c r="CT27" s="7"/>
      <c r="CU27" s="7"/>
      <c r="CV27" s="7"/>
      <c r="CW27" s="7">
        <v>0</v>
      </c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</row>
    <row r="28" spans="1:112" ht="32.25" customHeight="1" x14ac:dyDescent="0.35">
      <c r="A28" s="104" t="s">
        <v>63</v>
      </c>
      <c r="B28" s="105"/>
      <c r="C28" s="6"/>
      <c r="D28" s="31">
        <v>57307900</v>
      </c>
      <c r="E28" s="7">
        <f t="shared" si="0"/>
        <v>0</v>
      </c>
      <c r="F28" s="7">
        <f t="shared" si="1"/>
        <v>0</v>
      </c>
      <c r="G28" s="7">
        <f t="shared" si="2"/>
        <v>300000</v>
      </c>
      <c r="H28" s="32"/>
      <c r="I28" s="7">
        <v>0</v>
      </c>
      <c r="J28" s="7"/>
      <c r="K28" s="7"/>
      <c r="L28" s="7">
        <f t="shared" si="3"/>
        <v>0</v>
      </c>
      <c r="M28" s="7">
        <v>0</v>
      </c>
      <c r="N28" s="7"/>
      <c r="O28" s="7"/>
      <c r="P28" s="7">
        <f t="shared" si="4"/>
        <v>0</v>
      </c>
      <c r="Q28" s="7">
        <v>0</v>
      </c>
      <c r="R28" s="7"/>
      <c r="S28" s="7"/>
      <c r="T28" s="7">
        <f t="shared" si="5"/>
        <v>0</v>
      </c>
      <c r="U28" s="7">
        <v>0</v>
      </c>
      <c r="V28" s="7"/>
      <c r="W28" s="7"/>
      <c r="X28" s="7">
        <f t="shared" si="6"/>
        <v>0</v>
      </c>
      <c r="Y28" s="7"/>
      <c r="Z28" s="7"/>
      <c r="AA28" s="7"/>
      <c r="AB28" s="7">
        <f t="shared" si="7"/>
        <v>0</v>
      </c>
      <c r="AC28" s="7">
        <v>0</v>
      </c>
      <c r="AD28" s="7"/>
      <c r="AE28" s="7"/>
      <c r="AF28" s="7">
        <f t="shared" si="8"/>
        <v>0</v>
      </c>
      <c r="AG28" s="7">
        <v>300000</v>
      </c>
      <c r="AH28" s="7"/>
      <c r="AI28" s="7"/>
      <c r="AJ28" s="7">
        <f t="shared" si="9"/>
        <v>300000</v>
      </c>
      <c r="AK28" s="7">
        <v>0</v>
      </c>
      <c r="AL28" s="7"/>
      <c r="AM28" s="7"/>
      <c r="AN28" s="7">
        <f t="shared" si="10"/>
        <v>0</v>
      </c>
      <c r="AO28" s="7">
        <v>0</v>
      </c>
      <c r="AP28" s="7"/>
      <c r="AQ28" s="7"/>
      <c r="AR28" s="7">
        <f t="shared" si="11"/>
        <v>0</v>
      </c>
      <c r="AS28" s="7">
        <v>2898300</v>
      </c>
      <c r="AT28" s="7"/>
      <c r="AU28" s="7"/>
      <c r="AV28" s="7"/>
      <c r="AW28" s="7">
        <v>53350000</v>
      </c>
      <c r="AX28" s="7"/>
      <c r="AY28" s="7"/>
      <c r="AZ28" s="7"/>
      <c r="BA28" s="7">
        <v>0</v>
      </c>
      <c r="BB28" s="7"/>
      <c r="BC28" s="7"/>
      <c r="BD28" s="7"/>
      <c r="BE28" s="7">
        <v>250000</v>
      </c>
      <c r="BF28" s="7"/>
      <c r="BG28" s="7"/>
      <c r="BH28" s="7"/>
      <c r="BI28" s="7">
        <v>0</v>
      </c>
      <c r="BJ28" s="7"/>
      <c r="BK28" s="7"/>
      <c r="BL28" s="7"/>
      <c r="BM28" s="7">
        <v>0</v>
      </c>
      <c r="BN28" s="7"/>
      <c r="BO28" s="7"/>
      <c r="BP28" s="7"/>
      <c r="BQ28" s="7">
        <v>0</v>
      </c>
      <c r="BR28" s="7"/>
      <c r="BS28" s="7"/>
      <c r="BT28" s="7"/>
      <c r="BU28" s="7">
        <v>450000</v>
      </c>
      <c r="BV28" s="7"/>
      <c r="BW28" s="7"/>
      <c r="BX28" s="7"/>
      <c r="BY28" s="7">
        <v>0</v>
      </c>
      <c r="BZ28" s="7"/>
      <c r="CA28" s="7"/>
      <c r="CB28" s="7"/>
      <c r="CC28" s="7">
        <v>0</v>
      </c>
      <c r="CD28" s="7"/>
      <c r="CE28" s="7"/>
      <c r="CF28" s="7"/>
      <c r="CG28" s="7">
        <v>0</v>
      </c>
      <c r="CH28" s="7"/>
      <c r="CI28" s="7"/>
      <c r="CJ28" s="7"/>
      <c r="CK28" s="7">
        <v>9600</v>
      </c>
      <c r="CL28" s="7"/>
      <c r="CM28" s="7"/>
      <c r="CN28" s="7"/>
      <c r="CO28" s="7">
        <v>50000</v>
      </c>
      <c r="CP28" s="7"/>
      <c r="CQ28" s="7"/>
      <c r="CR28" s="7"/>
      <c r="CS28" s="7">
        <v>0</v>
      </c>
      <c r="CT28" s="7"/>
      <c r="CU28" s="7"/>
      <c r="CV28" s="7"/>
      <c r="CW28" s="7">
        <v>0</v>
      </c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</row>
    <row r="29" spans="1:112" ht="28.5" customHeight="1" x14ac:dyDescent="0.35">
      <c r="A29" s="104" t="s">
        <v>64</v>
      </c>
      <c r="B29" s="105"/>
      <c r="C29" s="6"/>
      <c r="D29" s="31">
        <v>15326201</v>
      </c>
      <c r="E29" s="7">
        <f t="shared" si="0"/>
        <v>0</v>
      </c>
      <c r="F29" s="7">
        <f t="shared" si="1"/>
        <v>0</v>
      </c>
      <c r="G29" s="7">
        <f t="shared" si="2"/>
        <v>0</v>
      </c>
      <c r="H29" s="32"/>
      <c r="I29" s="7">
        <v>0</v>
      </c>
      <c r="J29" s="7"/>
      <c r="K29" s="7"/>
      <c r="L29" s="7">
        <f t="shared" si="3"/>
        <v>0</v>
      </c>
      <c r="M29" s="7">
        <v>0</v>
      </c>
      <c r="N29" s="7"/>
      <c r="O29" s="7"/>
      <c r="P29" s="7">
        <f t="shared" si="4"/>
        <v>0</v>
      </c>
      <c r="Q29" s="7">
        <v>0</v>
      </c>
      <c r="R29" s="7"/>
      <c r="S29" s="7"/>
      <c r="T29" s="7">
        <f t="shared" si="5"/>
        <v>0</v>
      </c>
      <c r="U29" s="7">
        <v>0</v>
      </c>
      <c r="V29" s="7"/>
      <c r="W29" s="7"/>
      <c r="X29" s="7">
        <f t="shared" si="6"/>
        <v>0</v>
      </c>
      <c r="Y29" s="7"/>
      <c r="Z29" s="7"/>
      <c r="AA29" s="7"/>
      <c r="AB29" s="7">
        <f t="shared" si="7"/>
        <v>0</v>
      </c>
      <c r="AC29" s="7">
        <v>0</v>
      </c>
      <c r="AD29" s="7"/>
      <c r="AE29" s="7"/>
      <c r="AF29" s="7">
        <f t="shared" si="8"/>
        <v>0</v>
      </c>
      <c r="AG29" s="7">
        <v>0</v>
      </c>
      <c r="AH29" s="7"/>
      <c r="AI29" s="7"/>
      <c r="AJ29" s="7">
        <f t="shared" si="9"/>
        <v>0</v>
      </c>
      <c r="AK29" s="7">
        <v>0</v>
      </c>
      <c r="AL29" s="7"/>
      <c r="AM29" s="7"/>
      <c r="AN29" s="7">
        <f t="shared" si="10"/>
        <v>0</v>
      </c>
      <c r="AO29" s="7">
        <v>0</v>
      </c>
      <c r="AP29" s="7"/>
      <c r="AQ29" s="7"/>
      <c r="AR29" s="7">
        <f t="shared" si="11"/>
        <v>0</v>
      </c>
      <c r="AS29" s="7">
        <v>0</v>
      </c>
      <c r="AT29" s="7"/>
      <c r="AU29" s="7"/>
      <c r="AV29" s="7"/>
      <c r="AW29" s="7">
        <v>0</v>
      </c>
      <c r="AX29" s="7"/>
      <c r="AY29" s="7"/>
      <c r="AZ29" s="7"/>
      <c r="BA29" s="7">
        <v>0</v>
      </c>
      <c r="BB29" s="7"/>
      <c r="BC29" s="7"/>
      <c r="BD29" s="7"/>
      <c r="BE29" s="7">
        <v>14926201</v>
      </c>
      <c r="BF29" s="7"/>
      <c r="BG29" s="7"/>
      <c r="BH29" s="7"/>
      <c r="BI29" s="7">
        <v>0</v>
      </c>
      <c r="BJ29" s="7"/>
      <c r="BK29" s="7"/>
      <c r="BL29" s="7"/>
      <c r="BM29" s="7">
        <v>0</v>
      </c>
      <c r="BN29" s="7"/>
      <c r="BO29" s="7"/>
      <c r="BP29" s="7"/>
      <c r="BQ29" s="7">
        <v>0</v>
      </c>
      <c r="BR29" s="7"/>
      <c r="BS29" s="7"/>
      <c r="BT29" s="7"/>
      <c r="BU29" s="7">
        <v>0</v>
      </c>
      <c r="BV29" s="7"/>
      <c r="BW29" s="7"/>
      <c r="BX29" s="7"/>
      <c r="BY29" s="7">
        <v>0</v>
      </c>
      <c r="BZ29" s="7"/>
      <c r="CA29" s="7"/>
      <c r="CB29" s="7"/>
      <c r="CC29" s="7">
        <v>0</v>
      </c>
      <c r="CD29" s="7"/>
      <c r="CE29" s="7"/>
      <c r="CF29" s="7"/>
      <c r="CG29" s="7">
        <v>0</v>
      </c>
      <c r="CH29" s="7"/>
      <c r="CI29" s="7"/>
      <c r="CJ29" s="7"/>
      <c r="CK29" s="7">
        <v>0</v>
      </c>
      <c r="CL29" s="7"/>
      <c r="CM29" s="7"/>
      <c r="CN29" s="7"/>
      <c r="CO29" s="7">
        <v>0</v>
      </c>
      <c r="CP29" s="7"/>
      <c r="CQ29" s="7"/>
      <c r="CR29" s="7"/>
      <c r="CS29" s="7">
        <v>0</v>
      </c>
      <c r="CT29" s="7"/>
      <c r="CU29" s="7"/>
      <c r="CV29" s="7"/>
      <c r="CW29" s="7">
        <v>0</v>
      </c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</row>
    <row r="30" spans="1:112" ht="33.75" customHeight="1" x14ac:dyDescent="0.35">
      <c r="A30" s="104" t="s">
        <v>65</v>
      </c>
      <c r="B30" s="105"/>
      <c r="C30" s="6"/>
      <c r="D30" s="31">
        <v>646278878.17999995</v>
      </c>
      <c r="E30" s="7">
        <f t="shared" si="0"/>
        <v>0</v>
      </c>
      <c r="F30" s="7">
        <f t="shared" si="1"/>
        <v>0</v>
      </c>
      <c r="G30" s="7">
        <f t="shared" si="2"/>
        <v>920000</v>
      </c>
      <c r="H30" s="32"/>
      <c r="I30" s="7">
        <v>0</v>
      </c>
      <c r="J30" s="7"/>
      <c r="K30" s="7"/>
      <c r="L30" s="7">
        <f t="shared" si="3"/>
        <v>0</v>
      </c>
      <c r="M30" s="7">
        <v>250000</v>
      </c>
      <c r="N30" s="7"/>
      <c r="O30" s="7"/>
      <c r="P30" s="7">
        <f t="shared" si="4"/>
        <v>250000</v>
      </c>
      <c r="Q30" s="7">
        <v>220000</v>
      </c>
      <c r="R30" s="7"/>
      <c r="S30" s="7"/>
      <c r="T30" s="7">
        <f t="shared" si="5"/>
        <v>220000</v>
      </c>
      <c r="U30" s="7">
        <v>0</v>
      </c>
      <c r="V30" s="7"/>
      <c r="W30" s="7"/>
      <c r="X30" s="7">
        <f t="shared" si="6"/>
        <v>0</v>
      </c>
      <c r="Y30" s="7"/>
      <c r="Z30" s="7"/>
      <c r="AA30" s="7"/>
      <c r="AB30" s="7">
        <f t="shared" si="7"/>
        <v>0</v>
      </c>
      <c r="AC30" s="7">
        <v>100000</v>
      </c>
      <c r="AD30" s="7"/>
      <c r="AE30" s="7"/>
      <c r="AF30" s="7">
        <f t="shared" si="8"/>
        <v>100000</v>
      </c>
      <c r="AG30" s="7">
        <v>0</v>
      </c>
      <c r="AH30" s="7"/>
      <c r="AI30" s="7"/>
      <c r="AJ30" s="7">
        <f t="shared" si="9"/>
        <v>0</v>
      </c>
      <c r="AK30" s="7">
        <v>350000</v>
      </c>
      <c r="AL30" s="7"/>
      <c r="AM30" s="7"/>
      <c r="AN30" s="7">
        <f t="shared" si="10"/>
        <v>350000</v>
      </c>
      <c r="AO30" s="7">
        <v>0</v>
      </c>
      <c r="AP30" s="7"/>
      <c r="AQ30" s="7"/>
      <c r="AR30" s="7">
        <f t="shared" si="11"/>
        <v>0</v>
      </c>
      <c r="AS30" s="7">
        <v>260000</v>
      </c>
      <c r="AT30" s="7"/>
      <c r="AU30" s="7"/>
      <c r="AV30" s="7"/>
      <c r="AW30" s="7">
        <v>0</v>
      </c>
      <c r="AX30" s="7"/>
      <c r="AY30" s="7"/>
      <c r="AZ30" s="7"/>
      <c r="BA30" s="7">
        <v>0</v>
      </c>
      <c r="BB30" s="7"/>
      <c r="BC30" s="7"/>
      <c r="BD30" s="7"/>
      <c r="BE30" s="7">
        <v>460000</v>
      </c>
      <c r="BF30" s="7"/>
      <c r="BG30" s="7"/>
      <c r="BH30" s="7"/>
      <c r="BI30" s="7">
        <v>0</v>
      </c>
      <c r="BJ30" s="7"/>
      <c r="BK30" s="7"/>
      <c r="BL30" s="7"/>
      <c r="BM30" s="7">
        <v>642888878.17999995</v>
      </c>
      <c r="BN30" s="7"/>
      <c r="BO30" s="7"/>
      <c r="BP30" s="7"/>
      <c r="BQ30" s="7">
        <v>0</v>
      </c>
      <c r="BR30" s="7"/>
      <c r="BS30" s="7"/>
      <c r="BT30" s="7"/>
      <c r="BU30" s="7">
        <v>0</v>
      </c>
      <c r="BV30" s="7"/>
      <c r="BW30" s="7"/>
      <c r="BX30" s="7"/>
      <c r="BY30" s="7">
        <v>0</v>
      </c>
      <c r="BZ30" s="7"/>
      <c r="CA30" s="7"/>
      <c r="CB30" s="7"/>
      <c r="CC30" s="7">
        <v>0</v>
      </c>
      <c r="CD30" s="7"/>
      <c r="CE30" s="7"/>
      <c r="CF30" s="7"/>
      <c r="CG30" s="7">
        <v>750000</v>
      </c>
      <c r="CH30" s="7"/>
      <c r="CI30" s="7"/>
      <c r="CJ30" s="7"/>
      <c r="CK30" s="7">
        <v>0</v>
      </c>
      <c r="CL30" s="7"/>
      <c r="CM30" s="7"/>
      <c r="CN30" s="7"/>
      <c r="CO30" s="7">
        <v>300000</v>
      </c>
      <c r="CP30" s="7"/>
      <c r="CQ30" s="7"/>
      <c r="CR30" s="7"/>
      <c r="CS30" s="7">
        <v>0</v>
      </c>
      <c r="CT30" s="7"/>
      <c r="CU30" s="7"/>
      <c r="CV30" s="7"/>
      <c r="CW30" s="7">
        <v>700000</v>
      </c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</row>
    <row r="31" spans="1:112" ht="17" customHeight="1" x14ac:dyDescent="0.35">
      <c r="A31" s="113" t="s">
        <v>18</v>
      </c>
      <c r="B31" s="105"/>
      <c r="C31" s="9"/>
      <c r="D31" s="10">
        <f>SUM(D17:D30)</f>
        <v>1700443832.7399998</v>
      </c>
      <c r="E31" s="10">
        <f>SUM(E17:E23)</f>
        <v>0</v>
      </c>
      <c r="F31" s="10">
        <f>SUM(F17:F23)</f>
        <v>0</v>
      </c>
      <c r="G31" s="10">
        <f>SUM(G17:G23)</f>
        <v>309204162.56999993</v>
      </c>
      <c r="H31" s="33"/>
      <c r="I31" s="10">
        <f t="shared" ref="I31:AN31" si="12">SUM(I17:I30)</f>
        <v>594514.19999999995</v>
      </c>
      <c r="J31" s="10">
        <f t="shared" si="12"/>
        <v>0</v>
      </c>
      <c r="K31" s="10">
        <f t="shared" si="12"/>
        <v>0</v>
      </c>
      <c r="L31" s="10">
        <f t="shared" si="12"/>
        <v>594514.19999999995</v>
      </c>
      <c r="M31" s="10">
        <f t="shared" si="12"/>
        <v>1504000</v>
      </c>
      <c r="N31" s="10">
        <f t="shared" si="12"/>
        <v>0</v>
      </c>
      <c r="O31" s="10">
        <f t="shared" si="12"/>
        <v>0</v>
      </c>
      <c r="P31" s="10">
        <f t="shared" si="12"/>
        <v>1504000</v>
      </c>
      <c r="Q31" s="10">
        <f t="shared" si="12"/>
        <v>123499140.44</v>
      </c>
      <c r="R31" s="10">
        <f t="shared" si="12"/>
        <v>0</v>
      </c>
      <c r="S31" s="10">
        <f t="shared" si="12"/>
        <v>0</v>
      </c>
      <c r="T31" s="10">
        <f t="shared" si="12"/>
        <v>123499140.44</v>
      </c>
      <c r="U31" s="10">
        <f t="shared" si="12"/>
        <v>136063292.38</v>
      </c>
      <c r="V31" s="10">
        <f t="shared" si="12"/>
        <v>0</v>
      </c>
      <c r="W31" s="10">
        <f t="shared" si="12"/>
        <v>0</v>
      </c>
      <c r="X31" s="10">
        <f t="shared" si="12"/>
        <v>136063292.38</v>
      </c>
      <c r="Y31" s="10">
        <f t="shared" si="12"/>
        <v>11534071.1</v>
      </c>
      <c r="Z31" s="10">
        <f t="shared" si="12"/>
        <v>0</v>
      </c>
      <c r="AA31" s="10">
        <f t="shared" si="12"/>
        <v>0</v>
      </c>
      <c r="AB31" s="10">
        <f t="shared" si="12"/>
        <v>11534071.1</v>
      </c>
      <c r="AC31" s="10">
        <f t="shared" si="12"/>
        <v>1654000</v>
      </c>
      <c r="AD31" s="10">
        <f t="shared" si="12"/>
        <v>0</v>
      </c>
      <c r="AE31" s="10">
        <f t="shared" si="12"/>
        <v>0</v>
      </c>
      <c r="AF31" s="10">
        <f t="shared" si="12"/>
        <v>1654000</v>
      </c>
      <c r="AG31" s="10">
        <f t="shared" si="12"/>
        <v>1030000</v>
      </c>
      <c r="AH31" s="10">
        <f t="shared" si="12"/>
        <v>0</v>
      </c>
      <c r="AI31" s="10">
        <f t="shared" si="12"/>
        <v>0</v>
      </c>
      <c r="AJ31" s="10">
        <f t="shared" si="12"/>
        <v>1030000</v>
      </c>
      <c r="AK31" s="10">
        <f t="shared" si="12"/>
        <v>1750500</v>
      </c>
      <c r="AL31" s="10">
        <f t="shared" si="12"/>
        <v>0</v>
      </c>
      <c r="AM31" s="10">
        <f t="shared" si="12"/>
        <v>0</v>
      </c>
      <c r="AN31" s="10">
        <f t="shared" si="12"/>
        <v>1750500</v>
      </c>
      <c r="AO31" s="10">
        <f t="shared" ref="AO31:BT31" si="13">SUM(AO17:AO30)</f>
        <v>34950144.450000003</v>
      </c>
      <c r="AP31" s="10">
        <f t="shared" si="13"/>
        <v>0</v>
      </c>
      <c r="AQ31" s="10">
        <f t="shared" si="13"/>
        <v>0</v>
      </c>
      <c r="AR31" s="10">
        <f t="shared" si="13"/>
        <v>34950144.450000003</v>
      </c>
      <c r="AS31" s="10">
        <f t="shared" si="13"/>
        <v>4628300</v>
      </c>
      <c r="AT31" s="10">
        <f t="shared" si="13"/>
        <v>0</v>
      </c>
      <c r="AU31" s="10">
        <f t="shared" si="13"/>
        <v>0</v>
      </c>
      <c r="AV31" s="10">
        <f t="shared" si="13"/>
        <v>0</v>
      </c>
      <c r="AW31" s="10">
        <f t="shared" si="13"/>
        <v>71317692.840000004</v>
      </c>
      <c r="AX31" s="10">
        <f t="shared" si="13"/>
        <v>0</v>
      </c>
      <c r="AY31" s="10">
        <f t="shared" si="13"/>
        <v>0</v>
      </c>
      <c r="AZ31" s="10">
        <f t="shared" si="13"/>
        <v>0</v>
      </c>
      <c r="BA31" s="10">
        <f t="shared" si="13"/>
        <v>235869691.59599999</v>
      </c>
      <c r="BB31" s="10">
        <f t="shared" si="13"/>
        <v>0</v>
      </c>
      <c r="BC31" s="10">
        <f t="shared" si="13"/>
        <v>0</v>
      </c>
      <c r="BD31" s="10">
        <f t="shared" si="13"/>
        <v>0</v>
      </c>
      <c r="BE31" s="10">
        <f t="shared" si="13"/>
        <v>151550487.12</v>
      </c>
      <c r="BF31" s="10">
        <f t="shared" si="13"/>
        <v>0</v>
      </c>
      <c r="BG31" s="10">
        <f t="shared" si="13"/>
        <v>0</v>
      </c>
      <c r="BH31" s="10">
        <f t="shared" si="13"/>
        <v>0</v>
      </c>
      <c r="BI31" s="10">
        <f t="shared" si="13"/>
        <v>4890000</v>
      </c>
      <c r="BJ31" s="10">
        <f t="shared" si="13"/>
        <v>0</v>
      </c>
      <c r="BK31" s="10">
        <f t="shared" si="13"/>
        <v>0</v>
      </c>
      <c r="BL31" s="10">
        <f t="shared" si="13"/>
        <v>0</v>
      </c>
      <c r="BM31" s="10">
        <f t="shared" si="13"/>
        <v>643648878.17999995</v>
      </c>
      <c r="BN31" s="10">
        <f t="shared" si="13"/>
        <v>0</v>
      </c>
      <c r="BO31" s="10">
        <f t="shared" si="13"/>
        <v>0</v>
      </c>
      <c r="BP31" s="10">
        <f t="shared" si="13"/>
        <v>0</v>
      </c>
      <c r="BQ31" s="10">
        <f t="shared" si="13"/>
        <v>9332613.1999999993</v>
      </c>
      <c r="BR31" s="10">
        <f t="shared" si="13"/>
        <v>0</v>
      </c>
      <c r="BS31" s="10">
        <f t="shared" si="13"/>
        <v>0</v>
      </c>
      <c r="BT31" s="10">
        <f t="shared" si="13"/>
        <v>0</v>
      </c>
      <c r="BU31" s="10">
        <f t="shared" ref="BU31:CZ31" si="14">SUM(BU17:BU30)</f>
        <v>31504443.800000001</v>
      </c>
      <c r="BV31" s="10">
        <f t="shared" si="14"/>
        <v>0</v>
      </c>
      <c r="BW31" s="10">
        <f t="shared" si="14"/>
        <v>0</v>
      </c>
      <c r="BX31" s="10">
        <f t="shared" si="14"/>
        <v>0</v>
      </c>
      <c r="BY31" s="10">
        <f t="shared" si="14"/>
        <v>21597507.27</v>
      </c>
      <c r="BZ31" s="10">
        <f t="shared" si="14"/>
        <v>0</v>
      </c>
      <c r="CA31" s="10">
        <f t="shared" si="14"/>
        <v>0</v>
      </c>
      <c r="CB31" s="10">
        <f t="shared" si="14"/>
        <v>0</v>
      </c>
      <c r="CC31" s="10">
        <f t="shared" si="14"/>
        <v>2297404</v>
      </c>
      <c r="CD31" s="10">
        <f t="shared" si="14"/>
        <v>0</v>
      </c>
      <c r="CE31" s="10">
        <f t="shared" si="14"/>
        <v>0</v>
      </c>
      <c r="CF31" s="10">
        <f t="shared" si="14"/>
        <v>0</v>
      </c>
      <c r="CG31" s="10">
        <f t="shared" si="14"/>
        <v>19216320.689999998</v>
      </c>
      <c r="CH31" s="10">
        <f t="shared" si="14"/>
        <v>0</v>
      </c>
      <c r="CI31" s="10">
        <f t="shared" si="14"/>
        <v>0</v>
      </c>
      <c r="CJ31" s="10">
        <f t="shared" si="14"/>
        <v>0</v>
      </c>
      <c r="CK31" s="10">
        <f t="shared" si="14"/>
        <v>1109600</v>
      </c>
      <c r="CL31" s="10">
        <f t="shared" si="14"/>
        <v>0</v>
      </c>
      <c r="CM31" s="10">
        <f t="shared" si="14"/>
        <v>0</v>
      </c>
      <c r="CN31" s="10">
        <f t="shared" si="14"/>
        <v>0</v>
      </c>
      <c r="CO31" s="10">
        <f t="shared" si="14"/>
        <v>31128351.84</v>
      </c>
      <c r="CP31" s="10">
        <f t="shared" si="14"/>
        <v>0</v>
      </c>
      <c r="CQ31" s="10">
        <f t="shared" si="14"/>
        <v>0</v>
      </c>
      <c r="CR31" s="10">
        <f t="shared" si="14"/>
        <v>0</v>
      </c>
      <c r="CS31" s="10">
        <f t="shared" si="14"/>
        <v>1300000</v>
      </c>
      <c r="CT31" s="10">
        <f t="shared" si="14"/>
        <v>0</v>
      </c>
      <c r="CU31" s="10">
        <f t="shared" si="14"/>
        <v>0</v>
      </c>
      <c r="CV31" s="10">
        <f t="shared" si="14"/>
        <v>0</v>
      </c>
      <c r="CW31" s="10">
        <f t="shared" si="14"/>
        <v>129225849.63</v>
      </c>
      <c r="CX31" s="10">
        <f t="shared" si="14"/>
        <v>0</v>
      </c>
      <c r="CY31" s="10">
        <f t="shared" si="14"/>
        <v>0</v>
      </c>
      <c r="CZ31" s="10">
        <f t="shared" si="14"/>
        <v>0</v>
      </c>
      <c r="DA31" s="10">
        <f t="shared" ref="DA31:EF31" si="15">SUM(DA17:DA30)</f>
        <v>21825000</v>
      </c>
      <c r="DB31" s="10">
        <f t="shared" si="15"/>
        <v>0</v>
      </c>
      <c r="DC31" s="10">
        <f t="shared" si="15"/>
        <v>0</v>
      </c>
      <c r="DD31" s="10">
        <f t="shared" si="15"/>
        <v>0</v>
      </c>
      <c r="DE31" s="10">
        <f t="shared" si="15"/>
        <v>300000</v>
      </c>
      <c r="DF31" s="10">
        <f t="shared" si="15"/>
        <v>0</v>
      </c>
      <c r="DG31" s="10">
        <f t="shared" si="15"/>
        <v>0</v>
      </c>
      <c r="DH31" s="10">
        <f t="shared" si="15"/>
        <v>0</v>
      </c>
    </row>
  </sheetData>
  <autoFilter ref="A15:AB31" xr:uid="{00000000-0009-0000-0000-000001000000}"/>
  <mergeCells count="45">
    <mergeCell ref="A31:B31"/>
    <mergeCell ref="Q15:T15"/>
    <mergeCell ref="DA15:DD15"/>
    <mergeCell ref="A19:B19"/>
    <mergeCell ref="A28:B28"/>
    <mergeCell ref="M15:P15"/>
    <mergeCell ref="BA15:BD15"/>
    <mergeCell ref="A9:AB9"/>
    <mergeCell ref="I15:L15"/>
    <mergeCell ref="U15:X15"/>
    <mergeCell ref="A18:B18"/>
    <mergeCell ref="A27:B27"/>
    <mergeCell ref="Y15:AB15"/>
    <mergeCell ref="A26:B26"/>
    <mergeCell ref="A21:B21"/>
    <mergeCell ref="A15:B16"/>
    <mergeCell ref="A23:B23"/>
    <mergeCell ref="A17:B17"/>
    <mergeCell ref="A22:B22"/>
    <mergeCell ref="A20:B20"/>
    <mergeCell ref="CG15:CJ15"/>
    <mergeCell ref="CS15:CV15"/>
    <mergeCell ref="A25:B25"/>
    <mergeCell ref="A10:AB10"/>
    <mergeCell ref="DE15:DH15"/>
    <mergeCell ref="BE15:BH15"/>
    <mergeCell ref="BY15:CB15"/>
    <mergeCell ref="BQ15:BT15"/>
    <mergeCell ref="CK15:CN15"/>
    <mergeCell ref="AK15:AN15"/>
    <mergeCell ref="AC15:AF15"/>
    <mergeCell ref="AO15:AR15"/>
    <mergeCell ref="CC15:CF15"/>
    <mergeCell ref="CO15:CR15"/>
    <mergeCell ref="AW15:AZ15"/>
    <mergeCell ref="CW15:CZ15"/>
    <mergeCell ref="BM15:BP15"/>
    <mergeCell ref="A24:B24"/>
    <mergeCell ref="A30:B30"/>
    <mergeCell ref="BU15:BX15"/>
    <mergeCell ref="D15:G15"/>
    <mergeCell ref="AG15:AJ15"/>
    <mergeCell ref="BI15:BL15"/>
    <mergeCell ref="AS15:AV15"/>
    <mergeCell ref="A29:B29"/>
  </mergeCells>
  <printOptions horizontalCentered="1"/>
  <pageMargins left="0" right="0" top="0.51180555555555596" bottom="0" header="0.511811023622047" footer="0.511811023622047"/>
  <pageSetup paperSize="9" scale="72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D18"/>
  <sheetViews>
    <sheetView view="pageBreakPreview" zoomScaleNormal="100" workbookViewId="0">
      <pane xSplit="3" ySplit="1" topLeftCell="D2" activePane="bottomRight" state="frozen"/>
      <selection pane="topRight"/>
      <selection pane="bottomLeft"/>
      <selection pane="bottomRight" activeCell="A5" sqref="A5:XFD5"/>
    </sheetView>
  </sheetViews>
  <sheetFormatPr baseColWidth="10" defaultColWidth="11.453125" defaultRowHeight="15" customHeight="1" x14ac:dyDescent="0.35"/>
  <cols>
    <col min="1" max="1" width="10.7265625" style="37" customWidth="1"/>
    <col min="2" max="2" width="51.453125" style="37" customWidth="1"/>
    <col min="3" max="3" width="21.81640625" style="37" customWidth="1"/>
    <col min="4" max="4" width="17.453125" style="37" customWidth="1"/>
    <col min="5" max="6" width="18.54296875" style="37" customWidth="1"/>
    <col min="7" max="7" width="20.1796875" style="37" customWidth="1"/>
    <col min="8" max="8" width="16.26953125" style="37" customWidth="1"/>
    <col min="9" max="9" width="16.1796875" style="37" customWidth="1"/>
    <col min="10" max="11" width="16.26953125" style="37" customWidth="1"/>
    <col min="12" max="12" width="19.26953125" style="37" customWidth="1"/>
    <col min="13" max="13" width="26.81640625" style="37" customWidth="1"/>
    <col min="14" max="14" width="16.26953125" style="37" customWidth="1"/>
    <col min="15" max="15" width="17.453125" style="37" customWidth="1"/>
    <col min="16" max="16" width="18.54296875" style="37" customWidth="1"/>
    <col min="17" max="17" width="16.26953125" style="37" customWidth="1"/>
    <col min="18" max="18" width="18.54296875" style="37" customWidth="1"/>
    <col min="19" max="19" width="16.26953125" style="37" customWidth="1"/>
    <col min="20" max="20" width="17.453125" style="37" customWidth="1"/>
    <col min="21" max="21" width="16.26953125" style="37" customWidth="1"/>
    <col min="22" max="22" width="17.453125" style="37" customWidth="1"/>
    <col min="23" max="23" width="16.26953125" style="37" customWidth="1"/>
    <col min="24" max="24" width="17.453125" style="37" customWidth="1"/>
    <col min="25" max="25" width="24.26953125" style="37" customWidth="1"/>
    <col min="26" max="26" width="16.453125" style="37" customWidth="1"/>
    <col min="27" max="27" width="17.453125" style="37" customWidth="1"/>
    <col min="28" max="28" width="16.26953125" style="37" customWidth="1"/>
    <col min="29" max="29" width="20.26953125" style="37" customWidth="1"/>
    <col min="30" max="30" width="18.54296875" style="37" customWidth="1"/>
    <col min="31" max="37" width="11.453125" style="37" customWidth="1"/>
    <col min="38" max="16384" width="11.453125" style="37"/>
  </cols>
  <sheetData>
    <row r="1" spans="1:30" ht="15" customHeight="1" x14ac:dyDescent="0.35">
      <c r="A1" s="38" t="s">
        <v>66</v>
      </c>
      <c r="B1" s="39" t="s">
        <v>67</v>
      </c>
      <c r="C1" s="40" t="s">
        <v>68</v>
      </c>
      <c r="D1" s="39" t="s">
        <v>69</v>
      </c>
      <c r="E1" s="39" t="s">
        <v>70</v>
      </c>
      <c r="F1" s="39" t="s">
        <v>71</v>
      </c>
      <c r="G1" s="39" t="s">
        <v>72</v>
      </c>
      <c r="H1" s="39" t="s">
        <v>73</v>
      </c>
      <c r="I1" s="39" t="s">
        <v>74</v>
      </c>
      <c r="J1" s="39" t="s">
        <v>29</v>
      </c>
      <c r="K1" s="39" t="s">
        <v>30</v>
      </c>
      <c r="L1" s="39" t="s">
        <v>75</v>
      </c>
      <c r="M1" s="39" t="s">
        <v>76</v>
      </c>
      <c r="N1" s="39" t="s">
        <v>32</v>
      </c>
      <c r="O1" s="39" t="s">
        <v>33</v>
      </c>
      <c r="P1" s="39" t="s">
        <v>35</v>
      </c>
      <c r="Q1" s="39" t="s">
        <v>36</v>
      </c>
      <c r="R1" s="39" t="s">
        <v>77</v>
      </c>
      <c r="S1" s="39" t="s">
        <v>38</v>
      </c>
      <c r="T1" s="39" t="s">
        <v>40</v>
      </c>
      <c r="U1" s="39" t="s">
        <v>41</v>
      </c>
      <c r="V1" s="39" t="s">
        <v>78</v>
      </c>
      <c r="W1" s="39" t="s">
        <v>79</v>
      </c>
      <c r="X1" s="39" t="s">
        <v>44</v>
      </c>
      <c r="Y1" s="39" t="s">
        <v>80</v>
      </c>
      <c r="Z1" s="39" t="s">
        <v>81</v>
      </c>
      <c r="AA1" s="39" t="s">
        <v>82</v>
      </c>
      <c r="AB1" s="39" t="s">
        <v>45</v>
      </c>
      <c r="AC1" s="39" t="s">
        <v>83</v>
      </c>
      <c r="AD1" s="41" t="s">
        <v>84</v>
      </c>
    </row>
    <row r="2" spans="1:30" ht="15" customHeight="1" x14ac:dyDescent="0.35">
      <c r="A2" s="42" t="s">
        <v>85</v>
      </c>
      <c r="B2" s="43" t="s">
        <v>52</v>
      </c>
      <c r="C2" s="43">
        <f t="shared" ref="C2:C17" si="0">+SUM(D2:AD2)</f>
        <v>445867317.79885703</v>
      </c>
      <c r="D2" s="44"/>
      <c r="E2" s="44">
        <v>132811200</v>
      </c>
      <c r="F2" s="44"/>
      <c r="G2" s="44"/>
      <c r="H2" s="44">
        <v>5500000</v>
      </c>
      <c r="I2" s="44"/>
      <c r="J2" s="44"/>
      <c r="K2" s="44"/>
      <c r="L2" s="44">
        <v>258824107.59599999</v>
      </c>
      <c r="M2" s="44">
        <v>16936343.302857101</v>
      </c>
      <c r="N2" s="44"/>
      <c r="O2" s="44">
        <v>2000000</v>
      </c>
      <c r="P2" s="44"/>
      <c r="Q2" s="44"/>
      <c r="R2" s="44"/>
      <c r="S2" s="44"/>
      <c r="T2" s="44"/>
      <c r="U2" s="44"/>
      <c r="V2" s="44"/>
      <c r="W2" s="44"/>
      <c r="X2" s="44">
        <v>28721436.899999999</v>
      </c>
      <c r="Y2" s="44">
        <v>1074230</v>
      </c>
      <c r="Z2" s="44"/>
      <c r="AA2" s="44"/>
      <c r="AB2" s="44"/>
      <c r="AC2" s="44"/>
      <c r="AD2" s="45"/>
    </row>
    <row r="3" spans="1:30" ht="15" customHeight="1" x14ac:dyDescent="0.35">
      <c r="A3" s="42" t="s">
        <v>86</v>
      </c>
      <c r="B3" s="43" t="s">
        <v>53</v>
      </c>
      <c r="C3" s="43">
        <f t="shared" si="0"/>
        <v>210557801.5</v>
      </c>
      <c r="D3" s="44"/>
      <c r="E3" s="44"/>
      <c r="F3" s="44">
        <v>188835617.5</v>
      </c>
      <c r="G3" s="44"/>
      <c r="H3" s="44"/>
      <c r="I3" s="44"/>
      <c r="J3" s="44"/>
      <c r="K3" s="44"/>
      <c r="L3" s="44"/>
      <c r="M3" s="44">
        <v>21722184</v>
      </c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5"/>
    </row>
    <row r="4" spans="1:30" ht="15" customHeight="1" x14ac:dyDescent="0.35">
      <c r="A4" s="42" t="s">
        <v>87</v>
      </c>
      <c r="B4" s="43" t="s">
        <v>54</v>
      </c>
      <c r="C4" s="43">
        <f t="shared" si="0"/>
        <v>17010000</v>
      </c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>
        <v>2090000</v>
      </c>
      <c r="Q4" s="44"/>
      <c r="R4" s="44"/>
      <c r="S4" s="44"/>
      <c r="T4" s="44">
        <v>2220000</v>
      </c>
      <c r="U4" s="44"/>
      <c r="V4" s="44"/>
      <c r="W4" s="44"/>
      <c r="X4" s="44"/>
      <c r="Y4" s="44"/>
      <c r="Z4" s="44"/>
      <c r="AA4" s="44"/>
      <c r="AB4" s="44"/>
      <c r="AC4" s="44">
        <v>12700000</v>
      </c>
      <c r="AD4" s="45"/>
    </row>
    <row r="5" spans="1:30" ht="15" customHeight="1" x14ac:dyDescent="0.35">
      <c r="A5" s="42" t="s">
        <v>88</v>
      </c>
      <c r="B5" s="43" t="s">
        <v>55</v>
      </c>
      <c r="C5" s="43">
        <f t="shared" si="0"/>
        <v>13362800</v>
      </c>
      <c r="D5" s="44"/>
      <c r="E5" s="44">
        <v>240000</v>
      </c>
      <c r="F5" s="44">
        <v>140000</v>
      </c>
      <c r="G5" s="44">
        <v>310000</v>
      </c>
      <c r="H5" s="44">
        <v>292800</v>
      </c>
      <c r="I5" s="44">
        <v>170000</v>
      </c>
      <c r="J5" s="44"/>
      <c r="K5" s="44"/>
      <c r="L5" s="44"/>
      <c r="M5" s="44">
        <v>200000</v>
      </c>
      <c r="N5" s="44"/>
      <c r="O5" s="44"/>
      <c r="P5" s="44">
        <v>10100000</v>
      </c>
      <c r="Q5" s="44"/>
      <c r="R5" s="44"/>
      <c r="S5" s="44"/>
      <c r="T5" s="44">
        <v>120000</v>
      </c>
      <c r="U5" s="44"/>
      <c r="V5" s="44">
        <v>350000</v>
      </c>
      <c r="W5" s="44"/>
      <c r="X5" s="44">
        <v>140000</v>
      </c>
      <c r="Y5" s="44"/>
      <c r="Z5" s="44">
        <v>150000</v>
      </c>
      <c r="AA5" s="44">
        <v>150000</v>
      </c>
      <c r="AB5" s="44"/>
      <c r="AC5" s="44">
        <v>1000000</v>
      </c>
      <c r="AD5" s="45"/>
    </row>
    <row r="6" spans="1:30" ht="15" customHeight="1" x14ac:dyDescent="0.35">
      <c r="A6" s="42" t="s">
        <v>89</v>
      </c>
      <c r="B6" s="43" t="s">
        <v>56</v>
      </c>
      <c r="C6" s="43">
        <f t="shared" si="0"/>
        <v>135921304.47399998</v>
      </c>
      <c r="D6" s="44">
        <v>717600</v>
      </c>
      <c r="E6" s="44">
        <v>6396171.2400000002</v>
      </c>
      <c r="F6" s="44">
        <v>10372000</v>
      </c>
      <c r="G6" s="44">
        <v>10000</v>
      </c>
      <c r="H6" s="44">
        <v>2687200</v>
      </c>
      <c r="I6" s="44">
        <v>20000</v>
      </c>
      <c r="J6" s="44">
        <v>560000</v>
      </c>
      <c r="K6" s="44"/>
      <c r="L6" s="44"/>
      <c r="M6" s="44"/>
      <c r="N6" s="44"/>
      <c r="O6" s="44">
        <v>14863142.84</v>
      </c>
      <c r="P6" s="44">
        <v>47095588.083999999</v>
      </c>
      <c r="Q6" s="44">
        <v>4890000</v>
      </c>
      <c r="R6" s="44">
        <v>710000</v>
      </c>
      <c r="S6" s="44"/>
      <c r="T6" s="44">
        <v>17011259.82</v>
      </c>
      <c r="U6" s="44">
        <v>670000</v>
      </c>
      <c r="V6" s="44">
        <v>12994275.52</v>
      </c>
      <c r="W6" s="44"/>
      <c r="X6" s="44">
        <v>917514.94</v>
      </c>
      <c r="Y6" s="44">
        <v>547800</v>
      </c>
      <c r="Z6" s="44">
        <v>1039200</v>
      </c>
      <c r="AA6" s="44">
        <v>10024952.029999999</v>
      </c>
      <c r="AB6" s="44">
        <v>1560000</v>
      </c>
      <c r="AC6" s="44">
        <v>450000</v>
      </c>
      <c r="AD6" s="45">
        <v>2384600</v>
      </c>
    </row>
    <row r="7" spans="1:30" ht="15" customHeight="1" x14ac:dyDescent="0.35">
      <c r="A7" s="42" t="s">
        <v>90</v>
      </c>
      <c r="B7" s="43" t="s">
        <v>57</v>
      </c>
      <c r="C7" s="43">
        <f t="shared" si="0"/>
        <v>96190100.640000001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5">
        <v>96190100.640000001</v>
      </c>
    </row>
    <row r="8" spans="1:30" ht="15" customHeight="1" x14ac:dyDescent="0.35">
      <c r="A8" s="42" t="s">
        <v>91</v>
      </c>
      <c r="B8" s="43" t="s">
        <v>58</v>
      </c>
      <c r="C8" s="43">
        <f t="shared" si="0"/>
        <v>36252701.979999997</v>
      </c>
      <c r="D8" s="44"/>
      <c r="E8" s="44">
        <v>484000</v>
      </c>
      <c r="F8" s="44"/>
      <c r="G8" s="44">
        <v>450000</v>
      </c>
      <c r="H8" s="44"/>
      <c r="I8" s="44"/>
      <c r="J8" s="44"/>
      <c r="K8" s="44"/>
      <c r="L8" s="44"/>
      <c r="M8" s="44"/>
      <c r="N8" s="44"/>
      <c r="O8" s="44"/>
      <c r="P8" s="44">
        <v>35318701.979999997</v>
      </c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5"/>
    </row>
    <row r="9" spans="1:30" ht="15" customHeight="1" x14ac:dyDescent="0.35">
      <c r="A9" s="42" t="s">
        <v>92</v>
      </c>
      <c r="B9" s="43" t="s">
        <v>59</v>
      </c>
      <c r="C9" s="43">
        <f t="shared" si="0"/>
        <v>21504170.460000001</v>
      </c>
      <c r="D9" s="44"/>
      <c r="E9" s="44"/>
      <c r="F9" s="44"/>
      <c r="G9" s="44">
        <v>80000</v>
      </c>
      <c r="H9" s="44"/>
      <c r="I9" s="44"/>
      <c r="J9" s="44"/>
      <c r="K9" s="44"/>
      <c r="L9" s="44"/>
      <c r="M9" s="44"/>
      <c r="N9" s="44"/>
      <c r="O9" s="44"/>
      <c r="P9" s="44">
        <v>7541790.46</v>
      </c>
      <c r="Q9" s="44"/>
      <c r="R9" s="44"/>
      <c r="S9" s="44"/>
      <c r="T9" s="44">
        <v>1513920</v>
      </c>
      <c r="U9" s="44"/>
      <c r="V9" s="44"/>
      <c r="W9" s="44"/>
      <c r="X9" s="44"/>
      <c r="Y9" s="44"/>
      <c r="Z9" s="44"/>
      <c r="AA9" s="44">
        <v>1388700</v>
      </c>
      <c r="AB9" s="44"/>
      <c r="AC9" s="44">
        <v>6032000</v>
      </c>
      <c r="AD9" s="45">
        <v>4947760</v>
      </c>
    </row>
    <row r="10" spans="1:30" ht="15" customHeight="1" x14ac:dyDescent="0.35">
      <c r="A10" s="42" t="s">
        <v>93</v>
      </c>
      <c r="B10" s="43" t="s">
        <v>60</v>
      </c>
      <c r="C10" s="43">
        <f t="shared" si="0"/>
        <v>5187000</v>
      </c>
      <c r="D10" s="44"/>
      <c r="E10" s="44"/>
      <c r="F10" s="44"/>
      <c r="G10" s="44"/>
      <c r="H10" s="44"/>
      <c r="I10" s="44"/>
      <c r="J10" s="44">
        <v>1560000</v>
      </c>
      <c r="K10" s="44">
        <v>1756000</v>
      </c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>
        <v>971000</v>
      </c>
      <c r="X10" s="44"/>
      <c r="Y10" s="44"/>
      <c r="Z10" s="44"/>
      <c r="AA10" s="44"/>
      <c r="AB10" s="44">
        <v>900000</v>
      </c>
      <c r="AC10" s="44"/>
      <c r="AD10" s="45"/>
    </row>
    <row r="11" spans="1:30" ht="15" customHeight="1" x14ac:dyDescent="0.35">
      <c r="A11" s="42" t="s">
        <v>94</v>
      </c>
      <c r="B11" s="43" t="s">
        <v>61</v>
      </c>
      <c r="C11" s="43">
        <f t="shared" si="0"/>
        <v>57981147.190000005</v>
      </c>
      <c r="D11" s="44"/>
      <c r="E11" s="44"/>
      <c r="F11" s="44"/>
      <c r="G11" s="44">
        <v>300000</v>
      </c>
      <c r="H11" s="44"/>
      <c r="I11" s="44"/>
      <c r="J11" s="44">
        <v>10000</v>
      </c>
      <c r="K11" s="44">
        <v>154500</v>
      </c>
      <c r="L11" s="44"/>
      <c r="M11" s="44"/>
      <c r="N11" s="44">
        <v>200000</v>
      </c>
      <c r="O11" s="44">
        <v>5472550</v>
      </c>
      <c r="P11" s="44">
        <v>1679849</v>
      </c>
      <c r="Q11" s="44"/>
      <c r="R11" s="44"/>
      <c r="S11" s="44">
        <v>9865983.5999999996</v>
      </c>
      <c r="T11" s="44">
        <v>494628</v>
      </c>
      <c r="U11" s="44">
        <v>1837404</v>
      </c>
      <c r="V11" s="44">
        <v>2760040</v>
      </c>
      <c r="W11" s="44">
        <v>1200000</v>
      </c>
      <c r="X11" s="44"/>
      <c r="Y11" s="44"/>
      <c r="Z11" s="44"/>
      <c r="AA11" s="44">
        <v>21036803.600000001</v>
      </c>
      <c r="AB11" s="44"/>
      <c r="AC11" s="44"/>
      <c r="AD11" s="45">
        <v>12969388.99</v>
      </c>
    </row>
    <row r="12" spans="1:30" ht="15" customHeight="1" x14ac:dyDescent="0.35">
      <c r="A12" s="42" t="s">
        <v>95</v>
      </c>
      <c r="B12" s="43" t="s">
        <v>62</v>
      </c>
      <c r="C12" s="43">
        <f t="shared" si="0"/>
        <v>41975500</v>
      </c>
      <c r="D12" s="44"/>
      <c r="E12" s="44"/>
      <c r="F12" s="44"/>
      <c r="G12" s="44">
        <v>4260000</v>
      </c>
      <c r="H12" s="44"/>
      <c r="I12" s="44"/>
      <c r="J12" s="44"/>
      <c r="K12" s="44"/>
      <c r="L12" s="44"/>
      <c r="M12" s="44"/>
      <c r="N12" s="44"/>
      <c r="O12" s="44"/>
      <c r="P12" s="44">
        <v>36705500</v>
      </c>
      <c r="Q12" s="44"/>
      <c r="R12" s="44"/>
      <c r="S12" s="44"/>
      <c r="T12" s="44"/>
      <c r="U12" s="44"/>
      <c r="V12" s="44">
        <v>20000</v>
      </c>
      <c r="W12" s="44"/>
      <c r="X12" s="44">
        <v>190000</v>
      </c>
      <c r="Y12" s="44">
        <v>800000</v>
      </c>
      <c r="Z12" s="44"/>
      <c r="AA12" s="44"/>
      <c r="AB12" s="44"/>
      <c r="AC12" s="44"/>
      <c r="AD12" s="45"/>
    </row>
    <row r="13" spans="1:30" ht="15" customHeight="1" x14ac:dyDescent="0.35">
      <c r="A13" s="42" t="s">
        <v>96</v>
      </c>
      <c r="B13" s="43" t="s">
        <v>63</v>
      </c>
      <c r="C13" s="43">
        <f t="shared" si="0"/>
        <v>60847600</v>
      </c>
      <c r="D13" s="44"/>
      <c r="E13" s="44"/>
      <c r="F13" s="44"/>
      <c r="G13" s="44"/>
      <c r="H13" s="44"/>
      <c r="I13" s="44"/>
      <c r="J13" s="44">
        <v>340000</v>
      </c>
      <c r="K13" s="44"/>
      <c r="L13" s="44"/>
      <c r="M13" s="44"/>
      <c r="N13" s="44">
        <v>4380000</v>
      </c>
      <c r="O13" s="44">
        <v>54485000</v>
      </c>
      <c r="P13" s="44">
        <v>250000</v>
      </c>
      <c r="Q13" s="44"/>
      <c r="R13" s="44"/>
      <c r="S13" s="44"/>
      <c r="T13" s="44"/>
      <c r="U13" s="44"/>
      <c r="V13" s="44"/>
      <c r="W13" s="44">
        <v>46600</v>
      </c>
      <c r="X13" s="44"/>
      <c r="Y13" s="44"/>
      <c r="Z13" s="44"/>
      <c r="AA13" s="44">
        <v>1346000</v>
      </c>
      <c r="AB13" s="44"/>
      <c r="AC13" s="44"/>
      <c r="AD13" s="45"/>
    </row>
    <row r="14" spans="1:30" ht="15" customHeight="1" x14ac:dyDescent="0.35">
      <c r="A14" s="42" t="s">
        <v>97</v>
      </c>
      <c r="B14" s="43" t="s">
        <v>64</v>
      </c>
      <c r="C14" s="43">
        <f t="shared" si="0"/>
        <v>15576201</v>
      </c>
      <c r="D14" s="44"/>
      <c r="E14" s="44"/>
      <c r="F14" s="44"/>
      <c r="G14" s="44">
        <v>400000</v>
      </c>
      <c r="H14" s="44"/>
      <c r="I14" s="44"/>
      <c r="J14" s="44"/>
      <c r="K14" s="44"/>
      <c r="L14" s="44"/>
      <c r="M14" s="44"/>
      <c r="N14" s="44"/>
      <c r="O14" s="44"/>
      <c r="P14" s="44">
        <v>15176201</v>
      </c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5"/>
    </row>
    <row r="15" spans="1:30" ht="15" customHeight="1" x14ac:dyDescent="0.35">
      <c r="A15" s="42" t="s">
        <v>98</v>
      </c>
      <c r="B15" s="43" t="s">
        <v>99</v>
      </c>
      <c r="C15" s="43">
        <f t="shared" si="0"/>
        <v>557752455.323318</v>
      </c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>
        <v>557752455.323318</v>
      </c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5"/>
    </row>
    <row r="16" spans="1:30" ht="15" customHeight="1" x14ac:dyDescent="0.35">
      <c r="A16" s="42" t="s">
        <v>100</v>
      </c>
      <c r="B16" s="43" t="s">
        <v>101</v>
      </c>
      <c r="C16" s="43">
        <f t="shared" si="0"/>
        <v>59856446.07</v>
      </c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>
        <v>59856446.07</v>
      </c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5"/>
    </row>
    <row r="17" spans="1:30" ht="15" customHeight="1" x14ac:dyDescent="0.35">
      <c r="A17" s="42" t="s">
        <v>102</v>
      </c>
      <c r="B17" s="43" t="s">
        <v>103</v>
      </c>
      <c r="C17" s="43">
        <f t="shared" si="0"/>
        <v>14989878.178571399</v>
      </c>
      <c r="D17" s="44"/>
      <c r="E17" s="44">
        <v>220000</v>
      </c>
      <c r="F17" s="44">
        <v>80000</v>
      </c>
      <c r="G17" s="44"/>
      <c r="H17" s="44"/>
      <c r="I17" s="44">
        <v>100000</v>
      </c>
      <c r="J17" s="44"/>
      <c r="K17" s="44">
        <v>450000</v>
      </c>
      <c r="L17" s="44"/>
      <c r="M17" s="44"/>
      <c r="N17" s="44"/>
      <c r="O17" s="44"/>
      <c r="P17" s="44">
        <v>500000</v>
      </c>
      <c r="Q17" s="44"/>
      <c r="R17" s="44">
        <v>11639878.178571399</v>
      </c>
      <c r="S17" s="44"/>
      <c r="T17" s="44"/>
      <c r="U17" s="44"/>
      <c r="V17" s="44">
        <v>700000</v>
      </c>
      <c r="W17" s="44"/>
      <c r="X17" s="44">
        <v>300000</v>
      </c>
      <c r="Y17" s="44"/>
      <c r="Z17" s="44">
        <v>300000</v>
      </c>
      <c r="AA17" s="44"/>
      <c r="AB17" s="44"/>
      <c r="AC17" s="44"/>
      <c r="AD17" s="45">
        <v>700000</v>
      </c>
    </row>
    <row r="18" spans="1:30" ht="15" customHeight="1" x14ac:dyDescent="0.35">
      <c r="A18" s="114" t="s">
        <v>68</v>
      </c>
      <c r="B18" s="115"/>
      <c r="C18" s="46">
        <f>SUM(C2:C17)</f>
        <v>1790832424.6147466</v>
      </c>
      <c r="D18" s="46">
        <f t="shared" ref="D18:AD18" si="1">+SUM(D2:D17)</f>
        <v>717600</v>
      </c>
      <c r="E18" s="46">
        <f t="shared" si="1"/>
        <v>140151371.24000001</v>
      </c>
      <c r="F18" s="46">
        <f t="shared" si="1"/>
        <v>199427617.5</v>
      </c>
      <c r="G18" s="46">
        <f t="shared" si="1"/>
        <v>5810000</v>
      </c>
      <c r="H18" s="46">
        <f t="shared" si="1"/>
        <v>8480000</v>
      </c>
      <c r="I18" s="46">
        <f t="shared" si="1"/>
        <v>290000</v>
      </c>
      <c r="J18" s="46">
        <f t="shared" si="1"/>
        <v>2470000</v>
      </c>
      <c r="K18" s="46">
        <f t="shared" si="1"/>
        <v>2360500</v>
      </c>
      <c r="L18" s="46">
        <f t="shared" si="1"/>
        <v>258824107.59599999</v>
      </c>
      <c r="M18" s="46">
        <f t="shared" si="1"/>
        <v>38858527.302857101</v>
      </c>
      <c r="N18" s="46">
        <f t="shared" si="1"/>
        <v>4580000</v>
      </c>
      <c r="O18" s="46">
        <f t="shared" si="1"/>
        <v>76820692.840000004</v>
      </c>
      <c r="P18" s="46">
        <f t="shared" si="1"/>
        <v>156457630.52399999</v>
      </c>
      <c r="Q18" s="46">
        <f t="shared" si="1"/>
        <v>4890000</v>
      </c>
      <c r="R18" s="46">
        <f t="shared" si="1"/>
        <v>629958779.5718894</v>
      </c>
      <c r="S18" s="46">
        <f t="shared" si="1"/>
        <v>9865983.5999999996</v>
      </c>
      <c r="T18" s="46">
        <f t="shared" si="1"/>
        <v>21359807.82</v>
      </c>
      <c r="U18" s="46">
        <f t="shared" si="1"/>
        <v>2507404</v>
      </c>
      <c r="V18" s="46">
        <f t="shared" si="1"/>
        <v>16824315.52</v>
      </c>
      <c r="W18" s="46">
        <f t="shared" si="1"/>
        <v>2217600</v>
      </c>
      <c r="X18" s="46">
        <f t="shared" si="1"/>
        <v>30268951.84</v>
      </c>
      <c r="Y18" s="46">
        <f t="shared" si="1"/>
        <v>2422030</v>
      </c>
      <c r="Z18" s="46">
        <f t="shared" si="1"/>
        <v>1489200</v>
      </c>
      <c r="AA18" s="46">
        <f t="shared" si="1"/>
        <v>33946455.630000003</v>
      </c>
      <c r="AB18" s="46">
        <f t="shared" si="1"/>
        <v>2460000</v>
      </c>
      <c r="AC18" s="46">
        <f t="shared" si="1"/>
        <v>20182000</v>
      </c>
      <c r="AD18" s="46">
        <f t="shared" si="1"/>
        <v>117191849.63</v>
      </c>
    </row>
  </sheetData>
  <mergeCells count="1">
    <mergeCell ref="A18:B18"/>
  </mergeCells>
  <pageMargins left="0.7" right="0.7" top="0.75" bottom="0.75" header="0.511811023622047" footer="0.511811023622047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F46"/>
  <sheetViews>
    <sheetView view="pageBreakPreview" zoomScaleNormal="80" workbookViewId="0">
      <pane xSplit="3" ySplit="1" topLeftCell="O2" activePane="bottomRight" state="frozen"/>
      <selection pane="topRight"/>
      <selection pane="bottomLeft"/>
      <selection pane="bottomRight"/>
    </sheetView>
  </sheetViews>
  <sheetFormatPr baseColWidth="10" defaultColWidth="10.7265625" defaultRowHeight="15" customHeight="1" x14ac:dyDescent="0.35"/>
  <cols>
    <col min="1" max="1" width="21.7265625" style="68" customWidth="1"/>
    <col min="2" max="2" width="67.1796875" style="68" customWidth="1"/>
    <col min="3" max="3" width="21.7265625" style="68" customWidth="1"/>
    <col min="4" max="4" width="17.453125" style="37" customWidth="1"/>
    <col min="5" max="6" width="20" style="37" customWidth="1"/>
    <col min="7" max="7" width="20.7265625" style="37" customWidth="1"/>
    <col min="8" max="8" width="17.453125" style="37" customWidth="1"/>
    <col min="9" max="9" width="16.1796875" style="37" customWidth="1"/>
    <col min="10" max="11" width="17.453125" style="37" customWidth="1"/>
    <col min="12" max="12" width="20" style="37" customWidth="1"/>
    <col min="13" max="13" width="26.81640625" style="37" customWidth="1"/>
    <col min="14" max="14" width="17.453125" style="37" customWidth="1"/>
    <col min="15" max="15" width="18.7265625" style="37" customWidth="1"/>
    <col min="16" max="16" width="20" style="37" customWidth="1"/>
    <col min="17" max="17" width="17.453125" style="37" customWidth="1"/>
    <col min="18" max="18" width="20" style="37" customWidth="1"/>
    <col min="19" max="19" width="17.453125" style="37" customWidth="1"/>
    <col min="20" max="20" width="18.7265625" style="37" customWidth="1"/>
    <col min="21" max="21" width="17.453125" style="37" customWidth="1"/>
    <col min="22" max="22" width="18.7265625" style="37" customWidth="1"/>
    <col min="23" max="23" width="17.453125" style="37" customWidth="1"/>
    <col min="24" max="24" width="18.7265625" style="37" customWidth="1"/>
    <col min="25" max="25" width="24.26953125" style="37" customWidth="1"/>
    <col min="26" max="26" width="17.453125" style="37" customWidth="1"/>
    <col min="27" max="27" width="18.7265625" style="37" customWidth="1"/>
    <col min="28" max="28" width="17.453125" style="37" customWidth="1"/>
    <col min="29" max="29" width="20.26953125" style="37" customWidth="1"/>
    <col min="30" max="30" width="20" style="37" customWidth="1"/>
    <col min="31" max="32" width="11.453125" style="37" customWidth="1"/>
  </cols>
  <sheetData>
    <row r="1" spans="1:30" ht="15" customHeight="1" x14ac:dyDescent="0.35">
      <c r="A1" s="24" t="s">
        <v>104</v>
      </c>
      <c r="B1" s="24" t="s">
        <v>105</v>
      </c>
      <c r="C1" s="24" t="s">
        <v>68</v>
      </c>
      <c r="D1" s="47" t="s">
        <v>69</v>
      </c>
      <c r="E1" s="47" t="s">
        <v>70</v>
      </c>
      <c r="F1" s="47" t="s">
        <v>71</v>
      </c>
      <c r="G1" s="47" t="s">
        <v>72</v>
      </c>
      <c r="H1" s="47" t="s">
        <v>73</v>
      </c>
      <c r="I1" s="47" t="s">
        <v>74</v>
      </c>
      <c r="J1" s="47" t="s">
        <v>29</v>
      </c>
      <c r="K1" s="47" t="s">
        <v>30</v>
      </c>
      <c r="L1" s="47" t="s">
        <v>106</v>
      </c>
      <c r="M1" s="47" t="s">
        <v>76</v>
      </c>
      <c r="N1" s="47" t="s">
        <v>32</v>
      </c>
      <c r="O1" s="47" t="s">
        <v>33</v>
      </c>
      <c r="P1" s="47" t="s">
        <v>35</v>
      </c>
      <c r="Q1" s="47" t="s">
        <v>36</v>
      </c>
      <c r="R1" s="47" t="s">
        <v>37</v>
      </c>
      <c r="S1" s="47" t="s">
        <v>38</v>
      </c>
      <c r="T1" s="47" t="s">
        <v>40</v>
      </c>
      <c r="U1" s="47" t="s">
        <v>41</v>
      </c>
      <c r="V1" s="47" t="s">
        <v>42</v>
      </c>
      <c r="W1" s="47" t="s">
        <v>79</v>
      </c>
      <c r="X1" s="47" t="s">
        <v>44</v>
      </c>
      <c r="Y1" s="47" t="s">
        <v>80</v>
      </c>
      <c r="Z1" s="47" t="s">
        <v>81</v>
      </c>
      <c r="AA1" s="47" t="s">
        <v>107</v>
      </c>
      <c r="AB1" s="47" t="s">
        <v>45</v>
      </c>
      <c r="AC1" s="47" t="s">
        <v>83</v>
      </c>
      <c r="AD1" s="47" t="s">
        <v>84</v>
      </c>
    </row>
    <row r="2" spans="1:30" s="37" customFormat="1" ht="15" customHeight="1" x14ac:dyDescent="0.35">
      <c r="A2" s="25" t="s">
        <v>108</v>
      </c>
      <c r="B2" s="25" t="s">
        <v>109</v>
      </c>
      <c r="C2" s="48">
        <f t="shared" ref="C2:C39" si="0">+SUM(D2:AD2)</f>
        <v>417498516.99599993</v>
      </c>
      <c r="D2" s="49"/>
      <c r="E2" s="49">
        <v>132811200</v>
      </c>
      <c r="F2" s="49"/>
      <c r="G2" s="49"/>
      <c r="H2" s="49"/>
      <c r="I2" s="49"/>
      <c r="J2" s="49"/>
      <c r="K2" s="49"/>
      <c r="L2" s="49">
        <v>258824107.59599999</v>
      </c>
      <c r="M2" s="49"/>
      <c r="N2" s="49"/>
      <c r="O2" s="49">
        <v>2000000</v>
      </c>
      <c r="P2" s="49"/>
      <c r="Q2" s="49"/>
      <c r="R2" s="49"/>
      <c r="S2" s="49"/>
      <c r="T2" s="49"/>
      <c r="U2" s="49"/>
      <c r="V2" s="49"/>
      <c r="W2" s="49"/>
      <c r="X2" s="49">
        <v>23863209.399999999</v>
      </c>
      <c r="Y2" s="49"/>
      <c r="Z2" s="49"/>
      <c r="AA2" s="49"/>
      <c r="AB2" s="49"/>
      <c r="AC2" s="49"/>
      <c r="AD2" s="49"/>
    </row>
    <row r="3" spans="1:30" s="37" customFormat="1" ht="15" customHeight="1" x14ac:dyDescent="0.35">
      <c r="A3" s="25" t="s">
        <v>110</v>
      </c>
      <c r="B3" s="25" t="s">
        <v>111</v>
      </c>
      <c r="C3" s="48">
        <f t="shared" si="0"/>
        <v>24219144.8428571</v>
      </c>
      <c r="D3" s="49"/>
      <c r="E3" s="49"/>
      <c r="F3" s="49"/>
      <c r="G3" s="49"/>
      <c r="H3" s="50">
        <v>5500000</v>
      </c>
      <c r="I3" s="49"/>
      <c r="J3" s="49"/>
      <c r="K3" s="49"/>
      <c r="L3" s="49"/>
      <c r="M3" s="49">
        <v>16936343.302857101</v>
      </c>
      <c r="N3" s="49"/>
      <c r="O3" s="49"/>
      <c r="P3" s="49"/>
      <c r="Q3" s="49"/>
      <c r="R3" s="49"/>
      <c r="S3" s="49"/>
      <c r="T3" s="49"/>
      <c r="U3" s="49"/>
      <c r="V3" s="49"/>
      <c r="W3" s="49"/>
      <c r="X3" s="49">
        <v>708571.54</v>
      </c>
      <c r="Y3" s="49">
        <v>1074230</v>
      </c>
      <c r="Z3" s="49"/>
      <c r="AA3" s="49"/>
      <c r="AB3" s="49"/>
      <c r="AC3" s="49"/>
      <c r="AD3" s="49"/>
    </row>
    <row r="4" spans="1:30" s="37" customFormat="1" ht="15" customHeight="1" x14ac:dyDescent="0.35">
      <c r="A4" s="25" t="s">
        <v>112</v>
      </c>
      <c r="B4" s="25" t="s">
        <v>113</v>
      </c>
      <c r="C4" s="48">
        <f t="shared" si="0"/>
        <v>4149655.96</v>
      </c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>
        <v>4149655.96</v>
      </c>
      <c r="Y4" s="49"/>
      <c r="Z4" s="49"/>
      <c r="AA4" s="49"/>
      <c r="AB4" s="49"/>
      <c r="AC4" s="49"/>
      <c r="AD4" s="49"/>
    </row>
    <row r="5" spans="1:30" s="37" customFormat="1" ht="15" customHeight="1" x14ac:dyDescent="0.35">
      <c r="A5" s="25" t="s">
        <v>114</v>
      </c>
      <c r="B5" s="25" t="s">
        <v>115</v>
      </c>
      <c r="C5" s="48">
        <f t="shared" si="0"/>
        <v>21722184</v>
      </c>
      <c r="D5" s="49"/>
      <c r="E5" s="49"/>
      <c r="F5" s="49"/>
      <c r="G5" s="49"/>
      <c r="H5" s="49"/>
      <c r="I5" s="49"/>
      <c r="J5" s="49"/>
      <c r="K5" s="49"/>
      <c r="L5" s="49"/>
      <c r="M5" s="49">
        <v>21722184</v>
      </c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</row>
    <row r="6" spans="1:30" s="37" customFormat="1" ht="15" customHeight="1" x14ac:dyDescent="0.35">
      <c r="A6" s="25" t="s">
        <v>116</v>
      </c>
      <c r="B6" s="25" t="s">
        <v>117</v>
      </c>
      <c r="C6" s="48">
        <f t="shared" si="0"/>
        <v>188835617.5</v>
      </c>
      <c r="D6" s="49"/>
      <c r="E6" s="49"/>
      <c r="F6" s="49">
        <v>188835617.5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</row>
    <row r="7" spans="1:30" s="37" customFormat="1" ht="15" customHeight="1" x14ac:dyDescent="0.35">
      <c r="A7" s="25" t="s">
        <v>118</v>
      </c>
      <c r="B7" s="25" t="s">
        <v>119</v>
      </c>
      <c r="C7" s="48">
        <f t="shared" si="0"/>
        <v>12700000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50">
        <v>12700000</v>
      </c>
      <c r="AD7" s="49"/>
    </row>
    <row r="8" spans="1:30" s="37" customFormat="1" ht="15" customHeight="1" x14ac:dyDescent="0.35">
      <c r="A8" s="25" t="s">
        <v>120</v>
      </c>
      <c r="B8" s="25" t="s">
        <v>121</v>
      </c>
      <c r="C8" s="48">
        <f t="shared" si="0"/>
        <v>1690000</v>
      </c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>
        <v>1690000</v>
      </c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</row>
    <row r="9" spans="1:30" s="37" customFormat="1" ht="15" customHeight="1" x14ac:dyDescent="0.35">
      <c r="A9" s="25" t="s">
        <v>122</v>
      </c>
      <c r="B9" s="25" t="s">
        <v>123</v>
      </c>
      <c r="C9" s="48">
        <f t="shared" si="0"/>
        <v>2620000</v>
      </c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>
        <v>400000</v>
      </c>
      <c r="Q9" s="49"/>
      <c r="R9" s="49"/>
      <c r="S9" s="49"/>
      <c r="T9" s="49">
        <v>2220000</v>
      </c>
      <c r="U9" s="49"/>
      <c r="V9" s="49"/>
      <c r="W9" s="49"/>
      <c r="X9" s="49"/>
      <c r="Y9" s="49"/>
      <c r="Z9" s="49"/>
      <c r="AA9" s="49"/>
      <c r="AB9" s="49"/>
      <c r="AC9" s="49"/>
      <c r="AD9" s="49"/>
    </row>
    <row r="10" spans="1:30" s="37" customFormat="1" ht="15" customHeight="1" x14ac:dyDescent="0.35">
      <c r="A10" s="25" t="s">
        <v>124</v>
      </c>
      <c r="B10" s="25" t="s">
        <v>125</v>
      </c>
      <c r="C10" s="48">
        <f t="shared" si="0"/>
        <v>10380000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>
        <v>9380000</v>
      </c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>
        <v>1000000</v>
      </c>
      <c r="AD10" s="49"/>
    </row>
    <row r="11" spans="1:30" s="37" customFormat="1" ht="15" customHeight="1" x14ac:dyDescent="0.35">
      <c r="A11" s="25" t="s">
        <v>126</v>
      </c>
      <c r="B11" s="25" t="s">
        <v>127</v>
      </c>
      <c r="C11" s="48">
        <f t="shared" si="0"/>
        <v>1342800</v>
      </c>
      <c r="D11" s="49"/>
      <c r="E11" s="49"/>
      <c r="F11" s="49">
        <v>50000</v>
      </c>
      <c r="G11" s="49"/>
      <c r="H11" s="50">
        <v>292800</v>
      </c>
      <c r="I11" s="49">
        <v>120000</v>
      </c>
      <c r="J11" s="49"/>
      <c r="K11" s="49"/>
      <c r="L11" s="49"/>
      <c r="M11" s="49"/>
      <c r="N11" s="49"/>
      <c r="O11" s="49"/>
      <c r="P11" s="49">
        <v>720000</v>
      </c>
      <c r="Q11" s="49"/>
      <c r="R11" s="49"/>
      <c r="S11" s="49"/>
      <c r="T11" s="49">
        <v>120000</v>
      </c>
      <c r="U11" s="49"/>
      <c r="V11" s="49"/>
      <c r="W11" s="49"/>
      <c r="X11" s="49">
        <v>40000</v>
      </c>
      <c r="Y11" s="49"/>
      <c r="Z11" s="49"/>
      <c r="AA11" s="49"/>
      <c r="AB11" s="49"/>
      <c r="AC11" s="49"/>
      <c r="AD11" s="49"/>
    </row>
    <row r="12" spans="1:30" s="37" customFormat="1" ht="15" customHeight="1" x14ac:dyDescent="0.35">
      <c r="A12" s="25" t="s">
        <v>128</v>
      </c>
      <c r="B12" s="25" t="s">
        <v>129</v>
      </c>
      <c r="C12" s="48">
        <f t="shared" si="0"/>
        <v>1640000</v>
      </c>
      <c r="D12" s="49"/>
      <c r="E12" s="49">
        <v>240000</v>
      </c>
      <c r="F12" s="49">
        <v>90000</v>
      </c>
      <c r="G12" s="49">
        <v>310000</v>
      </c>
      <c r="H12" s="49"/>
      <c r="I12" s="49">
        <v>50000</v>
      </c>
      <c r="J12" s="49"/>
      <c r="K12" s="49"/>
      <c r="L12" s="49"/>
      <c r="M12" s="49">
        <v>200000</v>
      </c>
      <c r="N12" s="49"/>
      <c r="O12" s="49"/>
      <c r="P12" s="49"/>
      <c r="Q12" s="49"/>
      <c r="R12" s="49"/>
      <c r="S12" s="49"/>
      <c r="T12" s="49"/>
      <c r="U12" s="49"/>
      <c r="V12" s="50">
        <v>350000</v>
      </c>
      <c r="W12" s="49"/>
      <c r="X12" s="49">
        <v>100000</v>
      </c>
      <c r="Y12" s="49"/>
      <c r="Z12" s="49">
        <v>150000</v>
      </c>
      <c r="AA12" s="49">
        <v>150000</v>
      </c>
      <c r="AB12" s="49"/>
      <c r="AC12" s="49"/>
      <c r="AD12" s="49"/>
    </row>
    <row r="13" spans="1:30" s="37" customFormat="1" ht="15" customHeight="1" x14ac:dyDescent="0.35">
      <c r="A13" s="25" t="s">
        <v>130</v>
      </c>
      <c r="B13" s="25" t="s">
        <v>131</v>
      </c>
      <c r="C13" s="48">
        <f t="shared" si="0"/>
        <v>2169720</v>
      </c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>
        <v>1200000</v>
      </c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>
        <v>969720</v>
      </c>
      <c r="AB13" s="49"/>
      <c r="AC13" s="49"/>
      <c r="AD13" s="49"/>
    </row>
    <row r="14" spans="1:30" s="37" customFormat="1" ht="15" customHeight="1" x14ac:dyDescent="0.35">
      <c r="A14" s="25" t="s">
        <v>132</v>
      </c>
      <c r="B14" s="25" t="s">
        <v>133</v>
      </c>
      <c r="C14" s="48">
        <f t="shared" si="0"/>
        <v>79413385.06400001</v>
      </c>
      <c r="D14" s="49"/>
      <c r="E14" s="49">
        <v>420000</v>
      </c>
      <c r="F14" s="49"/>
      <c r="G14" s="49"/>
      <c r="H14" s="50">
        <v>100000</v>
      </c>
      <c r="I14" s="49">
        <v>20000</v>
      </c>
      <c r="J14" s="49">
        <v>560000</v>
      </c>
      <c r="K14" s="49"/>
      <c r="L14" s="49"/>
      <c r="M14" s="49"/>
      <c r="N14" s="49"/>
      <c r="O14" s="49">
        <v>9030000</v>
      </c>
      <c r="P14" s="49">
        <v>46584445.244000003</v>
      </c>
      <c r="Q14" s="49"/>
      <c r="R14" s="49">
        <v>710000</v>
      </c>
      <c r="S14" s="49"/>
      <c r="T14" s="49">
        <v>15061819.82</v>
      </c>
      <c r="U14" s="49"/>
      <c r="V14" s="49">
        <v>100000</v>
      </c>
      <c r="W14" s="49"/>
      <c r="X14" s="49">
        <v>50000</v>
      </c>
      <c r="Y14" s="49"/>
      <c r="Z14" s="49">
        <v>60000</v>
      </c>
      <c r="AA14" s="49">
        <v>2322520</v>
      </c>
      <c r="AB14" s="49">
        <v>1560000</v>
      </c>
      <c r="AC14" s="50">
        <v>450000</v>
      </c>
      <c r="AD14" s="49">
        <v>2384600</v>
      </c>
    </row>
    <row r="15" spans="1:30" s="37" customFormat="1" ht="15" customHeight="1" x14ac:dyDescent="0.35">
      <c r="A15" s="25" t="s">
        <v>134</v>
      </c>
      <c r="B15" s="25" t="s">
        <v>135</v>
      </c>
      <c r="C15" s="48">
        <f t="shared" si="0"/>
        <v>43948646.770000003</v>
      </c>
      <c r="D15" s="49">
        <v>717600</v>
      </c>
      <c r="E15" s="49">
        <v>5976171.2400000002</v>
      </c>
      <c r="F15" s="49">
        <v>10372000</v>
      </c>
      <c r="G15" s="49">
        <v>10000</v>
      </c>
      <c r="H15" s="50">
        <v>2587200</v>
      </c>
      <c r="I15" s="49"/>
      <c r="J15" s="49"/>
      <c r="K15" s="49"/>
      <c r="L15" s="49"/>
      <c r="M15" s="49"/>
      <c r="N15" s="49"/>
      <c r="O15" s="49">
        <v>4633142.84</v>
      </c>
      <c r="P15" s="49">
        <v>511142.84</v>
      </c>
      <c r="Q15" s="49">
        <v>4890000</v>
      </c>
      <c r="R15" s="49"/>
      <c r="S15" s="49"/>
      <c r="T15" s="49">
        <v>1509600</v>
      </c>
      <c r="U15" s="50">
        <f>480000+190000</f>
        <v>670000</v>
      </c>
      <c r="V15" s="50">
        <v>2944562.88</v>
      </c>
      <c r="W15" s="49"/>
      <c r="X15" s="49">
        <v>867514.94</v>
      </c>
      <c r="Y15" s="49">
        <v>547800</v>
      </c>
      <c r="Z15" s="49">
        <v>979200</v>
      </c>
      <c r="AA15" s="49">
        <v>6732712.0300000003</v>
      </c>
      <c r="AB15" s="49"/>
      <c r="AC15" s="49"/>
      <c r="AD15" s="49"/>
    </row>
    <row r="16" spans="1:30" s="37" customFormat="1" ht="15" customHeight="1" x14ac:dyDescent="0.35">
      <c r="A16" s="25" t="s">
        <v>136</v>
      </c>
      <c r="B16" s="25" t="s">
        <v>137</v>
      </c>
      <c r="C16" s="48">
        <f t="shared" si="0"/>
        <v>10389552.640000001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>
        <v>439840</v>
      </c>
      <c r="U16" s="49"/>
      <c r="V16" s="50">
        <v>9949712.6400000006</v>
      </c>
      <c r="W16" s="49"/>
      <c r="X16" s="49"/>
      <c r="Y16" s="49"/>
      <c r="Z16" s="49"/>
      <c r="AA16" s="49"/>
      <c r="AB16" s="49"/>
      <c r="AC16" s="49"/>
      <c r="AD16" s="49"/>
    </row>
    <row r="17" spans="1:30" s="37" customFormat="1" ht="15" customHeight="1" x14ac:dyDescent="0.35">
      <c r="A17" s="25" t="s">
        <v>138</v>
      </c>
      <c r="B17" s="25" t="s">
        <v>139</v>
      </c>
      <c r="C17" s="48">
        <f t="shared" si="0"/>
        <v>96190100.640000001</v>
      </c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>
        <v>96190100.640000001</v>
      </c>
    </row>
    <row r="18" spans="1:30" s="37" customFormat="1" ht="15" customHeight="1" x14ac:dyDescent="0.35">
      <c r="A18" s="25" t="s">
        <v>140</v>
      </c>
      <c r="B18" s="25" t="s">
        <v>141</v>
      </c>
      <c r="C18" s="48">
        <f t="shared" si="0"/>
        <v>18546574</v>
      </c>
      <c r="D18" s="49"/>
      <c r="E18" s="49">
        <v>484000</v>
      </c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>
        <v>18062574</v>
      </c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</row>
    <row r="19" spans="1:30" s="37" customFormat="1" ht="15" customHeight="1" x14ac:dyDescent="0.35">
      <c r="A19" s="25" t="s">
        <v>142</v>
      </c>
      <c r="B19" s="25" t="s">
        <v>143</v>
      </c>
      <c r="C19" s="48">
        <f t="shared" si="0"/>
        <v>17706127.98</v>
      </c>
      <c r="D19" s="49"/>
      <c r="E19" s="49"/>
      <c r="F19" s="49"/>
      <c r="G19" s="49">
        <v>450000</v>
      </c>
      <c r="H19" s="49"/>
      <c r="I19" s="49"/>
      <c r="J19" s="49"/>
      <c r="K19" s="49"/>
      <c r="L19" s="49"/>
      <c r="M19" s="49"/>
      <c r="N19" s="49"/>
      <c r="O19" s="49"/>
      <c r="P19" s="49">
        <f>19392384.98-2136257</f>
        <v>17256127.98</v>
      </c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</row>
    <row r="20" spans="1:30" s="37" customFormat="1" ht="15" customHeight="1" x14ac:dyDescent="0.35">
      <c r="A20" s="25" t="s">
        <v>144</v>
      </c>
      <c r="B20" s="25" t="s">
        <v>145</v>
      </c>
      <c r="C20" s="48">
        <f t="shared" si="0"/>
        <v>40000</v>
      </c>
      <c r="D20" s="49"/>
      <c r="E20" s="49"/>
      <c r="F20" s="49"/>
      <c r="G20" s="49">
        <v>40000</v>
      </c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</row>
    <row r="21" spans="1:30" s="37" customFormat="1" ht="15" customHeight="1" x14ac:dyDescent="0.35">
      <c r="A21" s="25" t="s">
        <v>146</v>
      </c>
      <c r="B21" s="25" t="s">
        <v>147</v>
      </c>
      <c r="C21" s="48">
        <f t="shared" si="0"/>
        <v>40000</v>
      </c>
      <c r="D21" s="49"/>
      <c r="E21" s="49"/>
      <c r="F21" s="49"/>
      <c r="G21" s="49">
        <v>40000</v>
      </c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</row>
    <row r="22" spans="1:30" ht="15" customHeight="1" x14ac:dyDescent="0.35">
      <c r="A22" s="25" t="s">
        <v>148</v>
      </c>
      <c r="B22" s="25" t="s">
        <v>149</v>
      </c>
      <c r="C22" s="48">
        <f t="shared" si="0"/>
        <v>1300000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>
        <v>1300000</v>
      </c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</row>
    <row r="23" spans="1:30" ht="15" customHeight="1" x14ac:dyDescent="0.35">
      <c r="A23" s="25" t="s">
        <v>150</v>
      </c>
      <c r="B23" s="25" t="s">
        <v>151</v>
      </c>
      <c r="C23" s="48">
        <f t="shared" si="0"/>
        <v>12739760</v>
      </c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>
        <v>1760000</v>
      </c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50">
        <v>6032000</v>
      </c>
      <c r="AD23" s="49">
        <v>4947760</v>
      </c>
    </row>
    <row r="24" spans="1:30" ht="15" customHeight="1" x14ac:dyDescent="0.35">
      <c r="A24" s="25" t="s">
        <v>152</v>
      </c>
      <c r="B24" s="25" t="s">
        <v>153</v>
      </c>
      <c r="C24" s="48">
        <f t="shared" si="0"/>
        <v>3702620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>
        <v>800000</v>
      </c>
      <c r="Q24" s="49"/>
      <c r="R24" s="49"/>
      <c r="S24" s="49"/>
      <c r="T24" s="49">
        <v>1513920</v>
      </c>
      <c r="U24" s="49"/>
      <c r="V24" s="49"/>
      <c r="W24" s="49"/>
      <c r="X24" s="49"/>
      <c r="Y24" s="49"/>
      <c r="Z24" s="49"/>
      <c r="AA24" s="49">
        <v>1388700</v>
      </c>
      <c r="AB24" s="49"/>
      <c r="AC24" s="49"/>
      <c r="AD24" s="49"/>
    </row>
    <row r="25" spans="1:30" ht="15" customHeight="1" x14ac:dyDescent="0.35">
      <c r="A25" s="25" t="s">
        <v>154</v>
      </c>
      <c r="B25" s="25" t="s">
        <v>155</v>
      </c>
      <c r="C25" s="48">
        <f t="shared" si="0"/>
        <v>3681790.46</v>
      </c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>
        <v>3681790.46</v>
      </c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</row>
    <row r="26" spans="1:30" ht="15" customHeight="1" x14ac:dyDescent="0.35">
      <c r="A26" s="25" t="s">
        <v>156</v>
      </c>
      <c r="B26" s="25" t="s">
        <v>157</v>
      </c>
      <c r="C26" s="48">
        <f t="shared" si="0"/>
        <v>4986000</v>
      </c>
      <c r="D26" s="49"/>
      <c r="E26" s="49"/>
      <c r="F26" s="49"/>
      <c r="G26" s="49"/>
      <c r="H26" s="49"/>
      <c r="I26" s="49"/>
      <c r="J26" s="49">
        <v>1560000</v>
      </c>
      <c r="K26" s="49">
        <v>1756000</v>
      </c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>
        <v>770000</v>
      </c>
      <c r="X26" s="49"/>
      <c r="Y26" s="49"/>
      <c r="Z26" s="49"/>
      <c r="AA26" s="49"/>
      <c r="AB26" s="49">
        <v>900000</v>
      </c>
      <c r="AC26" s="49"/>
      <c r="AD26" s="49"/>
    </row>
    <row r="27" spans="1:30" ht="15" customHeight="1" x14ac:dyDescent="0.35">
      <c r="A27" s="25" t="s">
        <v>158</v>
      </c>
      <c r="B27" s="25" t="s">
        <v>159</v>
      </c>
      <c r="C27" s="48">
        <f t="shared" si="0"/>
        <v>201000</v>
      </c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>
        <v>201000</v>
      </c>
      <c r="X27" s="49"/>
      <c r="Y27" s="49"/>
      <c r="Z27" s="49"/>
      <c r="AA27" s="49"/>
      <c r="AB27" s="49"/>
      <c r="AC27" s="49"/>
      <c r="AD27" s="49"/>
    </row>
    <row r="28" spans="1:30" ht="15" customHeight="1" x14ac:dyDescent="0.35">
      <c r="A28" s="25" t="s">
        <v>160</v>
      </c>
      <c r="B28" s="25" t="s">
        <v>161</v>
      </c>
      <c r="C28" s="48">
        <f t="shared" si="0"/>
        <v>38440242.590000004</v>
      </c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>
        <v>4572550</v>
      </c>
      <c r="P28" s="49"/>
      <c r="Q28" s="49"/>
      <c r="R28" s="49"/>
      <c r="S28" s="49"/>
      <c r="T28" s="49"/>
      <c r="U28" s="49"/>
      <c r="V28" s="49"/>
      <c r="W28" s="49">
        <v>1200000</v>
      </c>
      <c r="X28" s="49"/>
      <c r="Y28" s="49"/>
      <c r="Z28" s="49"/>
      <c r="AA28" s="49">
        <v>19698303.600000001</v>
      </c>
      <c r="AB28" s="49"/>
      <c r="AC28" s="49"/>
      <c r="AD28" s="49">
        <v>12969388.99</v>
      </c>
    </row>
    <row r="29" spans="1:30" ht="15" customHeight="1" x14ac:dyDescent="0.35">
      <c r="A29" s="25" t="s">
        <v>162</v>
      </c>
      <c r="B29" s="25" t="s">
        <v>163</v>
      </c>
      <c r="C29" s="48">
        <f t="shared" si="0"/>
        <v>579849</v>
      </c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>
        <v>579849</v>
      </c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</row>
    <row r="30" spans="1:30" ht="15" customHeight="1" x14ac:dyDescent="0.35">
      <c r="A30" s="25" t="s">
        <v>164</v>
      </c>
      <c r="B30" s="25" t="s">
        <v>165</v>
      </c>
      <c r="C30" s="48">
        <f t="shared" si="0"/>
        <v>8015072</v>
      </c>
      <c r="D30" s="49"/>
      <c r="E30" s="49"/>
      <c r="F30" s="49"/>
      <c r="G30" s="49">
        <v>300000</v>
      </c>
      <c r="H30" s="49"/>
      <c r="I30" s="49"/>
      <c r="J30" s="49">
        <v>10000</v>
      </c>
      <c r="K30" s="49">
        <v>154500</v>
      </c>
      <c r="L30" s="49"/>
      <c r="M30" s="49"/>
      <c r="N30" s="49">
        <v>200000</v>
      </c>
      <c r="O30" s="49">
        <v>900000</v>
      </c>
      <c r="P30" s="49">
        <v>1100000</v>
      </c>
      <c r="Q30" s="49"/>
      <c r="R30" s="49"/>
      <c r="S30" s="49"/>
      <c r="T30" s="49">
        <v>494628</v>
      </c>
      <c r="U30" s="49">
        <v>1837404</v>
      </c>
      <c r="V30" s="49">
        <v>2040040</v>
      </c>
      <c r="W30" s="49"/>
      <c r="X30" s="49"/>
      <c r="Y30" s="49"/>
      <c r="Z30" s="49"/>
      <c r="AA30" s="49">
        <v>978500</v>
      </c>
      <c r="AB30" s="49"/>
      <c r="AC30" s="49"/>
      <c r="AD30" s="49"/>
    </row>
    <row r="31" spans="1:30" ht="15" customHeight="1" x14ac:dyDescent="0.35">
      <c r="A31" s="25" t="s">
        <v>166</v>
      </c>
      <c r="B31" s="25" t="s">
        <v>167</v>
      </c>
      <c r="C31" s="48">
        <f t="shared" si="0"/>
        <v>10945983.6</v>
      </c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>
        <v>9865983.5999999996</v>
      </c>
      <c r="T31" s="49"/>
      <c r="U31" s="49"/>
      <c r="V31" s="49">
        <v>720000</v>
      </c>
      <c r="W31" s="49"/>
      <c r="X31" s="49"/>
      <c r="Y31" s="49"/>
      <c r="Z31" s="49"/>
      <c r="AA31" s="49">
        <v>360000</v>
      </c>
      <c r="AB31" s="49"/>
      <c r="AC31" s="49"/>
      <c r="AD31" s="49"/>
    </row>
    <row r="32" spans="1:30" ht="15" customHeight="1" x14ac:dyDescent="0.35">
      <c r="A32" s="25" t="s">
        <v>168</v>
      </c>
      <c r="B32" s="25" t="s">
        <v>169</v>
      </c>
      <c r="C32" s="48">
        <f t="shared" si="0"/>
        <v>33435500</v>
      </c>
      <c r="D32" s="49"/>
      <c r="E32" s="49"/>
      <c r="F32" s="49"/>
      <c r="G32" s="50">
        <v>3810000</v>
      </c>
      <c r="H32" s="49"/>
      <c r="I32" s="49"/>
      <c r="J32" s="49"/>
      <c r="K32" s="49"/>
      <c r="L32" s="49"/>
      <c r="M32" s="49"/>
      <c r="N32" s="49"/>
      <c r="O32" s="49"/>
      <c r="P32" s="49">
        <v>28825500</v>
      </c>
      <c r="Q32" s="49"/>
      <c r="R32" s="49"/>
      <c r="S32" s="49"/>
      <c r="T32" s="49"/>
      <c r="U32" s="49"/>
      <c r="V32" s="49"/>
      <c r="W32" s="49"/>
      <c r="X32" s="49"/>
      <c r="Y32" s="49">
        <v>800000</v>
      </c>
      <c r="Z32" s="49"/>
      <c r="AA32" s="49"/>
      <c r="AB32" s="49"/>
      <c r="AC32" s="49"/>
      <c r="AD32" s="49"/>
    </row>
    <row r="33" spans="1:30" ht="15" customHeight="1" x14ac:dyDescent="0.35">
      <c r="A33" s="25" t="s">
        <v>170</v>
      </c>
      <c r="B33" s="25" t="s">
        <v>171</v>
      </c>
      <c r="C33" s="48">
        <f t="shared" si="0"/>
        <v>5500000</v>
      </c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>
        <v>5500000</v>
      </c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</row>
    <row r="34" spans="1:30" ht="15" customHeight="1" x14ac:dyDescent="0.35">
      <c r="A34" s="25" t="s">
        <v>172</v>
      </c>
      <c r="B34" s="25" t="s">
        <v>173</v>
      </c>
      <c r="C34" s="48">
        <f t="shared" si="0"/>
        <v>3040000</v>
      </c>
      <c r="D34" s="49"/>
      <c r="E34" s="49"/>
      <c r="F34" s="49"/>
      <c r="G34" s="49">
        <v>450000</v>
      </c>
      <c r="H34" s="49"/>
      <c r="I34" s="49"/>
      <c r="J34" s="49"/>
      <c r="K34" s="49"/>
      <c r="L34" s="49"/>
      <c r="M34" s="49"/>
      <c r="N34" s="49"/>
      <c r="O34" s="49"/>
      <c r="P34" s="49">
        <v>2380000</v>
      </c>
      <c r="Q34" s="49"/>
      <c r="R34" s="49"/>
      <c r="S34" s="49"/>
      <c r="T34" s="49"/>
      <c r="U34" s="49"/>
      <c r="V34" s="49">
        <v>20000</v>
      </c>
      <c r="W34" s="49"/>
      <c r="X34" s="49">
        <v>190000</v>
      </c>
      <c r="Y34" s="49"/>
      <c r="Z34" s="49"/>
      <c r="AA34" s="49"/>
      <c r="AB34" s="49"/>
      <c r="AC34" s="49"/>
      <c r="AD34" s="49"/>
    </row>
    <row r="35" spans="1:30" ht="15" customHeight="1" x14ac:dyDescent="0.35">
      <c r="A35" s="25" t="s">
        <v>174</v>
      </c>
      <c r="B35" s="25" t="s">
        <v>175</v>
      </c>
      <c r="C35" s="48">
        <f t="shared" si="0"/>
        <v>386600</v>
      </c>
      <c r="D35" s="49"/>
      <c r="E35" s="49"/>
      <c r="F35" s="49"/>
      <c r="G35" s="49"/>
      <c r="H35" s="49"/>
      <c r="I35" s="49"/>
      <c r="J35" s="49">
        <v>340000</v>
      </c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>
        <v>46600</v>
      </c>
      <c r="X35" s="49"/>
      <c r="Y35" s="49"/>
      <c r="Z35" s="49"/>
      <c r="AA35" s="49"/>
      <c r="AB35" s="49"/>
      <c r="AC35" s="49"/>
      <c r="AD35" s="49"/>
    </row>
    <row r="36" spans="1:30" ht="15" customHeight="1" x14ac:dyDescent="0.35">
      <c r="A36" s="25" t="s">
        <v>176</v>
      </c>
      <c r="B36" s="25" t="s">
        <v>177</v>
      </c>
      <c r="C36" s="48">
        <f t="shared" si="0"/>
        <v>33705000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>
        <v>33405000</v>
      </c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>
        <v>300000</v>
      </c>
      <c r="AB36" s="49"/>
      <c r="AC36" s="49"/>
      <c r="AD36" s="49"/>
    </row>
    <row r="37" spans="1:30" ht="15" customHeight="1" x14ac:dyDescent="0.35">
      <c r="A37" s="25" t="s">
        <v>178</v>
      </c>
      <c r="B37" s="25" t="s">
        <v>179</v>
      </c>
      <c r="C37" s="48">
        <f t="shared" si="0"/>
        <v>26756000</v>
      </c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>
        <v>4380000</v>
      </c>
      <c r="O37" s="49">
        <v>21080000</v>
      </c>
      <c r="P37" s="49">
        <v>250000</v>
      </c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>
        <v>1046000</v>
      </c>
      <c r="AB37" s="49"/>
      <c r="AC37" s="49"/>
      <c r="AD37" s="49"/>
    </row>
    <row r="38" spans="1:30" ht="15" customHeight="1" x14ac:dyDescent="0.35">
      <c r="A38" s="25" t="s">
        <v>180</v>
      </c>
      <c r="B38" s="25" t="s">
        <v>181</v>
      </c>
      <c r="C38" s="48">
        <f t="shared" si="0"/>
        <v>75318</v>
      </c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>
        <v>75318</v>
      </c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</row>
    <row r="39" spans="1:30" ht="15" customHeight="1" x14ac:dyDescent="0.35">
      <c r="A39" s="25" t="s">
        <v>182</v>
      </c>
      <c r="B39" s="25" t="s">
        <v>183</v>
      </c>
      <c r="C39" s="48">
        <f t="shared" si="0"/>
        <v>12954626</v>
      </c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>
        <v>12954626</v>
      </c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</row>
    <row r="40" spans="1:30" ht="15" customHeight="1" x14ac:dyDescent="0.35">
      <c r="A40" s="25" t="s">
        <v>184</v>
      </c>
      <c r="B40" s="25" t="s">
        <v>185</v>
      </c>
      <c r="C40" s="48">
        <v>2136257</v>
      </c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51">
        <v>2136257</v>
      </c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</row>
    <row r="41" spans="1:30" ht="15" customHeight="1" x14ac:dyDescent="0.35">
      <c r="A41" s="25" t="s">
        <v>186</v>
      </c>
      <c r="B41" s="25" t="s">
        <v>187</v>
      </c>
      <c r="C41" s="48">
        <f>+SUM(D41:AD41)</f>
        <v>410000</v>
      </c>
      <c r="D41" s="49"/>
      <c r="E41" s="49"/>
      <c r="F41" s="49"/>
      <c r="G41" s="49">
        <v>400000</v>
      </c>
      <c r="H41" s="49"/>
      <c r="I41" s="49"/>
      <c r="J41" s="49"/>
      <c r="K41" s="49"/>
      <c r="L41" s="49"/>
      <c r="M41" s="49"/>
      <c r="N41" s="49"/>
      <c r="O41" s="49"/>
      <c r="P41" s="49">
        <v>10000</v>
      </c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</row>
    <row r="42" spans="1:30" ht="15" customHeight="1" x14ac:dyDescent="0.35">
      <c r="A42" s="25" t="s">
        <v>188</v>
      </c>
      <c r="B42" s="25" t="s">
        <v>189</v>
      </c>
      <c r="C42" s="48">
        <f>+SUM(D42:AD42)</f>
        <v>365768220.38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>
        <f>379768220.38-14000000</f>
        <v>365768220.38</v>
      </c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</row>
    <row r="43" spans="1:30" ht="15" customHeight="1" x14ac:dyDescent="0.35">
      <c r="A43" s="25" t="s">
        <v>190</v>
      </c>
      <c r="B43" s="25" t="s">
        <v>191</v>
      </c>
      <c r="C43" s="48">
        <f>+SUM(D43:AD43)</f>
        <v>191984234.94331801</v>
      </c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>
        <v>191984234.94331801</v>
      </c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</row>
    <row r="44" spans="1:30" ht="15" customHeight="1" x14ac:dyDescent="0.35">
      <c r="A44" s="25" t="s">
        <v>100</v>
      </c>
      <c r="B44" s="25" t="s">
        <v>101</v>
      </c>
      <c r="C44" s="48">
        <f>+SUM(D44:AD44)</f>
        <v>59856446.07</v>
      </c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>
        <f>64856446.07-5000000</f>
        <v>59856446.07</v>
      </c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</row>
    <row r="45" spans="1:30" ht="15.5" customHeight="1" x14ac:dyDescent="0.35">
      <c r="A45" s="25" t="s">
        <v>102</v>
      </c>
      <c r="B45" s="25" t="s">
        <v>103</v>
      </c>
      <c r="C45" s="48">
        <f>+SUM(D45:AD45)</f>
        <v>14989878.178571399</v>
      </c>
      <c r="D45" s="49"/>
      <c r="E45" s="49">
        <v>220000</v>
      </c>
      <c r="F45" s="49">
        <v>80000</v>
      </c>
      <c r="G45" s="49"/>
      <c r="H45" s="49"/>
      <c r="I45" s="49">
        <v>100000</v>
      </c>
      <c r="J45" s="49"/>
      <c r="K45" s="49">
        <v>450000</v>
      </c>
      <c r="L45" s="49"/>
      <c r="M45" s="49"/>
      <c r="N45" s="49"/>
      <c r="O45" s="49"/>
      <c r="P45" s="49">
        <v>500000</v>
      </c>
      <c r="Q45" s="49"/>
      <c r="R45" s="49">
        <v>11639878.178571399</v>
      </c>
      <c r="S45" s="49"/>
      <c r="T45" s="49"/>
      <c r="U45" s="49"/>
      <c r="V45" s="50">
        <v>700000</v>
      </c>
      <c r="W45" s="49"/>
      <c r="X45" s="49">
        <v>300000</v>
      </c>
      <c r="Y45" s="49"/>
      <c r="Z45" s="49">
        <v>300000</v>
      </c>
      <c r="AA45" s="49"/>
      <c r="AB45" s="49"/>
      <c r="AC45" s="49"/>
      <c r="AD45" s="49">
        <v>700000</v>
      </c>
    </row>
    <row r="46" spans="1:30" ht="15.5" customHeight="1" x14ac:dyDescent="0.35">
      <c r="A46" s="116" t="s">
        <v>68</v>
      </c>
      <c r="B46" s="117"/>
      <c r="C46" s="52">
        <f t="shared" ref="C46:AD46" si="1">+SUM(C2:C45)</f>
        <v>1790832424.6147466</v>
      </c>
      <c r="D46" s="52">
        <f t="shared" si="1"/>
        <v>717600</v>
      </c>
      <c r="E46" s="52">
        <f t="shared" si="1"/>
        <v>140151371.24000001</v>
      </c>
      <c r="F46" s="52">
        <f t="shared" si="1"/>
        <v>199427617.5</v>
      </c>
      <c r="G46" s="52">
        <f t="shared" si="1"/>
        <v>5810000</v>
      </c>
      <c r="H46" s="52">
        <f t="shared" si="1"/>
        <v>8480000</v>
      </c>
      <c r="I46" s="52">
        <f t="shared" si="1"/>
        <v>290000</v>
      </c>
      <c r="J46" s="52">
        <f t="shared" si="1"/>
        <v>2470000</v>
      </c>
      <c r="K46" s="52">
        <f t="shared" si="1"/>
        <v>2360500</v>
      </c>
      <c r="L46" s="52">
        <f t="shared" si="1"/>
        <v>258824107.59599999</v>
      </c>
      <c r="M46" s="52">
        <f t="shared" si="1"/>
        <v>38858527.302857101</v>
      </c>
      <c r="N46" s="52">
        <f t="shared" si="1"/>
        <v>4580000</v>
      </c>
      <c r="O46" s="52">
        <f t="shared" si="1"/>
        <v>76820692.840000004</v>
      </c>
      <c r="P46" s="52">
        <f t="shared" si="1"/>
        <v>156457630.52399999</v>
      </c>
      <c r="Q46" s="52">
        <f t="shared" si="1"/>
        <v>4890000</v>
      </c>
      <c r="R46" s="52">
        <f t="shared" si="1"/>
        <v>629958779.5718894</v>
      </c>
      <c r="S46" s="52">
        <f t="shared" si="1"/>
        <v>9865983.5999999996</v>
      </c>
      <c r="T46" s="52">
        <f t="shared" si="1"/>
        <v>21359807.82</v>
      </c>
      <c r="U46" s="52">
        <f t="shared" si="1"/>
        <v>2507404</v>
      </c>
      <c r="V46" s="52">
        <f t="shared" si="1"/>
        <v>16824315.52</v>
      </c>
      <c r="W46" s="52">
        <f t="shared" si="1"/>
        <v>2217600</v>
      </c>
      <c r="X46" s="52">
        <f t="shared" si="1"/>
        <v>30268951.84</v>
      </c>
      <c r="Y46" s="52">
        <f t="shared" si="1"/>
        <v>2422030</v>
      </c>
      <c r="Z46" s="52">
        <f t="shared" si="1"/>
        <v>1489200</v>
      </c>
      <c r="AA46" s="52">
        <f t="shared" si="1"/>
        <v>33946455.630000003</v>
      </c>
      <c r="AB46" s="52">
        <f t="shared" si="1"/>
        <v>2460000</v>
      </c>
      <c r="AC46" s="52">
        <f t="shared" si="1"/>
        <v>20182000</v>
      </c>
      <c r="AD46" s="52">
        <f t="shared" si="1"/>
        <v>117191849.63</v>
      </c>
    </row>
  </sheetData>
  <mergeCells count="1">
    <mergeCell ref="A46:B46"/>
  </mergeCells>
  <pageMargins left="0.7" right="0.7" top="0.75" bottom="0.75" header="0.511811023622047" footer="0.511811023622047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806000"/>
  </sheetPr>
  <dimension ref="A2:Q24"/>
  <sheetViews>
    <sheetView showGridLines="0" view="pageBreakPreview" topLeftCell="B4" zoomScaleNormal="100" zoomScaleSheetLayoutView="100" workbookViewId="0"/>
  </sheetViews>
  <sheetFormatPr baseColWidth="10" defaultColWidth="11.453125" defaultRowHeight="15" customHeight="1" x14ac:dyDescent="0.35"/>
  <cols>
    <col min="1" max="1" width="6.7265625" style="70" customWidth="1"/>
    <col min="2" max="2" width="44.26953125" style="70" customWidth="1"/>
    <col min="3" max="3" width="1.453125" style="70" customWidth="1"/>
    <col min="4" max="4" width="16.26953125" style="70" customWidth="1"/>
    <col min="5" max="5" width="18.26953125" style="70" hidden="1" customWidth="1"/>
    <col min="6" max="6" width="20.1796875" style="70" customWidth="1"/>
    <col min="7" max="7" width="20.54296875" style="70" customWidth="1"/>
    <col min="8" max="8" width="21.1796875" style="70" customWidth="1"/>
    <col min="9" max="9" width="24.54296875" style="70" customWidth="1"/>
    <col min="10" max="10" width="24" style="70" customWidth="1"/>
    <col min="11" max="13" width="11.453125" style="70" customWidth="1"/>
    <col min="14" max="14" width="13.1796875" style="70" customWidth="1"/>
    <col min="15" max="16" width="11.453125" style="70" customWidth="1"/>
    <col min="17" max="17" width="11.7265625" style="70" customWidth="1"/>
    <col min="18" max="24" width="11.453125" style="70" customWidth="1"/>
    <col min="25" max="16384" width="11.453125" style="70"/>
  </cols>
  <sheetData>
    <row r="2" spans="1:17" ht="15" customHeight="1" x14ac:dyDescent="0.35">
      <c r="I2" s="34"/>
    </row>
    <row r="3" spans="1:17" ht="15" customHeight="1" x14ac:dyDescent="0.35">
      <c r="I3" s="120" t="s">
        <v>1</v>
      </c>
      <c r="J3" s="107"/>
      <c r="K3" s="74"/>
    </row>
    <row r="4" spans="1:17" ht="15" customHeight="1" x14ac:dyDescent="0.35">
      <c r="I4" s="107"/>
      <c r="J4" s="107"/>
      <c r="K4" s="74"/>
    </row>
    <row r="5" spans="1:17" ht="15" customHeight="1" x14ac:dyDescent="0.35">
      <c r="D5" s="125" t="s">
        <v>192</v>
      </c>
      <c r="E5" s="107"/>
      <c r="F5" s="107"/>
      <c r="G5" s="107"/>
      <c r="H5" s="107"/>
      <c r="I5" s="107"/>
      <c r="J5" s="107"/>
      <c r="K5" s="74"/>
    </row>
    <row r="6" spans="1:17" ht="15" customHeight="1" x14ac:dyDescent="0.35">
      <c r="D6" s="107"/>
      <c r="E6" s="107"/>
      <c r="F6" s="107"/>
      <c r="G6" s="107"/>
      <c r="H6" s="107"/>
      <c r="I6" s="107"/>
      <c r="J6" s="107"/>
      <c r="K6" s="74"/>
    </row>
    <row r="7" spans="1:17" ht="17" customHeight="1" x14ac:dyDescent="0.35">
      <c r="A7" s="3" t="s">
        <v>2</v>
      </c>
      <c r="B7" s="35" t="s">
        <v>3</v>
      </c>
      <c r="C7" s="35"/>
      <c r="I7" s="3" t="s">
        <v>4</v>
      </c>
      <c r="J7" s="75" t="s">
        <v>44</v>
      </c>
    </row>
    <row r="8" spans="1:17" thickBot="1" x14ac:dyDescent="0.4">
      <c r="B8" s="4"/>
      <c r="J8" s="4" t="s">
        <v>193</v>
      </c>
    </row>
    <row r="9" spans="1:17" ht="31.5" customHeight="1" thickBot="1" x14ac:dyDescent="0.4">
      <c r="A9" s="110" t="s">
        <v>21</v>
      </c>
      <c r="B9" s="111"/>
      <c r="C9" s="5"/>
      <c r="D9" s="118" t="s">
        <v>51</v>
      </c>
      <c r="E9" s="126" t="s">
        <v>9</v>
      </c>
      <c r="F9" s="105"/>
      <c r="G9" s="118" t="s">
        <v>194</v>
      </c>
      <c r="H9" s="118" t="s">
        <v>195</v>
      </c>
      <c r="I9" s="118" t="s">
        <v>196</v>
      </c>
      <c r="J9" s="121" t="s">
        <v>50</v>
      </c>
    </row>
    <row r="10" spans="1:17" ht="31.5" customHeight="1" thickBot="1" x14ac:dyDescent="0.4">
      <c r="A10" s="112"/>
      <c r="B10" s="103"/>
      <c r="C10" s="5"/>
      <c r="D10" s="119"/>
      <c r="E10" s="73" t="s">
        <v>197</v>
      </c>
      <c r="F10" s="73" t="s">
        <v>198</v>
      </c>
      <c r="G10" s="119"/>
      <c r="H10" s="119"/>
      <c r="I10" s="119"/>
      <c r="J10" s="119"/>
    </row>
    <row r="11" spans="1:17" s="17" customFormat="1" ht="69" customHeight="1" thickBot="1" x14ac:dyDescent="0.4">
      <c r="A11" s="123" t="s">
        <v>199</v>
      </c>
      <c r="B11" s="18" t="s">
        <v>200</v>
      </c>
      <c r="C11" s="6"/>
      <c r="D11" s="7">
        <v>28721436.899999999</v>
      </c>
      <c r="E11" s="7"/>
      <c r="F11" s="7"/>
      <c r="G11" s="7">
        <v>21385985.260000002</v>
      </c>
      <c r="H11" s="7"/>
      <c r="I11" s="7"/>
      <c r="J11" s="8">
        <f t="shared" ref="J11:J20" si="0">D11-F11-G11-H11-I11</f>
        <v>7335451.6399999969</v>
      </c>
    </row>
    <row r="12" spans="1:17" s="17" customFormat="1" ht="33" customHeight="1" thickBot="1" x14ac:dyDescent="0.4">
      <c r="A12" s="124"/>
      <c r="B12" s="19" t="s">
        <v>201</v>
      </c>
      <c r="C12" s="6"/>
      <c r="D12" s="7">
        <v>70000</v>
      </c>
      <c r="E12" s="7"/>
      <c r="F12" s="7"/>
      <c r="G12" s="7"/>
      <c r="H12" s="7"/>
      <c r="I12" s="7"/>
      <c r="J12" s="8">
        <f t="shared" si="0"/>
        <v>70000</v>
      </c>
    </row>
    <row r="13" spans="1:17" s="17" customFormat="1" ht="33" customHeight="1" thickBot="1" x14ac:dyDescent="0.4">
      <c r="A13" s="124"/>
      <c r="B13" s="19" t="s">
        <v>202</v>
      </c>
      <c r="C13" s="6"/>
      <c r="D13" s="7">
        <v>140000</v>
      </c>
      <c r="E13" s="7"/>
      <c r="F13" s="7"/>
      <c r="G13" s="7">
        <v>21600</v>
      </c>
      <c r="H13" s="7"/>
      <c r="I13" s="7">
        <v>102000</v>
      </c>
      <c r="J13" s="8">
        <f t="shared" si="0"/>
        <v>16400</v>
      </c>
    </row>
    <row r="14" spans="1:17" ht="37.5" customHeight="1" thickBot="1" x14ac:dyDescent="0.4">
      <c r="A14" s="124"/>
      <c r="B14" s="20" t="s">
        <v>203</v>
      </c>
      <c r="C14" s="6"/>
      <c r="D14" s="7">
        <v>867514.94</v>
      </c>
      <c r="E14" s="7"/>
      <c r="F14" s="7"/>
      <c r="G14" s="7">
        <v>1061800.6599999999</v>
      </c>
      <c r="H14" s="7"/>
      <c r="I14" s="7"/>
      <c r="J14" s="8">
        <f t="shared" si="0"/>
        <v>-194285.71999999997</v>
      </c>
      <c r="K14" s="17"/>
      <c r="L14" s="17"/>
      <c r="M14" s="17"/>
      <c r="N14" s="17"/>
      <c r="O14" s="17"/>
      <c r="P14" s="17"/>
      <c r="Q14" s="17"/>
    </row>
    <row r="15" spans="1:17" ht="33" customHeight="1" thickBot="1" x14ac:dyDescent="0.4">
      <c r="A15" s="124"/>
      <c r="B15" s="18" t="s">
        <v>204</v>
      </c>
      <c r="C15" s="6"/>
      <c r="D15" s="7">
        <v>60000</v>
      </c>
      <c r="E15" s="7"/>
      <c r="F15" s="7"/>
      <c r="G15" s="7">
        <v>13900</v>
      </c>
      <c r="H15" s="7"/>
      <c r="I15" s="7"/>
      <c r="J15" s="8">
        <f t="shared" si="0"/>
        <v>46100</v>
      </c>
      <c r="K15" s="17"/>
      <c r="L15" s="17"/>
      <c r="M15" s="17"/>
      <c r="N15" s="17"/>
      <c r="O15" s="17"/>
      <c r="P15" s="17"/>
      <c r="Q15" s="17"/>
    </row>
    <row r="16" spans="1:17" ht="33" customHeight="1" thickBot="1" x14ac:dyDescent="0.4">
      <c r="A16" s="124"/>
      <c r="B16" s="21" t="s">
        <v>59</v>
      </c>
      <c r="C16" s="6"/>
      <c r="D16" s="7">
        <v>100000</v>
      </c>
      <c r="E16" s="7"/>
      <c r="F16" s="7"/>
      <c r="G16" s="7"/>
      <c r="H16" s="7"/>
      <c r="I16" s="7"/>
      <c r="J16" s="8">
        <f t="shared" si="0"/>
        <v>100000</v>
      </c>
      <c r="K16" s="17"/>
      <c r="L16" s="17"/>
      <c r="M16" s="17"/>
      <c r="N16" s="17"/>
      <c r="O16" s="17"/>
      <c r="P16" s="17"/>
      <c r="Q16" s="17"/>
    </row>
    <row r="17" spans="1:17" ht="31.5" customHeight="1" thickBot="1" x14ac:dyDescent="0.4">
      <c r="A17" s="124"/>
      <c r="B17" s="21" t="s">
        <v>62</v>
      </c>
      <c r="C17" s="6"/>
      <c r="D17" s="7">
        <v>240000</v>
      </c>
      <c r="E17" s="7"/>
      <c r="F17" s="7"/>
      <c r="G17" s="7">
        <v>109350</v>
      </c>
      <c r="H17" s="7"/>
      <c r="I17" s="7"/>
      <c r="J17" s="8">
        <f t="shared" si="0"/>
        <v>130650</v>
      </c>
      <c r="K17" s="17"/>
      <c r="L17" s="17"/>
      <c r="M17" s="17"/>
      <c r="N17" s="17"/>
      <c r="O17" s="17"/>
      <c r="P17" s="17"/>
      <c r="Q17" s="17"/>
    </row>
    <row r="18" spans="1:17" ht="31.5" customHeight="1" thickBot="1" x14ac:dyDescent="0.4">
      <c r="A18" s="119"/>
      <c r="B18" s="21" t="s">
        <v>103</v>
      </c>
      <c r="C18" s="6"/>
      <c r="D18" s="7">
        <v>300000</v>
      </c>
      <c r="E18" s="7"/>
      <c r="F18" s="7"/>
      <c r="G18" s="7"/>
      <c r="H18" s="7"/>
      <c r="I18" s="7"/>
      <c r="J18" s="8">
        <f t="shared" si="0"/>
        <v>300000</v>
      </c>
      <c r="K18" s="17"/>
      <c r="L18" s="17"/>
      <c r="M18" s="17"/>
      <c r="N18" s="53"/>
      <c r="O18" s="17"/>
      <c r="P18" s="17"/>
      <c r="Q18" s="53"/>
    </row>
    <row r="19" spans="1:17" ht="27" customHeight="1" thickBot="1" x14ac:dyDescent="0.4">
      <c r="A19" s="127" t="s">
        <v>205</v>
      </c>
      <c r="B19" s="22" t="s">
        <v>206</v>
      </c>
      <c r="C19" s="6"/>
      <c r="D19" s="7">
        <v>1622030</v>
      </c>
      <c r="E19" s="7"/>
      <c r="F19" s="7"/>
      <c r="G19" s="7"/>
      <c r="H19" s="7"/>
      <c r="I19" s="7"/>
      <c r="J19" s="8">
        <f t="shared" si="0"/>
        <v>1622030</v>
      </c>
      <c r="K19" s="17"/>
      <c r="L19" s="17"/>
      <c r="M19" s="17"/>
      <c r="N19" s="53"/>
      <c r="O19" s="17"/>
      <c r="P19" s="17"/>
      <c r="Q19" s="53"/>
    </row>
    <row r="20" spans="1:17" ht="39" customHeight="1" thickBot="1" x14ac:dyDescent="0.4">
      <c r="A20" s="124"/>
      <c r="B20" s="21" t="s">
        <v>62</v>
      </c>
      <c r="C20" s="6"/>
      <c r="D20" s="7">
        <v>800000</v>
      </c>
      <c r="E20" s="7"/>
      <c r="F20" s="7"/>
      <c r="G20" s="7"/>
      <c r="H20" s="7"/>
      <c r="I20" s="7"/>
      <c r="J20" s="8">
        <f t="shared" si="0"/>
        <v>800000</v>
      </c>
      <c r="K20" s="17"/>
      <c r="L20" s="17"/>
      <c r="M20" s="17"/>
      <c r="N20" s="53"/>
      <c r="O20" s="17"/>
      <c r="P20" s="17"/>
      <c r="Q20" s="53"/>
    </row>
    <row r="21" spans="1:17" ht="19" customHeight="1" thickBot="1" x14ac:dyDescent="0.4">
      <c r="A21" s="113" t="s">
        <v>18</v>
      </c>
      <c r="B21" s="105"/>
      <c r="C21" s="9"/>
      <c r="D21" s="10">
        <f>SUM(D11:D20)</f>
        <v>32920981.84</v>
      </c>
      <c r="E21" s="10">
        <f>SUM(E11:E18)</f>
        <v>0</v>
      </c>
      <c r="F21" s="10">
        <f>SUM(F11:F18)</f>
        <v>0</v>
      </c>
      <c r="G21" s="10">
        <f>SUM(G11:G18)</f>
        <v>22592635.920000002</v>
      </c>
      <c r="H21" s="10">
        <f>SUM(H11:H18)</f>
        <v>0</v>
      </c>
      <c r="I21" s="10">
        <f>SUM(I11:I18)</f>
        <v>102000</v>
      </c>
      <c r="J21" s="11">
        <f>SUM(J11:J20)</f>
        <v>10226345.919999998</v>
      </c>
      <c r="O21" s="17"/>
    </row>
    <row r="22" spans="1:17" ht="130.5" customHeight="1" x14ac:dyDescent="0.35">
      <c r="A22" s="122" t="s">
        <v>207</v>
      </c>
      <c r="B22" s="107"/>
      <c r="C22" s="107"/>
      <c r="D22" s="107"/>
      <c r="E22" s="107"/>
      <c r="F22" s="107"/>
      <c r="G22" s="107"/>
      <c r="H22" s="107"/>
      <c r="I22" s="107"/>
      <c r="J22" s="107"/>
      <c r="O22" s="17"/>
    </row>
    <row r="23" spans="1:17" ht="112" customHeight="1" x14ac:dyDescent="0.35">
      <c r="A23" s="107"/>
      <c r="B23" s="107"/>
      <c r="C23" s="107"/>
      <c r="D23" s="107"/>
      <c r="E23" s="107"/>
      <c r="F23" s="107"/>
      <c r="G23" s="107"/>
      <c r="H23" s="107"/>
      <c r="I23" s="107"/>
      <c r="J23" s="107"/>
    </row>
    <row r="24" spans="1:17" ht="14.5" customHeight="1" x14ac:dyDescent="0.35"/>
  </sheetData>
  <autoFilter ref="A9:H24" xr:uid="{00000000-0009-0000-0000-000004000000}"/>
  <mergeCells count="13">
    <mergeCell ref="A22:J23"/>
    <mergeCell ref="A11:A18"/>
    <mergeCell ref="D5:H6"/>
    <mergeCell ref="E9:F9"/>
    <mergeCell ref="A9:B10"/>
    <mergeCell ref="A19:A20"/>
    <mergeCell ref="A21:B21"/>
    <mergeCell ref="D9:D10"/>
    <mergeCell ref="G9:G10"/>
    <mergeCell ref="H9:H10"/>
    <mergeCell ref="I3:J6"/>
    <mergeCell ref="I9:I10"/>
    <mergeCell ref="J9:J10"/>
  </mergeCells>
  <printOptions horizontalCentered="1"/>
  <pageMargins left="0" right="0" top="0.51180555555555596" bottom="0" header="0.511811023622047" footer="0.511811023622047"/>
  <pageSetup paperSize="9" scale="80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806000"/>
  </sheetPr>
  <dimension ref="A4:L19"/>
  <sheetViews>
    <sheetView showGridLines="0" view="pageBreakPreview" topLeftCell="A10" zoomScale="80" zoomScaleNormal="100" workbookViewId="0">
      <selection activeCell="A19" sqref="A19:L19"/>
    </sheetView>
  </sheetViews>
  <sheetFormatPr baseColWidth="10" defaultColWidth="11.453125" defaultRowHeight="15" customHeight="1" x14ac:dyDescent="0.35"/>
  <cols>
    <col min="1" max="1" width="24" style="70" customWidth="1"/>
    <col min="2" max="2" width="20" style="70" customWidth="1"/>
    <col min="3" max="3" width="1.453125" style="70" customWidth="1"/>
    <col min="4" max="4" width="18.26953125" style="70" customWidth="1"/>
    <col min="5" max="5" width="17.453125" style="70" customWidth="1"/>
    <col min="6" max="6" width="17.7265625" style="70" customWidth="1"/>
    <col min="7" max="7" width="17.453125" style="70" customWidth="1"/>
    <col min="8" max="8" width="18.81640625" style="70" customWidth="1"/>
    <col min="9" max="9" width="23.26953125" style="70" customWidth="1"/>
    <col min="10" max="10" width="23.54296875" style="70" customWidth="1"/>
    <col min="11" max="11" width="1.453125" style="70" customWidth="1"/>
    <col min="12" max="12" width="19" style="70" customWidth="1"/>
    <col min="13" max="19" width="11.453125" style="70" customWidth="1"/>
    <col min="20" max="16384" width="11.453125" style="70"/>
  </cols>
  <sheetData>
    <row r="4" spans="1:12" ht="15" customHeight="1" x14ac:dyDescent="0.35">
      <c r="J4" s="120" t="s">
        <v>1</v>
      </c>
      <c r="K4" s="107"/>
      <c r="L4" s="107"/>
    </row>
    <row r="5" spans="1:12" ht="15" customHeight="1" x14ac:dyDescent="0.35">
      <c r="E5" s="125" t="s">
        <v>192</v>
      </c>
      <c r="F5" s="107"/>
      <c r="G5" s="107"/>
      <c r="H5" s="107"/>
      <c r="I5" s="107"/>
      <c r="J5" s="107"/>
      <c r="K5" s="107"/>
      <c r="L5" s="107"/>
    </row>
    <row r="6" spans="1:12" ht="15" customHeight="1" x14ac:dyDescent="0.35">
      <c r="E6" s="107"/>
      <c r="F6" s="107"/>
      <c r="G6" s="107"/>
      <c r="H6" s="107"/>
      <c r="I6" s="107"/>
      <c r="J6" s="107"/>
      <c r="K6" s="107"/>
      <c r="L6" s="107"/>
    </row>
    <row r="7" spans="1:12" ht="15" customHeight="1" x14ac:dyDescent="0.35">
      <c r="J7" s="107"/>
      <c r="K7" s="107"/>
      <c r="L7" s="107"/>
    </row>
    <row r="8" spans="1:12" ht="17" customHeight="1" x14ac:dyDescent="0.35">
      <c r="A8" s="3" t="s">
        <v>2</v>
      </c>
      <c r="B8" s="129" t="s">
        <v>3</v>
      </c>
      <c r="C8" s="107"/>
      <c r="J8" s="3" t="s">
        <v>4</v>
      </c>
      <c r="L8" s="75" t="s">
        <v>46</v>
      </c>
    </row>
    <row r="9" spans="1:12" ht="14.5" customHeight="1" x14ac:dyDescent="0.35">
      <c r="B9" s="4"/>
      <c r="L9" s="4" t="s">
        <v>193</v>
      </c>
    </row>
    <row r="10" spans="1:12" ht="19.5" customHeight="1" x14ac:dyDescent="0.35">
      <c r="A10" s="110" t="s">
        <v>21</v>
      </c>
      <c r="B10" s="111"/>
      <c r="C10" s="5"/>
      <c r="D10" s="118" t="s">
        <v>51</v>
      </c>
      <c r="E10" s="118" t="s">
        <v>208</v>
      </c>
      <c r="F10" s="105"/>
      <c r="G10" s="118" t="s">
        <v>194</v>
      </c>
      <c r="H10" s="105"/>
      <c r="I10" s="118" t="s">
        <v>209</v>
      </c>
      <c r="J10" s="118" t="s">
        <v>210</v>
      </c>
      <c r="L10" s="121" t="s">
        <v>50</v>
      </c>
    </row>
    <row r="11" spans="1:12" ht="33" customHeight="1" x14ac:dyDescent="0.35">
      <c r="A11" s="112"/>
      <c r="B11" s="103"/>
      <c r="C11" s="5"/>
      <c r="D11" s="119"/>
      <c r="E11" s="73" t="s">
        <v>197</v>
      </c>
      <c r="F11" s="73" t="s">
        <v>198</v>
      </c>
      <c r="G11" s="73" t="s">
        <v>16</v>
      </c>
      <c r="H11" s="73" t="s">
        <v>17</v>
      </c>
      <c r="I11" s="119"/>
      <c r="J11" s="119"/>
      <c r="L11" s="119"/>
    </row>
    <row r="12" spans="1:12" ht="51.75" customHeight="1" x14ac:dyDescent="0.35">
      <c r="A12" s="128" t="s">
        <v>204</v>
      </c>
      <c r="B12" s="105"/>
      <c r="C12" s="6"/>
      <c r="D12" s="7">
        <v>2404600</v>
      </c>
      <c r="E12" s="7"/>
      <c r="F12" s="7"/>
      <c r="G12" s="7">
        <f>919800</f>
        <v>919800</v>
      </c>
      <c r="H12" s="7"/>
      <c r="I12" s="7"/>
      <c r="J12" s="7"/>
      <c r="K12" s="54"/>
      <c r="L12" s="8">
        <f>D12-E12-F12-G12-H12-I12-J12</f>
        <v>1484800</v>
      </c>
    </row>
    <row r="13" spans="1:12" s="71" customFormat="1" ht="36.75" customHeight="1" x14ac:dyDescent="0.35">
      <c r="A13" s="104" t="s">
        <v>57</v>
      </c>
      <c r="B13" s="105"/>
      <c r="C13" s="6"/>
      <c r="D13" s="7">
        <v>92680944.359999999</v>
      </c>
      <c r="E13" s="7"/>
      <c r="F13" s="7"/>
      <c r="G13" s="7">
        <f>3000000+2340000+18960000+66430944.36+1950000</f>
        <v>92680944.359999999</v>
      </c>
      <c r="H13" s="7"/>
      <c r="I13" s="7"/>
      <c r="J13" s="7"/>
      <c r="K13" s="54"/>
      <c r="L13" s="8">
        <f>D13-E13-F13-G13-H13-I13-J13</f>
        <v>0</v>
      </c>
    </row>
    <row r="14" spans="1:12" ht="36.75" customHeight="1" x14ac:dyDescent="0.35">
      <c r="A14" s="104" t="s">
        <v>59</v>
      </c>
      <c r="B14" s="105"/>
      <c r="C14" s="6"/>
      <c r="D14" s="7">
        <v>3437760</v>
      </c>
      <c r="E14" s="7"/>
      <c r="F14" s="7"/>
      <c r="G14" s="7">
        <f>180000+318960+838800</f>
        <v>1337760</v>
      </c>
      <c r="H14" s="7">
        <f>107000+37800</f>
        <v>144800</v>
      </c>
      <c r="I14" s="7"/>
      <c r="J14" s="7">
        <f>952473.6+14000</f>
        <v>966473.6</v>
      </c>
      <c r="K14" s="54"/>
      <c r="L14" s="8">
        <f>D14-E14-F14-G14-H14-I14-J14</f>
        <v>988726.4</v>
      </c>
    </row>
    <row r="15" spans="1:12" ht="36.75" customHeight="1" x14ac:dyDescent="0.35">
      <c r="A15" s="104" t="s">
        <v>61</v>
      </c>
      <c r="B15" s="105"/>
      <c r="C15" s="6"/>
      <c r="D15" s="7">
        <v>12969388.99</v>
      </c>
      <c r="E15" s="7"/>
      <c r="F15" s="7"/>
      <c r="G15" s="7">
        <f>1805904+11163484.99</f>
        <v>12969388.99</v>
      </c>
      <c r="H15" s="7"/>
      <c r="I15" s="7"/>
      <c r="J15" s="7"/>
      <c r="K15" s="54"/>
      <c r="L15" s="8">
        <f>D15-E15-F15-G15-H15-I15-J15</f>
        <v>0</v>
      </c>
    </row>
    <row r="16" spans="1:12" ht="36.75" customHeight="1" x14ac:dyDescent="0.35">
      <c r="A16" s="104" t="s">
        <v>103</v>
      </c>
      <c r="B16" s="105"/>
      <c r="C16" s="6"/>
      <c r="D16" s="7">
        <v>500000</v>
      </c>
      <c r="E16" s="7"/>
      <c r="F16" s="7"/>
      <c r="G16" s="7"/>
      <c r="H16" s="7"/>
      <c r="I16" s="7"/>
      <c r="J16" s="7"/>
      <c r="K16" s="54"/>
      <c r="L16" s="8">
        <f>D16-E16-F16-G16-H16-I16-J16</f>
        <v>500000</v>
      </c>
    </row>
    <row r="17" spans="1:12" ht="18.5" customHeight="1" x14ac:dyDescent="0.35">
      <c r="A17" s="113" t="s">
        <v>18</v>
      </c>
      <c r="B17" s="105"/>
      <c r="C17" s="9"/>
      <c r="D17" s="10">
        <f t="shared" ref="D17:J17" si="0">SUM(D12:D16)</f>
        <v>111992693.34999999</v>
      </c>
      <c r="E17" s="10">
        <f t="shared" si="0"/>
        <v>0</v>
      </c>
      <c r="F17" s="10">
        <f t="shared" si="0"/>
        <v>0</v>
      </c>
      <c r="G17" s="10">
        <f t="shared" si="0"/>
        <v>107907893.34999999</v>
      </c>
      <c r="H17" s="10">
        <f t="shared" si="0"/>
        <v>144800</v>
      </c>
      <c r="I17" s="10">
        <f t="shared" si="0"/>
        <v>0</v>
      </c>
      <c r="J17" s="10">
        <f t="shared" si="0"/>
        <v>966473.6</v>
      </c>
      <c r="L17" s="11">
        <f>SUM(L12:L16)</f>
        <v>2973526.4</v>
      </c>
    </row>
    <row r="18" spans="1:12" ht="18.5" customHeight="1" x14ac:dyDescent="0.35">
      <c r="A18" s="12"/>
      <c r="B18" s="12"/>
      <c r="C18" s="13"/>
      <c r="D18" s="14"/>
      <c r="E18" s="14"/>
      <c r="F18" s="14"/>
      <c r="G18" s="14"/>
      <c r="H18" s="14"/>
      <c r="I18" s="14"/>
      <c r="J18" s="14"/>
      <c r="K18" s="71"/>
      <c r="L18" s="15"/>
    </row>
    <row r="19" spans="1:12" ht="96.75" customHeight="1" x14ac:dyDescent="0.35">
      <c r="A19" s="122" t="s">
        <v>211</v>
      </c>
      <c r="B19" s="107"/>
      <c r="C19" s="107"/>
      <c r="D19" s="107"/>
      <c r="E19" s="107"/>
      <c r="F19" s="107"/>
      <c r="G19" s="107"/>
      <c r="H19" s="107"/>
      <c r="I19" s="107"/>
      <c r="J19" s="107"/>
      <c r="K19" s="107"/>
      <c r="L19" s="107"/>
    </row>
  </sheetData>
  <autoFilter ref="A10:J17" xr:uid="{00000000-0009-0000-0000-000005000000}"/>
  <mergeCells count="17">
    <mergeCell ref="J4:L7"/>
    <mergeCell ref="A10:B11"/>
    <mergeCell ref="A13:B13"/>
    <mergeCell ref="A14:B14"/>
    <mergeCell ref="A12:B12"/>
    <mergeCell ref="E5:I6"/>
    <mergeCell ref="B8:C8"/>
    <mergeCell ref="I10:I11"/>
    <mergeCell ref="L10:L11"/>
    <mergeCell ref="J10:J11"/>
    <mergeCell ref="A16:B16"/>
    <mergeCell ref="D10:D11"/>
    <mergeCell ref="A15:B15"/>
    <mergeCell ref="E10:F10"/>
    <mergeCell ref="A19:L19"/>
    <mergeCell ref="G10:H10"/>
    <mergeCell ref="A17:B17"/>
  </mergeCells>
  <printOptions horizontalCentered="1"/>
  <pageMargins left="0" right="0" top="0.51180555555555596" bottom="0" header="0.511811023622047" footer="0.511811023622047"/>
  <pageSetup paperSize="9" scale="7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tabColor rgb="FF806000"/>
  </sheetPr>
  <dimension ref="A5:K1048574"/>
  <sheetViews>
    <sheetView showGridLines="0" view="pageBreakPreview" zoomScale="90" zoomScaleNormal="100" zoomScaleSheetLayoutView="90" workbookViewId="0">
      <selection activeCell="A18" sqref="A18:K18"/>
    </sheetView>
  </sheetViews>
  <sheetFormatPr baseColWidth="10" defaultColWidth="11.453125" defaultRowHeight="15" customHeight="1" x14ac:dyDescent="0.35"/>
  <cols>
    <col min="1" max="1" width="24" style="70" customWidth="1"/>
    <col min="2" max="2" width="21.54296875" style="70" customWidth="1"/>
    <col min="3" max="3" width="1.453125" style="70" customWidth="1"/>
    <col min="4" max="5" width="18.26953125" style="70" customWidth="1"/>
    <col min="6" max="6" width="16.453125" style="70" customWidth="1"/>
    <col min="7" max="7" width="22.54296875" style="70" customWidth="1"/>
    <col min="8" max="8" width="21.81640625" style="70" customWidth="1"/>
    <col min="9" max="9" width="22.26953125" style="70" customWidth="1"/>
    <col min="10" max="10" width="1.453125" style="70" customWidth="1"/>
    <col min="11" max="11" width="18.453125" style="70" customWidth="1"/>
    <col min="12" max="18" width="11.453125" style="70" customWidth="1"/>
    <col min="19" max="16384" width="11.453125" style="70"/>
  </cols>
  <sheetData>
    <row r="5" spans="1:11" ht="15" customHeight="1" x14ac:dyDescent="0.35">
      <c r="D5" s="130" t="s">
        <v>192</v>
      </c>
      <c r="E5" s="107"/>
      <c r="F5" s="107"/>
      <c r="G5" s="107"/>
      <c r="H5" s="107"/>
      <c r="I5" s="131" t="s">
        <v>1</v>
      </c>
      <c r="J5" s="107"/>
      <c r="K5" s="107"/>
    </row>
    <row r="6" spans="1:11" ht="15" customHeight="1" x14ac:dyDescent="0.35">
      <c r="D6" s="107"/>
      <c r="E6" s="107"/>
      <c r="F6" s="107"/>
      <c r="G6" s="107"/>
      <c r="H6" s="107"/>
      <c r="I6" s="107"/>
      <c r="J6" s="107"/>
      <c r="K6" s="107"/>
    </row>
    <row r="7" spans="1:11" ht="15" customHeight="1" x14ac:dyDescent="0.35">
      <c r="D7" s="107"/>
      <c r="E7" s="107"/>
      <c r="F7" s="107"/>
      <c r="G7" s="107"/>
      <c r="H7" s="107"/>
      <c r="I7" s="107"/>
      <c r="J7" s="107"/>
      <c r="K7" s="107"/>
    </row>
    <row r="8" spans="1:11" ht="18.5" customHeight="1" x14ac:dyDescent="0.35">
      <c r="A8" s="1"/>
      <c r="B8" s="1"/>
      <c r="C8" s="2"/>
      <c r="D8" s="2"/>
      <c r="E8" s="2"/>
      <c r="F8" s="2"/>
      <c r="G8" s="2"/>
      <c r="H8" s="2"/>
      <c r="I8" s="107"/>
      <c r="J8" s="107"/>
      <c r="K8" s="107"/>
    </row>
    <row r="9" spans="1:11" ht="17" customHeight="1" x14ac:dyDescent="0.35">
      <c r="A9" s="3" t="s">
        <v>2</v>
      </c>
      <c r="B9" s="129" t="s">
        <v>3</v>
      </c>
      <c r="C9" s="107"/>
      <c r="I9" s="3" t="s">
        <v>4</v>
      </c>
      <c r="K9" s="75" t="s">
        <v>212</v>
      </c>
    </row>
    <row r="10" spans="1:11" ht="14.5" customHeight="1" x14ac:dyDescent="0.35">
      <c r="B10" s="4"/>
      <c r="K10" s="4" t="s">
        <v>193</v>
      </c>
    </row>
    <row r="11" spans="1:11" ht="19.5" customHeight="1" x14ac:dyDescent="0.35">
      <c r="A11" s="110" t="s">
        <v>21</v>
      </c>
      <c r="B11" s="111"/>
      <c r="C11" s="5"/>
      <c r="D11" s="118" t="s">
        <v>51</v>
      </c>
      <c r="E11" s="118" t="s">
        <v>208</v>
      </c>
      <c r="F11" s="105"/>
      <c r="G11" s="118" t="s">
        <v>194</v>
      </c>
      <c r="H11" s="118" t="s">
        <v>195</v>
      </c>
      <c r="I11" s="118" t="s">
        <v>209</v>
      </c>
      <c r="K11" s="121" t="s">
        <v>50</v>
      </c>
    </row>
    <row r="12" spans="1:11" ht="33" customHeight="1" x14ac:dyDescent="0.35">
      <c r="A12" s="112"/>
      <c r="B12" s="103"/>
      <c r="C12" s="5"/>
      <c r="D12" s="119"/>
      <c r="E12" s="73" t="s">
        <v>197</v>
      </c>
      <c r="F12" s="73" t="s">
        <v>198</v>
      </c>
      <c r="G12" s="119"/>
      <c r="H12" s="119"/>
      <c r="I12" s="119"/>
      <c r="K12" s="119"/>
    </row>
    <row r="13" spans="1:11" ht="39" customHeight="1" x14ac:dyDescent="0.35">
      <c r="A13" s="104" t="s">
        <v>54</v>
      </c>
      <c r="B13" s="105"/>
      <c r="C13" s="6"/>
      <c r="D13" s="7">
        <v>19200000</v>
      </c>
      <c r="E13" s="7">
        <f>2704896+3535056</f>
        <v>6239952</v>
      </c>
      <c r="F13" s="7"/>
      <c r="G13" s="7"/>
      <c r="H13" s="7">
        <f>832134</f>
        <v>832134</v>
      </c>
      <c r="I13" s="7">
        <f>2209226.4+2226960+1803772.8</f>
        <v>6239959.2000000002</v>
      </c>
      <c r="J13" s="54"/>
      <c r="K13" s="8">
        <f>D13-E13-F13-G13-H13-I13</f>
        <v>5887954.7999999998</v>
      </c>
    </row>
    <row r="14" spans="1:11" ht="36.75" customHeight="1" x14ac:dyDescent="0.35">
      <c r="A14" s="104" t="s">
        <v>55</v>
      </c>
      <c r="B14" s="105"/>
      <c r="C14" s="6"/>
      <c r="D14" s="7">
        <v>1500000</v>
      </c>
      <c r="E14" s="7"/>
      <c r="F14" s="7"/>
      <c r="G14" s="7"/>
      <c r="H14" s="7"/>
      <c r="I14" s="7"/>
      <c r="J14" s="54"/>
      <c r="K14" s="8">
        <f>D14-E14-F14-G14-H14-I14</f>
        <v>1500000</v>
      </c>
    </row>
    <row r="15" spans="1:11" ht="36.75" customHeight="1" x14ac:dyDescent="0.35">
      <c r="A15" s="128" t="s">
        <v>204</v>
      </c>
      <c r="B15" s="105"/>
      <c r="C15" s="6"/>
      <c r="D15" s="7">
        <v>840000</v>
      </c>
      <c r="E15" s="7"/>
      <c r="F15" s="7"/>
      <c r="G15" s="7">
        <f>35976+57000+32040+25920</f>
        <v>150936</v>
      </c>
      <c r="H15" s="7"/>
      <c r="I15" s="7"/>
      <c r="J15" s="54"/>
      <c r="K15" s="8">
        <f>D15-E15-F15-G15-H15-I15</f>
        <v>689064</v>
      </c>
    </row>
    <row r="16" spans="1:11" ht="36.75" customHeight="1" x14ac:dyDescent="0.35">
      <c r="A16" s="104" t="s">
        <v>59</v>
      </c>
      <c r="B16" s="105"/>
      <c r="C16" s="6"/>
      <c r="D16" s="7">
        <f>6060000+4500000</f>
        <v>10560000</v>
      </c>
      <c r="E16" s="7"/>
      <c r="F16" s="7"/>
      <c r="G16" s="7"/>
      <c r="H16" s="7"/>
      <c r="I16" s="7">
        <f>1980000+4320000</f>
        <v>6300000</v>
      </c>
      <c r="J16" s="54"/>
      <c r="K16" s="8">
        <f>D16-E16-F16-G16-H16-I16</f>
        <v>4260000</v>
      </c>
    </row>
    <row r="17" spans="1:11" ht="18.5" customHeight="1" x14ac:dyDescent="0.35">
      <c r="A17" s="113" t="s">
        <v>18</v>
      </c>
      <c r="B17" s="105"/>
      <c r="C17" s="9"/>
      <c r="D17" s="10">
        <f t="shared" ref="D17:I17" si="0">SUM(D13:D16)</f>
        <v>32100000</v>
      </c>
      <c r="E17" s="10">
        <f t="shared" si="0"/>
        <v>6239952</v>
      </c>
      <c r="F17" s="10">
        <f t="shared" si="0"/>
        <v>0</v>
      </c>
      <c r="G17" s="10">
        <f t="shared" si="0"/>
        <v>150936</v>
      </c>
      <c r="H17" s="10">
        <f t="shared" si="0"/>
        <v>832134</v>
      </c>
      <c r="I17" s="10">
        <f t="shared" si="0"/>
        <v>12539959.199999999</v>
      </c>
      <c r="K17" s="11">
        <f>SUM(K13:K16)</f>
        <v>12337018.800000001</v>
      </c>
    </row>
    <row r="18" spans="1:11" ht="163.5" customHeight="1" x14ac:dyDescent="0.35">
      <c r="A18" s="122" t="s">
        <v>213</v>
      </c>
      <c r="B18" s="107"/>
      <c r="C18" s="107"/>
      <c r="D18" s="107"/>
      <c r="E18" s="107"/>
      <c r="F18" s="107"/>
      <c r="G18" s="107"/>
      <c r="H18" s="107"/>
      <c r="I18" s="107"/>
      <c r="J18" s="107"/>
      <c r="K18" s="107"/>
    </row>
    <row r="1048574" ht="12.75" customHeight="1" x14ac:dyDescent="0.35"/>
  </sheetData>
  <autoFilter ref="A11:I18" xr:uid="{00000000-0009-0000-0000-000006000000}"/>
  <mergeCells count="16">
    <mergeCell ref="A16:B16"/>
    <mergeCell ref="A18:K18"/>
    <mergeCell ref="D5:H7"/>
    <mergeCell ref="K11:K12"/>
    <mergeCell ref="A15:B15"/>
    <mergeCell ref="I11:I12"/>
    <mergeCell ref="E11:F11"/>
    <mergeCell ref="A11:B12"/>
    <mergeCell ref="A13:B13"/>
    <mergeCell ref="A14:B14"/>
    <mergeCell ref="I5:K8"/>
    <mergeCell ref="D11:D12"/>
    <mergeCell ref="A17:B17"/>
    <mergeCell ref="B9:C9"/>
    <mergeCell ref="H11:H12"/>
    <mergeCell ref="G11:G12"/>
  </mergeCells>
  <printOptions horizontalCentered="1"/>
  <pageMargins left="0" right="0" top="0.51180555555555596" bottom="0" header="0.511811023622047" footer="0.511811023622047"/>
  <pageSetup paperSize="9" scale="77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N20"/>
  <sheetViews>
    <sheetView workbookViewId="0">
      <selection activeCell="H1" sqref="H1:H1048576"/>
    </sheetView>
  </sheetViews>
  <sheetFormatPr baseColWidth="10" defaultColWidth="8.7265625" defaultRowHeight="14.5" x14ac:dyDescent="0.35"/>
  <cols>
    <col min="1" max="1" width="16" style="68" customWidth="1"/>
    <col min="2" max="2" width="12" style="68" customWidth="1"/>
    <col min="3" max="3" width="45" style="68" customWidth="1"/>
    <col min="4" max="6" width="14" style="68" customWidth="1"/>
    <col min="7" max="7" width="23.26953125" style="68" bestFit="1" customWidth="1"/>
    <col min="8" max="8" width="14" style="68" customWidth="1"/>
    <col min="9" max="9" width="16" style="68" customWidth="1"/>
    <col min="10" max="10" width="18" style="68" customWidth="1"/>
    <col min="11" max="11" width="14" style="68" customWidth="1"/>
  </cols>
  <sheetData>
    <row r="1" spans="1:14" x14ac:dyDescent="0.35">
      <c r="A1" s="55" t="s">
        <v>214</v>
      </c>
      <c r="B1" s="55" t="s">
        <v>6</v>
      </c>
      <c r="C1" s="55" t="s">
        <v>7</v>
      </c>
      <c r="D1" s="55" t="s">
        <v>8</v>
      </c>
      <c r="E1" s="55" t="s">
        <v>215</v>
      </c>
      <c r="F1" s="55" t="s">
        <v>216</v>
      </c>
      <c r="G1" s="55" t="s">
        <v>217</v>
      </c>
      <c r="H1" s="55" t="s">
        <v>218</v>
      </c>
      <c r="I1" s="55" t="s">
        <v>11</v>
      </c>
      <c r="J1" s="55" t="s">
        <v>12</v>
      </c>
      <c r="K1" s="55" t="s">
        <v>13</v>
      </c>
      <c r="N1" s="57" t="s">
        <v>219</v>
      </c>
    </row>
    <row r="2" spans="1:14" x14ac:dyDescent="0.35">
      <c r="A2" t="s">
        <v>5</v>
      </c>
      <c r="B2" t="str">
        <f>IF('TV LAAYOUNE'!A11="","",SUBSTITUTE(SUBSTITUTE('TV LAAYOUNE'!A11,CHAR(10),"")," ",""))</f>
        <v>PRINCIPALE</v>
      </c>
      <c r="C2" t="str">
        <f>'TV LAAYOUNE'!B11</f>
        <v>Achats de productions et de programmes
Acquis définitive Programmes TV externes 
Achats des programmes en co-production</v>
      </c>
      <c r="D2" s="56">
        <f>'TV LAAYOUNE'!D11</f>
        <v>28721436.899999999</v>
      </c>
      <c r="E2" s="56">
        <f>'TV LAAYOUNE'!E11</f>
        <v>0</v>
      </c>
      <c r="F2" s="56">
        <f>'TV LAAYOUNE'!F11</f>
        <v>0</v>
      </c>
      <c r="G2" s="67">
        <f>'TV LAAYOUNE'!G11</f>
        <v>21385985.260000002</v>
      </c>
      <c r="H2" s="67">
        <v>0</v>
      </c>
      <c r="I2" s="56">
        <f>'TV LAAYOUNE'!H11</f>
        <v>0</v>
      </c>
      <c r="J2" s="56">
        <f>'TV LAAYOUNE'!I11</f>
        <v>0</v>
      </c>
      <c r="K2" s="56">
        <f>'TV LAAYOUNE'!J11</f>
        <v>7335451.6399999969</v>
      </c>
      <c r="N2" t="s">
        <v>5</v>
      </c>
    </row>
    <row r="3" spans="1:14" x14ac:dyDescent="0.35">
      <c r="A3" t="s">
        <v>5</v>
      </c>
      <c r="B3" t="str">
        <f>IF('TV LAAYOUNE'!A11="","",SUBSTITUTE(SUBSTITUTE('TV LAAYOUNE'!A11,CHAR(10),"")," ",""))</f>
        <v>PRINCIPALE</v>
      </c>
      <c r="C3" t="str">
        <f>'TV LAAYOUNE'!B12</f>
        <v>Achat de matières et fournitures consommables</v>
      </c>
      <c r="D3" s="56">
        <f>'TV LAAYOUNE'!D12</f>
        <v>70000</v>
      </c>
      <c r="E3" s="56">
        <f>'TV LAAYOUNE'!E12</f>
        <v>0</v>
      </c>
      <c r="F3" s="56">
        <f>'TV LAAYOUNE'!F12</f>
        <v>0</v>
      </c>
      <c r="G3" s="67">
        <f>'TV LAAYOUNE'!G12</f>
        <v>0</v>
      </c>
      <c r="H3" s="67">
        <v>0</v>
      </c>
      <c r="I3" s="56">
        <f>'TV LAAYOUNE'!H12</f>
        <v>0</v>
      </c>
      <c r="J3" s="56">
        <f>'TV LAAYOUNE'!I12</f>
        <v>0</v>
      </c>
      <c r="K3" s="56">
        <f>'TV LAAYOUNE'!J12</f>
        <v>70000</v>
      </c>
      <c r="N3" t="s">
        <v>220</v>
      </c>
    </row>
    <row r="4" spans="1:14" x14ac:dyDescent="0.35">
      <c r="A4" t="s">
        <v>5</v>
      </c>
      <c r="B4" t="str">
        <f>IF('TV LAAYOUNE'!A11="","",SUBSTITUTE(SUBSTITUTE('TV LAAYOUNE'!A11,CHAR(10),"")," ",""))</f>
        <v>PRINCIPALE</v>
      </c>
      <c r="C4" t="str">
        <f>'TV LAAYOUNE'!B13</f>
        <v>Achats non stockés de matières et fournitures</v>
      </c>
      <c r="D4" s="56">
        <f>'TV LAAYOUNE'!D13</f>
        <v>140000</v>
      </c>
      <c r="E4" s="56">
        <f>'TV LAAYOUNE'!E13</f>
        <v>0</v>
      </c>
      <c r="F4" s="56">
        <f>'TV LAAYOUNE'!F13</f>
        <v>0</v>
      </c>
      <c r="G4" s="67">
        <f>'TV LAAYOUNE'!G13</f>
        <v>21600</v>
      </c>
      <c r="H4" s="67">
        <v>0</v>
      </c>
      <c r="I4" s="56">
        <f>'TV LAAYOUNE'!H13</f>
        <v>0</v>
      </c>
      <c r="J4" s="56">
        <f>'TV LAAYOUNE'!I13</f>
        <v>102000</v>
      </c>
      <c r="K4" s="56">
        <f>'TV LAAYOUNE'!J13</f>
        <v>16400</v>
      </c>
      <c r="N4" t="s">
        <v>221</v>
      </c>
    </row>
    <row r="5" spans="1:14" x14ac:dyDescent="0.35">
      <c r="A5" t="s">
        <v>5</v>
      </c>
      <c r="B5" t="str">
        <f>IF('TV LAAYOUNE'!A11="","",SUBSTITUTE(SUBSTITUTE('TV LAAYOUNE'!A11,CHAR(10),"")," ",""))</f>
        <v>PRINCIPALE</v>
      </c>
      <c r="C5" t="str">
        <f>'TV LAAYOUNE'!B14</f>
        <v>Prestations de service
Achat prestations de services locales - personnes physiques</v>
      </c>
      <c r="D5" s="56">
        <f>'TV LAAYOUNE'!D14</f>
        <v>867514.94</v>
      </c>
      <c r="E5" s="56">
        <f>'TV LAAYOUNE'!E14</f>
        <v>0</v>
      </c>
      <c r="F5" s="56">
        <f>'TV LAAYOUNE'!F14</f>
        <v>0</v>
      </c>
      <c r="G5" s="67">
        <f>'TV LAAYOUNE'!G14</f>
        <v>1061800.6599999999</v>
      </c>
      <c r="H5" s="67">
        <v>0</v>
      </c>
      <c r="I5" s="56">
        <f>'TV LAAYOUNE'!H14</f>
        <v>0</v>
      </c>
      <c r="J5" s="56">
        <f>'TV LAAYOUNE'!I14</f>
        <v>0</v>
      </c>
      <c r="K5" s="56">
        <f>'TV LAAYOUNE'!J14</f>
        <v>-194285.71999999997</v>
      </c>
    </row>
    <row r="6" spans="1:14" x14ac:dyDescent="0.35">
      <c r="A6" t="s">
        <v>5</v>
      </c>
      <c r="B6" t="str">
        <f>IF('TV LAAYOUNE'!A11="","",SUBSTITUTE(SUBSTITUTE('TV LAAYOUNE'!A11,CHAR(10),"")," ",""))</f>
        <v>PRINCIPALE</v>
      </c>
      <c r="C6" t="str">
        <f>'TV LAAYOUNE'!B15</f>
        <v>Prestations de service
Achat prestations de services locales - sociétés</v>
      </c>
      <c r="D6" s="56">
        <f>'TV LAAYOUNE'!D15</f>
        <v>60000</v>
      </c>
      <c r="E6" s="56">
        <f>'TV LAAYOUNE'!E15</f>
        <v>0</v>
      </c>
      <c r="F6" s="56">
        <f>'TV LAAYOUNE'!F15</f>
        <v>0</v>
      </c>
      <c r="G6" s="67">
        <f>'TV LAAYOUNE'!G15</f>
        <v>13900</v>
      </c>
      <c r="H6" s="67">
        <v>0</v>
      </c>
      <c r="I6" s="56">
        <f>'TV LAAYOUNE'!H15</f>
        <v>0</v>
      </c>
      <c r="J6" s="56">
        <f>'TV LAAYOUNE'!I15</f>
        <v>0</v>
      </c>
      <c r="K6" s="56">
        <f>'TV LAAYOUNE'!J15</f>
        <v>46100</v>
      </c>
    </row>
    <row r="7" spans="1:14" x14ac:dyDescent="0.35">
      <c r="A7" t="s">
        <v>5</v>
      </c>
      <c r="B7" t="str">
        <f>IF('TV LAAYOUNE'!A11="","",SUBSTITUTE(SUBSTITUTE('TV LAAYOUNE'!A11,CHAR(10),"")," ",""))</f>
        <v>PRINCIPALE</v>
      </c>
      <c r="C7" t="str">
        <f>'TV LAAYOUNE'!B16</f>
        <v>Entretien, réparation et assurance</v>
      </c>
      <c r="D7" s="56">
        <f>'TV LAAYOUNE'!D16</f>
        <v>100000</v>
      </c>
      <c r="E7" s="56">
        <f>'TV LAAYOUNE'!E16</f>
        <v>0</v>
      </c>
      <c r="F7" s="56">
        <f>'TV LAAYOUNE'!F16</f>
        <v>0</v>
      </c>
      <c r="G7" s="67">
        <f>'TV LAAYOUNE'!G16</f>
        <v>0</v>
      </c>
      <c r="H7" s="67">
        <v>0</v>
      </c>
      <c r="I7" s="56">
        <f>'TV LAAYOUNE'!H16</f>
        <v>0</v>
      </c>
      <c r="J7" s="56">
        <f>'TV LAAYOUNE'!I16</f>
        <v>0</v>
      </c>
      <c r="K7" s="56">
        <f>'TV LAAYOUNE'!J16</f>
        <v>100000</v>
      </c>
    </row>
    <row r="8" spans="1:14" x14ac:dyDescent="0.35">
      <c r="A8" t="s">
        <v>5</v>
      </c>
      <c r="B8" t="str">
        <f>IF('TV LAAYOUNE'!A11="","",SUBSTITUTE(SUBSTITUTE('TV LAAYOUNE'!A11,CHAR(10),"")," ",""))</f>
        <v>PRINCIPALE</v>
      </c>
      <c r="C8" t="str">
        <f>'TV LAAYOUNE'!B17</f>
        <v>Déplacements, missions et réceptions</v>
      </c>
      <c r="D8" s="56">
        <f>'TV LAAYOUNE'!D17</f>
        <v>240000</v>
      </c>
      <c r="E8" s="56">
        <f>'TV LAAYOUNE'!E17</f>
        <v>0</v>
      </c>
      <c r="F8" s="56">
        <f>'TV LAAYOUNE'!F17</f>
        <v>0</v>
      </c>
      <c r="G8" s="67">
        <f>'TV LAAYOUNE'!G17</f>
        <v>109350</v>
      </c>
      <c r="H8" s="67">
        <v>0</v>
      </c>
      <c r="I8" s="56">
        <f>'TV LAAYOUNE'!H17</f>
        <v>0</v>
      </c>
      <c r="J8" s="56">
        <f>'TV LAAYOUNE'!I17</f>
        <v>0</v>
      </c>
      <c r="K8" s="56">
        <f>'TV LAAYOUNE'!J17</f>
        <v>130650</v>
      </c>
    </row>
    <row r="9" spans="1:14" x14ac:dyDescent="0.35">
      <c r="A9" t="s">
        <v>5</v>
      </c>
      <c r="B9" t="str">
        <f>IF('TV LAAYOUNE'!A11="","",SUBSTITUTE(SUBSTITUTE('TV LAAYOUNE'!A11,CHAR(10),"")," ",""))</f>
        <v>PRINCIPALE</v>
      </c>
      <c r="C9" t="str">
        <f>'TV LAAYOUNE'!B18</f>
        <v>Charges sociales diverses</v>
      </c>
      <c r="D9" s="56">
        <f>'TV LAAYOUNE'!D18</f>
        <v>300000</v>
      </c>
      <c r="E9" s="56">
        <f>'TV LAAYOUNE'!E18</f>
        <v>0</v>
      </c>
      <c r="F9" s="56">
        <f>'TV LAAYOUNE'!F18</f>
        <v>0</v>
      </c>
      <c r="G9" s="67">
        <f>'TV LAAYOUNE'!G18</f>
        <v>0</v>
      </c>
      <c r="H9" s="67">
        <v>0</v>
      </c>
      <c r="I9" s="56">
        <f>'TV LAAYOUNE'!H18</f>
        <v>0</v>
      </c>
      <c r="J9" s="56">
        <f>'TV LAAYOUNE'!I18</f>
        <v>0</v>
      </c>
      <c r="K9" s="56">
        <f>'TV LAAYOUNE'!J18</f>
        <v>300000</v>
      </c>
    </row>
    <row r="10" spans="1:14" x14ac:dyDescent="0.35">
      <c r="A10" t="s">
        <v>5</v>
      </c>
      <c r="B10" t="str">
        <f>IF('TV LAAYOUNE'!A19="","",SUBSTITUTE(SUBSTITUTE('TV LAAYOUNE'!A19,CHAR(10),"")," ",""))</f>
        <v>ANNEXE</v>
      </c>
      <c r="C10" t="str">
        <f>'TV LAAYOUNE'!B19</f>
        <v xml:space="preserve">Achats de productions et de programmes
Achat des programmes en production interne </v>
      </c>
      <c r="D10" s="56">
        <f>'TV LAAYOUNE'!D19</f>
        <v>1622030</v>
      </c>
      <c r="E10" s="56">
        <f>'TV LAAYOUNE'!E19</f>
        <v>0</v>
      </c>
      <c r="F10" s="56">
        <f>'TV LAAYOUNE'!F19</f>
        <v>0</v>
      </c>
      <c r="G10" s="67">
        <f>'TV LAAYOUNE'!G19</f>
        <v>0</v>
      </c>
      <c r="H10" s="67">
        <v>0</v>
      </c>
      <c r="I10" s="56">
        <f>'TV LAAYOUNE'!H19</f>
        <v>0</v>
      </c>
      <c r="J10" s="56">
        <f>'TV LAAYOUNE'!I19</f>
        <v>0</v>
      </c>
      <c r="K10" s="56">
        <f>'TV LAAYOUNE'!J19</f>
        <v>1622030</v>
      </c>
    </row>
    <row r="11" spans="1:14" x14ac:dyDescent="0.35">
      <c r="A11" t="s">
        <v>5</v>
      </c>
      <c r="B11" t="str">
        <f>IF('TV LAAYOUNE'!A19="","",SUBSTITUTE(SUBSTITUTE('TV LAAYOUNE'!A19,CHAR(10),"")," ",""))</f>
        <v>ANNEXE</v>
      </c>
      <c r="C11" t="str">
        <f>'TV LAAYOUNE'!B20</f>
        <v>Déplacements, missions et réceptions</v>
      </c>
      <c r="D11" s="56">
        <f>'TV LAAYOUNE'!D20</f>
        <v>800000</v>
      </c>
      <c r="E11" s="56">
        <f>'TV LAAYOUNE'!E20</f>
        <v>0</v>
      </c>
      <c r="F11" s="56">
        <f>'TV LAAYOUNE'!F20</f>
        <v>0</v>
      </c>
      <c r="G11" s="67">
        <f>'TV LAAYOUNE'!G20</f>
        <v>0</v>
      </c>
      <c r="H11" s="67">
        <v>0</v>
      </c>
      <c r="I11" s="56">
        <f>'TV LAAYOUNE'!H20</f>
        <v>0</v>
      </c>
      <c r="J11" s="56">
        <f>'TV LAAYOUNE'!I20</f>
        <v>0</v>
      </c>
      <c r="K11" s="56">
        <f>'TV LAAYOUNE'!J20</f>
        <v>800000</v>
      </c>
    </row>
    <row r="12" spans="1:14" x14ac:dyDescent="0.35">
      <c r="A12" t="s">
        <v>220</v>
      </c>
      <c r="C12" t="str">
        <f>'TDF -SITES'!A12</f>
        <v>Prestations de service
Achat prestations de services locales - sociétés</v>
      </c>
      <c r="D12" s="56">
        <f>'TDF -SITES'!D12</f>
        <v>2404600</v>
      </c>
      <c r="E12" s="56">
        <f>'TDF -SITES'!E12</f>
        <v>0</v>
      </c>
      <c r="F12" s="56">
        <f>'TDF -SITES'!F12</f>
        <v>0</v>
      </c>
      <c r="G12" s="67">
        <f>'TDF -SITES'!G12</f>
        <v>919800</v>
      </c>
      <c r="H12" s="67">
        <f>'TDF -SITES'!H12</f>
        <v>0</v>
      </c>
      <c r="I12" s="56">
        <f>'TDF -SITES'!J12</f>
        <v>0</v>
      </c>
      <c r="J12" s="56">
        <f>'TDF -SITES'!I12</f>
        <v>0</v>
      </c>
      <c r="K12" s="56">
        <f>'TDF -SITES'!L12</f>
        <v>1484800</v>
      </c>
    </row>
    <row r="13" spans="1:14" x14ac:dyDescent="0.35">
      <c r="A13" t="s">
        <v>220</v>
      </c>
      <c r="C13" t="str">
        <f>'TDF -SITES'!A13</f>
        <v>Redevances satellitaires</v>
      </c>
      <c r="D13" s="56">
        <f>'TDF -SITES'!D13</f>
        <v>92680944.359999999</v>
      </c>
      <c r="E13" s="56">
        <f>'TDF -SITES'!E13</f>
        <v>0</v>
      </c>
      <c r="F13" s="56">
        <f>'TDF -SITES'!F13</f>
        <v>0</v>
      </c>
      <c r="G13" s="67">
        <f>'TDF -SITES'!G13</f>
        <v>92680944.359999999</v>
      </c>
      <c r="H13" s="67">
        <f>'TDF -SITES'!H13</f>
        <v>0</v>
      </c>
      <c r="I13" s="56">
        <f>'TDF -SITES'!J13</f>
        <v>0</v>
      </c>
      <c r="J13" s="56">
        <f>'TDF -SITES'!I13</f>
        <v>0</v>
      </c>
      <c r="K13" s="56">
        <f>'TDF -SITES'!L13</f>
        <v>0</v>
      </c>
    </row>
    <row r="14" spans="1:14" x14ac:dyDescent="0.35">
      <c r="A14" t="s">
        <v>220</v>
      </c>
      <c r="C14" t="str">
        <f>'TDF -SITES'!A14</f>
        <v>Entretien, réparation et assurance</v>
      </c>
      <c r="D14" s="56">
        <f>'TDF -SITES'!D14</f>
        <v>3437760</v>
      </c>
      <c r="E14" s="56">
        <f>'TDF -SITES'!E14</f>
        <v>0</v>
      </c>
      <c r="F14" s="56">
        <f>'TDF -SITES'!F14</f>
        <v>0</v>
      </c>
      <c r="G14" s="67">
        <f>'TDF -SITES'!G14</f>
        <v>1337760</v>
      </c>
      <c r="H14" s="67">
        <f>'TDF -SITES'!H14</f>
        <v>144800</v>
      </c>
      <c r="I14" s="56">
        <f>'TDF -SITES'!J14</f>
        <v>966473.6</v>
      </c>
      <c r="J14" s="56">
        <f>'TDF -SITES'!I14</f>
        <v>0</v>
      </c>
      <c r="K14" s="56">
        <f>'TDF -SITES'!L14</f>
        <v>988726.4</v>
      </c>
    </row>
    <row r="15" spans="1:14" x14ac:dyDescent="0.35">
      <c r="A15" t="s">
        <v>220</v>
      </c>
      <c r="C15" t="str">
        <f>'TDF -SITES'!A15</f>
        <v>Redevances et cotisations</v>
      </c>
      <c r="D15" s="56">
        <f>'TDF -SITES'!D15</f>
        <v>12969388.99</v>
      </c>
      <c r="E15" s="56">
        <f>'TDF -SITES'!E15</f>
        <v>0</v>
      </c>
      <c r="F15" s="56">
        <f>'TDF -SITES'!F15</f>
        <v>0</v>
      </c>
      <c r="G15" s="67">
        <f>'TDF -SITES'!G15</f>
        <v>12969388.99</v>
      </c>
      <c r="H15" s="67">
        <f>'TDF -SITES'!H15</f>
        <v>0</v>
      </c>
      <c r="I15" s="56">
        <f>'TDF -SITES'!J15</f>
        <v>0</v>
      </c>
      <c r="J15" s="56">
        <f>'TDF -SITES'!I15</f>
        <v>0</v>
      </c>
      <c r="K15" s="56">
        <f>'TDF -SITES'!L15</f>
        <v>0</v>
      </c>
    </row>
    <row r="16" spans="1:14" x14ac:dyDescent="0.35">
      <c r="A16" t="s">
        <v>220</v>
      </c>
      <c r="C16" t="str">
        <f>'TDF -SITES'!A16</f>
        <v>Charges sociales diverses</v>
      </c>
      <c r="D16" s="56">
        <f>'TDF -SITES'!D16</f>
        <v>500000</v>
      </c>
      <c r="E16" s="56">
        <f>'TDF -SITES'!E16</f>
        <v>0</v>
      </c>
      <c r="F16" s="56">
        <f>'TDF -SITES'!F16</f>
        <v>0</v>
      </c>
      <c r="G16" s="67">
        <f>'TDF -SITES'!G16</f>
        <v>0</v>
      </c>
      <c r="H16" s="67">
        <f>'TDF -SITES'!H16</f>
        <v>0</v>
      </c>
      <c r="I16" s="56">
        <f>'TDF -SITES'!J16</f>
        <v>0</v>
      </c>
      <c r="J16" s="56">
        <f>'TDF -SITES'!I16</f>
        <v>0</v>
      </c>
      <c r="K16" s="56">
        <f>'TDF -SITES'!L16</f>
        <v>500000</v>
      </c>
    </row>
    <row r="17" spans="1:11" x14ac:dyDescent="0.35">
      <c r="A17" t="s">
        <v>221</v>
      </c>
      <c r="C17" t="str">
        <f>'TDF-EXP&amp;MAIN'!A13</f>
        <v>Achats de matières et fournitures consommables</v>
      </c>
      <c r="D17" s="56">
        <f>'TDF-EXP&amp;MAIN'!D13</f>
        <v>19200000</v>
      </c>
      <c r="E17" s="56">
        <f>'TDF-EXP&amp;MAIN'!E13</f>
        <v>6239952</v>
      </c>
      <c r="F17" s="56">
        <f>'TDF-EXP&amp;MAIN'!F13</f>
        <v>0</v>
      </c>
      <c r="G17" s="67">
        <f>'TDF-EXP&amp;MAIN'!G13</f>
        <v>0</v>
      </c>
      <c r="H17" s="67">
        <v>0</v>
      </c>
      <c r="I17" s="56">
        <f>'TDF-EXP&amp;MAIN'!H13</f>
        <v>832134</v>
      </c>
      <c r="J17" s="56">
        <f>'TDF-EXP&amp;MAIN'!I13</f>
        <v>6239959.2000000002</v>
      </c>
      <c r="K17" s="56">
        <f>'TDF-EXP&amp;MAIN'!K13</f>
        <v>5887954.7999999998</v>
      </c>
    </row>
    <row r="18" spans="1:11" x14ac:dyDescent="0.35">
      <c r="A18" t="s">
        <v>221</v>
      </c>
      <c r="C18" t="str">
        <f>'TDF-EXP&amp;MAIN'!A14</f>
        <v xml:space="preserve">Achats non stockés de matières et fournitures </v>
      </c>
      <c r="D18" s="56">
        <f>'TDF-EXP&amp;MAIN'!D14</f>
        <v>1500000</v>
      </c>
      <c r="E18" s="56">
        <f>'TDF-EXP&amp;MAIN'!E14</f>
        <v>0</v>
      </c>
      <c r="F18" s="56">
        <f>'TDF-EXP&amp;MAIN'!F14</f>
        <v>0</v>
      </c>
      <c r="G18" s="67">
        <f>'TDF-EXP&amp;MAIN'!G14</f>
        <v>0</v>
      </c>
      <c r="H18" s="67">
        <v>0</v>
      </c>
      <c r="I18" s="56">
        <f>'TDF-EXP&amp;MAIN'!H14</f>
        <v>0</v>
      </c>
      <c r="J18" s="56">
        <f>'TDF-EXP&amp;MAIN'!I14</f>
        <v>0</v>
      </c>
      <c r="K18" s="56">
        <f>'TDF-EXP&amp;MAIN'!K14</f>
        <v>1500000</v>
      </c>
    </row>
    <row r="19" spans="1:11" x14ac:dyDescent="0.35">
      <c r="A19" t="s">
        <v>221</v>
      </c>
      <c r="C19" t="str">
        <f>'TDF-EXP&amp;MAIN'!A15</f>
        <v>Prestations de service
Achat prestations de services locales - sociétés</v>
      </c>
      <c r="D19" s="56">
        <f>'TDF-EXP&amp;MAIN'!D15</f>
        <v>840000</v>
      </c>
      <c r="E19" s="56">
        <f>'TDF-EXP&amp;MAIN'!E15</f>
        <v>0</v>
      </c>
      <c r="F19" s="56">
        <f>'TDF-EXP&amp;MAIN'!F15</f>
        <v>0</v>
      </c>
      <c r="G19" s="67">
        <f>'TDF-EXP&amp;MAIN'!G15</f>
        <v>150936</v>
      </c>
      <c r="H19" s="67">
        <v>0</v>
      </c>
      <c r="I19" s="56">
        <f>'TDF-EXP&amp;MAIN'!H15</f>
        <v>0</v>
      </c>
      <c r="J19" s="56">
        <f>'TDF-EXP&amp;MAIN'!I15</f>
        <v>0</v>
      </c>
      <c r="K19" s="56">
        <f>'TDF-EXP&amp;MAIN'!K15</f>
        <v>689064</v>
      </c>
    </row>
    <row r="20" spans="1:11" x14ac:dyDescent="0.35">
      <c r="A20" t="s">
        <v>221</v>
      </c>
      <c r="C20" t="str">
        <f>'TDF-EXP&amp;MAIN'!A16</f>
        <v>Entretien, réparation et assurance</v>
      </c>
      <c r="D20" s="56">
        <f>'TDF-EXP&amp;MAIN'!D16</f>
        <v>10560000</v>
      </c>
      <c r="E20" s="56">
        <f>'TDF-EXP&amp;MAIN'!E16</f>
        <v>0</v>
      </c>
      <c r="F20" s="56">
        <f>'TDF-EXP&amp;MAIN'!F16</f>
        <v>0</v>
      </c>
      <c r="G20" s="67">
        <f>'TDF-EXP&amp;MAIN'!G16</f>
        <v>0</v>
      </c>
      <c r="H20" s="67">
        <v>0</v>
      </c>
      <c r="I20" s="56">
        <f>'TDF-EXP&amp;MAIN'!H16</f>
        <v>0</v>
      </c>
      <c r="J20" s="56">
        <f>'TDF-EXP&amp;MAIN'!I16</f>
        <v>6300000</v>
      </c>
      <c r="K20" s="56">
        <f>'TDF-EXP&amp;MAIN'!K16</f>
        <v>4260000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5</vt:i4>
      </vt:variant>
    </vt:vector>
  </HeadingPairs>
  <TitlesOfParts>
    <vt:vector size="13" baseType="lpstr">
      <vt:lpstr>Fiche Direction</vt:lpstr>
      <vt:lpstr>SUIVI BUDGETAIRE RECAP</vt:lpstr>
      <vt:lpstr>POSTE</vt:lpstr>
      <vt:lpstr>COMPTE</vt:lpstr>
      <vt:lpstr>TV LAAYOUNE</vt:lpstr>
      <vt:lpstr>TDF -SITES</vt:lpstr>
      <vt:lpstr>TDF-EXP&amp;MAIN</vt:lpstr>
      <vt:lpstr>Donnees Consolidees</vt:lpstr>
      <vt:lpstr>'Fiche Direction'!Zone_d_impression</vt:lpstr>
      <vt:lpstr>'SUIVI BUDGETAIRE RECAP'!Zone_d_impression</vt:lpstr>
      <vt:lpstr>'TDF -SITES'!Zone_d_impression</vt:lpstr>
      <vt:lpstr>'TDF-EXP&amp;MAIN'!Zone_d_impression</vt:lpstr>
      <vt:lpstr>'TV LAAYOUNE'!Zone_d_impression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TALEB Nora</dc:creator>
  <cp:lastModifiedBy>HP</cp:lastModifiedBy>
  <cp:revision>112</cp:revision>
  <cp:lastPrinted>2026-07-01T13:46:43Z</cp:lastPrinted>
  <dcterms:created xsi:type="dcterms:W3CDTF">2024-01-03T12:42:00Z</dcterms:created>
  <dcterms:modified xsi:type="dcterms:W3CDTF">2026-07-13T11:45:55Z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D4AB701F08914AC9AB02E59EEE3D4C97_12</vt:lpwstr>
  </property>
  <property fmtid="{D5CDD505-2E9C-101B-9397-08002B2CF9AE}" pid="3" name="KSOProductBuildVer">
    <vt:lpwstr>1036-12.1.0.26880</vt:lpwstr>
  </property>
  <property fmtid="{D5CDD505-2E9C-101B-9397-08002B2CF9AE}" pid="4" name="CalculationRule">
    <vt:i4>0</vt:i4>
  </property>
</Properties>
</file>