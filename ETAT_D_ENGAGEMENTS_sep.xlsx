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lamaamla\Desktop\Budget2026\ElaborationBudget\"/>
    </mc:Choice>
  </mc:AlternateContent>
  <bookViews>
    <workbookView xWindow="0" yWindow="0" windowWidth="15525" windowHeight="11475" tabRatio="499" activeTab="1"/>
  </bookViews>
  <sheets>
    <sheet name="Parametres" sheetId="1" r:id="rId1"/>
    <sheet name="ENGAGEMENTS 2026" sheetId="2" r:id="rId2"/>
    <sheet name="lignes" sheetId="3" r:id="rId3"/>
  </sheets>
  <definedNames>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2026'!$L:$L</definedName>
    <definedName name="cc">Parametres!$A$80:$A$94</definedName>
    <definedName name="DIRECTION">#REF!</definedName>
    <definedName name="ENGAGE">Parametres!$A$99</definedName>
    <definedName name="Estimation">'ENGAGEMENTS 2026'!$O:$O</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2026'!$M:$M</definedName>
    <definedName name="MntENG">'ENGAGEMENTS 2026'!$AD:$AD</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2026'!$AE:$AE</definedName>
    <definedName name="TypBudget">Parametres!$A$2:$A$5</definedName>
    <definedName name="TypeBudget">'ENGAGEMENTS 2026'!$K:$K</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52511"/>
</workbook>
</file>

<file path=xl/calcChain.xml><?xml version="1.0" encoding="utf-8"?>
<calcChain xmlns="http://schemas.openxmlformats.org/spreadsheetml/2006/main">
  <c r="N685" i="2" l="1"/>
  <c r="N682" i="2" l="1"/>
  <c r="N680" i="2" l="1"/>
  <c r="AC574" i="2" l="1"/>
  <c r="AC573" i="2"/>
  <c r="N673" i="2" l="1"/>
  <c r="N671" i="2" l="1"/>
  <c r="N670" i="2"/>
  <c r="N669" i="2"/>
  <c r="N668" i="2"/>
  <c r="N666" i="2"/>
  <c r="AC665" i="2"/>
  <c r="N662" i="2"/>
  <c r="N661" i="2"/>
  <c r="N660" i="2"/>
  <c r="N659" i="2"/>
  <c r="AD655" i="2"/>
  <c r="AD654" i="2"/>
  <c r="AD653" i="2"/>
  <c r="AD652" i="2"/>
  <c r="AD651" i="2"/>
  <c r="N646" i="2"/>
  <c r="N645" i="2"/>
  <c r="N642" i="2"/>
  <c r="N631" i="2"/>
  <c r="N630" i="2"/>
  <c r="P628" i="2"/>
  <c r="N628" i="2"/>
  <c r="P627" i="2"/>
  <c r="N627" i="2"/>
  <c r="P623" i="2"/>
  <c r="N623" i="2"/>
  <c r="AA622" i="2"/>
  <c r="AD622" i="2" s="1"/>
  <c r="AD621" i="2"/>
  <c r="P620" i="2"/>
  <c r="N620" i="2"/>
  <c r="P619" i="2"/>
  <c r="N619" i="2"/>
  <c r="AD615" i="2"/>
  <c r="AA615" i="2"/>
  <c r="P614" i="2"/>
  <c r="N614" i="2"/>
  <c r="P608" i="2"/>
  <c r="N608" i="2"/>
  <c r="P607" i="2"/>
  <c r="AD606" i="2"/>
  <c r="AA606" i="2"/>
  <c r="AD605" i="2"/>
  <c r="AA605" i="2"/>
  <c r="P604" i="2"/>
  <c r="N604" i="2"/>
  <c r="P603" i="2"/>
  <c r="N601" i="2"/>
  <c r="AC599" i="2"/>
  <c r="AA599" i="2"/>
  <c r="AD599" i="2" s="1"/>
  <c r="AC595" i="2"/>
  <c r="AA595" i="2"/>
  <c r="AD595" i="2" s="1"/>
  <c r="P593" i="2"/>
  <c r="N593" i="2"/>
  <c r="P592" i="2"/>
  <c r="N592" i="2"/>
  <c r="AC591" i="2"/>
  <c r="Y591" i="2" s="1"/>
  <c r="AA591" i="2"/>
  <c r="P589" i="2"/>
  <c r="N589" i="2"/>
  <c r="P588" i="2"/>
  <c r="N588" i="2"/>
  <c r="P587" i="2"/>
  <c r="N587" i="2"/>
  <c r="P586" i="2"/>
  <c r="N586" i="2"/>
  <c r="P585" i="2"/>
  <c r="N585" i="2"/>
  <c r="P584" i="2"/>
  <c r="N584" i="2"/>
  <c r="P583" i="2"/>
  <c r="N583" i="2"/>
  <c r="P582" i="2"/>
  <c r="N582" i="2"/>
  <c r="AC581" i="2"/>
  <c r="Y581" i="2" s="1"/>
  <c r="AA581" i="2"/>
  <c r="P580" i="2"/>
  <c r="N580" i="2"/>
  <c r="AC579" i="2"/>
  <c r="AA579" i="2"/>
  <c r="P579" i="2"/>
  <c r="N579" i="2"/>
  <c r="P578" i="2"/>
  <c r="N578" i="2"/>
  <c r="P577" i="2"/>
  <c r="N577" i="2"/>
  <c r="P576" i="2"/>
  <c r="N576" i="2"/>
  <c r="AD575" i="2"/>
  <c r="AC575" i="2"/>
  <c r="P574" i="2"/>
  <c r="N574" i="2"/>
  <c r="P573" i="2"/>
  <c r="N573" i="2"/>
  <c r="P572" i="2"/>
  <c r="N572" i="2"/>
  <c r="AC571" i="2"/>
  <c r="AD571" i="2" s="1"/>
  <c r="AD569" i="2"/>
  <c r="AC569" i="2"/>
  <c r="AD568" i="2"/>
  <c r="AC568" i="2"/>
  <c r="P567" i="2"/>
  <c r="N567" i="2"/>
  <c r="AC565" i="2"/>
  <c r="AA565" i="2" s="1"/>
  <c r="Z565" i="2"/>
  <c r="Y565" i="2"/>
  <c r="P564" i="2"/>
  <c r="N564" i="2"/>
  <c r="P563" i="2"/>
  <c r="N563" i="2"/>
  <c r="AD562" i="2"/>
  <c r="Z562" i="2"/>
  <c r="AC562" i="2" s="1"/>
  <c r="P562" i="2"/>
  <c r="N562" i="2"/>
  <c r="AD561" i="2"/>
  <c r="AC561" i="2"/>
  <c r="P560" i="2"/>
  <c r="N560" i="2"/>
  <c r="P559" i="2"/>
  <c r="N559" i="2"/>
  <c r="P558" i="2"/>
  <c r="N558" i="2"/>
  <c r="AC557" i="2"/>
  <c r="Y557" i="2" s="1"/>
  <c r="AB557" i="2"/>
  <c r="AA557" i="2"/>
  <c r="P557" i="2"/>
  <c r="N557" i="2"/>
  <c r="AC556" i="2"/>
  <c r="Y556" i="2" s="1"/>
  <c r="AA556" i="2"/>
  <c r="AC555" i="2"/>
  <c r="AA555" i="2" s="1"/>
  <c r="Y555" i="2" s="1"/>
  <c r="AC552" i="2"/>
  <c r="P552" i="2"/>
  <c r="N552" i="2"/>
  <c r="P551" i="2"/>
  <c r="N551" i="2"/>
  <c r="P550" i="2"/>
  <c r="N550" i="2"/>
  <c r="AD549" i="2"/>
  <c r="AC549" i="2"/>
  <c r="AD548" i="2"/>
  <c r="AC548" i="2"/>
  <c r="P548" i="2"/>
  <c r="N548" i="2"/>
  <c r="P547" i="2"/>
  <c r="N547" i="2"/>
  <c r="AD546" i="2"/>
  <c r="AC546" i="2"/>
  <c r="AA546" i="2"/>
  <c r="AD545" i="2"/>
  <c r="AC545" i="2"/>
  <c r="AA545" i="2"/>
  <c r="AD544" i="2"/>
  <c r="AC544" i="2"/>
  <c r="AA544" i="2"/>
  <c r="AD543" i="2"/>
  <c r="AC543" i="2"/>
  <c r="AA543" i="2"/>
  <c r="AD542" i="2"/>
  <c r="AC542" i="2"/>
  <c r="AC541" i="2"/>
  <c r="AD541" i="2" s="1"/>
  <c r="AA541" i="2"/>
  <c r="AC540" i="2"/>
  <c r="AD540" i="2" s="1"/>
  <c r="AC539" i="2"/>
  <c r="AD539" i="2" s="1"/>
  <c r="AC538" i="2"/>
  <c r="AD538" i="2" s="1"/>
  <c r="P537" i="2"/>
  <c r="N537" i="2"/>
  <c r="AC536" i="2"/>
  <c r="Y536" i="2" s="1"/>
  <c r="AA536" i="2"/>
  <c r="AC535" i="2"/>
  <c r="Y535" i="2" s="1"/>
  <c r="AA535" i="2"/>
  <c r="AC534" i="2"/>
  <c r="Y534" i="2" s="1"/>
  <c r="AA534" i="2"/>
  <c r="AC533" i="2"/>
  <c r="Y533" i="2" s="1"/>
  <c r="AA533" i="2"/>
  <c r="AC532" i="2"/>
  <c r="Y532" i="2" s="1"/>
  <c r="AA532" i="2"/>
  <c r="AD531" i="2"/>
  <c r="AC531" i="2"/>
  <c r="AD530" i="2"/>
  <c r="AC530" i="2"/>
  <c r="AD529" i="2"/>
  <c r="AC529" i="2"/>
  <c r="AC528" i="2"/>
  <c r="Y528" i="2" s="1"/>
  <c r="AA528" i="2"/>
  <c r="AC527" i="2"/>
  <c r="Y527" i="2" s="1"/>
  <c r="AA527" i="2"/>
  <c r="AC526" i="2"/>
  <c r="Y526" i="2" s="1"/>
  <c r="AA526" i="2"/>
  <c r="AC525" i="2"/>
  <c r="Y525" i="2" s="1"/>
  <c r="AA525" i="2"/>
  <c r="AC523" i="2"/>
  <c r="Y523" i="2" s="1"/>
  <c r="AA523" i="2"/>
  <c r="AA522" i="2"/>
  <c r="Y522" i="2"/>
  <c r="AC521" i="2"/>
  <c r="AA521" i="2" s="1"/>
  <c r="AD520" i="2"/>
  <c r="Y520" i="2"/>
  <c r="AC520" i="2" s="1"/>
  <c r="AD519" i="2"/>
  <c r="Y519" i="2"/>
  <c r="AC519" i="2" s="1"/>
  <c r="AC518" i="2"/>
  <c r="Y518" i="2" s="1"/>
  <c r="AA518" i="2"/>
  <c r="AA508" i="2"/>
  <c r="Y508" i="2"/>
  <c r="AA500" i="2"/>
  <c r="AD499" i="2"/>
  <c r="AD498" i="2"/>
  <c r="AD497" i="2"/>
  <c r="AD496" i="2"/>
  <c r="AD495" i="2"/>
  <c r="AD494" i="2"/>
  <c r="AD493" i="2"/>
  <c r="AD492" i="2"/>
  <c r="AD491" i="2"/>
  <c r="AD490" i="2"/>
  <c r="AD489" i="2"/>
  <c r="AD488" i="2"/>
  <c r="AD487" i="2"/>
  <c r="AD486" i="2"/>
  <c r="AD484" i="2"/>
  <c r="Y484" i="2"/>
  <c r="AC484" i="2" s="1"/>
  <c r="AD483" i="2"/>
  <c r="AC483" i="2"/>
  <c r="AD482" i="2"/>
  <c r="AC482" i="2"/>
  <c r="AD480" i="2"/>
  <c r="AC480" i="2"/>
  <c r="AD478" i="2"/>
  <c r="AC478" i="2"/>
  <c r="AD477" i="2"/>
  <c r="AC477" i="2"/>
  <c r="AC476" i="2"/>
  <c r="AA476" i="2" s="1"/>
  <c r="AC475" i="2"/>
  <c r="AA475" i="2" s="1"/>
  <c r="AC474" i="2"/>
  <c r="AA474" i="2" s="1"/>
  <c r="AC473" i="2"/>
  <c r="AC472" i="2"/>
  <c r="AA472" i="2" s="1"/>
  <c r="AC471" i="2"/>
  <c r="Y471" i="2" s="1"/>
  <c r="AC470" i="2"/>
  <c r="AA470" i="2" s="1"/>
  <c r="AC469" i="2"/>
  <c r="AC468" i="2"/>
  <c r="AA468" i="2" s="1"/>
  <c r="AC467" i="2"/>
  <c r="Y467" i="2" s="1"/>
  <c r="AC466" i="2"/>
  <c r="AA466" i="2" s="1"/>
  <c r="AC465" i="2"/>
  <c r="AC464" i="2"/>
  <c r="AA464" i="2" s="1"/>
  <c r="AC463" i="2"/>
  <c r="Y463" i="2" s="1"/>
  <c r="AC462" i="2"/>
  <c r="AA462" i="2" s="1"/>
  <c r="AC461" i="2"/>
  <c r="AC460" i="2"/>
  <c r="AA460" i="2" s="1"/>
  <c r="AC459" i="2"/>
  <c r="AA459" i="2" s="1"/>
  <c r="AC458" i="2"/>
  <c r="AA458" i="2" s="1"/>
  <c r="AC457" i="2"/>
  <c r="AC456" i="2"/>
  <c r="AA456" i="2" s="1"/>
  <c r="AC455" i="2"/>
  <c r="Y455" i="2" s="1"/>
  <c r="AC454" i="2"/>
  <c r="AA454" i="2" s="1"/>
  <c r="AC453" i="2"/>
  <c r="AC452" i="2"/>
  <c r="AA452" i="2" s="1"/>
  <c r="AC451" i="2"/>
  <c r="AA451" i="2" s="1"/>
  <c r="AC450" i="2"/>
  <c r="AA450" i="2" s="1"/>
  <c r="AC449" i="2"/>
  <c r="AC448" i="2"/>
  <c r="AA448" i="2" s="1"/>
  <c r="AC447" i="2"/>
  <c r="Y447" i="2" s="1"/>
  <c r="AC446" i="2"/>
  <c r="AA446" i="2" s="1"/>
  <c r="AD445" i="2"/>
  <c r="P445" i="2"/>
  <c r="N445" i="2"/>
  <c r="AA444" i="2"/>
  <c r="AD444" i="2" s="1"/>
  <c r="AA443" i="2"/>
  <c r="AA442" i="2"/>
  <c r="AC442" i="2" s="1"/>
  <c r="AD441" i="2"/>
  <c r="AC441" i="2"/>
  <c r="AD440" i="2"/>
  <c r="AC440" i="2"/>
  <c r="AD439" i="2"/>
  <c r="Z439" i="2"/>
  <c r="Y439" i="2"/>
  <c r="AC439" i="2" s="1"/>
  <c r="P439" i="2"/>
  <c r="N439" i="2"/>
  <c r="AA438" i="2"/>
  <c r="AD438" i="2" s="1"/>
  <c r="AB437" i="2"/>
  <c r="AA437" i="2"/>
  <c r="AC437" i="2" s="1"/>
  <c r="AD437" i="2" s="1"/>
  <c r="AB436" i="2"/>
  <c r="AA436" i="2"/>
  <c r="AD436" i="2" s="1"/>
  <c r="AC435" i="2"/>
  <c r="AA435" i="2" s="1"/>
  <c r="Y435" i="2" s="1"/>
  <c r="P434" i="2"/>
  <c r="N434" i="2"/>
  <c r="AC433" i="2"/>
  <c r="Y433" i="2" s="1"/>
  <c r="AA433" i="2"/>
  <c r="P433" i="2"/>
  <c r="N433" i="2"/>
  <c r="P432" i="2"/>
  <c r="N432" i="2"/>
  <c r="P431" i="2"/>
  <c r="N431" i="2"/>
  <c r="AD430" i="2"/>
  <c r="Z430" i="2"/>
  <c r="Y430" i="2"/>
  <c r="AC430" i="2" s="1"/>
  <c r="P430" i="2"/>
  <c r="N430" i="2"/>
  <c r="P428" i="2"/>
  <c r="N428" i="2"/>
  <c r="AD427" i="2"/>
  <c r="Y427" i="2"/>
  <c r="AC427" i="2" s="1"/>
  <c r="P427" i="2"/>
  <c r="N427" i="2"/>
  <c r="AC426" i="2"/>
  <c r="Y426" i="2" s="1"/>
  <c r="AA426" i="2"/>
  <c r="P426" i="2"/>
  <c r="N426" i="2"/>
  <c r="P425" i="2"/>
  <c r="N425" i="2"/>
  <c r="AD424" i="2"/>
  <c r="AC424" i="2"/>
  <c r="AD423" i="2"/>
  <c r="AC423" i="2"/>
  <c r="AA422" i="2"/>
  <c r="AC422" i="2" s="1"/>
  <c r="AD422" i="2" s="1"/>
  <c r="AA418" i="2"/>
  <c r="AC418" i="2" s="1"/>
  <c r="AD418" i="2" s="1"/>
  <c r="P415" i="2"/>
  <c r="N415" i="2"/>
  <c r="AC414" i="2"/>
  <c r="Y414" i="2" s="1"/>
  <c r="P414" i="2"/>
  <c r="N414" i="2"/>
  <c r="AD413" i="2"/>
  <c r="AC413" i="2"/>
  <c r="AD412" i="2"/>
  <c r="AC412" i="2"/>
  <c r="P411" i="2"/>
  <c r="N411" i="2"/>
  <c r="AC410" i="2"/>
  <c r="Y410" i="2" s="1"/>
  <c r="AA410" i="2"/>
  <c r="P410" i="2"/>
  <c r="N410" i="2"/>
  <c r="AD404" i="2"/>
  <c r="Y404" i="2"/>
  <c r="AC404" i="2" s="1"/>
  <c r="P404" i="2"/>
  <c r="N404" i="2"/>
  <c r="AD403" i="2"/>
  <c r="Y403" i="2"/>
  <c r="AC403" i="2" s="1"/>
  <c r="P403" i="2"/>
  <c r="N403" i="2"/>
  <c r="AD402" i="2"/>
  <c r="AC402" i="2"/>
  <c r="AD401" i="2"/>
  <c r="AC401" i="2"/>
  <c r="AD400" i="2"/>
  <c r="AC400" i="2"/>
  <c r="AD399" i="2"/>
  <c r="Y399" i="2"/>
  <c r="AC399" i="2" s="1"/>
  <c r="P399" i="2"/>
  <c r="N399" i="2"/>
  <c r="AD398" i="2"/>
  <c r="Y398" i="2"/>
  <c r="AC398" i="2" s="1"/>
  <c r="AD397" i="2"/>
  <c r="AC397" i="2"/>
  <c r="AD396" i="2"/>
  <c r="Y396" i="2"/>
  <c r="AC396" i="2" s="1"/>
  <c r="P396" i="2"/>
  <c r="N396" i="2"/>
  <c r="AD395" i="2"/>
  <c r="Y395" i="2"/>
  <c r="AC395" i="2" s="1"/>
  <c r="P395" i="2"/>
  <c r="N395" i="2"/>
  <c r="AD394" i="2"/>
  <c r="AC394" i="2"/>
  <c r="AA393" i="2"/>
  <c r="AD393" i="2" s="1"/>
  <c r="AD392" i="2"/>
  <c r="AC392" i="2"/>
  <c r="AD391" i="2"/>
  <c r="AC391" i="2"/>
  <c r="AA390" i="2"/>
  <c r="AC390" i="2" s="1"/>
  <c r="AD390" i="2" s="1"/>
  <c r="AC389" i="2"/>
  <c r="Y389" i="2" s="1"/>
  <c r="AA389" i="2"/>
  <c r="P389" i="2"/>
  <c r="N389" i="2"/>
  <c r="AD388" i="2"/>
  <c r="AC388" i="2"/>
  <c r="P388" i="2"/>
  <c r="N388" i="2"/>
  <c r="AB387" i="2"/>
  <c r="AA387" i="2"/>
  <c r="AD387" i="2" s="1"/>
  <c r="AA386" i="2"/>
  <c r="AA385" i="2"/>
  <c r="AC385" i="2" s="1"/>
  <c r="AA384" i="2"/>
  <c r="AD384" i="2" s="1"/>
  <c r="AA383" i="2"/>
  <c r="AD383" i="2" s="1"/>
  <c r="AB382" i="2"/>
  <c r="AA382" i="2"/>
  <c r="AD382" i="2" s="1"/>
  <c r="AB381" i="2"/>
  <c r="AA381" i="2"/>
  <c r="AD381" i="2" s="1"/>
  <c r="AB380" i="2"/>
  <c r="AA380" i="2"/>
  <c r="AD380" i="2" s="1"/>
  <c r="P379" i="2"/>
  <c r="N379" i="2"/>
  <c r="P378" i="2"/>
  <c r="N378" i="2"/>
  <c r="P377" i="2"/>
  <c r="N377" i="2"/>
  <c r="P376" i="2"/>
  <c r="N376" i="2"/>
  <c r="AA375" i="2"/>
  <c r="Y375" i="2"/>
  <c r="AD374" i="2"/>
  <c r="AC374" i="2"/>
  <c r="AD373" i="2"/>
  <c r="Y373" i="2"/>
  <c r="AC373" i="2" s="1"/>
  <c r="P373" i="2"/>
  <c r="N373" i="2"/>
  <c r="AC372" i="2"/>
  <c r="Y372" i="2" s="1"/>
  <c r="AA372" i="2"/>
  <c r="P372" i="2"/>
  <c r="N372" i="2"/>
  <c r="AD371" i="2"/>
  <c r="AC371" i="2"/>
  <c r="Y371" i="2" s="1"/>
  <c r="AA371" i="2"/>
  <c r="P371" i="2"/>
  <c r="N371" i="2"/>
  <c r="AC370" i="2"/>
  <c r="Y370" i="2" s="1"/>
  <c r="P370" i="2"/>
  <c r="N370" i="2"/>
  <c r="AD369" i="2"/>
  <c r="AC369" i="2"/>
  <c r="AD368" i="2"/>
  <c r="AC368" i="2"/>
  <c r="AD367" i="2"/>
  <c r="AC367" i="2"/>
  <c r="AD366" i="2"/>
  <c r="AC366" i="2"/>
  <c r="AD365" i="2"/>
  <c r="Y365" i="2"/>
  <c r="AC365" i="2" s="1"/>
  <c r="P363" i="2"/>
  <c r="N363" i="2"/>
  <c r="P362" i="2"/>
  <c r="N362" i="2"/>
  <c r="AD361" i="2"/>
  <c r="AC361" i="2"/>
  <c r="AD360" i="2"/>
  <c r="AC360" i="2"/>
  <c r="P359" i="2"/>
  <c r="N359" i="2"/>
  <c r="P358" i="2"/>
  <c r="N358" i="2"/>
  <c r="AC356" i="2"/>
  <c r="Y356" i="2" s="1"/>
  <c r="AA356" i="2"/>
  <c r="AC355" i="2"/>
  <c r="Y355" i="2" s="1"/>
  <c r="AA355" i="2"/>
  <c r="AD354" i="2"/>
  <c r="Y354" i="2"/>
  <c r="AC354" i="2" s="1"/>
  <c r="P354" i="2"/>
  <c r="N354" i="2"/>
  <c r="P353" i="2"/>
  <c r="N353" i="2"/>
  <c r="AC352" i="2"/>
  <c r="Y352" i="2" s="1"/>
  <c r="AA352" i="2"/>
  <c r="P352" i="2"/>
  <c r="N352" i="2"/>
  <c r="AC351" i="2"/>
  <c r="Y351" i="2" s="1"/>
  <c r="AA351" i="2"/>
  <c r="P351" i="2"/>
  <c r="N351" i="2"/>
  <c r="AD349" i="2"/>
  <c r="AC349" i="2"/>
  <c r="AD348" i="2"/>
  <c r="Y348" i="2"/>
  <c r="AC348" i="2" s="1"/>
  <c r="P348" i="2"/>
  <c r="N348" i="2"/>
  <c r="AD347" i="2"/>
  <c r="AD346" i="2"/>
  <c r="AC346" i="2"/>
  <c r="AA346" i="2"/>
  <c r="AC345" i="2"/>
  <c r="AA345" i="2"/>
  <c r="AD345" i="2" s="1"/>
  <c r="AD344" i="2"/>
  <c r="AC344" i="2"/>
  <c r="AD343" i="2"/>
  <c r="AC343" i="2"/>
  <c r="AD342" i="2"/>
  <c r="AC342" i="2"/>
  <c r="AD341" i="2"/>
  <c r="AC341" i="2"/>
  <c r="P341" i="2"/>
  <c r="N341" i="2"/>
  <c r="AD340" i="2"/>
  <c r="AD339" i="2"/>
  <c r="Y339" i="2"/>
  <c r="AC339" i="2" s="1"/>
  <c r="AD338" i="2"/>
  <c r="AC338" i="2"/>
  <c r="AD337" i="2"/>
  <c r="AC337" i="2"/>
  <c r="AD336" i="2"/>
  <c r="AC336" i="2"/>
  <c r="AD335" i="2"/>
  <c r="AC335" i="2"/>
  <c r="AD334" i="2"/>
  <c r="Y334" i="2"/>
  <c r="AC334" i="2" s="1"/>
  <c r="P334" i="2"/>
  <c r="N334" i="2"/>
  <c r="AD333" i="2"/>
  <c r="Y333" i="2"/>
  <c r="AC333" i="2" s="1"/>
  <c r="P333" i="2"/>
  <c r="N333" i="2"/>
  <c r="P332" i="2"/>
  <c r="N332" i="2"/>
  <c r="P331" i="2"/>
  <c r="N331" i="2"/>
  <c r="AD330" i="2"/>
  <c r="Y330" i="2"/>
  <c r="AC330" i="2" s="1"/>
  <c r="P330" i="2"/>
  <c r="N330" i="2"/>
  <c r="P329" i="2"/>
  <c r="N329" i="2"/>
  <c r="P328" i="2"/>
  <c r="N328" i="2"/>
  <c r="P327" i="2"/>
  <c r="N327" i="2"/>
  <c r="AD326" i="2"/>
  <c r="Y326" i="2"/>
  <c r="AC326" i="2" s="1"/>
  <c r="P326" i="2"/>
  <c r="AC304" i="2"/>
  <c r="AA304" i="2"/>
  <c r="AD304" i="2" s="1"/>
  <c r="AC303" i="2"/>
  <c r="AA303" i="2"/>
  <c r="AD303" i="2" s="1"/>
  <c r="AC302" i="2"/>
  <c r="AA302" i="2"/>
  <c r="AD302" i="2" s="1"/>
  <c r="AC301" i="2"/>
  <c r="AA301" i="2"/>
  <c r="AD301" i="2" s="1"/>
  <c r="AC300" i="2"/>
  <c r="AA300" i="2"/>
  <c r="AD300" i="2" s="1"/>
  <c r="AC299" i="2"/>
  <c r="AA299" i="2"/>
  <c r="AD299" i="2" s="1"/>
  <c r="AC298" i="2"/>
  <c r="AA298" i="2"/>
  <c r="AD298" i="2" s="1"/>
  <c r="AC297" i="2"/>
  <c r="AA297" i="2"/>
  <c r="AD297" i="2" s="1"/>
  <c r="AC296" i="2"/>
  <c r="AA296" i="2"/>
  <c r="AD296" i="2" s="1"/>
  <c r="AC295" i="2"/>
  <c r="AA295" i="2"/>
  <c r="AD295" i="2" s="1"/>
  <c r="AC294" i="2"/>
  <c r="AA294" i="2"/>
  <c r="AD294" i="2" s="1"/>
  <c r="AC293" i="2"/>
  <c r="AA293" i="2"/>
  <c r="AD293" i="2" s="1"/>
  <c r="AC292" i="2"/>
  <c r="AA292" i="2"/>
  <c r="AD292" i="2" s="1"/>
  <c r="AC291" i="2"/>
  <c r="AA291" i="2"/>
  <c r="AD291" i="2" s="1"/>
  <c r="AC290" i="2"/>
  <c r="AA290" i="2"/>
  <c r="AD290" i="2" s="1"/>
  <c r="AC289" i="2"/>
  <c r="AA289" i="2"/>
  <c r="AD289" i="2" s="1"/>
  <c r="AC288" i="2"/>
  <c r="AA288" i="2"/>
  <c r="AD288" i="2" s="1"/>
  <c r="AC287" i="2"/>
  <c r="AA287" i="2"/>
  <c r="AD287" i="2" s="1"/>
  <c r="AC286" i="2"/>
  <c r="AA286" i="2"/>
  <c r="AD286" i="2" s="1"/>
  <c r="AC285" i="2"/>
  <c r="AA285" i="2"/>
  <c r="AD285" i="2" s="1"/>
  <c r="AC284" i="2"/>
  <c r="AA284" i="2"/>
  <c r="AD284" i="2" s="1"/>
  <c r="AC283" i="2"/>
  <c r="AA283" i="2"/>
  <c r="AD283" i="2" s="1"/>
  <c r="AC282" i="2"/>
  <c r="AA282" i="2"/>
  <c r="AD282" i="2" s="1"/>
  <c r="AC281" i="2"/>
  <c r="AA281" i="2"/>
  <c r="AD281" i="2" s="1"/>
  <c r="AC280" i="2"/>
  <c r="AA280" i="2"/>
  <c r="AD280" i="2" s="1"/>
  <c r="AC279" i="2"/>
  <c r="AA279" i="2"/>
  <c r="AD279" i="2" s="1"/>
  <c r="AC278" i="2"/>
  <c r="AA278" i="2"/>
  <c r="AD278" i="2" s="1"/>
  <c r="AC277" i="2"/>
  <c r="AA277" i="2"/>
  <c r="AD277" i="2" s="1"/>
  <c r="AC276" i="2"/>
  <c r="AA276" i="2"/>
  <c r="AD276" i="2" s="1"/>
  <c r="AC275" i="2"/>
  <c r="AA275" i="2"/>
  <c r="AD275" i="2" s="1"/>
  <c r="AC274" i="2"/>
  <c r="AA274" i="2"/>
  <c r="AD274" i="2" s="1"/>
  <c r="AC273" i="2"/>
  <c r="AA273" i="2"/>
  <c r="AD273" i="2" s="1"/>
  <c r="AC272" i="2"/>
  <c r="AA272" i="2"/>
  <c r="AD272" i="2" s="1"/>
  <c r="AC271" i="2"/>
  <c r="AA271" i="2"/>
  <c r="AD271" i="2" s="1"/>
  <c r="AC270" i="2"/>
  <c r="AA270" i="2"/>
  <c r="AD270" i="2" s="1"/>
  <c r="AC269" i="2"/>
  <c r="AA269" i="2"/>
  <c r="AD269" i="2" s="1"/>
  <c r="AC268" i="2"/>
  <c r="AA268" i="2"/>
  <c r="AD268" i="2" s="1"/>
  <c r="AC267" i="2"/>
  <c r="AA267" i="2"/>
  <c r="AD267" i="2" s="1"/>
  <c r="AC266" i="2"/>
  <c r="AA266" i="2"/>
  <c r="AD266" i="2" s="1"/>
  <c r="AC265" i="2"/>
  <c r="AA265" i="2"/>
  <c r="AD265" i="2" s="1"/>
  <c r="AC264" i="2"/>
  <c r="AA264" i="2"/>
  <c r="AD264" i="2" s="1"/>
  <c r="AC263" i="2"/>
  <c r="AA263" i="2"/>
  <c r="AD263" i="2" s="1"/>
  <c r="AC262" i="2"/>
  <c r="AA262" i="2"/>
  <c r="AD262" i="2" s="1"/>
  <c r="AC261" i="2"/>
  <c r="AA261" i="2"/>
  <c r="AD261" i="2" s="1"/>
  <c r="AC260" i="2"/>
  <c r="AA260" i="2"/>
  <c r="AD260" i="2" s="1"/>
  <c r="AC259" i="2"/>
  <c r="AA259" i="2"/>
  <c r="AD259" i="2" s="1"/>
  <c r="AC258" i="2"/>
  <c r="AA258" i="2"/>
  <c r="AD258" i="2" s="1"/>
  <c r="AC257" i="2"/>
  <c r="AA257" i="2"/>
  <c r="AD257" i="2" s="1"/>
  <c r="AC256" i="2"/>
  <c r="AA256" i="2"/>
  <c r="AD256" i="2" s="1"/>
  <c r="AC255" i="2"/>
  <c r="AA255" i="2"/>
  <c r="AD255" i="2" s="1"/>
  <c r="AC254" i="2"/>
  <c r="AA254" i="2"/>
  <c r="AD254" i="2" s="1"/>
  <c r="AC253" i="2"/>
  <c r="AA253" i="2"/>
  <c r="AD253" i="2" s="1"/>
  <c r="AC252" i="2"/>
  <c r="AA252" i="2"/>
  <c r="AD252" i="2" s="1"/>
  <c r="AC251" i="2"/>
  <c r="AA251" i="2"/>
  <c r="AD251" i="2" s="1"/>
  <c r="AC250" i="2"/>
  <c r="AA250" i="2"/>
  <c r="AD250" i="2" s="1"/>
  <c r="AC249" i="2"/>
  <c r="AA249" i="2"/>
  <c r="AD249" i="2" s="1"/>
  <c r="AC248" i="2"/>
  <c r="AA248" i="2"/>
  <c r="AD248" i="2" s="1"/>
  <c r="AC247" i="2"/>
  <c r="AA247" i="2"/>
  <c r="AD247" i="2" s="1"/>
  <c r="AC246" i="2"/>
  <c r="AA246" i="2"/>
  <c r="AD246" i="2" s="1"/>
  <c r="AC245" i="2"/>
  <c r="AA245" i="2"/>
  <c r="AD245" i="2" s="1"/>
  <c r="AC244" i="2"/>
  <c r="AA244" i="2"/>
  <c r="AD244" i="2" s="1"/>
  <c r="AC243" i="2"/>
  <c r="AA243" i="2"/>
  <c r="AD243" i="2" s="1"/>
  <c r="AC242" i="2"/>
  <c r="AA242" i="2"/>
  <c r="AD242" i="2" s="1"/>
  <c r="AC241" i="2"/>
  <c r="AA241" i="2"/>
  <c r="AD241" i="2" s="1"/>
  <c r="AC240" i="2"/>
  <c r="AA240" i="2"/>
  <c r="AD240" i="2" s="1"/>
  <c r="AC239" i="2"/>
  <c r="AA239" i="2"/>
  <c r="AD239" i="2" s="1"/>
  <c r="AC238" i="2"/>
  <c r="AA238" i="2"/>
  <c r="AD238" i="2" s="1"/>
  <c r="AC237" i="2"/>
  <c r="AA237" i="2"/>
  <c r="AD237" i="2" s="1"/>
  <c r="AC236" i="2"/>
  <c r="AA236" i="2"/>
  <c r="AD236" i="2" s="1"/>
  <c r="AC234" i="2"/>
  <c r="AA234" i="2"/>
  <c r="AD234" i="2" s="1"/>
  <c r="AC233" i="2"/>
  <c r="AA233" i="2"/>
  <c r="AD233" i="2" s="1"/>
  <c r="AC232" i="2"/>
  <c r="AA232" i="2"/>
  <c r="AD232" i="2" s="1"/>
  <c r="AC231" i="2"/>
  <c r="AA231" i="2"/>
  <c r="AD231" i="2" s="1"/>
  <c r="AC230" i="2"/>
  <c r="AA230" i="2"/>
  <c r="AD230" i="2" s="1"/>
  <c r="AC229" i="2"/>
  <c r="AA229" i="2"/>
  <c r="AD229" i="2" s="1"/>
  <c r="AC228" i="2"/>
  <c r="AA228" i="2"/>
  <c r="AD228" i="2" s="1"/>
  <c r="AC227" i="2"/>
  <c r="AA227" i="2"/>
  <c r="AD227" i="2" s="1"/>
  <c r="AC226" i="2"/>
  <c r="AA226" i="2"/>
  <c r="AD226" i="2" s="1"/>
  <c r="AC225" i="2"/>
  <c r="AA225" i="2"/>
  <c r="AD225" i="2" s="1"/>
  <c r="AC224" i="2"/>
  <c r="AA224" i="2"/>
  <c r="AD224" i="2" s="1"/>
  <c r="AC223" i="2"/>
  <c r="AA223" i="2"/>
  <c r="AD223" i="2" s="1"/>
  <c r="AC222" i="2"/>
  <c r="AA222" i="2"/>
  <c r="AD222" i="2" s="1"/>
  <c r="AC221" i="2"/>
  <c r="AA221" i="2"/>
  <c r="AD221" i="2" s="1"/>
  <c r="AC220" i="2"/>
  <c r="AA220" i="2"/>
  <c r="AD220" i="2" s="1"/>
  <c r="AC219" i="2"/>
  <c r="AA219" i="2"/>
  <c r="AD219" i="2" s="1"/>
  <c r="AC218" i="2"/>
  <c r="AA218" i="2"/>
  <c r="AD218" i="2" s="1"/>
  <c r="AC217" i="2"/>
  <c r="AA217" i="2"/>
  <c r="AD217" i="2" s="1"/>
  <c r="AC216" i="2"/>
  <c r="AA216" i="2"/>
  <c r="AD216" i="2" s="1"/>
  <c r="AC215" i="2"/>
  <c r="AA215" i="2"/>
  <c r="AD215" i="2" s="1"/>
  <c r="AC214" i="2"/>
  <c r="AA214" i="2"/>
  <c r="AD214" i="2" s="1"/>
  <c r="AC213" i="2"/>
  <c r="AA213" i="2"/>
  <c r="AD213" i="2" s="1"/>
  <c r="AC212" i="2"/>
  <c r="AA212" i="2"/>
  <c r="AD212" i="2" s="1"/>
  <c r="AC211" i="2"/>
  <c r="AA211" i="2"/>
  <c r="AD211" i="2" s="1"/>
  <c r="AC210" i="2"/>
  <c r="AA210" i="2"/>
  <c r="AD210" i="2" s="1"/>
  <c r="AC209" i="2"/>
  <c r="AA209" i="2"/>
  <c r="AD209" i="2" s="1"/>
  <c r="AC208" i="2"/>
  <c r="AA208" i="2"/>
  <c r="AD208" i="2" s="1"/>
  <c r="AC207" i="2"/>
  <c r="AA207" i="2"/>
  <c r="AD207" i="2" s="1"/>
  <c r="AC206" i="2"/>
  <c r="AA206" i="2"/>
  <c r="AD206" i="2" s="1"/>
  <c r="AC205" i="2"/>
  <c r="AA205" i="2"/>
  <c r="AD205" i="2" s="1"/>
  <c r="AC204" i="2"/>
  <c r="AA204" i="2"/>
  <c r="AD204" i="2" s="1"/>
  <c r="AC203" i="2"/>
  <c r="AA203" i="2"/>
  <c r="AD203" i="2" s="1"/>
  <c r="AC202" i="2"/>
  <c r="AA202" i="2"/>
  <c r="AD202" i="2" s="1"/>
  <c r="AC201" i="2"/>
  <c r="AA201" i="2"/>
  <c r="AD201" i="2" s="1"/>
  <c r="AC200" i="2"/>
  <c r="AA200" i="2"/>
  <c r="AD200" i="2" s="1"/>
  <c r="AC199" i="2"/>
  <c r="AA199" i="2"/>
  <c r="AD199" i="2" s="1"/>
  <c r="AC198" i="2"/>
  <c r="AA198" i="2"/>
  <c r="AD198" i="2" s="1"/>
  <c r="AC197" i="2"/>
  <c r="AA197" i="2"/>
  <c r="AD197" i="2" s="1"/>
  <c r="AC196" i="2"/>
  <c r="AA196" i="2"/>
  <c r="AD196" i="2" s="1"/>
  <c r="AC195" i="2"/>
  <c r="AA195" i="2"/>
  <c r="AD195" i="2" s="1"/>
  <c r="AC194" i="2"/>
  <c r="AA194" i="2"/>
  <c r="AD194" i="2" s="1"/>
  <c r="AC193" i="2"/>
  <c r="AA193" i="2"/>
  <c r="AD193" i="2" s="1"/>
  <c r="AC192" i="2"/>
  <c r="AA192" i="2"/>
  <c r="AD192" i="2" s="1"/>
  <c r="AC191" i="2"/>
  <c r="AA191" i="2"/>
  <c r="AD191" i="2" s="1"/>
  <c r="AC190" i="2"/>
  <c r="AA190" i="2"/>
  <c r="AD190" i="2" s="1"/>
  <c r="AC189" i="2"/>
  <c r="AA189" i="2"/>
  <c r="AD189" i="2" s="1"/>
  <c r="AC188" i="2"/>
  <c r="AA188" i="2"/>
  <c r="AD188" i="2" s="1"/>
  <c r="AC187" i="2"/>
  <c r="AA187" i="2"/>
  <c r="AD187" i="2" s="1"/>
  <c r="AC186" i="2"/>
  <c r="AA186" i="2"/>
  <c r="AD186" i="2" s="1"/>
  <c r="AC185" i="2"/>
  <c r="AA185" i="2"/>
  <c r="AD185" i="2" s="1"/>
  <c r="AC184" i="2"/>
  <c r="AA184" i="2"/>
  <c r="AD184" i="2" s="1"/>
  <c r="AC183" i="2"/>
  <c r="AA183" i="2"/>
  <c r="AD183" i="2" s="1"/>
  <c r="AC182" i="2"/>
  <c r="AA182" i="2"/>
  <c r="AD182" i="2" s="1"/>
  <c r="AC181" i="2"/>
  <c r="AA181" i="2"/>
  <c r="AD181" i="2" s="1"/>
  <c r="AC180" i="2"/>
  <c r="AA180" i="2"/>
  <c r="AD180" i="2" s="1"/>
  <c r="AC179" i="2"/>
  <c r="AA179" i="2"/>
  <c r="AD179" i="2" s="1"/>
  <c r="AC178" i="2"/>
  <c r="AA178" i="2"/>
  <c r="AD178" i="2" s="1"/>
  <c r="AC177" i="2"/>
  <c r="AA177" i="2"/>
  <c r="AD177" i="2" s="1"/>
  <c r="AC176" i="2"/>
  <c r="AA176" i="2"/>
  <c r="AD176" i="2" s="1"/>
  <c r="AC175" i="2"/>
  <c r="AA175" i="2"/>
  <c r="AD175" i="2" s="1"/>
  <c r="AC174" i="2"/>
  <c r="AA174" i="2"/>
  <c r="AD174" i="2" s="1"/>
  <c r="AC173" i="2"/>
  <c r="AA173" i="2"/>
  <c r="AD173" i="2" s="1"/>
  <c r="AC172" i="2"/>
  <c r="AA172" i="2"/>
  <c r="AD172" i="2" s="1"/>
  <c r="AC171" i="2"/>
  <c r="AA171" i="2"/>
  <c r="AD171" i="2" s="1"/>
  <c r="AC170" i="2"/>
  <c r="AA170" i="2"/>
  <c r="AD170" i="2" s="1"/>
  <c r="AC169" i="2"/>
  <c r="AA169" i="2"/>
  <c r="AD169" i="2" s="1"/>
  <c r="AC168" i="2"/>
  <c r="AA168" i="2"/>
  <c r="AD168" i="2" s="1"/>
  <c r="AC167" i="2"/>
  <c r="AA167" i="2"/>
  <c r="AD167" i="2" s="1"/>
  <c r="AC166" i="2"/>
  <c r="AA166" i="2"/>
  <c r="AD166" i="2" s="1"/>
  <c r="AC165" i="2"/>
  <c r="AA165" i="2"/>
  <c r="AD165" i="2" s="1"/>
  <c r="AC164" i="2"/>
  <c r="AA164" i="2"/>
  <c r="AD164" i="2" s="1"/>
  <c r="AC163" i="2"/>
  <c r="AA163" i="2"/>
  <c r="AD163" i="2" s="1"/>
  <c r="AC162" i="2"/>
  <c r="AA162" i="2"/>
  <c r="AD162" i="2" s="1"/>
  <c r="AC161" i="2"/>
  <c r="AA161" i="2"/>
  <c r="AD161" i="2" s="1"/>
  <c r="AC160" i="2"/>
  <c r="AA160" i="2"/>
  <c r="AD160" i="2" s="1"/>
  <c r="AC159" i="2"/>
  <c r="AA159" i="2"/>
  <c r="AD159" i="2" s="1"/>
  <c r="AC158" i="2"/>
  <c r="AA158" i="2"/>
  <c r="AD158" i="2" s="1"/>
  <c r="AC157" i="2"/>
  <c r="AA157" i="2"/>
  <c r="AD157" i="2" s="1"/>
  <c r="AC156" i="2"/>
  <c r="AA156" i="2"/>
  <c r="AD156" i="2" s="1"/>
  <c r="AC155" i="2"/>
  <c r="AA155" i="2"/>
  <c r="AD155" i="2" s="1"/>
  <c r="AC154" i="2"/>
  <c r="AA154" i="2"/>
  <c r="AD154" i="2" s="1"/>
  <c r="AC153" i="2"/>
  <c r="AA153" i="2"/>
  <c r="AD153" i="2" s="1"/>
  <c r="AC152" i="2"/>
  <c r="AA152" i="2"/>
  <c r="AD152" i="2" s="1"/>
  <c r="AC151" i="2"/>
  <c r="AA151" i="2"/>
  <c r="AD151" i="2" s="1"/>
  <c r="AC150" i="2"/>
  <c r="AA150" i="2"/>
  <c r="AD150" i="2" s="1"/>
  <c r="AC149" i="2"/>
  <c r="AA149" i="2"/>
  <c r="AD149" i="2" s="1"/>
  <c r="AC148" i="2"/>
  <c r="AA148" i="2"/>
  <c r="AD148" i="2" s="1"/>
  <c r="AC147" i="2"/>
  <c r="AA147" i="2"/>
  <c r="AD147" i="2" s="1"/>
  <c r="AC146" i="2"/>
  <c r="AA146" i="2"/>
  <c r="AD146" i="2" s="1"/>
  <c r="AC145" i="2"/>
  <c r="AA145" i="2"/>
  <c r="AD145" i="2" s="1"/>
  <c r="AC144" i="2"/>
  <c r="AA144" i="2"/>
  <c r="AD144" i="2" s="1"/>
  <c r="AC143" i="2"/>
  <c r="AA143" i="2"/>
  <c r="AD143" i="2" s="1"/>
  <c r="AC142" i="2"/>
  <c r="AA142" i="2"/>
  <c r="AD142" i="2" s="1"/>
  <c r="AC141" i="2"/>
  <c r="AA141" i="2"/>
  <c r="AD141" i="2" s="1"/>
  <c r="AC140" i="2"/>
  <c r="AA140" i="2"/>
  <c r="AD140" i="2" s="1"/>
  <c r="AC139" i="2"/>
  <c r="AA139" i="2"/>
  <c r="AD139" i="2" s="1"/>
  <c r="AC138" i="2"/>
  <c r="AA138" i="2"/>
  <c r="AD138" i="2" s="1"/>
  <c r="AC137" i="2"/>
  <c r="AA137" i="2"/>
  <c r="AD137" i="2" s="1"/>
  <c r="AC136" i="2"/>
  <c r="AA136" i="2"/>
  <c r="AD136" i="2" s="1"/>
  <c r="AC135" i="2"/>
  <c r="AA135" i="2"/>
  <c r="AD135" i="2" s="1"/>
  <c r="AC134" i="2"/>
  <c r="AA134" i="2"/>
  <c r="AD134" i="2" s="1"/>
  <c r="AC133" i="2"/>
  <c r="AA133" i="2"/>
  <c r="AD133" i="2" s="1"/>
  <c r="AC132" i="2"/>
  <c r="AA132" i="2"/>
  <c r="AD132" i="2" s="1"/>
  <c r="AC131" i="2"/>
  <c r="AA131" i="2"/>
  <c r="AD131" i="2" s="1"/>
  <c r="AC130" i="2"/>
  <c r="AA130" i="2"/>
  <c r="AD130" i="2" s="1"/>
  <c r="AC129" i="2"/>
  <c r="AA129" i="2"/>
  <c r="AD129" i="2" s="1"/>
  <c r="AC128" i="2"/>
  <c r="AA128" i="2"/>
  <c r="AD128" i="2" s="1"/>
  <c r="AC127" i="2"/>
  <c r="AA127" i="2"/>
  <c r="AD127" i="2" s="1"/>
  <c r="AC126" i="2"/>
  <c r="AA126" i="2"/>
  <c r="AD126" i="2" s="1"/>
  <c r="AC125" i="2"/>
  <c r="AA125" i="2"/>
  <c r="AD125" i="2" s="1"/>
  <c r="AC124" i="2"/>
  <c r="AA124" i="2"/>
  <c r="AD124" i="2" s="1"/>
  <c r="AC123" i="2"/>
  <c r="AA123" i="2"/>
  <c r="AD123" i="2" s="1"/>
  <c r="AC122" i="2"/>
  <c r="AA122" i="2"/>
  <c r="AD122" i="2" s="1"/>
  <c r="AC121" i="2"/>
  <c r="AA121" i="2"/>
  <c r="AD121" i="2" s="1"/>
  <c r="AA120" i="2"/>
  <c r="AC120" i="2" s="1"/>
  <c r="AD120" i="2" s="1"/>
  <c r="AA119" i="2"/>
  <c r="AC119" i="2" s="1"/>
  <c r="AD119" i="2" s="1"/>
  <c r="AA118" i="2"/>
  <c r="AC118" i="2" s="1"/>
  <c r="AD118" i="2" s="1"/>
  <c r="AA117" i="2"/>
  <c r="AC117" i="2" s="1"/>
  <c r="AD117" i="2" s="1"/>
  <c r="AA116" i="2"/>
  <c r="AC116" i="2" s="1"/>
  <c r="AD116" i="2" s="1"/>
  <c r="AA115" i="2"/>
  <c r="AC115" i="2" s="1"/>
  <c r="AD115" i="2" s="1"/>
  <c r="AA114" i="2"/>
  <c r="AC114" i="2" s="1"/>
  <c r="AD114" i="2" s="1"/>
  <c r="AA113" i="2"/>
  <c r="AC113" i="2" s="1"/>
  <c r="AD113" i="2" s="1"/>
  <c r="AA112" i="2"/>
  <c r="AC112" i="2" s="1"/>
  <c r="AD112" i="2" s="1"/>
  <c r="AA111" i="2"/>
  <c r="AC111" i="2" s="1"/>
  <c r="AD111" i="2" s="1"/>
  <c r="AA110" i="2"/>
  <c r="AC110" i="2" s="1"/>
  <c r="AD110" i="2" s="1"/>
  <c r="AA109" i="2"/>
  <c r="AC109" i="2" s="1"/>
  <c r="AD109" i="2" s="1"/>
  <c r="AA108" i="2"/>
  <c r="AC108" i="2" s="1"/>
  <c r="AD108" i="2" s="1"/>
  <c r="AA107" i="2"/>
  <c r="AC107" i="2" s="1"/>
  <c r="AD107" i="2" s="1"/>
  <c r="AC106" i="2"/>
  <c r="AA106" i="2"/>
  <c r="AD106" i="2" s="1"/>
  <c r="AC105" i="2"/>
  <c r="AA105" i="2"/>
  <c r="AD105" i="2" s="1"/>
  <c r="AC104" i="2"/>
  <c r="AA104" i="2"/>
  <c r="AD104" i="2" s="1"/>
  <c r="AC103" i="2"/>
  <c r="AA103" i="2"/>
  <c r="AD103" i="2" s="1"/>
  <c r="AD102" i="2"/>
  <c r="AC102" i="2"/>
  <c r="AD101" i="2"/>
  <c r="AC101" i="2"/>
  <c r="AA101" i="2"/>
  <c r="AD100" i="2"/>
  <c r="AC100" i="2"/>
  <c r="AA100" i="2"/>
  <c r="AD99" i="2"/>
  <c r="AC99" i="2"/>
  <c r="AA99" i="2"/>
  <c r="AD98" i="2"/>
  <c r="AC98" i="2"/>
  <c r="AA98" i="2"/>
  <c r="AD97" i="2"/>
  <c r="AC97" i="2"/>
  <c r="AA97" i="2"/>
  <c r="AD96" i="2"/>
  <c r="AC96" i="2"/>
  <c r="AA96" i="2"/>
  <c r="AD95" i="2"/>
  <c r="AC95" i="2"/>
  <c r="AA95" i="2"/>
  <c r="AD94" i="2"/>
  <c r="AC94" i="2"/>
  <c r="AA94" i="2"/>
  <c r="AD92" i="2"/>
  <c r="AC92" i="2"/>
  <c r="AA92" i="2"/>
  <c r="AD91" i="2"/>
  <c r="AC91" i="2"/>
  <c r="AA91" i="2"/>
  <c r="AD90" i="2"/>
  <c r="AC90" i="2"/>
  <c r="AA90" i="2"/>
  <c r="AD89" i="2"/>
  <c r="AC89" i="2"/>
  <c r="AA89" i="2"/>
  <c r="AD88" i="2"/>
  <c r="AC88" i="2"/>
  <c r="AA88" i="2"/>
  <c r="AD87" i="2"/>
  <c r="AC87" i="2"/>
  <c r="AD86" i="2"/>
  <c r="AC86" i="2"/>
  <c r="AD85" i="2"/>
  <c r="AC85" i="2"/>
  <c r="AA85" i="2"/>
  <c r="AD84" i="2"/>
  <c r="AC84" i="2"/>
  <c r="AA84" i="2"/>
  <c r="AD83" i="2"/>
  <c r="AC83" i="2"/>
  <c r="AA83" i="2"/>
  <c r="AD81" i="2"/>
  <c r="AC81" i="2"/>
  <c r="AA81" i="2"/>
  <c r="AD80" i="2"/>
  <c r="AC80" i="2"/>
  <c r="AA80" i="2"/>
  <c r="AD79" i="2"/>
  <c r="AC79" i="2"/>
  <c r="AA79" i="2"/>
  <c r="AD78" i="2"/>
  <c r="AC78" i="2"/>
  <c r="AA78" i="2"/>
  <c r="AD77" i="2"/>
  <c r="AC77" i="2"/>
  <c r="AA77" i="2"/>
  <c r="AD76" i="2"/>
  <c r="AC76" i="2"/>
  <c r="AA76" i="2"/>
  <c r="AD75" i="2"/>
  <c r="AC75" i="2"/>
  <c r="AA75" i="2"/>
  <c r="AD74" i="2"/>
  <c r="AC74" i="2"/>
  <c r="AA74" i="2"/>
  <c r="AD73" i="2"/>
  <c r="AC73" i="2"/>
  <c r="AA73" i="2"/>
  <c r="AD72" i="2"/>
  <c r="AC72" i="2"/>
  <c r="AA72" i="2"/>
  <c r="AD71" i="2"/>
  <c r="AC71" i="2"/>
  <c r="AA71" i="2"/>
  <c r="AD70" i="2"/>
  <c r="AC70" i="2"/>
  <c r="AA70" i="2"/>
  <c r="AD69" i="2"/>
  <c r="AC69" i="2"/>
  <c r="AA69" i="2"/>
  <c r="AD68" i="2"/>
  <c r="AC68" i="2"/>
  <c r="AA68" i="2"/>
  <c r="AD67" i="2"/>
  <c r="AC67" i="2"/>
  <c r="AA67" i="2"/>
  <c r="AD66" i="2"/>
  <c r="AC66" i="2"/>
  <c r="AA66" i="2"/>
  <c r="AD65" i="2"/>
  <c r="AC65" i="2"/>
  <c r="AA65" i="2"/>
  <c r="AD64" i="2"/>
  <c r="AC64" i="2"/>
  <c r="AA64" i="2"/>
  <c r="AD63" i="2"/>
  <c r="AC63" i="2"/>
  <c r="AA63" i="2"/>
  <c r="AD62" i="2"/>
  <c r="AC62" i="2"/>
  <c r="AA62" i="2"/>
  <c r="AD61" i="2"/>
  <c r="AC61" i="2"/>
  <c r="AA61" i="2"/>
  <c r="AD60" i="2"/>
  <c r="AC60" i="2"/>
  <c r="AA60" i="2"/>
  <c r="AD59" i="2"/>
  <c r="AC59" i="2"/>
  <c r="AA59" i="2"/>
  <c r="AD58" i="2"/>
  <c r="AC58" i="2"/>
  <c r="AA58" i="2"/>
  <c r="AD57" i="2"/>
  <c r="AC57" i="2"/>
  <c r="AA57" i="2"/>
  <c r="AD56" i="2"/>
  <c r="AC56" i="2"/>
  <c r="AA56" i="2"/>
  <c r="AD55" i="2"/>
  <c r="AC55" i="2"/>
  <c r="AA55" i="2"/>
  <c r="AD54" i="2"/>
  <c r="AC54" i="2"/>
  <c r="AA54" i="2"/>
  <c r="AD53" i="2"/>
  <c r="AC53" i="2"/>
  <c r="AA53" i="2"/>
  <c r="AD52" i="2"/>
  <c r="AC52" i="2"/>
  <c r="AA52" i="2"/>
  <c r="AD51" i="2"/>
  <c r="AC51" i="2"/>
  <c r="AA51" i="2"/>
  <c r="AD50" i="2"/>
  <c r="AC50" i="2"/>
  <c r="AA50" i="2"/>
  <c r="AD49" i="2"/>
  <c r="AC49" i="2"/>
  <c r="AA49" i="2"/>
  <c r="AD48" i="2"/>
  <c r="AC48" i="2"/>
  <c r="AA48" i="2"/>
  <c r="AD47" i="2"/>
  <c r="AC47" i="2"/>
  <c r="AA47" i="2"/>
  <c r="AD46" i="2"/>
  <c r="AC46" i="2"/>
  <c r="AA46" i="2"/>
  <c r="AD45" i="2"/>
  <c r="AC45" i="2"/>
  <c r="AA45" i="2"/>
  <c r="AD44" i="2"/>
  <c r="AC44" i="2"/>
  <c r="AA44" i="2"/>
  <c r="AD43" i="2"/>
  <c r="AC43" i="2"/>
  <c r="AA43" i="2"/>
  <c r="AD42" i="2"/>
  <c r="AC42" i="2"/>
  <c r="AA42" i="2"/>
  <c r="AD41" i="2"/>
  <c r="AC41" i="2"/>
  <c r="AA41" i="2"/>
  <c r="AD40" i="2"/>
  <c r="AC40" i="2"/>
  <c r="AA40" i="2"/>
  <c r="AD39" i="2"/>
  <c r="AC39" i="2"/>
  <c r="AA39" i="2"/>
  <c r="AD38" i="2"/>
  <c r="AC38" i="2"/>
  <c r="AA38" i="2"/>
  <c r="AD37" i="2"/>
  <c r="AC37" i="2"/>
  <c r="AA37" i="2"/>
  <c r="AD36" i="2"/>
  <c r="AC36" i="2"/>
  <c r="AA36" i="2"/>
  <c r="AD35" i="2"/>
  <c r="AC35" i="2"/>
  <c r="AA35" i="2"/>
  <c r="AD34" i="2"/>
  <c r="AC34" i="2"/>
  <c r="AA34" i="2"/>
  <c r="AD33" i="2"/>
  <c r="AC33" i="2"/>
  <c r="AA33" i="2"/>
  <c r="AD32" i="2"/>
  <c r="AC32" i="2"/>
  <c r="AA32" i="2"/>
  <c r="AD31" i="2"/>
  <c r="AC31" i="2"/>
  <c r="AA31" i="2"/>
  <c r="AD30" i="2"/>
  <c r="AC30" i="2"/>
  <c r="AA30" i="2"/>
  <c r="AD29" i="2"/>
  <c r="AC29" i="2"/>
  <c r="AA29" i="2"/>
  <c r="AD28" i="2"/>
  <c r="AC28" i="2"/>
  <c r="AA28" i="2"/>
  <c r="AD27" i="2"/>
  <c r="AC27" i="2"/>
  <c r="AA27" i="2"/>
  <c r="AD26" i="2"/>
  <c r="AC26" i="2"/>
  <c r="AA26" i="2"/>
  <c r="AD25" i="2"/>
  <c r="AC25" i="2"/>
  <c r="AA25" i="2"/>
  <c r="AD24" i="2"/>
  <c r="AC24" i="2"/>
  <c r="AA24" i="2"/>
  <c r="AD23" i="2"/>
  <c r="AC23" i="2"/>
  <c r="AA23" i="2"/>
  <c r="AD22" i="2"/>
  <c r="AC22" i="2"/>
  <c r="AA22" i="2"/>
  <c r="AD21" i="2"/>
  <c r="AC21" i="2"/>
  <c r="AA21" i="2"/>
  <c r="AD20" i="2"/>
  <c r="AC20" i="2"/>
  <c r="AA20" i="2"/>
  <c r="AD19" i="2"/>
  <c r="AC19" i="2"/>
  <c r="AA19" i="2"/>
  <c r="AD18" i="2"/>
  <c r="AC18" i="2"/>
  <c r="AA18" i="2"/>
  <c r="AD17" i="2"/>
  <c r="AC17" i="2"/>
  <c r="AA17" i="2"/>
  <c r="AD16" i="2"/>
  <c r="AC16" i="2"/>
  <c r="AA16" i="2"/>
  <c r="AD15" i="2"/>
  <c r="AC15" i="2"/>
  <c r="AA15" i="2"/>
  <c r="AD14" i="2"/>
  <c r="AC14" i="2"/>
  <c r="AA14" i="2"/>
  <c r="AD13" i="2"/>
  <c r="AC13" i="2"/>
  <c r="AA13" i="2"/>
  <c r="AD12" i="2"/>
  <c r="AC12" i="2"/>
  <c r="AA12" i="2"/>
  <c r="AD11" i="2"/>
  <c r="AC11" i="2"/>
  <c r="AA11" i="2"/>
  <c r="AD10" i="2"/>
  <c r="AC10" i="2"/>
  <c r="AA10" i="2"/>
  <c r="AD9" i="2"/>
  <c r="AC9" i="2"/>
  <c r="AA9" i="2"/>
  <c r="AD8" i="2"/>
  <c r="AC8" i="2"/>
  <c r="AA8" i="2"/>
  <c r="AD7" i="2"/>
  <c r="AC7" i="2"/>
  <c r="AA7" i="2"/>
  <c r="AD6" i="2"/>
  <c r="AC6" i="2"/>
  <c r="AA6" i="2"/>
  <c r="AD5" i="2"/>
  <c r="AC5" i="2"/>
  <c r="AA5" i="2"/>
  <c r="AD4" i="2"/>
  <c r="AC4" i="2"/>
  <c r="AA4" i="2"/>
  <c r="AC3" i="2"/>
  <c r="AB3" i="2"/>
  <c r="AA3" i="2"/>
  <c r="AD3" i="2" s="1"/>
  <c r="C48" i="1"/>
  <c r="C8" i="1"/>
  <c r="Y475" i="2" l="1"/>
  <c r="AC393" i="2"/>
  <c r="Y451" i="2"/>
  <c r="AA463" i="2"/>
  <c r="AA447" i="2"/>
  <c r="AA467" i="2"/>
  <c r="AA455" i="2"/>
  <c r="Y459" i="2"/>
  <c r="AA471" i="2"/>
  <c r="AD385" i="2"/>
  <c r="AC444" i="2"/>
  <c r="AC383" i="2"/>
  <c r="AD442" i="2"/>
  <c r="AC384" i="2"/>
  <c r="AC436" i="2"/>
  <c r="Y448" i="2"/>
  <c r="Y452" i="2"/>
  <c r="Y456" i="2"/>
  <c r="Y460" i="2"/>
  <c r="Y464" i="2"/>
  <c r="Y468" i="2"/>
  <c r="Y472" i="2"/>
  <c r="Y476" i="2"/>
  <c r="AD443" i="2"/>
  <c r="AC443" i="2"/>
  <c r="AD386" i="2"/>
  <c r="AC386" i="2"/>
  <c r="Y453" i="2"/>
  <c r="AA453" i="2"/>
  <c r="Y465" i="2"/>
  <c r="AA465" i="2"/>
  <c r="Y449" i="2"/>
  <c r="AA449" i="2"/>
  <c r="Y457" i="2"/>
  <c r="AA457" i="2"/>
  <c r="Y461" i="2"/>
  <c r="AA461" i="2"/>
  <c r="Y469" i="2"/>
  <c r="AA469" i="2"/>
  <c r="Y473" i="2"/>
  <c r="AA473" i="2"/>
  <c r="AC380" i="2"/>
  <c r="AC381" i="2"/>
  <c r="AC382" i="2"/>
  <c r="AC387" i="2"/>
  <c r="Y446" i="2"/>
  <c r="Y450" i="2"/>
  <c r="Y454" i="2"/>
  <c r="Y458" i="2"/>
  <c r="Y462" i="2"/>
  <c r="Y466" i="2"/>
  <c r="Y470" i="2"/>
  <c r="Y474" i="2"/>
  <c r="Y521" i="2"/>
</calcChain>
</file>

<file path=xl/sharedStrings.xml><?xml version="1.0" encoding="utf-8"?>
<sst xmlns="http://schemas.openxmlformats.org/spreadsheetml/2006/main" count="9755" uniqueCount="1844">
  <si>
    <t>Type de Budget</t>
  </si>
  <si>
    <t>REPORT BUDGET ANNEE ANTERIEURE</t>
  </si>
  <si>
    <t>REPORT BUDGET EXCEP  ANNEE ANTERIEURE</t>
  </si>
  <si>
    <t>Ordinaire</t>
  </si>
  <si>
    <t>Exceptionnel</t>
  </si>
  <si>
    <t>BUDGET</t>
  </si>
  <si>
    <t>FONCTIONNEMENT</t>
  </si>
  <si>
    <t>INVESTISSEMENT</t>
  </si>
  <si>
    <t>Lignes Budget Fonctionnement</t>
  </si>
  <si>
    <t>Achats de productions et de programmes: Acquis définitive Programmes TV externes</t>
  </si>
  <si>
    <t>Achats de productions et de programmes: Acquis définitive pgm Radio externes</t>
  </si>
  <si>
    <t>Achats de productions et de programmes: Achats des programmes en co-production</t>
  </si>
  <si>
    <t>Achats de productions et de programmes: Achat des programmes en production interne - personnes physiques</t>
  </si>
  <si>
    <t>Achats de droits: Achats des droits de captation</t>
  </si>
  <si>
    <t xml:space="preserve">Achats de droits: Cession de Droits de sport </t>
  </si>
  <si>
    <t>Achats de matières et fournitures consommables</t>
  </si>
  <si>
    <t xml:space="preserve">Achats non stockés de matières et fournitures </t>
  </si>
  <si>
    <t>Prestations de service: Achat d'études</t>
  </si>
  <si>
    <t xml:space="preserve">Prestations de service: Achat prestations de services locales - personnes physiques </t>
  </si>
  <si>
    <t>Prestations de service: Achat prestations de services locales - sociétés</t>
  </si>
  <si>
    <t>Prestations de service: Achat prestations de services Etrangères</t>
  </si>
  <si>
    <t>Redevances satellitaires</t>
  </si>
  <si>
    <t>Locations</t>
  </si>
  <si>
    <t>Entretien, réparation et assurance</t>
  </si>
  <si>
    <t>Honoraires et rémunération du personnel occasionnel</t>
  </si>
  <si>
    <t>Redevances et cotisations</t>
  </si>
  <si>
    <t>Déplacements, missions et réceptions</t>
  </si>
  <si>
    <t>Charges marketing et relations publiques</t>
  </si>
  <si>
    <t>Autres charges de fonctionnement</t>
  </si>
  <si>
    <t xml:space="preserve">Charges du personnel </t>
  </si>
  <si>
    <t>Charges sociales</t>
  </si>
  <si>
    <t>Charges sociales diverses</t>
  </si>
  <si>
    <t>Lignes Budget INVESTISSEMENT</t>
  </si>
  <si>
    <t>Frais d'acquisition des immobilisations</t>
  </si>
  <si>
    <t>Prestations de service à immobiliser</t>
  </si>
  <si>
    <t>Immobilisations incorporelles (logiciels, licences, etc.)</t>
  </si>
  <si>
    <t>Agencements et aménagement constructions</t>
  </si>
  <si>
    <t>Installations techniques</t>
  </si>
  <si>
    <t>Equipements de télédiffusion</t>
  </si>
  <si>
    <t>Equipements techniques</t>
  </si>
  <si>
    <t>Moblier de bureau</t>
  </si>
  <si>
    <t>Matériel de bureau</t>
  </si>
  <si>
    <t>Matériel Informatique</t>
  </si>
  <si>
    <t>Autre Matériel et mobilier de bureau</t>
  </si>
  <si>
    <t>Estimation</t>
  </si>
  <si>
    <t>MAD</t>
  </si>
  <si>
    <t>%</t>
  </si>
  <si>
    <t>Estimation Total HT</t>
  </si>
  <si>
    <t>Ecart</t>
  </si>
  <si>
    <t>MNT Partiel</t>
  </si>
  <si>
    <t>Total Marché HT</t>
  </si>
  <si>
    <t xml:space="preserve">DIRECTION </t>
  </si>
  <si>
    <t>PPA</t>
  </si>
  <si>
    <t>Marche</t>
  </si>
  <si>
    <t>TDF</t>
  </si>
  <si>
    <t>TDF -SITES</t>
  </si>
  <si>
    <t>TDF-EXP&amp;MAIN</t>
  </si>
  <si>
    <t>DG</t>
  </si>
  <si>
    <t>DCT</t>
  </si>
  <si>
    <t>RSSI</t>
  </si>
  <si>
    <t>DPMG</t>
  </si>
  <si>
    <t>DRPSD</t>
  </si>
  <si>
    <t>DINFORADIO</t>
  </si>
  <si>
    <t>ARRIYADIA</t>
  </si>
  <si>
    <t>TV LAAYOUNE</t>
  </si>
  <si>
    <t>MAGHRIBIA</t>
  </si>
  <si>
    <t>DMPTV</t>
  </si>
  <si>
    <t>TAMAZIGHT</t>
  </si>
  <si>
    <t>DINFOTV</t>
  </si>
  <si>
    <t>DA</t>
  </si>
  <si>
    <t>DRH</t>
  </si>
  <si>
    <t>DJURIDIQUE</t>
  </si>
  <si>
    <t>ASSADISSA</t>
  </si>
  <si>
    <t>ARRABIAA</t>
  </si>
  <si>
    <t>DCRI</t>
  </si>
  <si>
    <t>DROI</t>
  </si>
  <si>
    <t>DAR</t>
  </si>
  <si>
    <t>DCPA</t>
  </si>
  <si>
    <t>DACG</t>
  </si>
  <si>
    <t>DPPR</t>
  </si>
  <si>
    <t>DF</t>
  </si>
  <si>
    <t>DSI</t>
  </si>
  <si>
    <t>LIGNES BUDGETAIRES</t>
  </si>
  <si>
    <t>AOO/BC</t>
  </si>
  <si>
    <t>Aménagement et construction de bâtiments à usage technique</t>
  </si>
  <si>
    <t>Aménagement et construction de bâtiments administratifs</t>
  </si>
  <si>
    <t>Electrification et installations techniques</t>
  </si>
  <si>
    <t>Equipements audiovisuels RADIO</t>
  </si>
  <si>
    <t>Equipements audiovisuels TV</t>
  </si>
  <si>
    <t>Frais d'acquisition</t>
  </si>
  <si>
    <t>Habillage Radio</t>
  </si>
  <si>
    <t>Logiciels</t>
  </si>
  <si>
    <t>Matériel de diffusion</t>
  </si>
  <si>
    <t>Matériel de transmission</t>
  </si>
  <si>
    <t>Matériel informatique</t>
  </si>
  <si>
    <t>Mobilier de bureau</t>
  </si>
  <si>
    <t>Moyens de contribution mobiles</t>
  </si>
  <si>
    <t>Moyens mobiles</t>
  </si>
  <si>
    <t>STATUT D'ENGAGEMENT</t>
  </si>
  <si>
    <t>EN COURS DE PREENGAGEMENT</t>
  </si>
  <si>
    <t>PREENGAGE</t>
  </si>
  <si>
    <t>EN COURS D'ENGAGEMENT</t>
  </si>
  <si>
    <t>ENGAGE</t>
  </si>
  <si>
    <t>NON ENGAGE</t>
  </si>
  <si>
    <t>TYPE 1</t>
  </si>
  <si>
    <t>AOO</t>
  </si>
  <si>
    <t>AOO-M</t>
  </si>
  <si>
    <t>AOO-CT</t>
  </si>
  <si>
    <t>CA</t>
  </si>
  <si>
    <t>BCL</t>
  </si>
  <si>
    <t>BCI</t>
  </si>
  <si>
    <t>AV MARCHE</t>
  </si>
  <si>
    <t>AV CONTRAT</t>
  </si>
  <si>
    <t>DECISION</t>
  </si>
  <si>
    <t>CONTRAT</t>
  </si>
  <si>
    <t>STATUT 1</t>
  </si>
  <si>
    <t>NON ATTRIBUE</t>
  </si>
  <si>
    <t>REJET</t>
  </si>
  <si>
    <t>INFRUCTUEUX</t>
  </si>
  <si>
    <t>ANNULE</t>
  </si>
  <si>
    <t>EN SIGNATURE</t>
  </si>
  <si>
    <t>VALIDE</t>
  </si>
  <si>
    <t>TYPE DE SUPPORT D'ENGAGEMENT</t>
  </si>
  <si>
    <t>MARCHE</t>
  </si>
  <si>
    <t>STATUT SUPPORT D'ENGAGEMENT</t>
  </si>
  <si>
    <t>MONTANT</t>
  </si>
  <si>
    <t>APPROUVE</t>
  </si>
  <si>
    <t>ATTRIBUE</t>
  </si>
  <si>
    <t>PHASE AOO</t>
  </si>
  <si>
    <t>CATEGORIES</t>
  </si>
  <si>
    <t>PME</t>
  </si>
  <si>
    <t>GENERAL</t>
  </si>
  <si>
    <t>NON CONCERNE</t>
  </si>
  <si>
    <t>Nature type PPA</t>
  </si>
  <si>
    <t>Prévisionnel</t>
  </si>
  <si>
    <t>Engagé</t>
  </si>
  <si>
    <t>CONCRETISE PARTIELLEMENT</t>
  </si>
  <si>
    <t>NATURE BESOIN</t>
  </si>
  <si>
    <t>NOUVEAU BESOIN</t>
  </si>
  <si>
    <t>BESOIN RECURRENT</t>
  </si>
  <si>
    <t>RECONDUCTION</t>
  </si>
  <si>
    <t>RECONDUCTIBLE</t>
  </si>
  <si>
    <t>ANNEE LANCEMENT</t>
  </si>
  <si>
    <t>REF</t>
  </si>
  <si>
    <t>LOTS</t>
  </si>
  <si>
    <t>OBJET</t>
  </si>
  <si>
    <t>N° SUPPORT D'ENGAGEMENT</t>
  </si>
  <si>
    <t>TYPE BUDGET</t>
  </si>
  <si>
    <t>MONTANT PREENGAGE INITIAL</t>
  </si>
  <si>
    <t>ESTIMATION TTC</t>
  </si>
  <si>
    <t>ESTIMATION HT</t>
  </si>
  <si>
    <t>DEBUT REC</t>
  </si>
  <si>
    <t>FIN REC</t>
  </si>
  <si>
    <t>ADJUDICATAIRE / FRS</t>
  </si>
  <si>
    <t>ANNEE APPROBATION</t>
  </si>
  <si>
    <t>DATE DE LA FICHE</t>
  </si>
  <si>
    <t>DATE VISA</t>
  </si>
  <si>
    <t>DATE APPROB</t>
  </si>
  <si>
    <t>MONTANT MARCHE HT PART EN MAD</t>
  </si>
  <si>
    <t>MONTANT MARCHE HT PART EN DEVISES</t>
  </si>
  <si>
    <t>MONTANT MARCHE TTC  PART EN MAD</t>
  </si>
  <si>
    <t>MONTANT MARCHE TTC  PART EN DEVISES</t>
  </si>
  <si>
    <t>TOTAL MARCHE HT TOTAL ENGAGE HT</t>
  </si>
  <si>
    <t>TOTAL MARCHE TTC TOTAL ENGAGE TTC</t>
  </si>
  <si>
    <t>Remarque (archive)</t>
  </si>
  <si>
    <t>Reserve</t>
  </si>
  <si>
    <t>PREVISION PPA HT</t>
  </si>
  <si>
    <t>ECART ESTIMATION HT-PPA HT</t>
  </si>
  <si>
    <t>ECART ENGAGEMENT HT-PPA HT</t>
  </si>
  <si>
    <t>ECART ESTIMATION
eng/estim</t>
  </si>
  <si>
    <t>ECART PPA
enga/ppa</t>
  </si>
  <si>
    <t>REMARQUE</t>
  </si>
  <si>
    <t>EXCLUSIVITÉ</t>
  </si>
  <si>
    <t>Convention SNRT-OFPPT pour la réalisation des EAP</t>
  </si>
  <si>
    <t>01/OFPPT/SNRT/2026</t>
  </si>
  <si>
    <t>OFPPT</t>
  </si>
  <si>
    <t>« + 287 001 » - Budget PPA = 708 041,40 Dhs</t>
  </si>
  <si>
    <t>PV N° : 01RC2025- DCPA</t>
  </si>
  <si>
    <t>IKRAM BENNANI RTAL - Préparation et animation de l’émission «نور و بصائر"</t>
  </si>
  <si>
    <t>185 CT/SNRT/2026</t>
  </si>
  <si>
    <t xml:space="preserve">Achats de productions et de programmes
Achat des programmes en production interne </t>
  </si>
  <si>
    <t>IKRAM BENNANI RTAL</t>
  </si>
  <si>
    <t>RAS</t>
  </si>
  <si>
    <t>AMINE BENADDI - LA PREPARATION DE L'EMISSION " شباب في الواجهة"</t>
  </si>
  <si>
    <t>186 CT/SNRT/2026</t>
  </si>
  <si>
    <t>AMINE BENADDI</t>
  </si>
  <si>
    <t>MOHAMMED ALI BENMAKHLOUF - Conception et présentation de l’émission " علم و حضارة"</t>
  </si>
  <si>
    <t>190 CT/SNRT/2026</t>
  </si>
  <si>
    <t>MOHAMMED ALI BENMAKHLOUF</t>
  </si>
  <si>
    <t>ACHABI MORAD - Préparation et animation de l'émission  " مع الفاميلة"</t>
  </si>
  <si>
    <t>187 CT/SNRT/2026</t>
  </si>
  <si>
    <t>ACHABI MORAD</t>
  </si>
  <si>
    <t>MOHAMED BOUMLI - Préparation de l'émission " مع الفاميلة"</t>
  </si>
  <si>
    <t>188 CT/SNRT/2026</t>
  </si>
  <si>
    <t>MOHAMED BOUMLI</t>
  </si>
  <si>
    <t>KABBAJ SEDDIK - Coordination, préparation et supervision artistique de l’émission   " مدن عتيقة"</t>
  </si>
  <si>
    <t>189 CT/SNRT/2026</t>
  </si>
  <si>
    <t>KABBAJ SEDDIK</t>
  </si>
  <si>
    <t>PV N° : 01RC2025- DCCCA</t>
  </si>
  <si>
    <t>BELMAHEDI MOHAMED - Cadreur plateau</t>
  </si>
  <si>
    <t xml:space="preserve">Prestations de service
Achat prestations de services locales - personnes physiques </t>
  </si>
  <si>
    <t>BELMAHEDI MOHAMED</t>
  </si>
  <si>
    <t>Manque n° contrat</t>
  </si>
  <si>
    <t>BIOUD ABDELHAK – Cadreur plateau</t>
  </si>
  <si>
    <t>BIOUD ABDELHAK</t>
  </si>
  <si>
    <t>IHAB JAMAL EDDINE  - Cadreur plateau</t>
  </si>
  <si>
    <t xml:space="preserve">IHAB JAMAL EDDINE </t>
  </si>
  <si>
    <t>YOUSSEF JOUMARI  - Cadreur plateau</t>
  </si>
  <si>
    <t>MUSTAPHA SKALLI  - Cadreur plateau</t>
  </si>
  <si>
    <t>MUSTAPHA SKALLI</t>
  </si>
  <si>
    <t>YOUSSEF EL FERNANI  - Cadreur plateau</t>
  </si>
  <si>
    <t>YOUSSEF EL FERNANI</t>
  </si>
  <si>
    <t>YOUNES ZARIR - Cameraman/reporteur</t>
  </si>
  <si>
    <t>YOUNES ZARIR</t>
  </si>
  <si>
    <t>AZEDDINE ESSATOURI  - Cameraman/reporteur</t>
  </si>
  <si>
    <t>AZEDDINE ESSATOURI</t>
  </si>
  <si>
    <t>SOUFIANE ZIAT  - Cameraman/reporteur</t>
  </si>
  <si>
    <t>SOUFIANE ZIAT</t>
  </si>
  <si>
    <t>ABDELHAK EL GANTITI  - Cameraman/reporteur</t>
  </si>
  <si>
    <t>ABDELHAK EL GANTITI</t>
  </si>
  <si>
    <t>MOHAMED RAFIQ – Cadreur plateau/technicien coordinateur d’antenne TV</t>
  </si>
  <si>
    <t>MOHAMED RAFIQ</t>
  </si>
  <si>
    <t>ASMAA ADDAR - Monteur truquiste</t>
  </si>
  <si>
    <t xml:space="preserve">ASMAA ADDAR </t>
  </si>
  <si>
    <t>BAII FATIMA ZAHRA - Monteur truquiste</t>
  </si>
  <si>
    <t>BAII FATIMA ZAHRA</t>
  </si>
  <si>
    <t>DOUAA HMIMOU - Monteur truquiste</t>
  </si>
  <si>
    <t>DOUAA HMIMOU</t>
  </si>
  <si>
    <t>ROUZZAQ ANIS – Monteur truquiste /bande d’annonce</t>
  </si>
  <si>
    <t>ROUZZAQ ANIS</t>
  </si>
  <si>
    <t>SAFAE BOUHLAL -  Monteur truquiste /technicien coordinateur d’antenne TV</t>
  </si>
  <si>
    <t>SAFAE BOUHLAL</t>
  </si>
  <si>
    <t>OUSSAMA EZZABBAR - Monteur truquiste</t>
  </si>
  <si>
    <t>OUSSAMA EZZABBAR</t>
  </si>
  <si>
    <t>AMINE IMANE -  Opérateur synthétiseur</t>
  </si>
  <si>
    <t>AMINE IMANE</t>
  </si>
  <si>
    <t>BRAHIM ABASALAH  -  Opérateur synthétiseur/créateur de pages de textes et logos destinés à l’habillage au titre et au sous-titrage des programmes de l’antenne.</t>
  </si>
  <si>
    <t>BRAHIM ABASALAH</t>
  </si>
  <si>
    <t>YASSINE STITOU - Opérateur synthétiseur</t>
  </si>
  <si>
    <t>YASSINE STITOU</t>
  </si>
  <si>
    <t>RACHID ABKARI  -  Opérateur de prise de son</t>
  </si>
  <si>
    <t>RACHID ABKARI</t>
  </si>
  <si>
    <t>AMINE NEKI  -  Technicien coordinateur d'antenne TV</t>
  </si>
  <si>
    <t>AMINE NEKI</t>
  </si>
  <si>
    <t>ANISS BENRIANE  -  Technicien coordinateur d'antenne TV</t>
  </si>
  <si>
    <t>ANISS BENRIANE</t>
  </si>
  <si>
    <t>AHMED HOUBBANE  -  Journaliste présentateur TV/reporteur</t>
  </si>
  <si>
    <t>AHMED HOUBBANE</t>
  </si>
  <si>
    <t>OMAYRA MOUKRAM  -  Journaliste présentateur TV</t>
  </si>
  <si>
    <t>OMAYRA MOUKRAM</t>
  </si>
  <si>
    <t>AYOUB ADIB  -  Journaliste animateur</t>
  </si>
  <si>
    <t>AYOUB ADIB</t>
  </si>
  <si>
    <t>ABDELOUAHED INCHA-ALLAH  -  Journaliste reporteur d'image</t>
  </si>
  <si>
    <t>ABDELOUAHED INCHA-ALLAH</t>
  </si>
  <si>
    <t>SARA BELATTAR  -  Scripte</t>
  </si>
  <si>
    <t>SARA BELATTAR</t>
  </si>
  <si>
    <t>TAOUFIK EL AMRANI EL HANCHI  -  responsable site web</t>
  </si>
  <si>
    <t>TAOUFIK EL AMRANI EL HANCHI</t>
  </si>
  <si>
    <t>AHMED NAIM  -  Journaliste web sénior</t>
  </si>
  <si>
    <t>AHMED NAIM</t>
  </si>
  <si>
    <t>SAID AKDAD  -  Journaliste web</t>
  </si>
  <si>
    <t>SAID AKDAD</t>
  </si>
  <si>
    <t>JAMAL ASTAIFI  -  Journaliste web</t>
  </si>
  <si>
    <t>JAMAL ASTAIFI</t>
  </si>
  <si>
    <t>HAMZA AKIL  -  Chargé de production</t>
  </si>
  <si>
    <t>HAMZA AKIL</t>
  </si>
  <si>
    <t>RHIZLAN KORCHI  -  Habilleuse</t>
  </si>
  <si>
    <t>RHIZLAN KORCHI</t>
  </si>
  <si>
    <t>RADIF YOUSRA  -  Maquilleuse coiffeuse</t>
  </si>
  <si>
    <t>RADIF YOUSRA</t>
  </si>
  <si>
    <t>MOHAMED EL MAAMOURI  -  Graphiste</t>
  </si>
  <si>
    <t>MOHAMED EL MAAMOURI</t>
  </si>
  <si>
    <t>REDA TIZAGHTI  -  Graphiste</t>
  </si>
  <si>
    <t>REDA TIZAGHTI</t>
  </si>
  <si>
    <t>OMAR FATEH  -  Opérateur magnétoscope LSM</t>
  </si>
  <si>
    <t>OMAR FATEH</t>
  </si>
  <si>
    <t>KORICHI DRISS  -  Opérateur magnétoscope LSM</t>
  </si>
  <si>
    <t>KORICHI DRISS</t>
  </si>
  <si>
    <t>AYOUB EL MOUADEN  -  Opérateur magnétoscope LSM</t>
  </si>
  <si>
    <t>AYOUB EL MOUADEN</t>
  </si>
  <si>
    <t>YOUSSEF NAIT HAMMOU  -  Opérateur magnétoscope LSM</t>
  </si>
  <si>
    <t>YOUSSEF NAIT HAMMOU</t>
  </si>
  <si>
    <t>ABOUSAD MOHAMED  -  Opérateur magnétoscope LSM</t>
  </si>
  <si>
    <t>ABOUSAD MOHAMED</t>
  </si>
  <si>
    <t>EL KHAL ABDELMAJID  -  Commentateur</t>
  </si>
  <si>
    <t>EL KHAL ABDELMAJID</t>
  </si>
  <si>
    <t>KHALIL BOUDRA  -  Commentateur/consultant</t>
  </si>
  <si>
    <t>KHALIL BOUDRA</t>
  </si>
  <si>
    <t>SEYFAMINE AATHMANI  -  Cameraman Reporter/Graphiste</t>
  </si>
  <si>
    <t>SEYFAMINE AATHMANI</t>
  </si>
  <si>
    <t>ZINE EL ABIDINE SENHAJI  -  Operateur prise de son/Graphiste</t>
  </si>
  <si>
    <t>ZINE EL ABIDINE SENHAJI</t>
  </si>
  <si>
    <t>SAHIL MOHAMED  -  Consultant football</t>
  </si>
  <si>
    <t>SAHIL MOHAMED</t>
  </si>
  <si>
    <t>ABDELOUAHED CHAMMAMI  -  Consultant football</t>
  </si>
  <si>
    <t>ABDELOUAHED CHAMMAMI</t>
  </si>
  <si>
    <t>PVN°: 02RE2026-DCSA</t>
  </si>
  <si>
    <t>MOHAMED SAAD -cadreur plateau/technicien coordinateur d'antenne TV/Digital</t>
  </si>
  <si>
    <t>MOHAMED SAAD</t>
  </si>
  <si>
    <t>ABDELILAH AIT AHMED - Monteur truquiste /technicien coordinateur d'antenne TV</t>
  </si>
  <si>
    <t>ABDELILAH AIT AHMED</t>
  </si>
  <si>
    <t>KHALID AFIF  -  Consultant Tennis</t>
  </si>
  <si>
    <t>KHALID AFIF</t>
  </si>
  <si>
    <t>MOHSIN CHERGUI  -  Consultant omnisport</t>
  </si>
  <si>
    <t>MOHSIN CHERGUI</t>
  </si>
  <si>
    <t>PV N° : 01RC2025- DPPCCRTV</t>
  </si>
  <si>
    <t>ZERHOUNI RABIA  -  Réalisatrice : Montage, mixage, animation des émissions RD et programmation RD</t>
  </si>
  <si>
    <t>ZERHOUNI RABIA</t>
  </si>
  <si>
    <t>BENIKES KARIMA  -  Réalisatrice : Montage, mixage et programmation RD</t>
  </si>
  <si>
    <t>BENIKES KARIMA</t>
  </si>
  <si>
    <t>LAHKIM OUMAIMA  -  Programmatrice : Programmation TV (Conducteur quotidien)</t>
  </si>
  <si>
    <t>LAHKIM OUMAIMA</t>
  </si>
  <si>
    <t>DEHROUR OUSSAMA  -  Infographiste : le montage, l'infographie et la coordination du portail de la Chaîne,</t>
  </si>
  <si>
    <t>DEHROUR OUSSAMA</t>
  </si>
  <si>
    <t>NASREDDINE MOUHCINE  -  Prise de vue et Prise de son TV (OPV/OPS)</t>
  </si>
  <si>
    <t>NASREDDINE MOUHCINE</t>
  </si>
  <si>
    <t>HAJJOUJI YOUSSEF  -  Prise de vue (OPV) et le montage TV</t>
  </si>
  <si>
    <t>HAJJOUJI YOUSSEF</t>
  </si>
  <si>
    <t>DRISSI WALID  -  Prise de vue et Prise de son TV (OPV/OPS)</t>
  </si>
  <si>
    <t>DRISSI WALID</t>
  </si>
  <si>
    <t>EZ-ZHR MOHAMED  -  Prise de vue et Prise de son TV (OPV/OPS)</t>
  </si>
  <si>
    <t>EZ-ZHR MOHAMED</t>
  </si>
  <si>
    <t>ABIDA ILIAS  -  Prise de vue TV et Prise de son TV (OPV/OPS)</t>
  </si>
  <si>
    <t>ABIDA ILIAS</t>
  </si>
  <si>
    <t>ELMHAMDI BADR  -  Prise de vue et Prise de son TV (OPV/OPS)</t>
  </si>
  <si>
    <t>ELMHAMDI BADR</t>
  </si>
  <si>
    <t>BENGHABRIT ANAS  -  Animateur RD/TV : la gestion de l'antenne RD, la couverture et le reportage RD/TV</t>
  </si>
  <si>
    <t>BENGHABRIT ANAS</t>
  </si>
  <si>
    <t>TALAOUI YASSINE  -  Animateur RD/TV : la gestion de l'antenne RD, la couverture et le reportage RD/TV</t>
  </si>
  <si>
    <t>TALAOUI YASSINE</t>
  </si>
  <si>
    <t>JABRANE WAFAE  -  Animatrice : RD/TV</t>
  </si>
  <si>
    <t>JABRANE WAFAE</t>
  </si>
  <si>
    <t>MANAL LAHFAOUI  -  Programmatrice TV : le montage, la coordination du portail de la chaîne, la coordination et le suivi avec la commission scientifique et l'archivage STM.</t>
  </si>
  <si>
    <t>MANAL LAHFAOUI</t>
  </si>
  <si>
    <t>HAZMIRI OMAR  -  Réalisateur RD : montage, mixage et réalisation des émissions RD</t>
  </si>
  <si>
    <t>HAZMIRI OMAR</t>
  </si>
  <si>
    <t>EL HAJJI FARID  -  Prise de vue, prise de son, (OPV / OPS)</t>
  </si>
  <si>
    <t>EL HAJJI FARID</t>
  </si>
  <si>
    <t>CHBANI SALMA  -  La prise de vue, prise de son, (OPV / OPS), infographie, montage   et coordination du portail de la chaîne</t>
  </si>
  <si>
    <t>CHBANI SALMA</t>
  </si>
  <si>
    <t>PV N° : 01RC2025- DAR</t>
  </si>
  <si>
    <t>YOUNESS MAZZA  -  Journaliste Arabophone Sénior</t>
  </si>
  <si>
    <t xml:space="preserve">Achat prestations de services locales - personnes physiques </t>
  </si>
  <si>
    <t>YOUNESS MAZZA</t>
  </si>
  <si>
    <t>PV N° : 01RC2025- DPMG</t>
  </si>
  <si>
    <t>KHALID KHIYAITA  -  Gestion de la vidéosurveillance du contrôle d'accès et la détection d'incendie</t>
  </si>
  <si>
    <t>KHALID KHIYAITA</t>
  </si>
  <si>
    <t>SAMIR EDRIOUECH  -  Travaux de plomberie</t>
  </si>
  <si>
    <t>SAMIR EDRIOUECH</t>
  </si>
  <si>
    <t>MOHAMED CHERTI  -  Métreur en BTP</t>
  </si>
  <si>
    <t>MOHAMED CHERTI</t>
  </si>
  <si>
    <t>Abonnement MAP</t>
  </si>
  <si>
    <t>Redevances et cotisations
Abonnements</t>
  </si>
  <si>
    <t>MAP</t>
  </si>
  <si>
    <t>-</t>
  </si>
  <si>
    <t>PV N° : 01RC2025- DIR</t>
  </si>
  <si>
    <t>YOUSSEF LAHLALI  -  Journaliste correspondant chargé de la préparation des magazines d'information et reportages RD et la couverture des événements internationaux</t>
  </si>
  <si>
    <t>YOUSSEF LAHLALI</t>
  </si>
  <si>
    <t>SAFI RIM  -  Journaliste, présentateur radio francophone/ anglophone</t>
  </si>
  <si>
    <t>SAFI RIM</t>
  </si>
  <si>
    <t>BENCAID KENZA  -  Journaliste et présentateur radio francophone</t>
  </si>
  <si>
    <t>BENCAID KENZA</t>
  </si>
  <si>
    <t>AHMED CHAINA  -  Journaliste, Présentateur radio amazigh/animateur de débats (expression tachelhit)</t>
  </si>
  <si>
    <t>AHMED CHAINA</t>
  </si>
  <si>
    <t>BADDOU KHALID  -  Journaliste, Présentateur radio amazigh/animateur de débats (expression tachelhit)</t>
  </si>
  <si>
    <t>BADDOU KHALID</t>
  </si>
  <si>
    <t>PV N° : 01RC2025- DITV</t>
  </si>
  <si>
    <t>EZZAHER ANASS  -  Scripte des journaux télévisés et toutes les émissions produites par la direction de l'information TV</t>
  </si>
  <si>
    <t>Prestations de service
Achat prestations de services locales - personnes physiques</t>
  </si>
  <si>
    <t>EZZAHER ANASS</t>
  </si>
  <si>
    <t>AOUAD MARIA  -  Journaliste chargée de la préparation et la réalisation des reportages news en français au journal télévisé de la chaine AL Aoula</t>
  </si>
  <si>
    <t>AOUAD MARIA</t>
  </si>
  <si>
    <t>KETTANI MOHAMMED  -  Interprète en langue des signes</t>
  </si>
  <si>
    <t>KETTANI MOHAMMED</t>
  </si>
  <si>
    <t>NOUINI NOURREDDINE  -  Coiffeur et maquilleur des animateurs et des invités participants au journal télévisé de la chaine Al Aoula</t>
  </si>
  <si>
    <t>NOUINI NOURREDDINE</t>
  </si>
  <si>
    <t>WIAM MOUDDOUN  -  Journaliste chargée de la préparation des magazines d'information, reportages, rédaction des JT et couverture du factuel</t>
  </si>
  <si>
    <t>WIAM MOUDDOUN</t>
  </si>
  <si>
    <t>HOUDA NEJJAR  -  Scripte des journaux télévisés et toutes les émissions produites par la direction de l'Information TV</t>
  </si>
  <si>
    <t>HOUDA NEJJAR</t>
  </si>
  <si>
    <t>TAHRAOUI ABDELHGANI   -  Preneur de vue chargé de la réalisation de reportages et couvertures TV dans la province d'Essaouira et régions</t>
  </si>
  <si>
    <t>TAHRAOUI ABDELHGANI</t>
  </si>
  <si>
    <t>FADILI AHMED   -  Preneur de vue chargé de la réalisation de reportages et couvertures TV dans la province d’Ifran Azrou</t>
  </si>
  <si>
    <t>FADILI AHMED</t>
  </si>
  <si>
    <t>KHALID AIT HSSAIN  -  Coiffeur et maquilleur des animateurs et des invités participants au journal télévisé de la chaine ALOULA.</t>
  </si>
  <si>
    <t>KHALID AIT HSSAIN</t>
  </si>
  <si>
    <t>SOUKAINA HACHIMI  -  Journaliste chargée de la préparation des magazines d'information, reportages, rédaction des JT et couverture du factuel</t>
  </si>
  <si>
    <t>SOUKAINA HACHIMI</t>
  </si>
  <si>
    <t>MAHDI KARRAKCHOU  -  Le montage des journaux télévisés et toutes les émissions produites par la direction de l'Information TV</t>
  </si>
  <si>
    <t>MAHDI KARRAKCHOU</t>
  </si>
  <si>
    <t>MOUNIR LAHSAIEN -  Coiffeur et maquilleur des animateurs et des invités participants au journal télévisé de la chaine Al Aoula</t>
  </si>
  <si>
    <t>MOUNIR LAHSAIEN</t>
  </si>
  <si>
    <t>EL AAZIZ ABDERRAZZAQ  -  Chef d'édition des journaux télévisés</t>
  </si>
  <si>
    <t>EL AAZIZ ABDERRAZZAQ</t>
  </si>
  <si>
    <t>BOUJOUBBOU ABDELHAKIM  -  Chef d'édition des journaux télévisés</t>
  </si>
  <si>
    <t>BOUJOUBBOU ABDELHAKIM</t>
  </si>
  <si>
    <t>MOULINE LILIA  -  Styliste, Maquilleuse et Habilleuse des journalistes et présentateurs chargés de la présentation des émissions</t>
  </si>
  <si>
    <t>MOULINE LILIA</t>
  </si>
  <si>
    <t>BOUBKER BEN GHABRIT  -  Journaliste francophone chargé de la préparation et la réalisation des reportages news en français ainsi que la présentation JT Français.</t>
  </si>
  <si>
    <t>BOUBKER BEN GHABRIT</t>
  </si>
  <si>
    <t>MOHAMED EL HAJJAM  -  Correspondant chargé de la réalisation de reportages et correspondances en matière d'Information Télévisée à partir des Etats Unies d’Amérique.</t>
  </si>
  <si>
    <t>MOHAMED EL HAJJAM</t>
  </si>
  <si>
    <t>MUSTAPHA SEHIMI -  Consultant politique chargé de l'analyse politique et le décryptage hebdomadaire des JT en langue Française</t>
  </si>
  <si>
    <t>MUSTAPHA SEHIMI</t>
  </si>
  <si>
    <t>TOSSA MUSTAPHA -  Consultant chargé de l'analyse politique et le décryptage hebdomadaire des JT en langue Française et Arabe</t>
  </si>
  <si>
    <t>TOSSA MUSTAPHA</t>
  </si>
  <si>
    <t>PV N° : 01RC2025-DCL</t>
  </si>
  <si>
    <t>SALEK BOUJDOUR -  Préparation et Présentation "HADITH ALMADINA"</t>
  </si>
  <si>
    <t>SALEK BOUJDOUR</t>
  </si>
  <si>
    <t>EL MOUGUAF AMGHAYER  -  Préparation et présentation de l'émission intitulée : " TOURATHAK LAK "</t>
  </si>
  <si>
    <t>EL MOUGUAF AMGHAYER</t>
  </si>
  <si>
    <t>YASSINE OMARI  -  Préparation quotidienne des revues de presses écrite nationale et Internationale</t>
  </si>
  <si>
    <t>YASSINE OMARI</t>
  </si>
  <si>
    <t>MAHMOUD AIYACH   -  Préparation et la présentation d'une émission produite en interne intitulée " MAA NASS "</t>
  </si>
  <si>
    <t>MAHMOUD AIYACH</t>
  </si>
  <si>
    <t>MARYAM EDDAH  -  Chargée de l'Autopromotion et de l’établissement de la grille et des conducteurs de diffusion.</t>
  </si>
  <si>
    <t>MARYAM EDDAH</t>
  </si>
  <si>
    <t>PV N° : 01RC2025-DCCMCITV</t>
  </si>
  <si>
    <t>OTHMANE RABBAH  -  Technicien infographiste</t>
  </si>
  <si>
    <t>OTHMANE RABBAH</t>
  </si>
  <si>
    <t>HIBA TOUANINA  -  Technicienne Scripte</t>
  </si>
  <si>
    <t>HIBA TOUANINA</t>
  </si>
  <si>
    <t>FATIMA ZAHRA BOUMBAREK  -  Technicienne assistante Réalisatrice</t>
  </si>
  <si>
    <t>FATIMA ZAHRA BOUMBAREK</t>
  </si>
  <si>
    <t>OUMAIMA NACHAR  -  Journaliste présentatrice</t>
  </si>
  <si>
    <t>OUMAIMA NACHAR</t>
  </si>
  <si>
    <t>NIDAL OUJIL  -  Journaliste présentatrice</t>
  </si>
  <si>
    <t>NIDAL OUJI</t>
  </si>
  <si>
    <t>ABDELLATIF AMRANI ZERIFI  -  Technicien assistant réalisateur</t>
  </si>
  <si>
    <t>ABDELLATIF AMRANI ZERIF</t>
  </si>
  <si>
    <t>LAMYAE KHOUADIR  -  Technicienne scripte</t>
  </si>
  <si>
    <t>LAMYAE KHOUADIR</t>
  </si>
  <si>
    <t>EL KARDI RAJAA  -  Journaliste présentatrice</t>
  </si>
  <si>
    <t>EL KARDI RAJAA</t>
  </si>
  <si>
    <t>JEBRANI HAYAT  -  Coiffeuse, maquilleuse</t>
  </si>
  <si>
    <t>JEBRANI HAYAT</t>
  </si>
  <si>
    <t>PV N° : 01RC2025-DCMPTV</t>
  </si>
  <si>
    <t>ZAKARIA TIBARI  -  Conception de bandes annonces pour la promotion des programmes de la grille de la chaîne Al Aoula</t>
  </si>
  <si>
    <t>ZAKARIA TIBARI</t>
  </si>
  <si>
    <t>GHEZLANE EL MERZOUGUI -  Enregistrement des voix off en arabe des bandes annonces TV et radio Al Aoula</t>
  </si>
  <si>
    <t>GHEZLANE EL MERZOUGUI</t>
  </si>
  <si>
    <t>HOUSSAM MOUILLAH  -  Monteur</t>
  </si>
  <si>
    <t>HOUSSAM MOUILLAH</t>
  </si>
  <si>
    <t>MSIOUAS MOHAMED DRISS  -  Chef de produit digital</t>
  </si>
  <si>
    <t>MSIOUAS MOHAMED DRISS</t>
  </si>
  <si>
    <t>ABDELOUAHED JABBAR  -  Monteur</t>
  </si>
  <si>
    <t>ABDELOUAHED JABBAR</t>
  </si>
  <si>
    <t>YASSINE KIRAMI  -  Monteur digital et cameraman</t>
  </si>
  <si>
    <t>YASSINE KIRAMI</t>
  </si>
  <si>
    <t>SAFAA SABRI  -  Rédactrice en arabe</t>
  </si>
  <si>
    <t>SAFAA SABR</t>
  </si>
  <si>
    <t>SARAH MAACHE  -  Rédactrice en Français</t>
  </si>
  <si>
    <t>SARAH MAACHE</t>
  </si>
  <si>
    <t>BASMA WAJIB  -  Community Manager</t>
  </si>
  <si>
    <t>BASMA WAJIB</t>
  </si>
  <si>
    <t>M’BARK AGNAOU  -  Community Manager</t>
  </si>
  <si>
    <t>M’BARK AGNAOU</t>
  </si>
  <si>
    <t>ESSAIFI MOHAMED SAMI  -  Content lead digital</t>
  </si>
  <si>
    <t xml:space="preserve">ESSAIFI MOHAMED SAMI </t>
  </si>
  <si>
    <t>HAJAR LAMRANI  -  Monteur</t>
  </si>
  <si>
    <t>HAJAR LAMRANI</t>
  </si>
  <si>
    <t>ANAS ESSAOUDI  -  Monteur</t>
  </si>
  <si>
    <t>ANAS ESSAOUDI</t>
  </si>
  <si>
    <t>IDRISS TAZARN  -  Rédacteur Web Sénior en arabe</t>
  </si>
  <si>
    <t>IDRISS TAZARN</t>
  </si>
  <si>
    <t>PV N° : 01RC2025-DPPR</t>
  </si>
  <si>
    <t>NAJAT OUADIF  -  La supervision du contenu musical et la participation à la programmation musicale</t>
  </si>
  <si>
    <t>NAJAT OUADIF</t>
  </si>
  <si>
    <t>AIT AMMI HADDOU HANANE  -  Journaliste chargée de la préparation et la présentation des émissions radiophoniques</t>
  </si>
  <si>
    <t>AIT AMMI HADDOU HANANE</t>
  </si>
  <si>
    <t>ADIB EL MACHRAFI  -  Journaliste chargé de la préparation et la présentation des émissions radiophoniques</t>
  </si>
  <si>
    <t>ADIB EL MACHRAFI</t>
  </si>
  <si>
    <t>SIBARI SAIDA  -  Journaliste chargée de la préparation et la présentation des émissions radiophoniques</t>
  </si>
  <si>
    <t>SIBARI SAIDA</t>
  </si>
  <si>
    <t>HICHAM LAZREQ  -  Journaliste chargé   la préparation et la présentation des émissions radiophoniques et la programmation musicale</t>
  </si>
  <si>
    <t>HICHAM LAZREQ</t>
  </si>
  <si>
    <t>BHIRI MHAMED  -  Journaliste chargé de la préparation et l’animation de l’émission RD « INTER MATIN »</t>
  </si>
  <si>
    <t>BHIRI MHAMED</t>
  </si>
  <si>
    <t>CHRAYGANE GHIZLANE  -  Journaliste chargée de la préparation et la présentation des émissions radiophoniques</t>
  </si>
  <si>
    <t>CHRAYGANE GHIZLANE</t>
  </si>
  <si>
    <t>HANAA LAIDI  -  Journaliste chargée de la préparation et la présentation des émissions radiophoniques</t>
  </si>
  <si>
    <t>HANAA LAIDI</t>
  </si>
  <si>
    <t>MOHAMED AKOUNAD  -  Journaliste chargé de la préparation et la présentation des bulletins et flashs d’information et des émissions radiophoniques</t>
  </si>
  <si>
    <t>MOHAMED AKOUNAD</t>
  </si>
  <si>
    <t>KORCHI YOUSSEF  -  Journaliste chargé de la préparation et la présentation des bulletins et flashs d’information et des émissions radiophoniques</t>
  </si>
  <si>
    <t>KORCHI YOUSSEF</t>
  </si>
  <si>
    <t>RADOUAN WAHIDI -  Journaliste chargé de la préparation et la présentation des bulletins et flashs d’information et des émissions radiophoniques</t>
  </si>
  <si>
    <t>RADOUAN WAHID</t>
  </si>
  <si>
    <t>AL AHDI AHMED  -  Journaliste chargé de la préparation et la présentation des bulletins et flashs d’information et des émissions radiophoniques</t>
  </si>
  <si>
    <t>AL AHDI AHMED</t>
  </si>
  <si>
    <t>AZIZA EL RHAOUI  -  Journaliste chargée de la préparation et la présentation des bulletins et flashs d’information et des émissions radiophoniques</t>
  </si>
  <si>
    <t>AZIZA EL RHAOUI</t>
  </si>
  <si>
    <t>ABDERRAHMAN LOUKSANI  -  Réalisateur radio</t>
  </si>
  <si>
    <t>ABDERRAHMAN LOUKSANI</t>
  </si>
  <si>
    <t>HASSAN BENMANSOUR  -  Journaliste chargé de la préparation et la présentation des bulletins et flashs d’information et des émissions radiophoniques</t>
  </si>
  <si>
    <t>HASSAN BENMANSOUR</t>
  </si>
  <si>
    <t>ANASS EL MALHOUNI  -  Journaliste chargé de la préparation et la présentation des bulletins et flashs d’information et des émissions radiophoniques</t>
  </si>
  <si>
    <t>ANASS EL MALHOUNI</t>
  </si>
  <si>
    <t>KADIRI EL MAANA MY OMAR  -  Journaliste chargé de la préparation et la présentation des bulletins et flashs d’information et des émissions radiophoniques</t>
  </si>
  <si>
    <t>KADIRI EL MAANA MY OMAR</t>
  </si>
  <si>
    <t>ZAHRAOUI MOHAMED  -  Journaliste chargé de la préparation et la présentation des bulletins et flashs d’information et des émissions radiophoniques</t>
  </si>
  <si>
    <t>ZAHRAOUI MOHAMED</t>
  </si>
  <si>
    <t>TASAFT MOHAMMED  -  Journaliste chargé de la préparation et la présentation des bulletins et flashs d’information et des émissions radiophoniques</t>
  </si>
  <si>
    <t>TASAFT MOHAMMED</t>
  </si>
  <si>
    <t>LAHBIB AADID  -  Journaliste chargé de la préparation et la présentation des bulletins et flashs d’information et des émissions radiophoniques</t>
  </si>
  <si>
    <t xml:space="preserve">LAHBIB AADID </t>
  </si>
  <si>
    <t>FATIMATOU ERGUIBI  -  Journaliste chargée de la préparation et la présentation des bulletins et flashs d’information et des émissions radiophoniques</t>
  </si>
  <si>
    <t>FATIMATOU ERGUIBI</t>
  </si>
  <si>
    <t>MAOULAININE MOHAMED  -  Journaliste chargé de la préparation et la présentation des bulletins et flashs d’information et des émissions radiophoniques</t>
  </si>
  <si>
    <t>MAOULAININE MOHAMED</t>
  </si>
  <si>
    <t>FATMA BOUTABAA  -  Journaliste chargé de la préparation et la présentation des bulletins et flashs d’information et des émissions radiophoniques</t>
  </si>
  <si>
    <t>FATMA BOUTABAA</t>
  </si>
  <si>
    <t>ZAZA MOHAMMED  -  Journaliste chargé de la préparation et la présentation des bulletins et flashs d’information et des émissions radiophoniques</t>
  </si>
  <si>
    <t>ZAZA MOHAMMED</t>
  </si>
  <si>
    <t>SALAH ALLALI  -  Journaliste chargé de la préparation et la présentation des bulletins et flashs d’information et des émissions radiophoniques</t>
  </si>
  <si>
    <t xml:space="preserve">SALAH ALLALI </t>
  </si>
  <si>
    <t>MOHAMMED SAMADI  -  Journaliste chargé de la préparation et la présentation des bulletins et flashs d’information et des émissions radiophoniques</t>
  </si>
  <si>
    <t>MOHAMMED SAMADI</t>
  </si>
  <si>
    <t>NOUKRACHI ABDELHAMID  -  Journaliste chargé de la préparation et la présentation des bulletins et flashs d’information et des émissions radiophoniques</t>
  </si>
  <si>
    <t>NOUKRACHI ABDELHAMID</t>
  </si>
  <si>
    <t>ALLOU MOHAMED  -  Journaliste chargé de la préparation et la présentation des bulletins et flashs d’information et des émissions radiophoniques</t>
  </si>
  <si>
    <t>ALLOU MOHAMED</t>
  </si>
  <si>
    <t>EL OUARDANI ABDELMAJID   -  Journaliste chargé de la préparation et la présentation des bulletins et flashs d’information et des émissions radiophoniques</t>
  </si>
  <si>
    <t>EL OUARDANI ABDELMAJID</t>
  </si>
  <si>
    <t>LAGZANNAY KHIRA  -  Journaliste chargé de la préparation et la présentation des bulletins et flashs d’information et des émissions radiophoniques</t>
  </si>
  <si>
    <t>LAGZANNAY KHIRA</t>
  </si>
  <si>
    <t>CHOUKAR YOUSSEF  -  Opérateur prise de son</t>
  </si>
  <si>
    <t>CHOUKAR YOUSSEF</t>
  </si>
  <si>
    <t>ALIA EDIOURI  -  Journaliste chargée de la préparation et la présentation des émissions radiophoniques</t>
  </si>
  <si>
    <t>ALIA EDIOURI</t>
  </si>
  <si>
    <t>FATIMA-EZZAHRA ELYAAKOUBI  -  Journaliste chargée de la préparation et la présentation des émissions radiophoniques</t>
  </si>
  <si>
    <t>FATIMA-EZZAHRA ELYAAKOUBI</t>
  </si>
  <si>
    <t>MOUAD BOUDINA  -  Journaliste chargé de la préparation des magazines d’information, des reportages RD, la présentation des journaux parlés et flashs d’information, ainsi que la préparation et l’animation des émissions RD dans la région de Fès</t>
  </si>
  <si>
    <t>MOUAD BOUDINA</t>
  </si>
  <si>
    <t>TAHANI MOULAY ABDELILAH  -  Journaliste chargé de la préparation et la présentation des émissions radiophoniques</t>
  </si>
  <si>
    <t xml:space="preserve">TAHANI MOULAY ABDELILAH </t>
  </si>
  <si>
    <t>SAMIRA ELHADDOUCHI  -  Chroniqueuse chargée de la préparation et l’animation de l’émission RD « LA MODE »</t>
  </si>
  <si>
    <t>SAMIRA ELHADDOUCHI</t>
  </si>
  <si>
    <t>MUSTAPHA SEHIMI  -  Chroniqueur chargé de la préparation et l’animation de l’émission RD « REPERE »</t>
  </si>
  <si>
    <t>SANAA CHAABAOUI  -  Préparation et présentation d’une émission de sensibilisation à la santé psychologique</t>
  </si>
  <si>
    <t>SANAA CHAABAOUI</t>
  </si>
  <si>
    <t>MOHAMED SELHAMI -  Chroniqueur chargé de la préparation et l’animation de l’émission RD « REPERE »</t>
  </si>
  <si>
    <t>MOHAMED SELHAMI</t>
  </si>
  <si>
    <t>PV N° : 01RC2025- DRPSD</t>
  </si>
  <si>
    <t>ABIR BOUZID  -  Chargée de la gestion des conducteurs publicitaires</t>
  </si>
  <si>
    <t>ABIR BOUZID</t>
  </si>
  <si>
    <t>NAJI RABEH  -  Chargé de la gestion des écrans publicitaires</t>
  </si>
  <si>
    <t>NAJI RABEH</t>
  </si>
  <si>
    <t>MOHAMED CHARIF DJEBLI  -  Informaticien, chargé de la sécurisation des plateformes digitales de la SNRT</t>
  </si>
  <si>
    <t>MOHAMED CHARIF DJEBLI</t>
  </si>
  <si>
    <t>PV N° : 01RC2025-DRPSD-SNRTNEWS</t>
  </si>
  <si>
    <t>JAMAL EL KHANOUSSI  -  Chargé de la rédaction, de la coordination et de la production du contenu de la plateforme SNRTNEWS.</t>
  </si>
  <si>
    <t>JAMAL EL KHANOUSSI</t>
  </si>
  <si>
    <t>SALAH ELGOUMRI  -  Journaliste</t>
  </si>
  <si>
    <t xml:space="preserve">SALAH ELGOUMRI </t>
  </si>
  <si>
    <t>BOUCHRA EL AOUMARI  -  Assistante de Rédaction</t>
  </si>
  <si>
    <t>BOUCHRA EL AOUMARI</t>
  </si>
  <si>
    <t>MOHAMMED ELASRI  -  Chef Monteur</t>
  </si>
  <si>
    <t>MOHAMMED ELASRI</t>
  </si>
  <si>
    <t>MOUSSA MATROUF  -  Secrétaire de Rédaction</t>
  </si>
  <si>
    <t>MOUSSA MATROUF</t>
  </si>
  <si>
    <t>MUSTAPHA AZOUGAH  -  Secrétaire de Rédaction</t>
  </si>
  <si>
    <t>MUSTAPHA AZOUGAH</t>
  </si>
  <si>
    <t>WALID KDIDIR -  Monteur - Infographiste</t>
  </si>
  <si>
    <t>WALID KDIDIR</t>
  </si>
  <si>
    <t>HAMZA BAMMOU  -  Journaliste</t>
  </si>
  <si>
    <t>HAMZA BAMMOU</t>
  </si>
  <si>
    <t>PV N° : 01RC2025- DCPCART</t>
  </si>
  <si>
    <t>NARJISS EL GOURARI  -  Maquilleuse coiffeuse et habilleuse sénior</t>
  </si>
  <si>
    <t>NARJISS EL GOURARI</t>
  </si>
  <si>
    <t>KARIM DRISS AZIZ  -  Infographiste/Créer et gérer les playlists pour le JT</t>
  </si>
  <si>
    <t>KARIM DRISS AZIZ</t>
  </si>
  <si>
    <t>FATIMA ID -HAMOU  -  Montage Auto-Promotion et Bandes Annonces, Webmaster</t>
  </si>
  <si>
    <t>FATIMA ID -HAMOU</t>
  </si>
  <si>
    <t>YOUSSEF CHAIH  -  Pré-PAD/Assistant réalisateur</t>
  </si>
  <si>
    <t>YOUSSEF CHAIH</t>
  </si>
  <si>
    <t>CHIHAL FOUAD  -  Réalisateur</t>
  </si>
  <si>
    <t>CHIHAL FOUAD</t>
  </si>
  <si>
    <t>INSSAF BENTARKA  -  Maquilleuse coiffeuse et habilleuse</t>
  </si>
  <si>
    <t>INSSAF BENTARKA</t>
  </si>
  <si>
    <t>LAHCEN HERRAF  -  Coordinateur Archives</t>
  </si>
  <si>
    <t>LAHCEN HERRAF</t>
  </si>
  <si>
    <t>FATIMA DOUIBI  -  Maquilleuse coiffeuse et habilleuse</t>
  </si>
  <si>
    <t>FATIMA DOUIBI</t>
  </si>
  <si>
    <t>SOUAD HILALI  -  Journaliste</t>
  </si>
  <si>
    <t>SOUAD HILALI</t>
  </si>
  <si>
    <t>REDA KENZI  -  Chargé de production</t>
  </si>
  <si>
    <t>REDA KENZI</t>
  </si>
  <si>
    <t>IDRISSI BADR TAFRAOUTI  -  Technicien en OPV/OPS.</t>
  </si>
  <si>
    <t>IDRISSI BADR TAFRAOUTI</t>
  </si>
  <si>
    <t>REDA OU-OUCHEN  -  Monteur/assistant graphiste</t>
  </si>
  <si>
    <t>REDA OU-OUCHEN</t>
  </si>
  <si>
    <t>SAID BELLI  -  Réalisateur</t>
  </si>
  <si>
    <t xml:space="preserve">SAID BELLI </t>
  </si>
  <si>
    <t>BASMA OULKHCHICH  -  Journaliste</t>
  </si>
  <si>
    <t>BASMA OULKHCHICH</t>
  </si>
  <si>
    <t>FATIMA BOUSSABRI  -  Journaliste</t>
  </si>
  <si>
    <t>FATIMA BOUSSABRI</t>
  </si>
  <si>
    <t>JAMAL OUJDDOU  -  Journaliste</t>
  </si>
  <si>
    <t>JAMAL OUJDDOU</t>
  </si>
  <si>
    <t>REDOUAN SEDDEKI  -  Monteur</t>
  </si>
  <si>
    <t>REDOUAN SEDDEKI</t>
  </si>
  <si>
    <t>MOHAMED FADLAOUI  -  Commentateur des matches de football</t>
  </si>
  <si>
    <t xml:space="preserve">MOHAMED FADLAOUI </t>
  </si>
  <si>
    <t>LARBI OUAHDANI  -  Coiffeur, Maquilleur</t>
  </si>
  <si>
    <t>LARBI OUAHDANI</t>
  </si>
  <si>
    <t>BOUMCOUSI MOHAMED  -  Concepteur Animateur RD/TV</t>
  </si>
  <si>
    <t>BOUMCOUSI MOHAMED</t>
  </si>
  <si>
    <t>SALAH BOULLA  -  Chef d’édition JT</t>
  </si>
  <si>
    <t>SALAH BOULLA</t>
  </si>
  <si>
    <t>AKDIM M'BAREK  -  Concepteur Animateur RD/TV</t>
  </si>
  <si>
    <t>AKDIM M'BAREK</t>
  </si>
  <si>
    <t>MARYEM OUJOUJ  -  Régisseur d'antenne /Opérateur serveur</t>
  </si>
  <si>
    <t>MARYEM OUJOUJ</t>
  </si>
  <si>
    <t>RACHID EL MANSOURI  -  Pré PAD/ Assistant réalisateur</t>
  </si>
  <si>
    <t>RACHID EL MANSOURI</t>
  </si>
  <si>
    <t>HICHAM MADACHA  -  Consultant Politique</t>
  </si>
  <si>
    <t>HICHAM MADACHA</t>
  </si>
  <si>
    <t>MUSTAPHA AZIZI  -  Consultant Politique</t>
  </si>
  <si>
    <t>MUSTAPHA AZIZI</t>
  </si>
  <si>
    <t>HAFID EZZAHRI  -  Consultant Politique</t>
  </si>
  <si>
    <t>HAFID EZZAHRI</t>
  </si>
  <si>
    <t>SOFIA EL AMALKI  -  Journaliste</t>
  </si>
  <si>
    <t>SOFIA EL AMALKI</t>
  </si>
  <si>
    <t>TAHAR MOHAMED  -  Technicien OPV/OPS</t>
  </si>
  <si>
    <t>TAHAR MOHAMED</t>
  </si>
  <si>
    <t>SAID HASNI  -  Concepteur Animateur RD/TV</t>
  </si>
  <si>
    <t>SAID HASNI</t>
  </si>
  <si>
    <t>NAJMI NOUREDDIN  -  Concepteur Animateur RD/TV</t>
  </si>
  <si>
    <t>NAJMI NOUREDDIN</t>
  </si>
  <si>
    <t>ABEL NEZHA  -  Concepteur Animateur RD/TV</t>
  </si>
  <si>
    <t>ABEL NEZHA</t>
  </si>
  <si>
    <t>MHAMED EL FERDI  -  Concepteur Animateur RD/TV</t>
  </si>
  <si>
    <t>MHAMED EL FERDI</t>
  </si>
  <si>
    <t>ABRDAOUS NAIMA  -  Chargée de production</t>
  </si>
  <si>
    <t>ABRDAOUS NAIMA</t>
  </si>
  <si>
    <t>DARKAOUI AHLAM   -  Concepteur Animateur RD</t>
  </si>
  <si>
    <t>DARKAOUI AHLAM</t>
  </si>
  <si>
    <t>ABEL AMINA  -  Concepteur Animateur RD/TV</t>
  </si>
  <si>
    <t>ABEL AMINA</t>
  </si>
  <si>
    <t>BRAHIM IAAZA  -  Rédacteur en Tifinagh</t>
  </si>
  <si>
    <t>BRAHIM IAAZA</t>
  </si>
  <si>
    <t>MOHAMED TALEB  -  Concepteur Animateur RD</t>
  </si>
  <si>
    <t>MOHAMED TALEB</t>
  </si>
  <si>
    <t>ARJDAL ZOHRA  -  Concepteur Animateur RD/TV</t>
  </si>
  <si>
    <t>ARJDAL ZOHRA</t>
  </si>
  <si>
    <t>OUARDA KOULLIGE  -  Concepteur Animateur RD</t>
  </si>
  <si>
    <t>OUARDA KOULLIGE</t>
  </si>
  <si>
    <t>YAMINA CHOUA  -  Concepteur Animateur RD</t>
  </si>
  <si>
    <t>YAMINA CHOUA</t>
  </si>
  <si>
    <t>MOULOUD RABAH  -  Journaliste sportif</t>
  </si>
  <si>
    <t>MOULOUD RABAH</t>
  </si>
  <si>
    <t>OBTEL NAJAT  -  Gestionnaire d'antenne</t>
  </si>
  <si>
    <t>OBTEL NAJAT</t>
  </si>
  <si>
    <t>DANYAL AZAOUM  -  Concepteur Animateur RD/TV</t>
  </si>
  <si>
    <t>DANYAL AZAOUM</t>
  </si>
  <si>
    <t>OUHSSAIN ZAHRA  -  Concepteur Animateur RD/TV</t>
  </si>
  <si>
    <t>OUHSSAIN ZAHRA</t>
  </si>
  <si>
    <t>SAADIA BOUZALRHA  -  Concepteur Animateur RD/TV</t>
  </si>
  <si>
    <t>SAADIA BOUZALRHA</t>
  </si>
  <si>
    <t>MUSTAPHA BOUKRIM  -  Concepteur Animateur RD</t>
  </si>
  <si>
    <t>MUSTAPHA BOUKRIM</t>
  </si>
  <si>
    <t>FATIMA EL KABBOUD  -  Concepteur Animateur RD/TV</t>
  </si>
  <si>
    <t>FATIMA EL KABBOUD</t>
  </si>
  <si>
    <t>SAID BAJJI  -  Concepteur Animateur RD</t>
  </si>
  <si>
    <t>SAID BAJJI</t>
  </si>
  <si>
    <t>AASSID AHMED  -  Chroniqueur</t>
  </si>
  <si>
    <t>AASSID AHMED</t>
  </si>
  <si>
    <t>MOUSTAOUI MOHAMED  -  Chroniqueur</t>
  </si>
  <si>
    <t>MOUSTAOUI MOHAMED</t>
  </si>
  <si>
    <t>RACHID ABDELOIAHID  -  Journaliste sportif en charge de la préparation et l'animation des émissions ''TONOUNT" &amp; "DIMANCHE SPORT" (version Tachlhit)</t>
  </si>
  <si>
    <t>RACHID ABDELOIAHID</t>
  </si>
  <si>
    <t>SRHANE EL MOSTAFA  -  Journaliste sportif en charge de l'animation de l'émission ''LEGHA D RIADA" &amp; "DIMANCHE SPORT" (version Tamazight)</t>
  </si>
  <si>
    <t>SRHANE EL MOSTAFA</t>
  </si>
  <si>
    <t>BEN AMAR RACHID  -  Journaliste sportif en charge de l'animation de l'émission ''LEGHA D RIADA" &amp; "DIMANCHE SPORT" (version Tarifit)</t>
  </si>
  <si>
    <t>BEN AMAR RACHID</t>
  </si>
  <si>
    <t>AAMOUNE MY EL BACHIR  -  Chroniqueur</t>
  </si>
  <si>
    <t>AAMOUNE MY EL BACHIR</t>
  </si>
  <si>
    <t>PV N° : 02RC2025-DPPCCRTV</t>
  </si>
  <si>
    <t>LAHASSAN ID SAID  -  Président de la commission scientifique chargée de l’écoute, du visionnage, de la validation et de l’approbation du contenu des émissions coraniques RD et TV</t>
  </si>
  <si>
    <t>LAHASSAN ID SAID</t>
  </si>
  <si>
    <t>BOULAAMANE ABDELKAMEL  -  Membre de la commission scientifique chargée de l’écoute, du visionnage et de la validation du contenu des émissions coraniques RD et TV</t>
  </si>
  <si>
    <t>BOULAAMANE ABDELKAMEL</t>
  </si>
  <si>
    <t>EL BAHJA MOUSSA  -  Membre de la commission scientifique chargée de l’écoute, du visionnage et de la validation du contenu des émissions coraniques RD et TV</t>
  </si>
  <si>
    <t>EL BAHJA MOUSSA</t>
  </si>
  <si>
    <t>AZZOUZI HASSANE  -  Membre de la commission scientifique chargée de l’écoute, du visionnage et de la validation du contenu des émissions coraniques RD et TV</t>
  </si>
  <si>
    <t>AZZOUZI HASSANE</t>
  </si>
  <si>
    <t>LAYACHI QABBOUSSI  -  PAD RD et TV : Membre de la commission scientifique chargée de l’écoute, du visionnage des émissions coraniques RD et TV</t>
  </si>
  <si>
    <t>LAYACHI QABBOUSSI</t>
  </si>
  <si>
    <t>AMZIL ALI ABDELJALIL  -  PAD RD et TV : Membre de la commission scientifique chargée de l’écoute, du visionnage des émissions coraniques RD et TV</t>
  </si>
  <si>
    <t>AMZIL ALI ABDELJALIL</t>
  </si>
  <si>
    <t>ENNACIRI YOUSSEF  -  PAD RD et TV : Membre de la commission scientifique chargée de l’écoute, du visionnage des émissions coraniques RD et TV</t>
  </si>
  <si>
    <t>ENNACIRI YOUSSEF</t>
  </si>
  <si>
    <t>TAYEB AIT OUGHORI  -  PAD RD et TV : Membre de la commission scientifique chargée de l’écoute, du visionnage des émissions coraniques RD et TV</t>
  </si>
  <si>
    <t>TAYEB AIT OUGHOR</t>
  </si>
  <si>
    <t>HICHAM EL HLIMI  -  PAD RD et TV : Membre de la commission scientifique chargée de l’écoute, du visionnage des émissions coraniques RD et TV</t>
  </si>
  <si>
    <t>HICHAM EL HLIMI</t>
  </si>
  <si>
    <t>EL ASRI HAFSAE  -  PAD RD et TV : Membre de la commission scientifique chargée de l’écoute, du visionnage des émissions coraniques RD et TV</t>
  </si>
  <si>
    <t>EL ASRI HAFSAE</t>
  </si>
  <si>
    <t>AHMED BENMAHANE  -  PAD RD et TV : Membre de la commission scientifique chargée de l’écoute, du visionnage des lectures et des émissions coraniques RD et TV</t>
  </si>
  <si>
    <t xml:space="preserve">AHMED BENMAHANE </t>
  </si>
  <si>
    <t>EL BOUKHARI MOHAMED  -  PAD RD et TV : Membre de la commission scientifique chargée de l’écoute, du visionnage des lectures et des émissions coraniques RD et TV</t>
  </si>
  <si>
    <t>EL BOUKHARI MOHAMED</t>
  </si>
  <si>
    <t>ABDELKRIM EL BAKI ALLAH  -  PAD RD et TV : Membre de la commission scientifique chargée de l’écoute, du visionnage des lectures et des émissions coraniques RD et TV</t>
  </si>
  <si>
    <t>ABDELKRIM EL BAKI ALLAH</t>
  </si>
  <si>
    <t>DTSI</t>
  </si>
  <si>
    <t>PV N° : 02RC2025- DCT</t>
  </si>
  <si>
    <t>RIH AMAL  -  Preneur de vue</t>
  </si>
  <si>
    <t>RIH AMA</t>
  </si>
  <si>
    <t>ABDERRAZZAK MOUZAHIM  -  Preneur de vue</t>
  </si>
  <si>
    <t>ABDERRAZZAK MOUZAHIM</t>
  </si>
  <si>
    <t>AMRENSS YOUSSEF  -  Assistant cameraman</t>
  </si>
  <si>
    <t>AMRENSS YOUSSEF</t>
  </si>
  <si>
    <t>ISMAIL MESKINE  -  Assistant cameraman</t>
  </si>
  <si>
    <t>ISMAIL MESKINE</t>
  </si>
  <si>
    <t>YAHYA SKAF  -  Assistant cameraman</t>
  </si>
  <si>
    <t xml:space="preserve">YAHYA SKAF </t>
  </si>
  <si>
    <t>KABBAJ ZOUHEIR  -  Assistant cameraman</t>
  </si>
  <si>
    <t>KABBAJ ZOUHEIR</t>
  </si>
  <si>
    <t>M'RABETT AYOUB  -  Assistant cameraman</t>
  </si>
  <si>
    <t>M'RABETT AYOUB</t>
  </si>
  <si>
    <t>PV N° : 03RC2025-DPPCCRTV</t>
  </si>
  <si>
    <t>MOHAMMED TOURABI  -  Préparation et la présentation de l'émission radiophonique « ورتل القرآن ترتيلا »</t>
  </si>
  <si>
    <t>Achats de productions et de programmes
Achat des programmes en production interne - personnes physiques</t>
  </si>
  <si>
    <t xml:space="preserve">MOHAMMED TOURABI </t>
  </si>
  <si>
    <t>ABDELLATIF BOUBALA  -  Préparation et la présentation de l’émission RD « ملتقى الأطفال»</t>
  </si>
  <si>
    <t>ABDELLATIF BOUBALA</t>
  </si>
  <si>
    <t>MOSTAFA BEN HAMZA  -  Préparation et présentation de l'émission TV " الكراسي العلمية "</t>
  </si>
  <si>
    <t>MOSTAFA BEN HAMZA</t>
  </si>
  <si>
    <t>ABDERRAHIM NABOULSSI  -  Préparation et présentation de l'émission TV " الكراسي العلمية "</t>
  </si>
  <si>
    <t>ABDERRAHIM NABOULSSI</t>
  </si>
  <si>
    <t>MOHAMED RAOUGUI  -  Préparation et présentation de l'émission TV " الكراسي العلمية "</t>
  </si>
  <si>
    <t>MOHAMED RAOUGUI</t>
  </si>
  <si>
    <t>MUSTAPHA BAHIAOUI  -  Préparation et présentation de l'émission TV " الكراسي العلمية "</t>
  </si>
  <si>
    <t>MUSTAPHA BAHIAOUI</t>
  </si>
  <si>
    <t>MOHAMMED BENKIRANE  -  Préparation et présentation de l'émission TV " الكراسي العلمية "</t>
  </si>
  <si>
    <t>MOHAMMED BENKIRANE</t>
  </si>
  <si>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</si>
  <si>
    <t>SIDI ABDERAHMANE ALIOUI</t>
  </si>
  <si>
    <t>ABDELLAH ABOUATALLAH  -  Préparation et présentation de l’émission TV " الكراسي العلمية "</t>
  </si>
  <si>
    <t>ABDELLAH ABOUATALLAH</t>
  </si>
  <si>
    <t>ID SAID LAHSSAN  -  Réponse sur antenne TV aux questions des téléspectateurs à l'émission TV " يسألونك/ Réponse sur antenne RD aux questions des auditeurs à l'émission RD "يسألونك"</t>
  </si>
  <si>
    <t>ID SAID LAHSSAN</t>
  </si>
  <si>
    <t>MIFRAH EL HOUSSAIN  -  Réponse sur antenne TV aux questions des téléspectateurs à l'émission TV " يسألونك / Réponse sur antenne RD aux questions des auditeurs à l'émission RD "يسألونك"</t>
  </si>
  <si>
    <t>MIFRAH EL HOUSSAIN</t>
  </si>
  <si>
    <t>MOHAMMED EL YOUSSOUFI  -  Réponse sur antenne TV aux questions des téléspectateurs à l'émission TV " يسألونك / Réponse sur antenne RD aux questions des auditeurs à l'émission RD "يسألونك"</t>
  </si>
  <si>
    <t>MOHAMMED EL YOUSSOUFI</t>
  </si>
  <si>
    <t>ABOUZID KHADIJA  -  Réponse sur antenne TV aux questions des téléspectateurs à l'émission TV " يسألونك / Réponse sur antenne RD aux questions des auditeurs à l'émission RD "يسألونك"</t>
  </si>
  <si>
    <t>ABOUZID KHADIJA</t>
  </si>
  <si>
    <t>EL GHOLABZOURI BOUTHAINA  -  Réponse sur antenne TV aux questions des téléspectateurs à l'émission TV " يسألونك</t>
  </si>
  <si>
    <t>EL GHOLABZOURI BOUTHAINA</t>
  </si>
  <si>
    <t>MUSTAPHA ZAMEHNA  -  Réponse sur antenne TV aux questions des téléspectateurs à l'émission TV " يسألونك</t>
  </si>
  <si>
    <t>MUSTAPHA ZAMEHNA</t>
  </si>
  <si>
    <t>MOHAMMED EL KHIRAOUI  -  Préparation et la présentation l'émission RD "يسألونك"</t>
  </si>
  <si>
    <t>MOHAMMED EL KHIRAOUI</t>
  </si>
  <si>
    <t>LAYACHI QABBOUSSI  -  La préparation et présentation de l’émission TV « المسالك"</t>
  </si>
  <si>
    <t>YOUSSEF ENNACIRI  -  La préparation et la présentation de l'émission TV " السيرة النبوية قضايا وأعلام"</t>
  </si>
  <si>
    <t>YOUSSEF ENNACIRI</t>
  </si>
  <si>
    <t>LAMINE ABDERRAHIM  -  Réponse sur antenne RD aux questions des auditeurs à l'émission RD "يسألونك" / La préparation de l'émission TV "الدين و القانون"</t>
  </si>
  <si>
    <t>LAMINE ABDERRAHIM</t>
  </si>
  <si>
    <t>ZERRAD NAWAL  -  La préparation et la présentation de la capsule RD "حكم من القرآن و السنة".</t>
  </si>
  <si>
    <t>ZERRAD NAWAL</t>
  </si>
  <si>
    <t>AHMED BENMAHANE  -  La préparation et la Présentation de l'émission TV "براعم القراء" / La Préparation et la présentation de l'émission RD "مواهب التجويد"</t>
  </si>
  <si>
    <t>AHMED BENMAHANE</t>
  </si>
  <si>
    <t>FATOUHI HICHAM  -  La préparation de l'émission TV "الدين و القانون" / La présentation de la capsule RD " ''كمالات محمدية''</t>
  </si>
  <si>
    <t>FATOUHI HICHAM</t>
  </si>
  <si>
    <t>MOHAMED THAMI EL HARRAK  -  La préparation de la capsule RD " ''كمالات محمدية''</t>
  </si>
  <si>
    <t>MOHAMED THAMI EL HARRAK</t>
  </si>
  <si>
    <t>ILYASSE BENNANI  -  La préparation et la présentation de la capsule RD ''ومضات حول الثوابت''</t>
  </si>
  <si>
    <t>ILYASSE BENNANI</t>
  </si>
  <si>
    <t>HAMDAOUI FATIHA  -  La préparation et la présentation de l'émission RD "طفل يقرأ"</t>
  </si>
  <si>
    <t>HAMDAOUI FATIHA</t>
  </si>
  <si>
    <t>MOHCIN NORCH  -  La préparation et la présentation de l'émission RD "محافل السماع".</t>
  </si>
  <si>
    <t>MOHCIN NORCH</t>
  </si>
  <si>
    <t>HADDAD ZAKIA   -  La préparation et la présentation de l’émission RD"تاريخ وحضارة".</t>
  </si>
  <si>
    <t>HADDAD ZAKIA</t>
  </si>
  <si>
    <t>ILHAM CHAFIK  -  La préparation et la présentation de l'émission RD " التبليغ المبين لمعاني المرشد المعين "</t>
  </si>
  <si>
    <t>ILHAM CHAFIK</t>
  </si>
  <si>
    <t>SAID NAQCHI  -  La préparation et la présentation de l'émission TV"مع الشباب"</t>
  </si>
  <si>
    <t>SAID NAQCHI</t>
  </si>
  <si>
    <t>DINA KADIRI  -  La préparation et la présentation de l'émission TV"LES CHEMINS CROISES"</t>
  </si>
  <si>
    <t>DINA KADIRI</t>
  </si>
  <si>
    <t>EL BOUKILI AHMED  -  La préparation et la présentation de l'émission TV " الكلمة السواء"</t>
  </si>
  <si>
    <t>EL BOUKILI AHMED</t>
  </si>
  <si>
    <t>BIHI SAID  -  La préparation et la présentation de l'émission TV " قضايا التبليغ"</t>
  </si>
  <si>
    <t>BIHI SAID</t>
  </si>
  <si>
    <t>AMHARAR ILYASS  -  La préparation et la présentation de l'émission TV "LES CONSTANCES RELEGIEUSES".</t>
  </si>
  <si>
    <t xml:space="preserve">AMHARAR ILYASS </t>
  </si>
  <si>
    <t>ABDELKAMEL DINIA  -  La préparation et la présentation de l'émission RD intitulée ''مذاكرات''</t>
  </si>
  <si>
    <t>ABDELKAMEL DINIA</t>
  </si>
  <si>
    <t>WAFAE JABRANE  -  La préparation et la présentation de l'émission TV "جسور"</t>
  </si>
  <si>
    <t>WAFAE JABRANE</t>
  </si>
  <si>
    <t>ENNAJI AL AMJAD  -  La préparation et la présentation de l'émission TV ''استهلال لست وحدك''</t>
  </si>
  <si>
    <t>ENNAJI AL AMJAD</t>
  </si>
  <si>
    <t>AMINA IRAQI HOUSSAINI  -  La préparation et la présentation de l'émission RD"لحظة لصحتك"</t>
  </si>
  <si>
    <t>AMINA IRAQI HOUSSAINI</t>
  </si>
  <si>
    <t>KHALID SAQI  -  La préparation et la présentation de l'émission radiophonique intitulée ''الرسالة الخالدة''</t>
  </si>
  <si>
    <t>KHALID SAQI</t>
  </si>
  <si>
    <t>ZINEB HIDRA  -  La préparation et la présentation de l'émission TV intitulée ''لتسكنوا إليها ''</t>
  </si>
  <si>
    <t>ZINEB HIDRA</t>
  </si>
  <si>
    <t>YAMNA HAMOURI  -  La préparation et la présentation de l'émission TV intitulée ''همزة وصل ''</t>
  </si>
  <si>
    <t>YAMNA HAMOURI</t>
  </si>
  <si>
    <t>ABDESLAM JMILI  -  La préparation de l’émission TV « المقنع في علم التوقيت»</t>
  </si>
  <si>
    <t>ABDESLAM JMILI</t>
  </si>
  <si>
    <t>MOULAY ENNAJEM TAHDAOUI  -  La préparation et la présentation de l'émission TV intitulée ''الرسم القرآني ‘‘</t>
  </si>
  <si>
    <t>MOULAY ENNAJEM TAHDAOUI</t>
  </si>
  <si>
    <t>MOHAMED AIT ADDI  -  La préparation et la présentation de l'émission TV intitulée ''في ضيافة الشباب ''</t>
  </si>
  <si>
    <t>MOHAMED AIT ADDI</t>
  </si>
  <si>
    <t>ABDELLATIF TAYBI  -  La préparation et la présentation l'émission TV intitulée ''يوميات مسلم''</t>
  </si>
  <si>
    <t>ABDELLATIF TAYBI</t>
  </si>
  <si>
    <t>YOUNES BOUALAM  -  La préparation et la présentation de l'émission RD"قبس الأنوار"</t>
  </si>
  <si>
    <t>YOUNES BOUALAM</t>
  </si>
  <si>
    <t>Exécution de la production de l'émission pour femmes en PAD intitulée "LAMASATE NISAIYA"</t>
  </si>
  <si>
    <t>12CT/SNRT/2026</t>
  </si>
  <si>
    <t>Achats de productions et de programmes 
Acquis définitive Programmes TV externes 
Achats des programmes en co-production</t>
  </si>
  <si>
    <t>DUNAS PRODUCTION</t>
  </si>
  <si>
    <t>Exécution de la production de l'émission de jeux culturel en co-prod intitulée «AL FAICHE EX AL FARIH "</t>
  </si>
  <si>
    <t>16CT/SNRT/2026</t>
  </si>
  <si>
    <t>Exécution de la production de l’émission en PAD "ICHOUF A CHIBANI</t>
  </si>
  <si>
    <t>22CT/SNRT/2026</t>
  </si>
  <si>
    <t>JOWHARA TECH</t>
  </si>
  <si>
    <t>Exécution de la production du documentaire découverte sur le Sahara en PAD intitulée "AMNIR"</t>
  </si>
  <si>
    <t>15CT/SNRT/2026</t>
  </si>
  <si>
    <t>DELTA PRODUCTION</t>
  </si>
  <si>
    <t>Exécution de la production d’une série d’AMDAH NABAWIYA en PAD intitulée "BISMILAH LAHI NAMDAH"</t>
  </si>
  <si>
    <t>13CT/SNRT/2026</t>
  </si>
  <si>
    <t>LAJOUAD VISION</t>
  </si>
  <si>
    <t>Exécution de la production de   émission sur le patrimoine et la culture hassani en PAD intitulée: "MAA NAHA"</t>
  </si>
  <si>
    <t>21CT/SNRT/2026</t>
  </si>
  <si>
    <t>SAKIA PRO</t>
  </si>
  <si>
    <t>Exécution de la production de   l'émission famille en PAD intitulée "HOUZMAT RAMADAN"</t>
  </si>
  <si>
    <t>11CT/SNRT/2026</t>
  </si>
  <si>
    <t>NOUN PRODUCTION</t>
  </si>
  <si>
    <t>Exécution de la production de   l'émission de jeu  en coprod intitulée : "AL JAMAL BIMA HAMAL"</t>
  </si>
  <si>
    <t>08CT/SNRT/2026</t>
  </si>
  <si>
    <t>OUSSOUL PRODUCTION</t>
  </si>
  <si>
    <t xml:space="preserve">Exécution de la production de l’émission sur le patrimoine et la culture hassani en PAD "GHAB O JAB" </t>
  </si>
  <si>
    <t>20CT/SNRT/2026</t>
  </si>
  <si>
    <t>Exécution de la production de l’émission de sensibilisation sur la santé en PAD intitulée "SIHATOUKA FI RAMADAN"</t>
  </si>
  <si>
    <t>09CT/SNRT/2026</t>
  </si>
  <si>
    <t>MOVIE VISION SAHARA</t>
  </si>
  <si>
    <t>Exécution de la production de   l'émission culinaire en PAD intitulée "AL MAIDA SAHRAOUIYA"</t>
  </si>
  <si>
    <t>10CT/SNRT/2026</t>
  </si>
  <si>
    <t>AL JAMAL VISION</t>
  </si>
  <si>
    <t xml:space="preserve">Exécution de la production de   l'émission religieuse en PAD intitulée "KADAYA RAMADANIYA " </t>
  </si>
  <si>
    <t>14CT/SNRT/2026</t>
  </si>
  <si>
    <t>MONAFRIQUE PROD COM</t>
  </si>
  <si>
    <t>Exécution de la production d'un documentaire en PAD intitulée : « SAFAR WA ISTIKCHAF ABRA SAHRA »</t>
  </si>
  <si>
    <t>19CT/SNRT/2026</t>
  </si>
  <si>
    <t>Exécution de la production de   l'émission patrimoine en PAD intitulée " LYALI LFRIK"</t>
  </si>
  <si>
    <t>06CT/SNRT/2026</t>
  </si>
  <si>
    <t>Exécution de la production de  l'émission de jeu religieux en PAD intitulée "AL MAHDARA"</t>
  </si>
  <si>
    <t>05CT/SNRT/2026</t>
  </si>
  <si>
    <t>Exécution de la production de d’une soirée en Co Prod intitulé " LAYALI AOZAAOUANE "</t>
  </si>
  <si>
    <t>17CT/SNRT/2026</t>
  </si>
  <si>
    <t>LAAYOUNE PRO</t>
  </si>
  <si>
    <t>Exécution de la production de l’émission de jeu pour adultes en Co Prod intitulé "SIBAK AL KAWAFI"</t>
  </si>
  <si>
    <t>07CT/SNRT/2026</t>
  </si>
  <si>
    <t>Exécution de la production d’un documentaire en PAD intitulé « AMAJBOUR »</t>
  </si>
  <si>
    <t>18CT/SNRT/2026</t>
  </si>
  <si>
    <t>EXTREME MEDIA</t>
  </si>
  <si>
    <t>Souscription PORTNET – Achat forfait importateurs 50 opérations – 2026</t>
  </si>
  <si>
    <t>26000104 CT</t>
  </si>
  <si>
    <t>Redevance et cotisations
Abonnements</t>
  </si>
  <si>
    <t>PORTNET S.A</t>
  </si>
  <si>
    <t>Captation de 30 capsules « IBTIHALAT RAMADANIA », pour le mois de RAMADAN 1447, organisé et produite en interne par la SNRT.</t>
  </si>
  <si>
    <t xml:space="preserve"> 191CT/SNRT/2026</t>
  </si>
  <si>
    <t>ALI ER-RBAHY</t>
  </si>
  <si>
    <t>La location de 20 écrans Led pour la promotion des produits et services de la SNRT sur les villes de : Casablanca, Rabat, Marrakech, Agadir et Tanger ainsi que la location d’un écran géant Twin Center (Casablanca)</t>
  </si>
  <si>
    <t>FR/KR/01/2026</t>
  </si>
  <si>
    <t>FC MEDIA</t>
  </si>
  <si>
    <t>87 AOM/SNRT</t>
  </si>
  <si>
    <t>Prestation de nettoyage complète y compris les produits de nettoyage et l'entretien des locaux administratifs et techniques des services centraux et régionaux de la SNRT. (pour conclure un marché cadre).</t>
  </si>
  <si>
    <t>01M/2026</t>
  </si>
  <si>
    <t>Prestations de service
Achat prestations de services locales - sociétés</t>
  </si>
  <si>
    <t>HYATT NEGOCE SERVICE</t>
  </si>
  <si>
    <t>Montant engagé sur 11 Mois du Min (10 035 537,40)</t>
  </si>
  <si>
    <t>13AOM/SNRT</t>
  </si>
  <si>
    <t>Travaux d’aménagement des locaux technique de la SNRT a Rabat : Lot 1 : Aménagement et Agencement</t>
  </si>
  <si>
    <t>Absence Numéro AO</t>
  </si>
  <si>
    <t>Travaux d’aménagement des locaux technique de la SNRT a Rabat : Lot 2 : Electricité – Lustries – Climatisation</t>
  </si>
  <si>
    <t>41AOM/AOM</t>
  </si>
  <si>
    <t>Travaux d’aménagement et d’agencement de la Régie Publicitaire et des solutions digitales à Casablanca</t>
  </si>
  <si>
    <t>03 AOM/SNRT</t>
  </si>
  <si>
    <t>Travaux de démolition et de reconstruction d’un mur de clôture de la station régionale Radio à Oujda</t>
  </si>
  <si>
    <t>15M/2026</t>
  </si>
  <si>
    <t>OYIRI TRAVAUX</t>
  </si>
  <si>
    <t>04 AOM/SNRT</t>
  </si>
  <si>
    <t>Fourniture et installation du matériel de bureau : Photocopieurs, Fax, Toners, Drums et Fours</t>
  </si>
  <si>
    <t>Achat du consommable pour photocopieur et fax : Toners, Drums et Fours</t>
  </si>
  <si>
    <t>62 AOM/SNRT/2025</t>
  </si>
  <si>
    <t>Travaux d’aménagement des sites de diffusion de la SNRT LAKHIAR (P.KHEMISSET) et SIDI AHMED BENRAHAL (P.SIDI BENNOUR)</t>
  </si>
  <si>
    <t>02M/2026</t>
  </si>
  <si>
    <t>ATLANTIC MULTIPOLE</t>
  </si>
  <si>
    <t>97 AOM/SNRT</t>
  </si>
  <si>
    <t>Travaux d’aménagement des sites de diffusion de JBEL TAZEKKA (P.TAZA)</t>
  </si>
  <si>
    <t>03M/2026</t>
  </si>
  <si>
    <t>MED MAN</t>
  </si>
  <si>
    <t>Publication des  insertions de la SNRT dans les deux journaux  du groupe AL ITIHAD PRESSE  à savoir : «AL ITTIHAD AL ICHTIRAKI » et « LIBERATION »</t>
  </si>
  <si>
    <t>01 CT/SNRT/2026</t>
  </si>
  <si>
    <t>Charges marketing et relations publiques
Annonces et insertions</t>
  </si>
  <si>
    <t>GROUPE AL ITTIHAD PRESSE</t>
  </si>
  <si>
    <t>Publication des insertions de la SNRT dans les journaux du groupe MAROC SOIR : le MATIN et  ASSAHRAA AL MAGHRIBIA</t>
  </si>
  <si>
    <t>02 CT/SNRT/2026</t>
  </si>
  <si>
    <t>GROUPE MAROC SOIR</t>
  </si>
  <si>
    <t>Publication des  insertions de la SNRT dans les deux journaux  du groupe BAYANE</t>
  </si>
  <si>
    <t>03 CT/SNRT/2026</t>
  </si>
  <si>
    <t>BAYANE SA</t>
  </si>
  <si>
    <t>Publication des insertions de la SNRT dans le Journal " ANNAHAR AL MAGHRIBIYA "</t>
  </si>
  <si>
    <t>04 CT/SNRT/2026</t>
  </si>
  <si>
    <t>MEDIA CONFIDENCE</t>
  </si>
  <si>
    <t>La cession exclusive à la SNRT par l'auteur des droits d'auteurs patrimoniaux et les droits de toute utilisation dérivée du concept et des images relatifs à l'émission de Télé-réalité intitulée: ''LALLA LAAROUSSA'', Reconduction N°12</t>
  </si>
  <si>
    <t>234 CT/SNRT/2026</t>
  </si>
  <si>
    <t>Achats de productions et de programmes
Acquis définitive Programmes TV externes</t>
  </si>
  <si>
    <t>PUBLIC EVENEMENT PRODUCTION</t>
  </si>
  <si>
    <t xml:space="preserve"> 29CT/SNRT/2025</t>
  </si>
  <si>
    <t>L’assurance maladie complémentaire au régime de base AMO géré par la CNOPS au profit du personnel de la SNRT</t>
  </si>
  <si>
    <t>POLICE N° 0902943</t>
  </si>
  <si>
    <t>SANLAM</t>
  </si>
  <si>
    <t>05 AOM/SNRT</t>
  </si>
  <si>
    <t>La location en longue durée de véhicule neufs sans option d’achat ainsi que les prestations qui lui sont accessoires et complémentaires pour la SNRT</t>
  </si>
  <si>
    <t>11M/2026</t>
  </si>
  <si>
    <t>Location
Location matériel transport</t>
  </si>
  <si>
    <t>MARLOC</t>
  </si>
  <si>
    <t>MT de pré engagement correspond au prorata de 06 mois et 20 jours + Location</t>
  </si>
  <si>
    <t>Consultation N° 30CT/SNRT</t>
  </si>
  <si>
    <t>Organisation de l’opération FTOUR et SHOUR au profit du personnel de la SNRT durant le mois sacré Ramadan 1447/2026</t>
  </si>
  <si>
    <t>197 CT/SNRT/2026</t>
  </si>
  <si>
    <t>GO FRESH</t>
  </si>
  <si>
    <t xml:space="preserve">Le MT engagé correspond au MAX </t>
  </si>
  <si>
    <t>Contrats de supervision technique et administrative ainsi que la coordination pour l’enregistrement de 30 capsules de la musique andalouse</t>
  </si>
  <si>
    <t>192 CT/SNRT/2026</t>
  </si>
  <si>
    <t>193 CT/SNRT/2026</t>
  </si>
  <si>
    <t>ABDESSALAM KHALOUFI</t>
  </si>
  <si>
    <t>Contrats de cessions des droits de captation enregistrement et exploitation de 30 capsules de la musique andalouse</t>
  </si>
  <si>
    <t>195 CT/SNRT/2026</t>
  </si>
  <si>
    <t>MOHAMED AMINE EL AKRAMI</t>
  </si>
  <si>
    <t>194 CT/SNRT/2026</t>
  </si>
  <si>
    <t>DAOUD STITOU</t>
  </si>
  <si>
    <t>236 CT/SNRT/2026</t>
  </si>
  <si>
    <t>ASSOCIATION AL YOUSSOUFIA LI TOURAT WA SAMAA WA TILAWA</t>
  </si>
  <si>
    <t>92 AOM/SNRT</t>
  </si>
  <si>
    <t>Acquisition de mobilier de bureau pour la SNRT</t>
  </si>
  <si>
    <t>04M/2026</t>
  </si>
  <si>
    <t>STOKAD</t>
  </si>
  <si>
    <t>CESSION AU PROFIT DE LA SNRT, LES DROITS DE LA COUVERTURE Télévisée de la compétition Sahraouiya</t>
  </si>
  <si>
    <t>237 CT/SNRT/2026</t>
  </si>
  <si>
    <t>Achats de droits
Achats de droit de sport</t>
  </si>
  <si>
    <t>OL DAKHLA</t>
  </si>
  <si>
    <t>01CT/SNRT/2026</t>
  </si>
  <si>
    <t>Achat d’espaces Publicitaires sur les réseaux sociaux Meta, Google et Tiktok pour la promotion des programmes du Ramadan 2026</t>
  </si>
  <si>
    <t>235 CT/SNRT/2026</t>
  </si>
  <si>
    <t>BIG IDEAS</t>
  </si>
  <si>
    <t>14 AOM/SNRT</t>
  </si>
  <si>
    <t>Fourniture, installation et mise en service de Blocs UpConverters</t>
  </si>
  <si>
    <t>Équipements de télédiffusion</t>
  </si>
  <si>
    <t>INTRATEL</t>
  </si>
  <si>
    <t>07 AOM/SNRT</t>
  </si>
  <si>
    <t>Fourniture, installation et mise en service des onduleurs 2 x 150 KVA type modulaires et d’un systéme de climatisation au centre de ZAER</t>
  </si>
  <si>
    <t>ELEXPERT</t>
  </si>
  <si>
    <t>08 AOM/SNRT</t>
  </si>
  <si>
    <t>Fourniture d’un nouveau groupe électrogène pour le centre de PALOMAS de puissance 200 KW/PRP, ainsi que la mise à niveau et transfert de quelques groupes électrogène entre quelques centres SNRT</t>
  </si>
  <si>
    <t>104 AOM/SNRT</t>
  </si>
  <si>
    <t>Fourniture et mise en service d’équipements de captation vidéo et de prise de son destinés aux besoins de production des chaînes de la SNRT</t>
  </si>
  <si>
    <t>05 M/2026</t>
  </si>
  <si>
    <t>Équipements techniques</t>
  </si>
  <si>
    <t>NYA AUDIO VIDEO</t>
  </si>
  <si>
    <t>COTISATIONS PART ANNONCEURS</t>
  </si>
  <si>
    <t>CIRAD</t>
  </si>
  <si>
    <t>CONTRIBUTION AUX FRAIS DE LA MESURE D'AUDIENCE TV</t>
  </si>
  <si>
    <t>CIAUMED</t>
  </si>
  <si>
    <t>Hébergement de la plateforme SNRTNEWS et la plateforme BOTOLA-Web, mobile (Android et IOS) et TV hors contenu video</t>
  </si>
  <si>
    <t>497 CT/SNRT</t>
  </si>
  <si>
    <t>Prestation de services
Achat prestations de services locales - sociétés</t>
  </si>
  <si>
    <t>ATLAS HOSTER</t>
  </si>
  <si>
    <t>Création de capsules digitales pour SNRT News</t>
  </si>
  <si>
    <t>Assistance et maintenance de la Solution BI</t>
  </si>
  <si>
    <t>Numéro AO + Date visa</t>
  </si>
  <si>
    <t>Travaux d’impression pour la mise en scène de l’émission « MOSABAQAT ALQURAN ALKARIM » pour l’année 1447/2026</t>
  </si>
  <si>
    <t>26000001 CL</t>
  </si>
  <si>
    <t>TETSOUL SERVICES</t>
  </si>
  <si>
    <t>Achat de trophées pour l’émission  « MOSABAQAT ALQURAN ALKARIM » pour l’année 1447/2026</t>
  </si>
  <si>
    <t>26000002 CL</t>
  </si>
  <si>
    <t>TELTAY TRADING</t>
  </si>
  <si>
    <t>Acquisition et travaux d'installation de trois ascenseur dans le bâtiment de la SNRT à Rabat et Casablanca</t>
  </si>
  <si>
    <t>Annulé</t>
  </si>
  <si>
    <t>Acquisition et travaux d'installation d’un ascenseur dans le batiment de la SNRT NEWS à Casablanca</t>
  </si>
  <si>
    <t>Numéro AO + Date Fiche et Visa</t>
  </si>
  <si>
    <t>le sponsoring du Festival "Mawazine Rytmes du monde" éditions 2024-2025-2026</t>
  </si>
  <si>
    <t>001220623/CT-SNRT</t>
  </si>
  <si>
    <t>ASSOCIATION MAROC CULTURES</t>
  </si>
  <si>
    <t>Achat d’espace publicitaires sur la presse digitale et la presse écrite pour la promotion des programmes de Ramadan 2026</t>
  </si>
  <si>
    <t>325 CT/SNRT/2026</t>
  </si>
  <si>
    <t>ADWEB MAROC</t>
  </si>
  <si>
    <t>R,A,S</t>
  </si>
  <si>
    <t>Réalisation d’une étude marketing pour le compte de la SNRT</t>
  </si>
  <si>
    <t>26000003 CL</t>
  </si>
  <si>
    <t>LMS-CSA</t>
  </si>
  <si>
    <t>Acquisition de cachet pour les besoins des différents entité de la SNRT pour l’année 2026</t>
  </si>
  <si>
    <t>26000004 CL</t>
  </si>
  <si>
    <t>REPRO MASTER</t>
  </si>
  <si>
    <t>Impression numérique 4 couleurs de cartes de visites pour les besoins des différentes entités de la SNRT durant l’année 2026</t>
  </si>
  <si>
    <t>26000005 CL</t>
  </si>
  <si>
    <t>Rupture de jeune et repas de Shour du personnel de la SNRT TV Laâyoune, Centre Émetteur TV/FM Laâyoune et Station Régionale du Radio Laâyoune du mois sacré de RAMADAN 1447/2026</t>
  </si>
  <si>
    <t>26000006 CL</t>
  </si>
  <si>
    <t>STE JAMAA ANNAOUI</t>
  </si>
  <si>
    <t>15 AOM/SNRT</t>
  </si>
  <si>
    <t>La fourniture et la mise en service de serveurs haute performance destinés aux applications d’intelligence artificielle et d’apprentissage automatique pour les besoins de la SNRT</t>
  </si>
  <si>
    <t>Matériel informatiques</t>
  </si>
  <si>
    <t>La fourniture et la mise en service d’infrastructures informatiques haute performance pour les applications d’intelligences artificielle pour les besoins de la SNRT</t>
  </si>
  <si>
    <t>11 AOM/SNRT</t>
  </si>
  <si>
    <t>La fourniture d’une solution DLP « Data Loss Prevention »pour les besoins de la SNRT</t>
  </si>
  <si>
    <t>12M/2026</t>
  </si>
  <si>
    <t>MODCOD</t>
  </si>
  <si>
    <t>96 AOM/SNRT</t>
  </si>
  <si>
    <t>Fourniture de convertisseurs « Electrique/ Optique » - « Optique/ Electrique » bidirectionnels pour les signaux électriques SDI, ASI et IP.</t>
  </si>
  <si>
    <t>06M/2026</t>
  </si>
  <si>
    <t>MOYANO MAROC</t>
  </si>
  <si>
    <t>La souscription par la SNRT aux services de mesures d’audience suivants : Planview TV, Radiomat, Fichier Mediapilot, OTVY, Souscription à 21 cibles spécifiques, FICHIER BI, Intégration de la Chaîne Tamazight à Planview, Fichier Mediapilot RADIO</t>
  </si>
  <si>
    <t>001/2026</t>
  </si>
  <si>
    <t>MAROCMETRIE</t>
  </si>
  <si>
    <t>Adhésion à l’EGTA année 2026</t>
  </si>
  <si>
    <t>EGTA</t>
  </si>
  <si>
    <t>R.A.S</t>
  </si>
  <si>
    <t>09 AOM/SNRT</t>
  </si>
  <si>
    <t>Acquisition de matériel technique et informatique pour l’extension de l’outil digital de gestion des ressources techniques et humaines de l’exploitation et de la maintenance</t>
  </si>
  <si>
    <t>75AOM/SNRT</t>
  </si>
  <si>
    <t>Fourniture, installation et mise en service de climatiseurs de type armoire de puissance frigorifique 48000 Btu</t>
  </si>
  <si>
    <t>07M/2026</t>
  </si>
  <si>
    <t>SIDATE BRAHIM TECHNO</t>
  </si>
  <si>
    <t>58AOM/SNRT/2026</t>
  </si>
  <si>
    <t>Extension et mise à jour de la solution de la vidéosurveillance de la SNRT à Rabat et Casablanca</t>
  </si>
  <si>
    <t>N° AO + PME ? + DATE FICHE</t>
  </si>
  <si>
    <t>Extension et mise à jour de la solution de la vidéosurveillance de la SNRT à Station TV LAAYOUNE</t>
  </si>
  <si>
    <t>Convention conclus avec OIAS STATES BOADCASTING</t>
  </si>
  <si>
    <t>26000039CT</t>
  </si>
  <si>
    <t>OIAS STATES BROADCASTING</t>
  </si>
  <si>
    <t>Convention conclus avec ASBU</t>
  </si>
  <si>
    <t>26000156CT</t>
  </si>
  <si>
    <t>ASBU</t>
  </si>
  <si>
    <t>Cotisation annuelle CIRTEF au titre de l’année 2026</t>
  </si>
  <si>
    <t>26000047CT</t>
  </si>
  <si>
    <t>CIRTEF</t>
  </si>
  <si>
    <t>Cotisation annuelle EBU au titre de l’année 2026</t>
  </si>
  <si>
    <t>26000038CT</t>
  </si>
  <si>
    <t>EBU</t>
  </si>
  <si>
    <t>Cotisation annuelle de l’UAR au titre de l’année 2026</t>
  </si>
  <si>
    <t>26000036CT</t>
  </si>
  <si>
    <t>UAR</t>
  </si>
  <si>
    <t>Cotisation annuelle de l’URTI au titre de l’année 2026</t>
  </si>
  <si>
    <t>26000048CT</t>
  </si>
  <si>
    <t>URTI</t>
  </si>
  <si>
    <t>Cotisation annuelle 2026</t>
  </si>
  <si>
    <t>26000035CT</t>
  </si>
  <si>
    <t>COPEAM</t>
  </si>
  <si>
    <t>02AOM/SNRT</t>
  </si>
  <si>
    <t>Achat de fourniture de Bureau destiné à la SNRT</t>
  </si>
  <si>
    <t>EQUIPEMENT GHAZIA</t>
  </si>
  <si>
    <t>Achat de Papier Fort A4 destiné à la SNRT</t>
  </si>
  <si>
    <t>PRINTYMA</t>
  </si>
  <si>
    <t>Contrats conclus avec la FRM d’ESCRIME</t>
  </si>
  <si>
    <t>01-SNRT/FRMES-2026</t>
  </si>
  <si>
    <t>FRM d’ESCRIME</t>
  </si>
  <si>
    <t>Contrats conclus avec la FRM DE TENNIS</t>
  </si>
  <si>
    <t>01-SNRT/FRMT-2026</t>
  </si>
  <si>
    <t>FRM DE TENNIS</t>
  </si>
  <si>
    <t>Contrats conclus avec la FRM DE KARATE</t>
  </si>
  <si>
    <t>01-SNRT/FRMK-2026</t>
  </si>
  <si>
    <t>FRM DE KARATE</t>
  </si>
  <si>
    <t>Frais technique de production des matches amicaux MAROC vs EQUATEUR et MAROC vs PARAGUAY</t>
  </si>
  <si>
    <t>01-SNRT-MEDIALUSO-2026</t>
  </si>
  <si>
    <t>MEDIALUSO</t>
  </si>
  <si>
    <t>Souscription par la SNRT au service de mesures d’audience Radiomat, ainsi que la souscription au service bandes annonce</t>
  </si>
  <si>
    <t>002/2026</t>
  </si>
  <si>
    <t>12AOM/SNRT</t>
  </si>
  <si>
    <t>Désherbage des sites de la snrt : TEMARA et ZAER</t>
  </si>
  <si>
    <t>14M/2026</t>
  </si>
  <si>
    <t>CCOPERATIVE COOPVERT</t>
  </si>
  <si>
    <t>Désherbage des sites de la snrt : Casablanca (Ain Chok et Roche noire)</t>
  </si>
  <si>
    <t>13M/2026</t>
  </si>
  <si>
    <t>LAZI VERT</t>
  </si>
  <si>
    <t>PV N° : 01NV2026-DCPA</t>
  </si>
  <si>
    <t>MOULAY DRISS ABOUELFADEL – Préparation, supervision, suivi et rédaction des commentaires pour une nouvelle série documentaire sur l’environnement marin produite en interne</t>
  </si>
  <si>
    <t>MOULAY DRISS ABOUELFADEL</t>
  </si>
  <si>
    <t xml:space="preserve">   </t>
  </si>
  <si>
    <t>La fourniture de toners d’impression pour les besoins de la SNRT</t>
  </si>
  <si>
    <t>26000012 CL</t>
  </si>
  <si>
    <t>Achat de matière et fourniture consommable</t>
  </si>
  <si>
    <t>MONDOFFICE</t>
  </si>
  <si>
    <t>100 AOM/SNRT</t>
  </si>
  <si>
    <t>La fourniture et installation des radômes pour le feeder du centre émetteur Radio AM de Foum El Oued à Laayoune</t>
  </si>
  <si>
    <t>09M/2026</t>
  </si>
  <si>
    <t xml:space="preserve">Travaux d’aménagement </t>
  </si>
  <si>
    <t>26000018 CL</t>
  </si>
  <si>
    <t>MDFICATION</t>
  </si>
  <si>
    <t>Hébergement en pension compléte des invités marocains et étrangers dans le cadre du tournage des émission TV de la SNRT</t>
  </si>
  <si>
    <t>26000019 CL</t>
  </si>
  <si>
    <t>FIKRINVEST-HO (NJ HOTEL)</t>
  </si>
  <si>
    <t>Achat des piles pour les besoins de différentes entités de la SNRT</t>
  </si>
  <si>
    <t>26000015 CL</t>
  </si>
  <si>
    <t>BURIM</t>
  </si>
  <si>
    <t>84 AOM/SNRT</t>
  </si>
  <si>
    <t>Optimisation et amélioration de la stratégie de référencement et maintenance de la plateforme web SNRT news</t>
  </si>
  <si>
    <t>BE IN BE OUT</t>
  </si>
  <si>
    <t>N° Marché + Date Approbation</t>
  </si>
  <si>
    <t>78 AOM/SNRT</t>
  </si>
  <si>
    <t>Travaux de pose de faux planchers et séparation vitrée à la salle technique du centre SNRT d’Ain Chock</t>
  </si>
  <si>
    <t>08M/2026</t>
  </si>
  <si>
    <t>DIFFUSION D'EURONEWS EN DIRECT OU EN DIFFERE L'UTILISATION DE CERTAINS CONTENUS AVEC OU SON LOGO, ECHANGES D'INFO, UTILISATION DES TALENTS ET MARQUES EURONEWS</t>
  </si>
  <si>
    <t>Prestations de service
Achat prestations de services étrangères</t>
  </si>
  <si>
    <t>EURONEWS</t>
  </si>
  <si>
    <t>l'abonnement aux services media (reuters vidéo et reurters live service-RLS- via WNE linear delivery</t>
  </si>
  <si>
    <t>REMA 398</t>
  </si>
  <si>
    <t>REUTERS LIMITED</t>
  </si>
  <si>
    <t>Définir les domaines et les conditions générales de collaboration entre la DGM et la SNRT pour la fourniture des informations météorologiques en matière de donnée et de prévisions météorologiques</t>
  </si>
  <si>
    <t>01/2023/SNRT-DGM</t>
  </si>
  <si>
    <t>DGM</t>
  </si>
  <si>
    <t>Acquisition des droits de diffusions des actualités, reportages radiophoniques et télévisuels</t>
  </si>
  <si>
    <t>La fourniture à la SNRT des services : Pack « Broadcast » pour la confection de Programmes TV et Pack « Digital » pour la confection de Programmes numériques et usage direct sur les Supports Digitaux Web</t>
  </si>
  <si>
    <t>001310323/CT-SNRT</t>
  </si>
  <si>
    <t>AFP</t>
  </si>
  <si>
    <t>20 AOM/SNRT</t>
  </si>
  <si>
    <t>Préstation de blanchisserie du linge et services associés au profit des journalistes présentateurs du Journal Télévisé (JT) de la chaine Al Aoula de la SNRT-Rabat</t>
  </si>
  <si>
    <t>PRESSING CLAIRE ECO</t>
  </si>
  <si>
    <t>19 AOM/SNRT</t>
  </si>
  <si>
    <t>Fourniture, installation et mise en service de dix stations DVB-T/T2 de puissance 500 W rms et d'une station DVB-T/T2 de 1KW rms, fonctionnant en mode (2+1) dans la bande [474-690] MHz, avec triplexeurs RF et accessoires</t>
  </si>
  <si>
    <t>TREDESS 2010</t>
  </si>
  <si>
    <t>Publié le 14/04/2026</t>
  </si>
  <si>
    <t>La location d’une salle de féte pour le tournage de productions internes de la chaîne Al Aoula – SNRT (30 épisodes de Musique Andalouse)</t>
  </si>
  <si>
    <t>378 CT/SNRT/2026</t>
  </si>
  <si>
    <t>KZ</t>
  </si>
  <si>
    <t>06 CT/SNRT/2026</t>
  </si>
  <si>
    <t>La préparation, la livraison et le service d’un repas et d’une pause-café, au profit des participants aux productions internes de la SNRT</t>
  </si>
  <si>
    <t>390 CT/SNRT/2026</t>
  </si>
  <si>
    <t>18 AOM/SNRT</t>
  </si>
  <si>
    <t>Fourniture des modules et pièces de rechanges hydrauliques et électriques pour les émetteurs de diffusion TNT et FM</t>
  </si>
  <si>
    <t>NEURO MEDIA</t>
  </si>
  <si>
    <t>01 AOM/SNRT</t>
  </si>
  <si>
    <t>Entretien et maintenance des équipement électriques, électroniques des climatiseurs aux centres de diffusion y compris la fourniture des pièces de rechange</t>
  </si>
  <si>
    <t>L’acquisition des droits de diffusion des combats de TAEKWONDO saison – 2026 -</t>
  </si>
  <si>
    <t>SILVER SPRING MEDIA AB*</t>
  </si>
  <si>
    <t>N° + Date Approbation</t>
  </si>
  <si>
    <t>L’acquisition des droits de diffusion des combats de KARATE saison – 2026 -</t>
  </si>
  <si>
    <t>Contrats conclus avec la FRM de HANDBALL</t>
  </si>
  <si>
    <t>01-SNRT/FRMHB-2026</t>
  </si>
  <si>
    <t>FRM HANDBALL</t>
  </si>
  <si>
    <t>achat des droits sportifs du championnat du monde d'athlétisme (2024-2029)</t>
  </si>
  <si>
    <t>002020124/CT-SNRT</t>
  </si>
  <si>
    <t>la Couverture, production retransmission et diffusion audiovisuelle de tous les événements Tennis : Grand prix Hassan II; grand prix SAR la Princesse Lalla Meryem; coupe Davis au titres des années 2023; 2024; 2025; 2026; 2027; 2028</t>
  </si>
  <si>
    <t>472 CT/SNRT/2023</t>
  </si>
  <si>
    <t>FRMT</t>
  </si>
  <si>
    <t>La cession exclusive à la SNRT des droits d'exploitation audiovisuelle des manifestations, compétitions et/ou évènements spotifs dont la FRMF détient les droits saisons 2022/2023;2023/2024; 2024/2025; 2025/2026</t>
  </si>
  <si>
    <t>612 CT/SNRT/2022</t>
  </si>
  <si>
    <t>FRMF</t>
  </si>
  <si>
    <t>Contrats conclus avec la FRM de RUGBY</t>
  </si>
  <si>
    <t>01-SNRT/FRMR-2026</t>
  </si>
  <si>
    <t>FRM RUGBY</t>
  </si>
  <si>
    <t>La cession au profit de la SNRT des droits de captation et de diffusion des actualités et la couverture télévisée de la 15éme édition du Festival de Fiction TV de Meknès qui se tiendra du 03 au 07 avril 2026</t>
  </si>
  <si>
    <t>385 CT/SNRT/2026</t>
  </si>
  <si>
    <t>Achats de droits 
Achats des droits de captation</t>
  </si>
  <si>
    <t>Association le spectacle libre</t>
  </si>
  <si>
    <t>La publication des insertions de la SNRT dans la revue de la gendarmerie royale</t>
  </si>
  <si>
    <t>386 CT/SNRT/2026</t>
  </si>
  <si>
    <t>MEDIAREP</t>
  </si>
  <si>
    <t>21 AOM/SNRT</t>
  </si>
  <si>
    <t>La fourniture et la mise en service d'équipement informatiques les besoins de SNRT new de la SNRT</t>
  </si>
  <si>
    <t>21AOM/SNRT</t>
  </si>
  <si>
    <t>La fourniture de consommables d'impression pour les besoins de SNRT News de la SNRT</t>
  </si>
  <si>
    <t>06 AOM/SNRT</t>
  </si>
  <si>
    <t>La fourniture de consommables d'impression pour la SNRT</t>
  </si>
  <si>
    <t>EQUIPEMENT BADR</t>
  </si>
  <si>
    <t>La fourniture et la mise en service d'accessoires,pièces de rechange et outillage informatique pour les besoins de la SNRT</t>
  </si>
  <si>
    <t>Étude des travaux d’aménagement de la nouvelle station radio de Tétouane</t>
  </si>
  <si>
    <t>26000021 CL</t>
  </si>
  <si>
    <t>Frais d’acquisition des immobilisation</t>
  </si>
  <si>
    <t>BLACKLINE STUDIO</t>
  </si>
  <si>
    <t xml:space="preserve">Annulé </t>
  </si>
  <si>
    <t>10 AOM/SNRT</t>
  </si>
  <si>
    <t>La fourniture et la mise en service des équipements d’éclairage pour les besoins de la production de la SNRT</t>
  </si>
  <si>
    <t>23 AOM/SNRT</t>
  </si>
  <si>
    <t>La fourniture et la mise en service d'une solution de transport des communications intercom via des coules audio IP BROADCAST pour les besoins des unités mobiles de la SNRT</t>
  </si>
  <si>
    <t>26 AOM/SNRT</t>
  </si>
  <si>
    <t>Fourniture et mise en service d’équipements audio vidéo au profit de la DCRPSD de la SNRT</t>
  </si>
  <si>
    <t>27 AOM/SNRT</t>
  </si>
  <si>
    <t>La fourniture de supports d’enregistrement et de lecture pour les besoins des chaines TV de la SNRT</t>
  </si>
  <si>
    <t>LTS NETWORK</t>
  </si>
  <si>
    <t>ancien 17AOM/SNRT</t>
  </si>
  <si>
    <t>Élaboration des études techniques et suivi des travaux d’achèvement d’installation d’un pylone auto-stable de 30+10m de hauteur au site SNRT TANAKOUB (P.CHEFCHAOUEN)</t>
  </si>
  <si>
    <t>Date de VISA</t>
  </si>
  <si>
    <t>La couverture, production, retransmission et diffusion audiovisuelle de toutes les compétitions de VOLLEY BALL – Saison 2026-</t>
  </si>
  <si>
    <t>01-SNRT/FRMVB-2026</t>
  </si>
  <si>
    <t>FRM VEOLLEY BALL</t>
  </si>
  <si>
    <t>Acquisition des droits de diffusion télévisuelle du programme intitulé « FIGHT SPIRIT »</t>
  </si>
  <si>
    <t>388 CT/SNRT/2026</t>
  </si>
  <si>
    <t>ATLAS MEDIA ORGANISATION</t>
  </si>
  <si>
    <t>Acquisition des droits de diffusion télévisuelle de 90 matchs du programme intitulé « OLYMPIC SOCCER FIVE »</t>
  </si>
  <si>
    <t>387 CT/SNRT/2026</t>
  </si>
  <si>
    <t>MABC</t>
  </si>
  <si>
    <t>La couverture, la transmission et la transmission et la diffusion audiovisuelle du tournoi de football international 7 Cup de Marrakech qui se tiendra du 07/05 au 10/05/2026</t>
  </si>
  <si>
    <t>389 CT/SNRT/2026</t>
  </si>
  <si>
    <t>N LAKAY</t>
  </si>
  <si>
    <t>102 AOM/SNRT</t>
  </si>
  <si>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</si>
  <si>
    <t>10M/2026</t>
  </si>
  <si>
    <t>RFE BROADCAST</t>
  </si>
  <si>
    <t>Entretien et maintenance du poste de livraison et de transformation MT/BT au centre de diffusion SNRT d’AIN CHOCK</t>
  </si>
  <si>
    <t xml:space="preserve">260000020 CL </t>
  </si>
  <si>
    <t>SOGENELEC</t>
  </si>
  <si>
    <t>Réparation et Maintenance du groupe électrogène au centre SNRT de DAKHLA</t>
  </si>
  <si>
    <t xml:space="preserve">260000023 CL </t>
  </si>
  <si>
    <t>BEHWY SARL</t>
  </si>
  <si>
    <t>PV N° : 01NV2026- DITV</t>
  </si>
  <si>
    <t>MOHAMED-MOURAD KHETTA  -  Journaliste sportif chargé de réaliser des couvertures et reportages liés au sport et à l’actualité diverse au journal télévisé</t>
  </si>
  <si>
    <t>MOHAMED-MOURAD KHETTA</t>
  </si>
  <si>
    <t>SAFAE NOURY  -  Journaliste sportif chargé de réaliser des couvertures et reportages liés au sport et à l’actualité diverse au journal télévisé</t>
  </si>
  <si>
    <t>SAFAE NOURY</t>
  </si>
  <si>
    <t>OBAID HARRAS  -  Journaliste sportif chargé de réaliser des couvertures et reportages liés au sport et à l’actualité diverse au journal télévisé</t>
  </si>
  <si>
    <t>OBAID HARRAS</t>
  </si>
  <si>
    <t>28 AOM/SNRT</t>
  </si>
  <si>
    <t>Suite a AO 15 = INFRUCTUEUX</t>
  </si>
  <si>
    <t xml:space="preserve">Location d’immeuble </t>
  </si>
  <si>
    <t>BENBAREK SALAH</t>
  </si>
  <si>
    <t>MICHELE "AZIZA LEBOUC "</t>
  </si>
  <si>
    <t>SALIMA BELGHMI-KOUHEN</t>
  </si>
  <si>
    <t>FATIMA BENABDALLAH</t>
  </si>
  <si>
    <t>BENBAREK JAMAL EDDINE</t>
  </si>
  <si>
    <t>NOUZHA BENBAREK</t>
  </si>
  <si>
    <t>KARIM BELGHMI</t>
  </si>
  <si>
    <t>MOHAMMED KAMAL BELGHMI</t>
  </si>
  <si>
    <t>BENCHAKROUN ADNANE ET CONSORTS</t>
  </si>
  <si>
    <t>SOUAD BENBAREK</t>
  </si>
  <si>
    <t>GUESSOUS FETTOUMA</t>
  </si>
  <si>
    <t xml:space="preserve">MOHAMMED LAHLOU ET CONSORTS </t>
  </si>
  <si>
    <t xml:space="preserve">LAMARTI AHMED BEN HASSAN ET CONSORT </t>
  </si>
  <si>
    <t>IMMO MHM</t>
  </si>
  <si>
    <t>SOUMAYA LOUDYI</t>
  </si>
  <si>
    <t>BTISSAM JAKHOUKH</t>
  </si>
  <si>
    <t>TARIK JAKHOUKH</t>
  </si>
  <si>
    <t>BADER-EDDINE  JAKHOUKH</t>
  </si>
  <si>
    <t>ANOUAR  JAKHOUKH</t>
  </si>
  <si>
    <t>NADIA LYOUSSI</t>
  </si>
  <si>
    <t xml:space="preserve">RAZAMA MOHAMED </t>
  </si>
  <si>
    <t>BEIDA M BAREK</t>
  </si>
  <si>
    <t xml:space="preserve">SOCIETE MEDITERRAC </t>
  </si>
  <si>
    <t>SOUKAINA AHL- CHEIKH</t>
  </si>
  <si>
    <t xml:space="preserve">GHLANA BOUHRIGUA </t>
  </si>
  <si>
    <t xml:space="preserve">ABDELHAFID EL AZHARI </t>
  </si>
  <si>
    <t xml:space="preserve">MOHAMED SALEM HAMOU OU ALI </t>
  </si>
  <si>
    <t xml:space="preserve">SOCIETE CIVILE LEOPARDI </t>
  </si>
  <si>
    <t>Location long durée de véhicule neufs sans option d’achat ainsi que les prestations qui lui sont accessoires et complémentaires pour la SNRT</t>
  </si>
  <si>
    <t>32M/2022</t>
  </si>
  <si>
    <t>WAFA LLD</t>
  </si>
  <si>
    <t>Location de véhicules neufs avec chauffeurs pour le transport permanent et régulier du personnel de la SNRT</t>
  </si>
  <si>
    <t>19M/2023</t>
  </si>
  <si>
    <t>GM2 TOURS</t>
  </si>
  <si>
    <t>11M/2021</t>
  </si>
  <si>
    <t>MARLOC EUROPCAR</t>
  </si>
  <si>
    <t>Jusqu’a 11 Juin 2026</t>
  </si>
  <si>
    <t>20M/2023</t>
  </si>
  <si>
    <t>ANFGOU TOURS</t>
  </si>
  <si>
    <t xml:space="preserve">Prestation de nettoyage complète y compris les produits de nettoyage et l'entretien des locaux administratifs et techniques des services centraux et régionaux de la SNRT. </t>
  </si>
  <si>
    <t>02M/2023</t>
  </si>
  <si>
    <t>Facture réelle</t>
  </si>
  <si>
    <t>97M/2023</t>
  </si>
  <si>
    <t>40M/2024</t>
  </si>
  <si>
    <t>Sécurité  et gardiennage Siège &amp; centres régionaux</t>
  </si>
  <si>
    <t>19M/2025</t>
  </si>
  <si>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</si>
  <si>
    <t>470 CT/SNRT/2025</t>
  </si>
  <si>
    <t>ARRIBAT TECHNOLOGY</t>
  </si>
  <si>
    <t xml:space="preserve">L'achat de carburant par "carbucarte" à lecture électronique pour les véhicules de la SNRT </t>
  </si>
  <si>
    <t>Convention N° 392CT/SNRT/2025</t>
  </si>
  <si>
    <t>Achats non stockés de matières et fournitures</t>
  </si>
  <si>
    <t>AFRIQUIA SMDC</t>
  </si>
  <si>
    <t>La couverture en termes d'assurance multirisque automobile pour l'ensemble du Par Auto de la SNRT Contrat N° FL 11202102045593/01/2025 + Assurance des nouveaux tracteurs acquis, ainsi les tracteurs en cours d'acquisition par la Direction technique.</t>
  </si>
  <si>
    <t>FL 11202102045593/01/2025</t>
  </si>
  <si>
    <t>L’abonnement d’accès des données de traçabilité en ligne de la flotte automobile SNRT avec boitiers GPS  + acquisition des boitier pour les nouveaux véhicules</t>
  </si>
  <si>
    <t xml:space="preserve">Acquisition et Recharge des Tags télépéage par la SNRT (JAWAZ) </t>
  </si>
  <si>
    <t>Convention N°52/18/S</t>
  </si>
  <si>
    <t>ADM</t>
  </si>
  <si>
    <t xml:space="preserve">Contrat de la boite postale </t>
  </si>
  <si>
    <t>Couverture en termes d’assurance pour le bris de machine concernant les régies montées sur véhicules roulants – Contrat N° 0302220000247</t>
  </si>
  <si>
    <t>Contrat Barid el Maghreb - Contrat N° 07/2020 BP</t>
  </si>
  <si>
    <t>07/2020 BP</t>
  </si>
  <si>
    <t>Contrat d'AMANA  -  Contrat N° CL03733</t>
  </si>
  <si>
    <t>CL03733</t>
  </si>
  <si>
    <t>Contrat d'acquisition billeterie Aérienne -  Convention N° 505CT/SNRT/2024</t>
  </si>
  <si>
    <t>505CT/SNRT/2024</t>
  </si>
  <si>
    <t>Assurance multirisque professionnelle</t>
  </si>
  <si>
    <t>Parking Twin center DRPSD</t>
  </si>
  <si>
    <t>INWI</t>
  </si>
  <si>
    <t>MAROC TELECOM</t>
  </si>
  <si>
    <t>ORANGE</t>
  </si>
  <si>
    <t>Occupation temporaire eaux et forets</t>
  </si>
  <si>
    <t>Location</t>
  </si>
  <si>
    <t>contrat location collectivités ethniques</t>
  </si>
  <si>
    <t>Assurer personnellement au service médical de la SNRT, un service de vingt heures (20 heures) par mois</t>
  </si>
  <si>
    <t>760/SNRT/2017</t>
  </si>
  <si>
    <t>DOCTEUR BOUBKER ABOUZAHIR</t>
  </si>
  <si>
    <t>MEDECIN DE TRAVAIL- Docteur inscrite au tableau de l'ordre des médecins (Région Rabat-Nord)-</t>
  </si>
  <si>
    <t>06/SNRT/2011</t>
  </si>
  <si>
    <t>OUAFAA FAHSI</t>
  </si>
  <si>
    <t>07/SNRT/2011</t>
  </si>
  <si>
    <t>ZAKARIA BENSAOUD</t>
  </si>
  <si>
    <t>MEDECIN DE TRAVAIL -Docteur inscrite au tableau de l'ordre des médecins (Région Rabat-Nord)-</t>
  </si>
  <si>
    <t>08/SNRT/2011</t>
  </si>
  <si>
    <t>ABDELHAMID KHADRI</t>
  </si>
  <si>
    <t>Traitement de la Paie</t>
  </si>
  <si>
    <t>JDE : 19000754</t>
  </si>
  <si>
    <t>TGR</t>
  </si>
  <si>
    <t>322/2001</t>
  </si>
  <si>
    <t>SOMEIGE</t>
  </si>
  <si>
    <t>Determiner les termes et conditions par lesquels la SNRT " SPONSOR  SILVER "  du Nationnal Performmances Tour des éditions 2025,2026 et 2027</t>
  </si>
  <si>
    <t>001270125/CT-SNRT</t>
  </si>
  <si>
    <t>ASSOCIATION DU TROPHEE HASSAN II</t>
  </si>
  <si>
    <t>FRAIS DE SYNDICAT DU TWIN CENTER</t>
  </si>
  <si>
    <t>JDE : 21000030</t>
  </si>
  <si>
    <t>SYNDICAT DES PROPRIETAIRES DU TWIN CENTR</t>
  </si>
  <si>
    <t>l’acquisition des droits de diffusion de SPORT NEWS REPORTING (2024 – 2029).</t>
  </si>
  <si>
    <t>004070224/CT-SNRT</t>
  </si>
  <si>
    <t>SNTV</t>
  </si>
  <si>
    <t>L’acquisition des droits de diffusion des compétitions de Judo 2025</t>
  </si>
  <si>
    <t>004270125/CT-SNRT</t>
  </si>
  <si>
    <t>SILVER SPRING MEDIA AB</t>
  </si>
  <si>
    <t>Achats des droits de diffusion des compétitions du championnat de la ligue africaine du Basket Ball 10 000/année</t>
  </si>
  <si>
    <t>003020425/CT-SNRT</t>
  </si>
  <si>
    <t>BALP</t>
  </si>
  <si>
    <t>Abonnement au service de production virtuelle basé sur l'intelligence artificielle de Huawei Cloud ''MetaStudio'' pour les besoins de la SNRT.</t>
  </si>
  <si>
    <t>472 CT/SNRT/2025</t>
  </si>
  <si>
    <t>ONE CLOUD</t>
  </si>
  <si>
    <t>Abonnement  "Google Workspace"</t>
  </si>
  <si>
    <t>427 CT/SNRT/2024</t>
  </si>
  <si>
    <t>NPONE SARL</t>
  </si>
  <si>
    <t>Abonnement au service de synthése vocale basée sur les voix Text-To-Speech de Google Cloud AI pour les besoins de la SNRT.</t>
  </si>
  <si>
    <t>471 CT/SNRT/2025</t>
  </si>
  <si>
    <t>Services (transcodage, segmentation et streaming Live sur internet) pour les chaînes TV et Radio de la SNRT.</t>
  </si>
  <si>
    <t>389 CT/SNRT/2025</t>
  </si>
  <si>
    <t>EASYBROADCAST</t>
  </si>
  <si>
    <t xml:space="preserve"> Consultant s’engage à accomplir une mission de conseil, d’étude et d’expertise, au profit de la SNRT.</t>
  </si>
  <si>
    <t>445 CT/SNRT/2025</t>
  </si>
  <si>
    <t>TALBI AUDIT ET CONSEIL</t>
  </si>
  <si>
    <t>Abonnement à la base de données ARTEMIS</t>
  </si>
  <si>
    <t>ARTEMIS</t>
  </si>
  <si>
    <t>Consultations portant sur des problématiques spécifiques liées aux domaines comptable, fiscal et social</t>
  </si>
  <si>
    <t>404 CT/SNRT/2023</t>
  </si>
  <si>
    <t>EL JERARI AUDIT CONSEIL</t>
  </si>
  <si>
    <t>Prestation de conseil juridique au profit de la SNRT</t>
  </si>
  <si>
    <t>529 CT/SNRT/2022</t>
  </si>
  <si>
    <t>AB LAW</t>
  </si>
  <si>
    <t xml:space="preserve"> Prestation satellitaire Nilesat</t>
  </si>
  <si>
    <t>NILESAT</t>
  </si>
  <si>
    <t>Prestation satellitaire Arabsat</t>
  </si>
  <si>
    <t>ARABSAT</t>
  </si>
  <si>
    <t>Prestation satellitaire Es'hailsat</t>
  </si>
  <si>
    <t>ES'HAILSAT</t>
  </si>
  <si>
    <t>Prestation satellitaire Eutelsat</t>
  </si>
  <si>
    <t>EUTELSAT</t>
  </si>
  <si>
    <t>Prestation GlobeCast</t>
  </si>
  <si>
    <t>GlobeCast</t>
  </si>
  <si>
    <t xml:space="preserve">Redevances d'assignation de fréquences </t>
  </si>
  <si>
    <t>ANRT</t>
  </si>
  <si>
    <t>Redevance pour assignation de fréquences TV, Redevance pour assignation de fréquences RD et Redevance pour assignation de fréquences radio</t>
  </si>
  <si>
    <t>HACA</t>
  </si>
  <si>
    <t>La maintenance périodique du systéme de calcul de couverture TV et FM</t>
  </si>
  <si>
    <t>47M/SNRT/2023</t>
  </si>
  <si>
    <t>LS TELECOM</t>
  </si>
  <si>
    <t>Etude et assistance technique aux travaux d'essais d'expertises et de conrole des ouvrages (Pylones, Tours, Batiments)</t>
  </si>
  <si>
    <t>82M/SNRT/2023</t>
  </si>
  <si>
    <t>LPEE</t>
  </si>
  <si>
    <t>Maintenance de la solution exustante de ka chaine radio info-trafic</t>
  </si>
  <si>
    <t>31M/SNRT/2022</t>
  </si>
  <si>
    <t>PHF COM</t>
  </si>
  <si>
    <t>La maintenance préventive et curative de la plateforme soft de  codage et de pultiplexage des ouvrages (Pylones, Tours, Batiments)</t>
  </si>
  <si>
    <t>91M/SNRT/2023</t>
  </si>
  <si>
    <t>Location et infogérance de plateforme publiques d'hébergement "Cloud" et fourniture des services associés.</t>
  </si>
  <si>
    <t>31M/SNRT/2024</t>
  </si>
  <si>
    <t>Prestations de maintenance du progiciel de gestion des ressources humaines AGIRH</t>
  </si>
  <si>
    <t>Prestations fonctionnelles et techniques du progiciel de gestion intégré de la SNRT: JDEWARDS</t>
  </si>
  <si>
    <t>Contrat de service de support (SLA) du Système de Production News « News Room » de la SNRT.</t>
  </si>
  <si>
    <t>51M/SNRT/2022</t>
  </si>
  <si>
    <t>Souscription à un abonnement annuel de licences de logiciels de montage et de graphisme pour les besoins des chaines TV de la SNRT.</t>
  </si>
  <si>
    <t>22M/SNRT/2023</t>
  </si>
  <si>
    <t>30 AOM/SNRT</t>
  </si>
  <si>
    <t>La fourniture et la mise en service de serveurs pour renouvellement de serveurs d’enregistrement et de replay pour les besoins de la production TV des manifestations sportives</t>
  </si>
  <si>
    <t>PV N° 02RE2025-DPPCCRTV</t>
  </si>
  <si>
    <t>HAKIM KHIZRAN  -  Préparation et présentation de l’émission RD الابتهالات</t>
  </si>
  <si>
    <t>HAKIM KHIZRAN</t>
  </si>
  <si>
    <t>HICHAM EL HLIMI -  Préparation et présentation de l’émission RD في حضرة زوايا</t>
  </si>
  <si>
    <t>Acquisition des droits de diffusion de reportages télévisuels sur l’actualité à Bruxelles</t>
  </si>
  <si>
    <t>391 CT/SNRT</t>
  </si>
  <si>
    <t>NET PROD</t>
  </si>
  <si>
    <t>Acquisition des droits de diffusion de reportages télévisuels sur l’actualité en Palestine</t>
  </si>
  <si>
    <t>392 CT/SNRT</t>
  </si>
  <si>
    <t>ALAM NEWS CO.FOR MEDIA PRODUCTION</t>
  </si>
  <si>
    <t xml:space="preserve">Location de Deux unipoles LED entrée/sortie Casablanca Technopark au niveau du pont a Haubans </t>
  </si>
  <si>
    <t>FR/KR/02/2026</t>
  </si>
  <si>
    <t>PV N° : 01RE2026- DPPCCRTV</t>
  </si>
  <si>
    <t>IMAD ZAOUI – Programmateur TV : conducteur quotidien, montage, coordination et suivi avec la commission technique TV</t>
  </si>
  <si>
    <t>IMAD ZAOUI</t>
  </si>
  <si>
    <t>AICHA CHAFAI – Animateur RD/TV : les gestion de l’antenne RD, la couverture et le reportage RD/TV</t>
  </si>
  <si>
    <t>AICHA CHAFAI</t>
  </si>
  <si>
    <t>AMINE MARZOUKI – Programmation TV (conducteur quotidien)</t>
  </si>
  <si>
    <t>AMINE MARZOUKI</t>
  </si>
  <si>
    <t>YOUSSEF ESBAISS – Programmatrice TV : le montage, la coordination et le suivi avec la commission scinetiifique, l’archive STM et la coordination du portail de la chaine</t>
  </si>
  <si>
    <t>YOUSSEF ESBAISS</t>
  </si>
  <si>
    <t>61AOM/SNRT</t>
  </si>
  <si>
    <t>Maintenance et entretien des appareils de climatisation (Pièce et main d’œuvre) : Rabat et Casablanca</t>
  </si>
  <si>
    <t xml:space="preserve">N° AO et DATE VALIDATION </t>
  </si>
  <si>
    <t>31 AOM/SNRT</t>
  </si>
  <si>
    <t>Fourniture de commutateurs de flux transport stream</t>
  </si>
  <si>
    <t>Consultation N° 08CT/SNRT/2026</t>
  </si>
  <si>
    <t>Agencement d’un stand de 66 M2 au Salon International de l’Édition et du livre (SIEL) ainsi que l’organisation de 05 récéptions pour 40 personnes</t>
  </si>
  <si>
    <t>394 CT/SNRT/2026</t>
  </si>
  <si>
    <t>KI VISION</t>
  </si>
  <si>
    <t>32 AOM/SNRT</t>
  </si>
  <si>
    <t>Publié le 19/03/2026</t>
  </si>
  <si>
    <t>33 AOM/SNRT</t>
  </si>
  <si>
    <t>Suite annuléation AO 15</t>
  </si>
  <si>
    <t>34 AOM/SNRT</t>
  </si>
  <si>
    <t>Souscription à des abonnements annuels de licences de logiciels de création de contenu et outils basés sur l’intelligence artificielle au profit de la DCRPSD</t>
  </si>
  <si>
    <t>WARNA</t>
  </si>
  <si>
    <t>01RE2026-DCCCA</t>
  </si>
  <si>
    <t>SAMIR BENCHEKROUN – CONSULTANT EN MATCHS DE FOOTBALL</t>
  </si>
  <si>
    <t>SAMIR BENCHEKROUN</t>
  </si>
  <si>
    <t>01RE2026-DCPCART</t>
  </si>
  <si>
    <t>SAIDA EL ALAOUI – JOURNALISTE</t>
  </si>
  <si>
    <t>SAIDA EL ALAOUI</t>
  </si>
  <si>
    <t>Cession des droits de diffusion des actualités et la couverture télévisée de la 14éme édition du Festival International du Film de Dakhla,  qui se tiendra du 06 au 12 Juin 2026,</t>
  </si>
  <si>
    <t>398 CT/SNRT/2026</t>
  </si>
  <si>
    <t>ASSOCIATION D'ANIMATION CULTURELLE ET ARTISTIQUE DES PROVINCES DU SUD</t>
  </si>
  <si>
    <t>Fourniture et mise en service de systèmes de commande sans fils pour optique de caméra pour les besoins des unités mobiles de la SNRT</t>
  </si>
  <si>
    <t>26000024 CL</t>
  </si>
  <si>
    <t>37 AOM/SNRT</t>
  </si>
  <si>
    <t>L'élaboration du Schéma Directeur des Systèmes d'information (SDSI) de la Société Nationale de Radiodiffusion et de Télévision.</t>
  </si>
  <si>
    <t>38 AOM/SNRT</t>
  </si>
  <si>
    <t>La fourniture et la mise en service de lecteurs LTO destinés aux besoins d’archivage de la SNRT</t>
  </si>
  <si>
    <t>39 AOM/SNRT</t>
  </si>
  <si>
    <t>Fourniture, installation, paramétrage et mise en service de batteries pour onduleurs existants de marque EATON déployés au siége SNRT à Rabat</t>
  </si>
  <si>
    <t>Élaboration des études techniques et suivi des travaux d’installation d’un pylône auto-stable de 55m de hauteur au site SNRT TAOURIRT (P.TAOURIRT)</t>
  </si>
  <si>
    <t xml:space="preserve">PV N° : 01RE2025-DCPA </t>
  </si>
  <si>
    <t>AZIZ BENISSAAD – Ecriture de commentaires de l’émission interne « الغالية بلادي »</t>
  </si>
  <si>
    <t>AZIZ BENISSAAD</t>
  </si>
  <si>
    <t>36 AOM/SNRT</t>
  </si>
  <si>
    <t>Achat d’habillement pour le personnel de la SNRT (Journalistes, Caméramen, Techniciens et Chauffeurs</t>
  </si>
  <si>
    <t>59AOM/SNRT</t>
  </si>
  <si>
    <t>Élaboration de la cartographie des risques de la SNRT et déploiement du dispositif de suivi et de mise à jour y afférent</t>
  </si>
  <si>
    <t>60AOM/SNRT</t>
  </si>
  <si>
    <t>Location de supports d’affichage urbain 4X3 pour la SNRT</t>
  </si>
  <si>
    <t>26000002 CI</t>
  </si>
  <si>
    <t>Conception d’un décor virtuel pour la chaine Arryadia avec des éléments de réalité augmentée (RA) destinée  à accompagner la couverture de la CAN féminine</t>
  </si>
  <si>
    <t>ASKI-DA CREATIVE</t>
  </si>
  <si>
    <t>SANS PV</t>
  </si>
  <si>
    <t>MOHAMMED BENDIAB – Consiltant Golf</t>
  </si>
  <si>
    <t>MOHAMMED BENDIAB</t>
  </si>
  <si>
    <t>ancien13AOM/SNRT</t>
  </si>
  <si>
    <t>Entretien et remises en état du système de verrouillage et de protection de la cabine d’antenne du centre AM de Sbaa Aioune</t>
  </si>
  <si>
    <t>Acquisition de vignettes pour l’entretien et la réparation des véhicules de la SNRT</t>
  </si>
  <si>
    <t>Convention N° 5913</t>
  </si>
  <si>
    <t>SNTL</t>
  </si>
  <si>
    <t>La publication des insertions de la SNRT dans le supports : « le jardin des Hespérides »</t>
  </si>
  <si>
    <t>393 CT/SNRT/2026</t>
  </si>
  <si>
    <t>AGENCE PROMOTION DAKHLA</t>
  </si>
  <si>
    <t>LINA BOUFARDOU – Journaliste francophone, présentatrice et animatrice de débats sur la chaine Inter.</t>
  </si>
  <si>
    <t>LINA BOUFARDOU</t>
  </si>
  <si>
    <t>Achats des droits sportifs Match Maroc vs Norvège (Retenue à la source à la charge de la SNRT)</t>
  </si>
  <si>
    <t>FANZONE STUDIOS</t>
  </si>
  <si>
    <t>45AOM/SNRT/2026</t>
  </si>
  <si>
    <t>Peinture des facades et des locaux de la SNRT</t>
  </si>
  <si>
    <t>22 AOM/SNRT</t>
  </si>
  <si>
    <t>PV N° : 02NV2026- DITV</t>
  </si>
  <si>
    <t>BELHAISSI YOUSSEF – La préparation et la présentation des emissions politiques</t>
  </si>
  <si>
    <t>BELHAISSI YOUSSEF</t>
  </si>
  <si>
    <t>52 AOM/SNRT</t>
  </si>
  <si>
    <t>La fourniture et la mise en service de véhicules fourgon aménagés en rayonnage pour les besoins de la production de la SNRT</t>
  </si>
  <si>
    <t>46 AOM/SNRT</t>
  </si>
  <si>
    <t>Renouvellement des licences de la solution de gestion financière pour les besoins de la SNRT</t>
  </si>
  <si>
    <t>16 AOM/SNRT</t>
  </si>
  <si>
    <t>La numérisation des anciennes archives télévisuelles stockées sur des supports analogiques de type cassette U-MATIC pour les besoins des archives TV de la SNRT</t>
  </si>
  <si>
    <t>VESTRACOM</t>
  </si>
  <si>
    <t>51 AOM</t>
  </si>
  <si>
    <t>Fourniture des modules et pièces de rechange pour les émetteurs FM de marque RVR</t>
  </si>
  <si>
    <t>Fourniture des modules et pièces de rechange pour les émetteurs FM 10 KW et 5 KW de marque RFE</t>
  </si>
  <si>
    <t>La captation et la cession exclusive pour le compte de la SNRT des droits de diffusion des concerts du Festival Gnaoua et Musiques du Monde</t>
  </si>
  <si>
    <t>A3 COMMUNICATION</t>
  </si>
  <si>
    <t>47 AOM</t>
  </si>
  <si>
    <t>Fourniture des modules et piéces de rechange pour les émetteurs TNT de puissance 250 Watts de marque EUROTEK</t>
  </si>
  <si>
    <t>Fourniture des modules et piéces de rechange des émetteurs TNT de marque ITELSIS</t>
  </si>
  <si>
    <t>Fourniture des modules et piéces de rechange des émetteurs TNT de marque EGATEL de puissance 10KW</t>
  </si>
  <si>
    <t>29 AOM</t>
  </si>
  <si>
    <t>La fourniture et la mise en service d'encodeurs et décodeurs SRT pour les besoins des unités mobiles de la SNRT</t>
  </si>
  <si>
    <t>LTS NETWORK/LTS France</t>
  </si>
  <si>
    <t>44 AOM</t>
  </si>
  <si>
    <t>35 AOM</t>
  </si>
  <si>
    <t>3N SYSTÈME</t>
  </si>
  <si>
    <t>49 AOM</t>
  </si>
  <si>
    <t>La maintenance de messagerie Lotus Notes/Domino</t>
  </si>
  <si>
    <t>48 AOM</t>
  </si>
  <si>
    <t>Prestation de maintenance et assitance /  Support du logiciel de gestion des campagnes publicitaires des support TV et Radio de la SNRT</t>
  </si>
  <si>
    <t>25 AOM/SNRT</t>
  </si>
  <si>
    <t>SUITE AO INFRUCTUEUX</t>
  </si>
  <si>
    <t>26000042 CL</t>
  </si>
  <si>
    <t>Fourniture de materiel de diffusion</t>
  </si>
  <si>
    <t>LYSMA SYSTÈME</t>
  </si>
  <si>
    <t>50 AOM/SNRT</t>
  </si>
  <si>
    <t>Fourniture, installation et mise en service d'un nouveau groupe électrogène de puissance 200KW/PRP pour le centre SNRT de PALOMAS (P.EL HOCEIMA), ainsi que le transfert de quelques groupes électrogènes entre des centres SNRT y compris leurs mises à niveau</t>
  </si>
  <si>
    <t>53 AOM/SNRT</t>
  </si>
  <si>
    <t>DPN26000058DV</t>
  </si>
  <si>
    <t>Désherbage elagage deraninage des arbres de centre emetteur radio AM de Sebaa Aioune</t>
  </si>
  <si>
    <t>26000049 CL</t>
  </si>
  <si>
    <t>HOUSSADIM</t>
  </si>
  <si>
    <t>DPN26000060DV</t>
  </si>
  <si>
    <t>Désherbage elagage deraninage des arbres de centre emetteur radio AM d'Oujda</t>
  </si>
  <si>
    <t>26000050 CL</t>
  </si>
  <si>
    <t>DPN26000056DV</t>
  </si>
  <si>
    <t>Fourniture et mise en service de cartes graphiques pour applications de calcul intensif et d'intelligence artificielle pour les besoins de la SNRT</t>
  </si>
  <si>
    <t>26000047 CL</t>
  </si>
  <si>
    <t>26000044 CL</t>
  </si>
  <si>
    <t>Réparation et maintenance du Poste de transformation MT/BT haut de poteau type H61 50KVA au site SNRT de LAKSIBA (P.BENI MELLAL)</t>
  </si>
  <si>
    <t>26000043 CL</t>
  </si>
  <si>
    <t>LOT n°1: Etude des travaux d'aménagement du nouveau siège de la radio de Tétouane</t>
  </si>
  <si>
    <t>MES ETUDES</t>
  </si>
  <si>
    <t>DPN26000059DV</t>
  </si>
  <si>
    <t>Désherbage elagage deraninage des arbres de centre emetteur radio AM d'Ait Melloul</t>
  </si>
  <si>
    <t>26000052 CL</t>
  </si>
  <si>
    <t>EXCELIACOM CONTRACTORS</t>
  </si>
  <si>
    <t>26000554 CT</t>
  </si>
  <si>
    <t>Frais technique pour la coupe du monde FIFA 2026</t>
  </si>
  <si>
    <t>Achats de droits</t>
  </si>
  <si>
    <t>HOST BROADCAST SERVICES-HBS</t>
  </si>
  <si>
    <t>ancien 43AOM/SNRT</t>
  </si>
  <si>
    <t>Elaboration des études techniques et suivi des travaux d'aménagement de l'ancien site de diffusion TV/FM de la SNRT à Jbel Hammat Moulay Hachem (P.Midelt)</t>
  </si>
  <si>
    <t>Elaboration des études techniques et suivi des travaux de construction du site de diffusion TV/FM de la SNRT à Msissi(P.Tinghir)</t>
  </si>
  <si>
    <t>56AOM/SNRT</t>
  </si>
  <si>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</si>
  <si>
    <t>55AOM/SNRT</t>
  </si>
  <si>
    <t>Désherbage elagage deracinage des arbres de centre de télédiffusion TV/FM Cap spartel</t>
  </si>
  <si>
    <t>26000048 CL</t>
  </si>
  <si>
    <t>DPN 26000052DV</t>
  </si>
  <si>
    <t>Entretien et réparation de mobilier pour l'emission "CHABAB FI AL WAJIHA" au studio Ain Chok à Casablanca</t>
  </si>
  <si>
    <t>26000051 CL</t>
  </si>
  <si>
    <t>BEST PRODUCTION</t>
  </si>
  <si>
    <t>24AOM/SNRT/2026</t>
  </si>
  <si>
    <t>Achat de maquillage des animateurs pour TV LAAYOUNE.</t>
  </si>
  <si>
    <t>57AOM/SNRT/2026</t>
  </si>
  <si>
    <t>ALI ER-RBAHY-Supervision technique et administratif et coordination</t>
  </si>
  <si>
    <t>Achats de productions et de programmes</t>
  </si>
  <si>
    <t>ABDESLAM KHALOUFI-Supervision technique et administratif et coordination</t>
  </si>
  <si>
    <t>ABDESLAM KHALOUFI</t>
  </si>
  <si>
    <t>NADIA EL MECHRAFI-Le droit d'enregistrement de diffusion et d'exploitation de 10 séances de musique gharnati</t>
  </si>
  <si>
    <t>NADIA EL MECHRAFI</t>
  </si>
  <si>
    <t>317 073,17</t>
  </si>
  <si>
    <t>ASSOCIATION AHMED PIRO DE MUSIQUE GHARNATI-Le droit d'enregistrement de diffusion et d'exploitation de 10 séances de musique gharnati</t>
  </si>
  <si>
    <t>ASSOCIATION AHMED PIRO DE MUSIQUE GHARNATI-</t>
  </si>
  <si>
    <t>PV N01RE2026-DPMG</t>
  </si>
  <si>
    <t>YOUSSEF EL MANSOUR-Metreur en BTP</t>
  </si>
  <si>
    <t>YOUSSEF ELMANSOUR</t>
  </si>
  <si>
    <t>PV EN COURS DE SIGNATURE</t>
  </si>
  <si>
    <t>40AOM/SNRT/2026</t>
  </si>
  <si>
    <t>La fourniture et la mise en service de logiciels et de licences de solutions IT pour les besoins de la Société Nationale de Radiodiffusion et de Télévision</t>
  </si>
  <si>
    <t>26000057 CL</t>
  </si>
  <si>
    <t>Publications des comptes annuels de la SNRT 2025 au Bulletin Officiel</t>
  </si>
  <si>
    <t>Directions de l'imprimerie officel</t>
  </si>
  <si>
    <t>26000564 CT</t>
  </si>
  <si>
    <t>MAHJOUB BEN-SI-ALI - Journaliste chargé de la préparation et la présentation des bulletins et flashs d'information des èmissions RD</t>
  </si>
  <si>
    <t>MAHJOUB BEN -SI-ALI</t>
  </si>
  <si>
    <t>26000565 CT</t>
  </si>
  <si>
    <t>FATIMA ZOHRA BOUSKRAOUI-Journaliste chargé de la préparation et la présentation des bulletins et flashs d'information des èmissions RD</t>
  </si>
  <si>
    <t>26000565CT</t>
  </si>
  <si>
    <t>FATIMA ZOHRA BOUSKRAOUI</t>
  </si>
  <si>
    <t>26000566 CT</t>
  </si>
  <si>
    <t>MEHDI EL ATIFI - Journaliste chargé de la préparation et la présentation des bulletins et flashs d'information des èmissions RD</t>
  </si>
  <si>
    <t>MEHDI EL ATIFI</t>
  </si>
  <si>
    <t>63AOM/SNRT/2026</t>
  </si>
  <si>
    <t>Fourniture et mise en service d'équipements audio vidéo au profit de la Direction de la Régie Publicitaire et Solutions Digitales de la Société Nationale de la Radiodiffusion et de la Télévision</t>
  </si>
  <si>
    <t>64AOM/SNRT/2026</t>
  </si>
  <si>
    <t>Fourniture et mise en service d'un système de traveling robotisé pour les besoins de la production de la SNRT</t>
  </si>
  <si>
    <t>PV N°04NV2026-DITV</t>
  </si>
  <si>
    <t>DRISS ABIS- L'accompagnement de la couverture médiatique des grandes compétitions sportives dans le cadre des journaux télévisés et des studios d'analyse des matchs</t>
  </si>
  <si>
    <t>DRISS ABIS</t>
  </si>
  <si>
    <t>26000068 CL</t>
  </si>
  <si>
    <t>Acquisition de mini-refrigerateurs pour les directions de la SNRT</t>
  </si>
  <si>
    <t>ASWAK ASSALAM</t>
  </si>
  <si>
    <t>54AOM/SNRT/2026</t>
  </si>
  <si>
    <t>26000594 CT</t>
  </si>
  <si>
    <t>ABDELLAH TOUKOUNA(ALIAS FERKOUSS)-LA PARTICIPATION ARTISTIQUE DE L'ARTISTE ABDELLAH TAKOUNA DANS LA SERIE DOCUMENTAIRE HANINE EL FARAH EPISODE - IMALCHIL MAWSSIM AL JAMAL WA AL HAYAT</t>
  </si>
  <si>
    <t xml:space="preserve">ABDELLAH TOUKOUNA </t>
  </si>
  <si>
    <t>26000593 CT</t>
  </si>
  <si>
    <t>MOHAMED ATIR - la participation artiqtique de l'artiste Mohamed Atir dans la serie documentaire -Dakirate Tourab- episode -Hariss Mina Adakirat-</t>
  </si>
  <si>
    <t>MOHAMED ATIR</t>
  </si>
  <si>
    <t>26000598 CT</t>
  </si>
  <si>
    <t>CHAIMAE BENLECHHAB - TECHNICIENNE ASSISTANTE REALISATEUR</t>
  </si>
  <si>
    <t>CHAIMAE BENLECHHAB</t>
  </si>
  <si>
    <t>62AOM/SNRT/2026</t>
  </si>
  <si>
    <t>La fourniture et la mise en service d'une unité mobile clé en main de contribution des signaux audio/vidéo an 4K par satellite (DSNG) pour les besoins de la SNRT</t>
  </si>
  <si>
    <t>La fourniture et la mise en service de modulateurs pour les besoins des moyens de contribution de signaux audio/vidéo par satellite pour les besoins de la SNRT</t>
  </si>
  <si>
    <t>65AOM/SNRT/2026</t>
  </si>
  <si>
    <t xml:space="preserve">INFRUCTUEUX 51/2026 </t>
  </si>
  <si>
    <t>17AOM/SNRT/2026</t>
  </si>
  <si>
    <t>La  fourniture et la mise en service de caméras box en ULTRA HAUTE DEFINITION (4K) pour les besoins des unités mobiles de la SNRT</t>
  </si>
  <si>
    <t>43AOM/SNRT/2026</t>
  </si>
  <si>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</si>
  <si>
    <t>26000003 CI</t>
  </si>
  <si>
    <t>Assistanceet support "SLA" de la solution NRCS du système de production News "Newsroom" de la SNRT</t>
  </si>
  <si>
    <t>OCTOPUS NEWSROOM</t>
  </si>
  <si>
    <t>26000025 CL</t>
  </si>
  <si>
    <t>Prestations de restauration au profit du personnel des directions du siège et des annexes de la SNRT à RABAT</t>
  </si>
  <si>
    <t>26000026 CL</t>
  </si>
  <si>
    <t>Achat de gasoil pour chauffage</t>
  </si>
  <si>
    <t>26000032 CL</t>
  </si>
  <si>
    <t>Impression papier en-tete</t>
  </si>
  <si>
    <t>IMPRIMERIE PAPETRIE EL FADIL</t>
  </si>
  <si>
    <t>26000033 CL</t>
  </si>
  <si>
    <t>Achat de 2000 paquets de 12 bouteilles d'eau minérale 0,5 L</t>
  </si>
  <si>
    <t>LES EAUX MINERALES D'OULMES</t>
  </si>
  <si>
    <t>26000040 CL</t>
  </si>
  <si>
    <t>Fourniture et pose du mobilier d'exposition pour le Stand SNRT (trophee hassan II Golf 2026)</t>
  </si>
  <si>
    <t>RT CONCEPT MAROC</t>
  </si>
  <si>
    <t>26000046 CL</t>
  </si>
  <si>
    <t>Achat des tonners rouges originaux pour une machine à affranchir NEOPOST I J 40</t>
  </si>
  <si>
    <t>MAJD TECHNOLOGIE</t>
  </si>
  <si>
    <t>26000014 CL</t>
  </si>
  <si>
    <t xml:space="preserve">Location du matériel d'éclairage pour le tournage des 30 épisodes de "Musique Andalousie" </t>
  </si>
  <si>
    <t>26000070 CL</t>
  </si>
  <si>
    <t>Prestation de restauration au profit du personnel assurant la couverture TV de la CAN Féminine 2026 émission : Lil Hadit Bakia , et couverture des éléctions législatives 2026</t>
  </si>
  <si>
    <t>26000056 CL</t>
  </si>
  <si>
    <t xml:space="preserve">Diagnostic et expertise des onduleurs de tyoe 93E de marque Eaton et de puissance 80KVA </t>
  </si>
  <si>
    <t>EATON ELECTRIC</t>
  </si>
  <si>
    <t>67AOM/SNRT/2026</t>
  </si>
  <si>
    <t xml:space="preserve"> Inventaire physique et fiabilisation du fichier comptable des immobilisations de la SNRT</t>
  </si>
  <si>
    <t>Prestations de service Achat prestations de services locales - sociétés</t>
  </si>
  <si>
    <t>26000606 CT</t>
  </si>
  <si>
    <t>la fourniture des vignettes pour payer les frais de transport par voie terrestre du personnel de la SNRT pour l'exercice de 2026</t>
  </si>
  <si>
    <t>26000609 CT</t>
  </si>
  <si>
    <t>Aquisition auprés de REUTERS de services et de droits d'utilisation et de diffusion de contenus d'actualité sur les chaines de télévision et les supports numériques de la SNRT</t>
  </si>
  <si>
    <t>REUTERS</t>
  </si>
  <si>
    <t>66AOM/SNRT/2026</t>
  </si>
  <si>
    <t>42AOM/SNRT/2026</t>
  </si>
  <si>
    <t>Maintenance et entretien des onduleurs (Pièce et main d’œuvre) : Onduleurs au niveau des sites de la SNRT Rabat, Casablanca et stations régionales Radio-Poste de transformation MT/BT situé au niveau de la station TV Ain Chok à Casablanca de la SNRT</t>
  </si>
  <si>
    <t>26000549CT</t>
  </si>
  <si>
    <t>Achat des droits sportifs des jeux méditerranéens et des jeux méditerrannéens de plage</t>
  </si>
  <si>
    <t>425CT/SNRT/2026</t>
  </si>
  <si>
    <t>Documentaire - MIN SOUK L SOUK</t>
  </si>
  <si>
    <t>MEDIA COLLECT</t>
  </si>
  <si>
    <t>422CT/SNRT/2026</t>
  </si>
  <si>
    <t>Documentaire - AMOUDOU</t>
  </si>
  <si>
    <t>FAOUZI VISION</t>
  </si>
  <si>
    <t>421CT/SNRT/2026</t>
  </si>
  <si>
    <t>Documentaire - AMALLAY</t>
  </si>
  <si>
    <t>423CT/SNRT/2026</t>
  </si>
  <si>
    <t>Docu-fiction - MOUDAWALA</t>
  </si>
  <si>
    <t>HASSANI SOFT</t>
  </si>
  <si>
    <t>417CT/SNRT/2026</t>
  </si>
  <si>
    <t>Docu-fiction - ABAK ATTOURATH</t>
  </si>
  <si>
    <t>AGHLAL PRODUCTION</t>
  </si>
  <si>
    <t>430CT/SNRT/2026</t>
  </si>
  <si>
    <t>Emission Téléréalité - MATIHCH AALA LBAL</t>
  </si>
  <si>
    <t>W5 MEDIA</t>
  </si>
  <si>
    <t>419CT/SNRT/2026</t>
  </si>
  <si>
    <t>Emission Téléréalité - STAND UP</t>
  </si>
  <si>
    <t>CONNEXION MEDIA</t>
  </si>
  <si>
    <t>420CT/SNRT/2026</t>
  </si>
  <si>
    <t>Magasine d'investigation-45 min</t>
  </si>
  <si>
    <t>26000071 CL</t>
  </si>
  <si>
    <t>La fourniture d'alimentations électriques des mélangeurs SONY MVS-300A pour les besoins de la SNRT</t>
  </si>
  <si>
    <t>IBS DIGITAL MEDIA</t>
  </si>
  <si>
    <t>26000072 CL</t>
  </si>
  <si>
    <t>Transfert des batteries depuis le site SNRT d'AIN CHOCK vers le site SNRT de Zaer</t>
  </si>
  <si>
    <t>IT ENERGIE</t>
  </si>
  <si>
    <t>403CT/SNRT2026</t>
  </si>
  <si>
    <t>VOD FORJA</t>
  </si>
  <si>
    <t>EASY BROADCAST</t>
  </si>
  <si>
    <t>68AOM/SNRT/2026</t>
  </si>
  <si>
    <t>Réalisation des prestationsd'Audit de sécurité des systèmes d'information de la SNRT relevant de la "Classe A"</t>
  </si>
  <si>
    <t>Réalisation des prestationsd'Audit de sécurité des systèmes d'information de la SNRT relevant de la "Classe B""Classe C""Classe D"</t>
  </si>
  <si>
    <t>69AOM/SNRT/2026</t>
  </si>
  <si>
    <t>Travaux d'aménagement et sécurisation des salles serveurs des Stations régioanles Radio de la SNRT : Lot 1:Amenagement</t>
  </si>
  <si>
    <t>Travaux d'aménagement et sécurisation des salles serveurs des Stations régioanles Radio de la SNRT : Lot 2:Systèmes de Securité</t>
  </si>
  <si>
    <t>26000076 CL</t>
  </si>
  <si>
    <t>Achat de fournitures pour les climatiseurs</t>
  </si>
  <si>
    <t>OUAHAD ELEC</t>
  </si>
  <si>
    <t>26000075 CL</t>
  </si>
  <si>
    <t>La mise à niveau des blocs sanitaires au siège de la SNRT à Rabat</t>
  </si>
  <si>
    <t>BATI VERT</t>
  </si>
  <si>
    <t>26000082 CL</t>
  </si>
  <si>
    <t>Aménagement de la salle serveur de la station radio régionale Meknes : Aménagement - électricité -  climatisation</t>
  </si>
  <si>
    <t>Ouhad ELEC</t>
  </si>
  <si>
    <t>71AOM/SNRT/2026</t>
  </si>
  <si>
    <t>Fourniture installation et mise en service de deux onduleurs de puissance 200 KVA chacun de type modulaire y compris des systèmes de climatisation associés aux sites SNRT d'Oukaimden (P,EL HAOUZ) et de BOUKOUALI(P,TAOURIRT)</t>
  </si>
  <si>
    <t>26000618 CT</t>
  </si>
  <si>
    <t>Achat droits d'un documentaire des jeux méditéranneens</t>
  </si>
  <si>
    <t>MEDIA SPORTS MANAGEMENT FE LLC</t>
  </si>
  <si>
    <t>1800 DOL</t>
  </si>
  <si>
    <t>Entretien et maintenance du syteme d'antennes du centre radio AM d'Ait Melloul</t>
  </si>
  <si>
    <t>Fourniture des feeders antennes distributeurs de puissance RF connecteurs adaptateurs et accessoires de raccordement</t>
  </si>
  <si>
    <t>Fourniture de duplexeurs filtres combiners et patch panels</t>
  </si>
  <si>
    <t>72AOM/SNRT/2026</t>
  </si>
  <si>
    <t>Fourniture, installation et mise en service de deux émetteurs DVB-T/T2 double drive refroidi à liquide fonctionnant dans la bande [474-690] MHz et de puissance 5KW rms chacun avec leurs accessoires</t>
  </si>
  <si>
    <t>Compte</t>
  </si>
  <si>
    <t>Libellé</t>
  </si>
  <si>
    <t>212-1</t>
  </si>
  <si>
    <t>212-2</t>
  </si>
  <si>
    <t>221-1</t>
  </si>
  <si>
    <t>231-1</t>
  </si>
  <si>
    <t>Terrains</t>
  </si>
  <si>
    <t>232-2</t>
  </si>
  <si>
    <t>233-1</t>
  </si>
  <si>
    <t>233-2</t>
  </si>
  <si>
    <t xml:space="preserve">Matériel et outillage </t>
  </si>
  <si>
    <t>233-3</t>
  </si>
  <si>
    <t>233-4</t>
  </si>
  <si>
    <t>235-1</t>
  </si>
  <si>
    <t>235-2</t>
  </si>
  <si>
    <t>235-3</t>
  </si>
  <si>
    <t>235-4</t>
  </si>
  <si>
    <t>Autres Matériel et mobilier de bureau</t>
  </si>
  <si>
    <t>612-1-1</t>
  </si>
  <si>
    <t>Acquis définitive Programmes TV externes</t>
  </si>
  <si>
    <t>612-1-3</t>
  </si>
  <si>
    <t>Achat des programmes en production interne</t>
  </si>
  <si>
    <t>612-1-4</t>
  </si>
  <si>
    <t>Achats des programmes en co-production</t>
  </si>
  <si>
    <t>612-2-1</t>
  </si>
  <si>
    <t>Achats des droits de captation</t>
  </si>
  <si>
    <t>612-2-2</t>
  </si>
  <si>
    <t xml:space="preserve">Cession de Droits de sport </t>
  </si>
  <si>
    <t>612-3-2</t>
  </si>
  <si>
    <t>Achats des pièces de rechange</t>
  </si>
  <si>
    <t>612-3-3</t>
  </si>
  <si>
    <t>Fournitures de bureau et fournitures informatiques</t>
  </si>
  <si>
    <t>612-3-4</t>
  </si>
  <si>
    <t>Autres Matières et fournitures consommables</t>
  </si>
  <si>
    <t>612-4-2</t>
  </si>
  <si>
    <t>Achats de carburants</t>
  </si>
  <si>
    <t>612-4-3</t>
  </si>
  <si>
    <t>Achats Petit outillage &amp; petit équipement</t>
  </si>
  <si>
    <t>612-4-4</t>
  </si>
  <si>
    <t>Achat fournitures (entretien, fournitures de bureau et fournitures informatiques)</t>
  </si>
  <si>
    <t>612-5-1</t>
  </si>
  <si>
    <t xml:space="preserve">Achats d'études </t>
  </si>
  <si>
    <t>612-5-2</t>
  </si>
  <si>
    <t>Achat prestations de services locales - sociétés</t>
  </si>
  <si>
    <t>612-5-3</t>
  </si>
  <si>
    <t>612-5-4</t>
  </si>
  <si>
    <t>Achat prestations services Etrangères</t>
  </si>
  <si>
    <t>612-6-1</t>
  </si>
  <si>
    <t xml:space="preserve">Achat prestations satellitaires </t>
  </si>
  <si>
    <t>613-1-1</t>
  </si>
  <si>
    <t>Location de terrains et constructions</t>
  </si>
  <si>
    <t>613-1-4</t>
  </si>
  <si>
    <t>Location matériel transport</t>
  </si>
  <si>
    <t>613-2-1</t>
  </si>
  <si>
    <t>Entr&amp;réparat biens immoblier</t>
  </si>
  <si>
    <t>613-2-2</t>
  </si>
  <si>
    <t>Entr&amp;réparat biens mobilier</t>
  </si>
  <si>
    <t>613-2-3</t>
  </si>
  <si>
    <t>Entretien et réparation matériel transport</t>
  </si>
  <si>
    <t>613-2-4</t>
  </si>
  <si>
    <t>Entretien et réparation matériel&amp;outillage</t>
  </si>
  <si>
    <t>613-2-5</t>
  </si>
  <si>
    <t>Entretien et maintenance matériel Informatiq &amp; logiciels</t>
  </si>
  <si>
    <t>613-2-6</t>
  </si>
  <si>
    <t xml:space="preserve">Assurances </t>
  </si>
  <si>
    <t>613-3-2</t>
  </si>
  <si>
    <t>Honoraires</t>
  </si>
  <si>
    <t>613-3-3</t>
  </si>
  <si>
    <t>Frais d'actes et contentieux</t>
  </si>
  <si>
    <t>613-4-2</t>
  </si>
  <si>
    <t>Autres redevances</t>
  </si>
  <si>
    <t>613-4-3</t>
  </si>
  <si>
    <t xml:space="preserve">Documentation </t>
  </si>
  <si>
    <t>613-4-4</t>
  </si>
  <si>
    <t>Abonnements</t>
  </si>
  <si>
    <t>613-4-5</t>
  </si>
  <si>
    <t>Cotisations</t>
  </si>
  <si>
    <t>614-1-1</t>
  </si>
  <si>
    <t>Mission au Maroc</t>
  </si>
  <si>
    <t>614-1-2</t>
  </si>
  <si>
    <t>Mission à l'étranger</t>
  </si>
  <si>
    <t>614-1-3</t>
  </si>
  <si>
    <t>Réceptions</t>
  </si>
  <si>
    <t>614-2-1</t>
  </si>
  <si>
    <t>Annonces et insertions</t>
  </si>
  <si>
    <t>614-2-2</t>
  </si>
  <si>
    <t>Charges de publicité</t>
  </si>
  <si>
    <t>614-2-3</t>
  </si>
  <si>
    <t>Autres charges de relations publiques</t>
  </si>
  <si>
    <t>614-3-1</t>
  </si>
  <si>
    <t>Frais postaux</t>
  </si>
  <si>
    <t>614-3-2</t>
  </si>
  <si>
    <t>Téléphone &amp; internet</t>
  </si>
  <si>
    <t>614-3-4</t>
  </si>
  <si>
    <t>Transport du personnel</t>
  </si>
  <si>
    <t>614-3-5</t>
  </si>
  <si>
    <t>Autres transports</t>
  </si>
  <si>
    <t>617-1-1</t>
  </si>
  <si>
    <t>Salaires de bases +rappels</t>
  </si>
  <si>
    <t>617-1-2</t>
  </si>
  <si>
    <t xml:space="preserve">Primes et indemnités </t>
  </si>
  <si>
    <t>617-2</t>
  </si>
  <si>
    <t>617-3</t>
  </si>
  <si>
    <t>Aquisition des véhicules aménagés de transport de personnel</t>
  </si>
  <si>
    <t>Matériels de transport</t>
  </si>
  <si>
    <t>ATLAS VEHICULES INDUSTRIELS</t>
  </si>
  <si>
    <t>402CT/SNRT/2026</t>
  </si>
  <si>
    <t>74AOM/SNRT/2026</t>
  </si>
  <si>
    <t>La fourniture et la mise en service d'équipement de traitement de signaux Audio/vidéo pour les besoins des chaines TV de la SNRT</t>
  </si>
  <si>
    <t>Achats de productions et de programmes
Achat des programmes en production interne</t>
  </si>
  <si>
    <t>73AOM/SNRT/2026</t>
  </si>
  <si>
    <t>424CT/SNRT/2026</t>
  </si>
  <si>
    <t>Emission Matinale 'Ousrati'</t>
  </si>
  <si>
    <t>IMAGE FACTORY</t>
  </si>
  <si>
    <t>426CT/SNRT/2026</t>
  </si>
  <si>
    <t>Documentaire 'ICHAA MAMLAKA'</t>
  </si>
  <si>
    <t>MONAFRIQUE PRODCOM</t>
  </si>
  <si>
    <t>428CT/SNRT/2026</t>
  </si>
  <si>
    <t>Emission pour enfabt 'WLIDATE BLADI'</t>
  </si>
  <si>
    <t>427CT/SNRT/2026</t>
  </si>
  <si>
    <t>Documentaire 'AHL AL MAGHREB'</t>
  </si>
  <si>
    <t>431CT/SNRT/2026</t>
  </si>
  <si>
    <t>Emission Magazine Economique 'MADE IN MOROCCO'</t>
  </si>
  <si>
    <t>POPKORN PRODUCTON</t>
  </si>
  <si>
    <t>NADACOM DESIGN</t>
  </si>
  <si>
    <t>EUROPEEN BROADCASTING UNION</t>
  </si>
  <si>
    <t>76AOM/SNRT/2026</t>
  </si>
  <si>
    <t>Travaux d'electricite et de climatisation des locaux technique de la SNRT à Rabat</t>
  </si>
  <si>
    <t>435CT/SNRT/2026</t>
  </si>
  <si>
    <t>Edition 31 du festival international du cinéma méditerranéen de Tétouan du 03 au 10/10/2026</t>
  </si>
  <si>
    <t>Achats de droits
Achats des droits de captation</t>
  </si>
  <si>
    <t>Fondation de Festival de cinéma 13001948</t>
  </si>
  <si>
    <t>MELINT</t>
  </si>
  <si>
    <t>Lts network et Lts France</t>
  </si>
  <si>
    <t>ALI OUBANE TRAVAUX</t>
  </si>
  <si>
    <t>BSS TRADING</t>
  </si>
  <si>
    <t>KLS INFRASTRUCTURE</t>
  </si>
  <si>
    <t>75AOM/SNRT/2026</t>
  </si>
  <si>
    <t>Entretien et remise en état des systèmes de balisage aux pylônes des centres de diffusion TV/FM</t>
  </si>
  <si>
    <t>436CT/SNRT/2026</t>
  </si>
  <si>
    <t>La création et réalisation pour le compte de la SNRT, d'une œuvre artistique en réalité augmentée des éléments graphiques, pour la couverture de la soirée électrorale 2026</t>
  </si>
  <si>
    <t>VIZRT AUSTRIA GMBH</t>
  </si>
  <si>
    <t>26000550CT</t>
  </si>
  <si>
    <t>Augmentation de puissance pour le nouveau siège de la station régionale radio de Tétouan</t>
  </si>
  <si>
    <t>Amendis</t>
  </si>
  <si>
    <t>AOM/SNRT/2026</t>
  </si>
  <si>
    <t>Aquisition d'un porteur pré-câblé multi-caméras pour les besoins des moyens mobiles de la SNRT</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</si>
</sst>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 _€_-;\-* #,##0.00\ _€_-;_-* &quot;-&quot;??\ _€_-;_-@_-"/>
    <numFmt numFmtId="164" formatCode="#,##0.00\ _€"/>
    <numFmt numFmtId="165" formatCode="0\ %"/>
    <numFmt numFmtId="166" formatCode="_-* #,##0.00\ _€_-;\-* #,##0.00\ _€_-;_-* \-??\ _€_-;_-@_-"/>
    <numFmt numFmtId="167" formatCode="_(* #,##0.00_);_(* \(#,##0.00\);_(* \-??_);_(@_)"/>
    <numFmt numFmtId="168" formatCode="#,##0.00\ [$MAD]"/>
    <numFmt numFmtId="169" formatCode="[$د.م.‏-1801]\ #,##0.00;[Red][$د.م.‏-1801]\ #,##0.00\-"/>
    <numFmt numFmtId="170" formatCode="#.##0\.00"/>
    <numFmt numFmtId="171" formatCode="#,##0.00\ &quot;€&quot;"/>
    <numFmt numFmtId="172" formatCode="_-* #,##0.00_-;\-* #,##0.00_-;_-* \-??_-;_-@_-"/>
    <numFmt numFmtId="173" formatCode="_-* #,##0.00\ _D_H_-;\-* #,##0.00\ _D_H_-;_-* \-??\ _D_H_-;_-@_-"/>
  </numFmts>
  <fonts count="27" x14ac:knownFonts="1">
    <font>
      <sz val="11"/>
      <color theme="1"/>
      <name val="Calibri"/>
      <family val="2"/>
      <charset val="1"/>
    </font>
    <font>
      <u/>
      <sz val="11"/>
      <color theme="10"/>
      <name val="Calibri"/>
      <family val="2"/>
      <charset val="1"/>
    </font>
    <font>
      <sz val="10"/>
      <color theme="3"/>
      <name val="Calibri"/>
      <family val="2"/>
      <charset val="1"/>
    </font>
    <font>
      <sz val="10"/>
      <color theme="1"/>
      <name val="Arial"/>
      <family val="2"/>
      <charset val="1"/>
    </font>
    <font>
      <sz val="11"/>
      <color theme="0"/>
      <name val="Calibri"/>
      <family val="2"/>
      <charset val="1"/>
    </font>
    <font>
      <sz val="10"/>
      <color theme="1"/>
      <name val="Calibri"/>
      <family val="2"/>
      <charset val="1"/>
    </font>
    <font>
      <sz val="10"/>
      <name val="Calibri"/>
      <family val="2"/>
      <charset val="1"/>
    </font>
    <font>
      <b/>
      <sz val="11"/>
      <color theme="0"/>
      <name val="Calibri"/>
      <family val="2"/>
      <charset val="1"/>
    </font>
    <font>
      <b/>
      <sz val="11"/>
      <color theme="0" tint="-0.14999847407452621"/>
      <name val="Calibri"/>
      <family val="2"/>
      <charset val="1"/>
    </font>
    <font>
      <b/>
      <sz val="11"/>
      <color theme="1"/>
      <name val="Calibri"/>
      <family val="2"/>
      <charset val="1"/>
    </font>
    <font>
      <sz val="11"/>
      <color theme="1"/>
      <name val="Times New Roman"/>
      <family val="1"/>
      <charset val="1"/>
    </font>
    <font>
      <b/>
      <sz val="11"/>
      <color theme="1"/>
      <name val="Times New Roman"/>
      <family val="1"/>
      <charset val="1"/>
    </font>
    <font>
      <sz val="11"/>
      <color theme="1"/>
      <name val="Calibri"/>
      <family val="2"/>
      <charset val="1"/>
    </font>
    <font>
      <sz val="10"/>
      <color theme="1"/>
      <name val="Calibri"/>
      <family val="2"/>
    </font>
    <font>
      <sz val="10"/>
      <color theme="3"/>
      <name val="Arial"/>
      <family val="2"/>
      <scheme val="minor"/>
    </font>
    <font>
      <b/>
      <sz val="10"/>
      <color theme="1"/>
      <name val="Calibri"/>
      <family val="2"/>
    </font>
    <font>
      <sz val="10"/>
      <color theme="3"/>
      <name val="Calibri"/>
      <family val="2"/>
    </font>
    <font>
      <b/>
      <sz val="10"/>
      <color rgb="FFFFFFFF"/>
      <name val="Calibri"/>
      <family val="2"/>
    </font>
    <font>
      <b/>
      <sz val="11"/>
      <color theme="1"/>
      <name val="Calibri"/>
      <family val="2"/>
    </font>
    <font>
      <sz val="10"/>
      <color theme="1"/>
      <name val="Calibri"/>
      <family val="2"/>
    </font>
    <font>
      <b/>
      <sz val="10"/>
      <color theme="1"/>
      <name val="Calibri"/>
      <family val="2"/>
    </font>
    <font>
      <sz val="10"/>
      <color theme="1"/>
      <name val="Calibri"/>
      <family val="2"/>
    </font>
    <font>
      <b/>
      <sz val="10"/>
      <color theme="1"/>
      <name val="Calibri"/>
      <family val="2"/>
    </font>
    <font>
      <sz val="10"/>
      <color theme="1"/>
      <name val="Calibri"/>
      <family val="2"/>
    </font>
    <font>
      <b/>
      <sz val="10"/>
      <color theme="1"/>
      <name val="Calibri"/>
      <family val="2"/>
    </font>
    <font>
      <sz val="10"/>
      <color theme="1"/>
      <name val="Calibri"/>
      <family val="2"/>
    </font>
    <font>
      <b/>
      <sz val="10"/>
      <color theme="1"/>
      <name val="Calibri"/>
      <family val="2"/>
    </font>
  </fonts>
  <fills count="24">
    <fill>
      <patternFill patternType="none"/>
    </fill>
    <fill>
      <patternFill patternType="gray125"/>
    </fill>
    <fill>
      <patternFill patternType="solid">
        <fgColor theme="0" tint="-0.499984740745262"/>
        <bgColor rgb="FF8497B0"/>
      </patternFill>
    </fill>
    <fill>
      <patternFill patternType="solid">
        <fgColor theme="0" tint="-4.9989318521683403E-2"/>
        <bgColor rgb="FFDEEBF7"/>
      </patternFill>
    </fill>
    <fill>
      <patternFill patternType="solid">
        <fgColor theme="0" tint="-0.14999847407452621"/>
        <bgColor rgb="FFD0CECE"/>
      </patternFill>
    </fill>
    <fill>
      <patternFill patternType="solid">
        <fgColor theme="0" tint="-0.34998626667073579"/>
        <bgColor rgb="FF8497B0"/>
      </patternFill>
    </fill>
    <fill>
      <patternFill patternType="solid">
        <fgColor theme="0"/>
        <bgColor rgb="FFF2F2F2"/>
      </patternFill>
    </fill>
    <fill>
      <patternFill patternType="solid">
        <fgColor theme="3" tint="0.39988402966399123"/>
        <bgColor rgb="FFA6A6A6"/>
      </patternFill>
    </fill>
    <fill>
      <patternFill patternType="solid">
        <fgColor rgb="FF81D41A"/>
        <bgColor rgb="FF77BC65"/>
      </patternFill>
    </fill>
    <fill>
      <patternFill patternType="solid">
        <fgColor rgb="FFFFFF00"/>
        <bgColor rgb="FFFFFF00"/>
      </patternFill>
    </fill>
    <fill>
      <patternFill patternType="solid">
        <fgColor rgb="FF77BC65"/>
        <bgColor rgb="FF70AD47"/>
      </patternFill>
    </fill>
    <fill>
      <patternFill patternType="solid">
        <fgColor theme="4" tint="0.79989013336588644"/>
        <bgColor rgb="FFDAE3F3"/>
      </patternFill>
    </fill>
    <fill>
      <patternFill patternType="solid">
        <fgColor rgb="FFFFFF00"/>
        <bgColor indexed="64"/>
      </patternFill>
    </fill>
    <fill>
      <patternFill patternType="solid">
        <fgColor rgb="FFFFFF00"/>
        <bgColor rgb="FF70AD47"/>
      </patternFill>
    </fill>
    <fill>
      <patternFill patternType="solid">
        <fgColor rgb="FFFFFF00"/>
        <bgColor rgb="FF77BC65"/>
      </patternFill>
    </fill>
    <fill>
      <patternFill patternType="solid">
        <fgColor rgb="FF92D050"/>
        <bgColor indexed="64"/>
      </patternFill>
    </fill>
    <fill>
      <patternFill patternType="solid">
        <fgColor theme="0"/>
        <bgColor rgb="FF8497B0"/>
      </patternFill>
    </fill>
    <fill>
      <patternFill patternType="solid">
        <fgColor theme="0"/>
        <bgColor indexed="64"/>
      </patternFill>
    </fill>
    <fill>
      <patternFill patternType="solid">
        <fgColor theme="0"/>
        <bgColor rgb="FFFFFF00"/>
      </patternFill>
    </fill>
    <fill>
      <patternFill patternType="solid">
        <fgColor theme="5" tint="0.39997558519241921"/>
        <bgColor indexed="64"/>
      </patternFill>
    </fill>
    <fill>
      <patternFill patternType="solid">
        <fgColor theme="5" tint="0.39997558519241921"/>
        <bgColor rgb="FFFFFF00"/>
      </patternFill>
    </fill>
    <fill>
      <patternFill patternType="solid">
        <fgColor theme="5" tint="0.39997558519241921"/>
        <bgColor rgb="FF8497B0"/>
      </patternFill>
    </fill>
    <fill>
      <patternFill patternType="solid">
        <fgColor rgb="FF2E75B6"/>
        <bgColor rgb="FFA6A6A6"/>
      </patternFill>
    </fill>
    <fill>
      <patternFill patternType="solid">
        <fgColor indexed="65"/>
        <bgColor indexed="64"/>
      </patternFill>
    </fill>
  </fills>
  <borders count="17">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s>
  <cellStyleXfs count="16">
    <xf numFmtId="0" fontId="0" fillId="0" borderId="0"/>
    <xf numFmtId="167" fontId="12" fillId="0" borderId="0"/>
    <xf numFmtId="165" fontId="12" fillId="0" borderId="0"/>
    <xf numFmtId="0" fontId="1" fillId="0" borderId="0"/>
    <xf numFmtId="166" fontId="12" fillId="0" borderId="0"/>
    <xf numFmtId="166" fontId="12" fillId="0" borderId="0"/>
    <xf numFmtId="166" fontId="12" fillId="0" borderId="0"/>
    <xf numFmtId="172" fontId="12" fillId="0" borderId="0"/>
    <xf numFmtId="172" fontId="12" fillId="0" borderId="0"/>
    <xf numFmtId="166" fontId="12" fillId="0" borderId="0"/>
    <xf numFmtId="173" fontId="12" fillId="0" borderId="0"/>
    <xf numFmtId="0" fontId="2" fillId="0" borderId="0">
      <alignment horizontal="center" vertical="center" wrapText="1"/>
    </xf>
    <xf numFmtId="0" fontId="3" fillId="0" borderId="0"/>
    <xf numFmtId="0" fontId="2" fillId="0" borderId="0">
      <alignment horizontal="center" vertical="center" wrapText="1"/>
    </xf>
    <xf numFmtId="0" fontId="12" fillId="0" borderId="0"/>
    <xf numFmtId="0" fontId="14" fillId="0" borderId="0">
      <alignment horizontal="center" vertical="center" wrapText="1"/>
    </xf>
  </cellStyleXfs>
  <cellXfs count="324">
    <xf numFmtId="0" fontId="0" fillId="0" borderId="0" xfId="0"/>
    <xf numFmtId="0" fontId="0" fillId="0" borderId="0" xfId="0"/>
    <xf numFmtId="0" fontId="4" fillId="2" borderId="0" xfId="0" applyFont="1" applyFill="1"/>
    <xf numFmtId="0" fontId="5" fillId="3" borderId="1" xfId="0" applyFont="1" applyFill="1" applyBorder="1"/>
    <xf numFmtId="0" fontId="5" fillId="4" borderId="2" xfId="0" applyFont="1" applyFill="1" applyBorder="1"/>
    <xf numFmtId="0" fontId="6" fillId="4" borderId="2" xfId="0" applyFont="1" applyFill="1" applyBorder="1"/>
    <xf numFmtId="0" fontId="5" fillId="4" borderId="0" xfId="0" applyFont="1" applyFill="1"/>
    <xf numFmtId="0" fontId="7" fillId="5" borderId="0" xfId="0" applyFont="1" applyFill="1"/>
    <xf numFmtId="167" fontId="5" fillId="3" borderId="4" xfId="1" applyFont="1" applyFill="1" applyBorder="1" applyAlignment="1">
      <alignment horizontal="center"/>
    </xf>
    <xf numFmtId="0" fontId="5" fillId="6" borderId="0" xfId="0" applyFont="1" applyFill="1"/>
    <xf numFmtId="167" fontId="5" fillId="6" borderId="3" xfId="1" applyFont="1" applyFill="1" applyBorder="1" applyAlignment="1">
      <alignment horizontal="center"/>
    </xf>
    <xf numFmtId="0" fontId="5" fillId="3" borderId="0" xfId="0" applyFont="1" applyFill="1"/>
    <xf numFmtId="167" fontId="5" fillId="3" borderId="3" xfId="1" applyFont="1" applyFill="1" applyBorder="1" applyAlignment="1">
      <alignment horizontal="center"/>
    </xf>
    <xf numFmtId="0" fontId="7" fillId="2" borderId="0" xfId="0" applyFont="1" applyFill="1"/>
    <xf numFmtId="0" fontId="5" fillId="4" borderId="1" xfId="0" applyFont="1" applyFill="1" applyBorder="1"/>
    <xf numFmtId="0" fontId="5" fillId="3" borderId="2" xfId="0" applyFont="1" applyFill="1" applyBorder="1"/>
    <xf numFmtId="0" fontId="8" fillId="7" borderId="7"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0" fillId="0" borderId="0" xfId="0" applyAlignment="1">
      <alignment horizontal="center" wrapText="1"/>
    </xf>
    <xf numFmtId="0" fontId="9"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left" vertical="center" wrapText="1"/>
    </xf>
    <xf numFmtId="0" fontId="9" fillId="0" borderId="0" xfId="0" applyFont="1" applyAlignment="1">
      <alignment horizontal="center" wrapText="1"/>
    </xf>
    <xf numFmtId="167" fontId="0" fillId="0" borderId="0" xfId="1" applyFont="1" applyAlignment="1">
      <alignment vertical="center" wrapText="1"/>
    </xf>
    <xf numFmtId="0" fontId="0" fillId="0" borderId="0" xfId="0" applyAlignment="1">
      <alignment wrapText="1"/>
    </xf>
    <xf numFmtId="167" fontId="0" fillId="0" borderId="0" xfId="1" applyFont="1" applyAlignment="1">
      <alignment horizontal="center" vertical="center" wrapText="1"/>
    </xf>
    <xf numFmtId="14" fontId="0" fillId="0" borderId="0" xfId="0" applyNumberFormat="1" applyAlignment="1">
      <alignment vertical="center" wrapText="1"/>
    </xf>
    <xf numFmtId="167" fontId="0" fillId="0" borderId="0" xfId="1" applyFont="1" applyAlignment="1">
      <alignment wrapText="1"/>
    </xf>
    <xf numFmtId="0" fontId="0" fillId="0" borderId="0" xfId="0" applyAlignment="1">
      <alignment vertical="center" wrapText="1"/>
    </xf>
    <xf numFmtId="0" fontId="0" fillId="0" borderId="0" xfId="0" applyAlignment="1">
      <alignment vertical="center"/>
    </xf>
    <xf numFmtId="0" fontId="10" fillId="0" borderId="0" xfId="0" applyFont="1" applyAlignment="1">
      <alignment horizontal="center" vertical="center" wrapText="1"/>
    </xf>
    <xf numFmtId="167" fontId="10" fillId="0" borderId="0" xfId="1" applyFont="1" applyAlignment="1">
      <alignment horizontal="center" vertical="center" wrapText="1"/>
    </xf>
    <xf numFmtId="167" fontId="10" fillId="0" borderId="0" xfId="1" applyFont="1" applyAlignment="1">
      <alignment vertical="center" wrapText="1"/>
    </xf>
    <xf numFmtId="167" fontId="10" fillId="0" borderId="0" xfId="1" applyFont="1" applyAlignment="1">
      <alignment wrapText="1"/>
    </xf>
    <xf numFmtId="167" fontId="0" fillId="0" borderId="9" xfId="1" applyFont="1" applyBorder="1" applyAlignment="1">
      <alignment vertical="center" wrapText="1"/>
    </xf>
    <xf numFmtId="0" fontId="9" fillId="11" borderId="9" xfId="0" applyFont="1" applyFill="1" applyBorder="1"/>
    <xf numFmtId="0" fontId="9" fillId="0" borderId="9" xfId="0" applyFont="1" applyBorder="1" applyAlignment="1">
      <alignment horizontal="left"/>
    </xf>
    <xf numFmtId="167" fontId="0" fillId="0" borderId="9" xfId="1" applyFont="1" applyBorder="1" applyAlignment="1">
      <alignment wrapText="1"/>
    </xf>
    <xf numFmtId="0" fontId="0" fillId="12" borderId="0" xfId="0" applyFill="1"/>
    <xf numFmtId="0" fontId="0" fillId="0" borderId="9" xfId="0" applyBorder="1"/>
    <xf numFmtId="167" fontId="0" fillId="19" borderId="0" xfId="1" applyFont="1" applyFill="1" applyAlignment="1">
      <alignment vertical="center" wrapText="1"/>
    </xf>
    <xf numFmtId="0" fontId="0" fillId="19" borderId="0" xfId="0" applyFill="1" applyAlignment="1">
      <alignment horizontal="center" vertical="center" wrapText="1"/>
    </xf>
    <xf numFmtId="167" fontId="0" fillId="19" borderId="0" xfId="1" applyFont="1" applyFill="1" applyAlignment="1">
      <alignment wrapText="1"/>
    </xf>
    <xf numFmtId="0" fontId="0" fillId="19" borderId="0" xfId="0" applyFill="1"/>
    <xf numFmtId="167" fontId="15" fillId="2" borderId="9" xfId="1" applyFont="1" applyFill="1" applyBorder="1" applyAlignment="1">
      <alignment horizontal="center" vertical="center" wrapText="1"/>
    </xf>
    <xf numFmtId="14" fontId="13" fillId="0" borderId="9" xfId="0" applyNumberFormat="1" applyFont="1" applyBorder="1" applyAlignment="1">
      <alignment horizontal="center" vertical="center" wrapText="1"/>
    </xf>
    <xf numFmtId="0" fontId="13" fillId="15" borderId="13"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13"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0" borderId="13" xfId="0" applyFont="1" applyFill="1" applyBorder="1" applyAlignment="1">
      <alignment horizontal="center" vertical="center" wrapText="1"/>
    </xf>
    <xf numFmtId="0" fontId="13" fillId="19" borderId="9" xfId="0" applyFont="1" applyFill="1" applyBorder="1" applyAlignment="1">
      <alignment horizontal="left" vertical="center" wrapText="1"/>
    </xf>
    <xf numFmtId="0" fontId="15" fillId="19" borderId="9" xfId="0" applyFont="1" applyFill="1" applyBorder="1" applyAlignment="1">
      <alignment horizontal="center" vertical="center" wrapText="1"/>
    </xf>
    <xf numFmtId="0" fontId="15" fillId="19" borderId="9" xfId="0" applyFont="1" applyFill="1" applyBorder="1" applyAlignment="1">
      <alignment horizontal="left" vertical="center" wrapText="1"/>
    </xf>
    <xf numFmtId="167" fontId="13" fillId="19" borderId="9" xfId="1" applyFont="1" applyFill="1" applyBorder="1" applyAlignment="1">
      <alignment horizontal="center" vertical="center" wrapText="1"/>
    </xf>
    <xf numFmtId="0" fontId="13" fillId="14" borderId="13" xfId="0" applyFont="1" applyFill="1" applyBorder="1" applyAlignment="1">
      <alignment horizontal="center" vertical="center" wrapText="1"/>
    </xf>
    <xf numFmtId="0" fontId="13" fillId="2" borderId="9" xfId="0" applyFont="1" applyFill="1" applyBorder="1" applyAlignment="1">
      <alignment horizontal="center" vertical="center" wrapText="1"/>
    </xf>
    <xf numFmtId="167" fontId="13" fillId="0" borderId="12" xfId="1" applyFont="1" applyBorder="1" applyAlignment="1">
      <alignment horizontal="center" vertical="center" wrapText="1"/>
    </xf>
    <xf numFmtId="0" fontId="13" fillId="12" borderId="9" xfId="0" applyFont="1" applyFill="1" applyBorder="1" applyAlignment="1">
      <alignment horizontal="center" vertical="center" wrapText="1"/>
    </xf>
    <xf numFmtId="0" fontId="13" fillId="17" borderId="9" xfId="0" applyFont="1" applyFill="1" applyBorder="1" applyAlignment="1">
      <alignment horizontal="center" vertical="center" wrapText="1"/>
    </xf>
    <xf numFmtId="167" fontId="13" fillId="0" borderId="0" xfId="1" applyFont="1" applyAlignment="1">
      <alignment horizontal="center" vertical="center" wrapText="1"/>
    </xf>
    <xf numFmtId="0" fontId="13" fillId="12" borderId="14" xfId="0" applyFont="1" applyFill="1" applyBorder="1" applyAlignment="1">
      <alignment horizontal="center" vertical="center" wrapText="1"/>
    </xf>
    <xf numFmtId="0" fontId="13" fillId="0" borderId="12" xfId="0" applyFont="1" applyBorder="1" applyAlignment="1">
      <alignment horizontal="left" vertical="center" wrapText="1"/>
    </xf>
    <xf numFmtId="0" fontId="15" fillId="0" borderId="12" xfId="0" applyFont="1" applyBorder="1" applyAlignment="1">
      <alignment horizontal="center" vertical="center" wrapText="1"/>
    </xf>
    <xf numFmtId="0" fontId="15" fillId="0" borderId="12" xfId="0" applyFont="1" applyBorder="1" applyAlignment="1">
      <alignment horizontal="left" vertical="center" wrapText="1"/>
    </xf>
    <xf numFmtId="0" fontId="13" fillId="0" borderId="9" xfId="0" applyFont="1" applyBorder="1" applyAlignment="1">
      <alignment horizontal="left" vertical="center" wrapText="1"/>
    </xf>
    <xf numFmtId="0" fontId="15" fillId="0" borderId="9" xfId="0" applyFont="1" applyBorder="1" applyAlignment="1">
      <alignment horizontal="center" vertical="center" wrapText="1"/>
    </xf>
    <xf numFmtId="0" fontId="15" fillId="0" borderId="9" xfId="0" applyFont="1" applyBorder="1" applyAlignment="1">
      <alignment horizontal="left" vertical="center" wrapText="1"/>
    </xf>
    <xf numFmtId="167" fontId="13" fillId="0" borderId="9" xfId="1" applyFont="1" applyBorder="1" applyAlignment="1">
      <alignment horizontal="center" vertical="center" wrapText="1"/>
    </xf>
    <xf numFmtId="14" fontId="17" fillId="22" borderId="9" xfId="0" applyNumberFormat="1" applyFont="1" applyFill="1" applyBorder="1" applyAlignment="1">
      <alignment horizontal="center" vertical="center" wrapText="1"/>
    </xf>
    <xf numFmtId="0" fontId="17" fillId="22" borderId="9" xfId="1" applyNumberFormat="1" applyFont="1" applyFill="1" applyBorder="1" applyAlignment="1">
      <alignment horizontal="center" vertical="center" wrapText="1"/>
    </xf>
    <xf numFmtId="167" fontId="17" fillId="22" borderId="10" xfId="1" applyFont="1" applyFill="1" applyBorder="1" applyAlignment="1">
      <alignment horizontal="center" vertical="center" wrapText="1"/>
    </xf>
    <xf numFmtId="0" fontId="17" fillId="22" borderId="10" xfId="0" applyFont="1" applyFill="1" applyBorder="1" applyAlignment="1">
      <alignment horizontal="center" vertical="center" wrapText="1"/>
    </xf>
    <xf numFmtId="167" fontId="15" fillId="2" borderId="9" xfId="1" applyFont="1" applyFill="1" applyBorder="1" applyAlignment="1">
      <alignment horizontal="left" vertical="center" wrapText="1"/>
    </xf>
    <xf numFmtId="0" fontId="13" fillId="9" borderId="9" xfId="0" applyFont="1" applyFill="1" applyBorder="1" applyAlignment="1">
      <alignment horizontal="left" vertical="center" wrapText="1"/>
    </xf>
    <xf numFmtId="0" fontId="13" fillId="20" borderId="9" xfId="0" applyFont="1" applyFill="1" applyBorder="1" applyAlignment="1">
      <alignment horizontal="left" vertical="center" wrapText="1"/>
    </xf>
    <xf numFmtId="0" fontId="13" fillId="18" borderId="9" xfId="0" applyFont="1" applyFill="1" applyBorder="1" applyAlignment="1">
      <alignment horizontal="left" vertical="center" wrapText="1"/>
    </xf>
    <xf numFmtId="0" fontId="13" fillId="12" borderId="9" xfId="0" applyFont="1" applyFill="1" applyBorder="1" applyAlignment="1">
      <alignment horizontal="left" vertical="center" wrapText="1"/>
    </xf>
    <xf numFmtId="14" fontId="13" fillId="0" borderId="12" xfId="0" applyNumberFormat="1" applyFont="1" applyBorder="1" applyAlignment="1">
      <alignment horizontal="left" vertical="center" wrapText="1"/>
    </xf>
    <xf numFmtId="14" fontId="13" fillId="0" borderId="9" xfId="0" applyNumberFormat="1" applyFont="1" applyBorder="1" applyAlignment="1">
      <alignment horizontal="left" vertical="center" wrapText="1"/>
    </xf>
    <xf numFmtId="14" fontId="13" fillId="19" borderId="9" xfId="0" applyNumberFormat="1" applyFont="1" applyFill="1" applyBorder="1" applyAlignment="1">
      <alignment horizontal="left" vertical="center" wrapText="1"/>
    </xf>
    <xf numFmtId="14" fontId="13" fillId="9" borderId="9" xfId="0" applyNumberFormat="1" applyFont="1" applyFill="1" applyBorder="1" applyAlignment="1">
      <alignment horizontal="left" vertical="center" wrapText="1"/>
    </xf>
    <xf numFmtId="14" fontId="13" fillId="12" borderId="9" xfId="0" applyNumberFormat="1" applyFont="1" applyFill="1" applyBorder="1" applyAlignment="1">
      <alignment horizontal="left" vertical="center" wrapText="1"/>
    </xf>
    <xf numFmtId="0" fontId="13" fillId="2" borderId="9" xfId="0" applyFont="1" applyFill="1" applyBorder="1" applyAlignment="1">
      <alignment horizontal="left" vertical="center" wrapText="1"/>
    </xf>
    <xf numFmtId="0" fontId="16" fillId="0" borderId="9" xfId="0" applyFont="1" applyBorder="1" applyAlignment="1">
      <alignment horizontal="left" vertical="center"/>
    </xf>
    <xf numFmtId="167" fontId="15" fillId="0" borderId="9" xfId="1" applyFont="1" applyBorder="1" applyAlignment="1">
      <alignment horizontal="left" vertical="center" wrapText="1"/>
    </xf>
    <xf numFmtId="167" fontId="15" fillId="9" borderId="9" xfId="1" applyFont="1" applyFill="1" applyBorder="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center" wrapText="1"/>
    </xf>
    <xf numFmtId="14" fontId="13" fillId="2" borderId="9" xfId="0" applyNumberFormat="1" applyFont="1" applyFill="1" applyBorder="1" applyAlignment="1">
      <alignment horizontal="center" vertical="center" wrapText="1"/>
    </xf>
    <xf numFmtId="14" fontId="15" fillId="2" borderId="9" xfId="1" applyNumberFormat="1" applyFont="1" applyFill="1" applyBorder="1" applyAlignment="1">
      <alignment horizontal="center" vertical="center" wrapText="1"/>
    </xf>
    <xf numFmtId="14" fontId="15" fillId="21" borderId="9" xfId="1" applyNumberFormat="1" applyFont="1" applyFill="1" applyBorder="1" applyAlignment="1">
      <alignment horizontal="center" vertical="center" wrapText="1"/>
    </xf>
    <xf numFmtId="14" fontId="15" fillId="2" borderId="12" xfId="1" applyNumberFormat="1"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20" borderId="9" xfId="0" applyNumberFormat="1" applyFont="1" applyFill="1" applyBorder="1" applyAlignment="1">
      <alignment horizontal="center" vertical="center" wrapText="1"/>
    </xf>
    <xf numFmtId="14" fontId="15" fillId="17" borderId="9" xfId="0" applyNumberFormat="1" applyFont="1" applyFill="1" applyBorder="1" applyAlignment="1">
      <alignment horizontal="center" vertical="center" wrapText="1"/>
    </xf>
    <xf numFmtId="14" fontId="15" fillId="0" borderId="9" xfId="1" applyNumberFormat="1" applyFont="1" applyBorder="1" applyAlignment="1">
      <alignment horizontal="center" vertical="center" wrapText="1"/>
    </xf>
    <xf numFmtId="14" fontId="15" fillId="0" borderId="12" xfId="0" applyNumberFormat="1" applyFont="1" applyBorder="1" applyAlignment="1">
      <alignment horizontal="center" vertical="center" wrapText="1"/>
    </xf>
    <xf numFmtId="14" fontId="15" fillId="0" borderId="9" xfId="0" applyNumberFormat="1" applyFont="1" applyBorder="1" applyAlignment="1">
      <alignment horizontal="center" vertical="center" wrapText="1"/>
    </xf>
    <xf numFmtId="14" fontId="15" fillId="17" borderId="12" xfId="0" applyNumberFormat="1" applyFont="1" applyFill="1" applyBorder="1" applyAlignment="1">
      <alignment horizontal="center" vertical="center" wrapText="1"/>
    </xf>
    <xf numFmtId="14" fontId="15" fillId="19" borderId="9" xfId="0" applyNumberFormat="1" applyFont="1" applyFill="1" applyBorder="1" applyAlignment="1">
      <alignment horizontal="center" vertical="center" wrapText="1"/>
    </xf>
    <xf numFmtId="167" fontId="13" fillId="0" borderId="14" xfId="1" applyFont="1" applyBorder="1" applyAlignment="1">
      <alignment horizontal="center" vertical="center" wrapText="1"/>
    </xf>
    <xf numFmtId="0" fontId="19" fillId="12" borderId="14" xfId="0" applyFont="1" applyFill="1" applyBorder="1" applyAlignment="1">
      <alignment horizontal="center" vertical="center" wrapText="1"/>
    </xf>
    <xf numFmtId="0" fontId="20" fillId="0" borderId="12" xfId="0" applyFont="1" applyBorder="1" applyAlignment="1">
      <alignment horizontal="center" vertical="center" wrapText="1"/>
    </xf>
    <xf numFmtId="14" fontId="19" fillId="0" borderId="12" xfId="0" applyNumberFormat="1" applyFont="1" applyBorder="1" applyAlignment="1">
      <alignment horizontal="left" vertical="center" wrapText="1"/>
    </xf>
    <xf numFmtId="0" fontId="19" fillId="0" borderId="12" xfId="0" applyFont="1" applyBorder="1" applyAlignment="1">
      <alignment horizontal="left" vertical="center" wrapText="1"/>
    </xf>
    <xf numFmtId="0" fontId="20" fillId="0" borderId="12" xfId="0" applyFont="1" applyBorder="1" applyAlignment="1">
      <alignment horizontal="left" vertical="center" wrapText="1"/>
    </xf>
    <xf numFmtId="14" fontId="20" fillId="2" borderId="12" xfId="1" applyNumberFormat="1" applyFont="1" applyFill="1" applyBorder="1" applyAlignment="1">
      <alignment horizontal="center" vertical="center" wrapText="1"/>
    </xf>
    <xf numFmtId="14" fontId="19" fillId="0" borderId="12" xfId="0" applyNumberFormat="1" applyFont="1" applyBorder="1" applyAlignment="1">
      <alignment horizontal="center" vertical="center" wrapText="1"/>
    </xf>
    <xf numFmtId="14" fontId="20" fillId="17" borderId="12" xfId="0" applyNumberFormat="1" applyFont="1" applyFill="1" applyBorder="1" applyAlignment="1">
      <alignment horizontal="center" vertical="center" wrapText="1"/>
    </xf>
    <xf numFmtId="14" fontId="20" fillId="0" borderId="15" xfId="0" applyNumberFormat="1" applyFont="1" applyBorder="1" applyAlignment="1">
      <alignment horizontal="center" vertical="center" wrapText="1"/>
    </xf>
    <xf numFmtId="167" fontId="19" fillId="0" borderId="14" xfId="1" applyFont="1" applyBorder="1" applyAlignment="1">
      <alignment horizontal="center" vertical="center" wrapText="1"/>
    </xf>
    <xf numFmtId="14" fontId="13" fillId="0" borderId="12" xfId="0" applyNumberFormat="1" applyFont="1" applyBorder="1" applyAlignment="1">
      <alignment horizontal="center" vertical="center" wrapText="1"/>
    </xf>
    <xf numFmtId="14" fontId="15" fillId="0" borderId="15" xfId="0" applyNumberFormat="1" applyFont="1" applyBorder="1" applyAlignment="1">
      <alignment horizontal="center" vertical="center" wrapText="1"/>
    </xf>
    <xf numFmtId="0" fontId="21" fillId="12" borderId="14" xfId="0" applyFont="1" applyFill="1" applyBorder="1" applyAlignment="1">
      <alignment horizontal="center" vertical="center" wrapText="1"/>
    </xf>
    <xf numFmtId="0" fontId="22" fillId="0" borderId="12" xfId="0" applyFont="1" applyBorder="1" applyAlignment="1">
      <alignment horizontal="center" vertical="center" wrapText="1"/>
    </xf>
    <xf numFmtId="14" fontId="21" fillId="0" borderId="12" xfId="0" applyNumberFormat="1" applyFont="1" applyBorder="1" applyAlignment="1">
      <alignment horizontal="left" vertical="center" wrapText="1"/>
    </xf>
    <xf numFmtId="0" fontId="21" fillId="0" borderId="12" xfId="0" applyFont="1" applyBorder="1" applyAlignment="1">
      <alignment horizontal="left" vertical="center" wrapText="1"/>
    </xf>
    <xf numFmtId="0" fontId="22" fillId="0" borderId="12" xfId="0" applyFont="1" applyBorder="1" applyAlignment="1">
      <alignment horizontal="left" vertical="center" wrapText="1"/>
    </xf>
    <xf numFmtId="14" fontId="22" fillId="2" borderId="12" xfId="1" applyNumberFormat="1" applyFont="1" applyFill="1" applyBorder="1" applyAlignment="1">
      <alignment horizontal="center" vertical="center" wrapText="1"/>
    </xf>
    <xf numFmtId="14" fontId="21" fillId="0" borderId="12" xfId="0" applyNumberFormat="1" applyFont="1" applyBorder="1" applyAlignment="1">
      <alignment horizontal="center" vertical="center" wrapText="1"/>
    </xf>
    <xf numFmtId="14" fontId="22" fillId="17" borderId="12" xfId="0" applyNumberFormat="1" applyFont="1" applyFill="1" applyBorder="1" applyAlignment="1">
      <alignment horizontal="center" vertical="center" wrapText="1"/>
    </xf>
    <xf numFmtId="14" fontId="22" fillId="0" borderId="15" xfId="0" applyNumberFormat="1" applyFont="1" applyBorder="1" applyAlignment="1">
      <alignment horizontal="center" vertical="center" wrapText="1"/>
    </xf>
    <xf numFmtId="167" fontId="21" fillId="0" borderId="14" xfId="1" applyFont="1" applyBorder="1" applyAlignment="1">
      <alignment horizontal="center" vertical="center" wrapText="1"/>
    </xf>
    <xf numFmtId="0" fontId="24" fillId="0" borderId="12" xfId="0" applyFont="1" applyBorder="1" applyAlignment="1">
      <alignment horizontal="center" vertical="center" wrapText="1"/>
    </xf>
    <xf numFmtId="14" fontId="23" fillId="0" borderId="12" xfId="0" applyNumberFormat="1" applyFont="1" applyBorder="1" applyAlignment="1">
      <alignment horizontal="left" vertical="center" wrapText="1"/>
    </xf>
    <xf numFmtId="0" fontId="23" fillId="0" borderId="12" xfId="0" applyFont="1" applyBorder="1" applyAlignment="1">
      <alignment horizontal="left" vertical="center" wrapText="1"/>
    </xf>
    <xf numFmtId="0" fontId="24" fillId="0" borderId="12" xfId="0" applyFont="1" applyBorder="1" applyAlignment="1">
      <alignment horizontal="left" vertical="center" wrapText="1"/>
    </xf>
    <xf numFmtId="14" fontId="24" fillId="2" borderId="12" xfId="1" applyNumberFormat="1" applyFont="1" applyFill="1" applyBorder="1" applyAlignment="1">
      <alignment horizontal="center" vertical="center" wrapText="1"/>
    </xf>
    <xf numFmtId="14" fontId="23" fillId="0" borderId="12" xfId="0" applyNumberFormat="1" applyFont="1" applyBorder="1" applyAlignment="1">
      <alignment horizontal="center" vertical="center" wrapText="1"/>
    </xf>
    <xf numFmtId="14" fontId="24" fillId="17" borderId="12" xfId="0" applyNumberFormat="1" applyFont="1" applyFill="1" applyBorder="1" applyAlignment="1">
      <alignment horizontal="center" vertical="center" wrapText="1"/>
    </xf>
    <xf numFmtId="14" fontId="24" fillId="0" borderId="15" xfId="0" applyNumberFormat="1" applyFont="1" applyBorder="1" applyAlignment="1">
      <alignment horizontal="center" vertical="center" wrapText="1"/>
    </xf>
    <xf numFmtId="167" fontId="23" fillId="0" borderId="14" xfId="1" applyFont="1" applyBorder="1" applyAlignment="1">
      <alignment horizontal="center" vertical="center" wrapText="1"/>
    </xf>
    <xf numFmtId="0" fontId="17" fillId="22" borderId="13" xfId="0" applyFont="1" applyFill="1" applyBorder="1" applyAlignment="1">
      <alignment horizontal="center" vertical="center" wrapText="1"/>
    </xf>
    <xf numFmtId="0" fontId="13" fillId="8" borderId="13" xfId="0" applyFont="1" applyFill="1" applyBorder="1" applyAlignment="1">
      <alignment horizontal="center" vertical="center" wrapText="1"/>
    </xf>
    <xf numFmtId="0" fontId="13" fillId="12" borderId="13" xfId="0" applyFont="1" applyFill="1" applyBorder="1" applyAlignment="1">
      <alignment horizontal="center" vertical="center" wrapText="1"/>
    </xf>
    <xf numFmtId="0" fontId="23" fillId="12" borderId="14" xfId="0" applyFont="1" applyFill="1" applyBorder="1" applyAlignment="1">
      <alignment horizontal="center" vertical="center" wrapText="1"/>
    </xf>
    <xf numFmtId="0" fontId="23" fillId="0" borderId="14" xfId="1" applyNumberFormat="1" applyFont="1" applyBorder="1" applyAlignment="1">
      <alignment horizontal="center" vertical="center" wrapText="1"/>
    </xf>
    <xf numFmtId="0" fontId="0" fillId="0" borderId="0" xfId="0" applyAlignment="1">
      <alignment horizontal="center" vertical="center" wrapText="1"/>
    </xf>
    <xf numFmtId="0" fontId="17" fillId="22" borderId="9" xfId="0" applyFont="1" applyFill="1" applyBorder="1" applyAlignment="1">
      <alignment horizontal="center" vertical="center" wrapText="1"/>
    </xf>
    <xf numFmtId="0" fontId="15" fillId="2" borderId="9" xfId="1" applyNumberFormat="1" applyFont="1" applyFill="1" applyBorder="1" applyAlignment="1">
      <alignment horizontal="center" vertical="center" wrapText="1"/>
    </xf>
    <xf numFmtId="0" fontId="13" fillId="19" borderId="9"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0" borderId="9" xfId="0" applyFont="1" applyBorder="1" applyAlignment="1">
      <alignment horizontal="center" vertical="center" wrapText="1"/>
    </xf>
    <xf numFmtId="0" fontId="19" fillId="0" borderId="12" xfId="0" applyFont="1" applyBorder="1" applyAlignment="1">
      <alignment horizontal="center" vertical="center" wrapText="1"/>
    </xf>
    <xf numFmtId="0" fontId="21" fillId="0" borderId="12" xfId="0" applyFont="1" applyBorder="1" applyAlignment="1">
      <alignment horizontal="center" vertical="center" wrapText="1"/>
    </xf>
    <xf numFmtId="0" fontId="23" fillId="0" borderId="12" xfId="0" applyFont="1" applyBorder="1" applyAlignment="1">
      <alignment horizontal="center" vertical="center" wrapText="1"/>
    </xf>
    <xf numFmtId="14" fontId="23" fillId="0" borderId="14" xfId="1" applyNumberFormat="1" applyFont="1" applyBorder="1" applyAlignment="1">
      <alignment horizontal="center" vertical="center" wrapText="1"/>
    </xf>
    <xf numFmtId="14" fontId="9" fillId="0" borderId="0" xfId="0" applyNumberFormat="1" applyFont="1" applyAlignment="1">
      <alignment horizontal="center" vertical="center" wrapText="1"/>
    </xf>
    <xf numFmtId="0" fontId="23" fillId="0" borderId="9" xfId="1" applyNumberFormat="1" applyFont="1" applyBorder="1" applyAlignment="1">
      <alignment horizontal="center" vertical="center" wrapText="1"/>
    </xf>
    <xf numFmtId="167" fontId="23" fillId="0" borderId="9" xfId="1" applyFont="1" applyBorder="1" applyAlignment="1">
      <alignment horizontal="center" vertical="center" wrapText="1"/>
    </xf>
    <xf numFmtId="14" fontId="23" fillId="0" borderId="9" xfId="1" applyNumberFormat="1" applyFont="1" applyBorder="1" applyAlignment="1">
      <alignment horizontal="center" vertical="center" wrapText="1"/>
    </xf>
    <xf numFmtId="167" fontId="0" fillId="0" borderId="9" xfId="1" applyFont="1" applyBorder="1" applyAlignment="1">
      <alignment horizontal="center" vertical="center" wrapText="1"/>
    </xf>
    <xf numFmtId="0" fontId="0" fillId="0" borderId="9" xfId="0" applyBorder="1" applyAlignment="1">
      <alignment wrapText="1"/>
    </xf>
    <xf numFmtId="14" fontId="0" fillId="0" borderId="9" xfId="0" applyNumberFormat="1" applyBorder="1" applyAlignment="1">
      <alignment vertical="center" wrapText="1"/>
    </xf>
    <xf numFmtId="0" fontId="0" fillId="0" borderId="9" xfId="0" applyBorder="1" applyAlignment="1">
      <alignment horizontal="center" vertical="center" wrapText="1"/>
    </xf>
    <xf numFmtId="164" fontId="0" fillId="0" borderId="0" xfId="1" applyNumberFormat="1" applyFont="1"/>
    <xf numFmtId="165" fontId="0" fillId="0" borderId="0" xfId="2" applyFont="1" applyAlignment="1">
      <alignment horizontal="center"/>
    </xf>
    <xf numFmtId="164" fontId="4" fillId="2" borderId="0" xfId="1" applyNumberFormat="1" applyFont="1" applyFill="1"/>
    <xf numFmtId="165" fontId="4" fillId="2" borderId="0" xfId="2" applyFont="1" applyFill="1" applyAlignment="1">
      <alignment horizontal="center"/>
    </xf>
    <xf numFmtId="164" fontId="5" fillId="3" borderId="0" xfId="1" applyNumberFormat="1" applyFont="1" applyFill="1"/>
    <xf numFmtId="165" fontId="5" fillId="3" borderId="0" xfId="2" applyFont="1" applyFill="1" applyAlignment="1">
      <alignment horizontal="center"/>
    </xf>
    <xf numFmtId="164" fontId="5" fillId="4" borderId="0" xfId="1" applyNumberFormat="1" applyFont="1" applyFill="1"/>
    <xf numFmtId="165" fontId="5" fillId="4" borderId="0" xfId="2" applyFont="1" applyFill="1" applyAlignment="1">
      <alignment horizontal="center"/>
    </xf>
    <xf numFmtId="166" fontId="0" fillId="0" borderId="0" xfId="0" applyNumberFormat="1"/>
    <xf numFmtId="164" fontId="7" fillId="5" borderId="3" xfId="1" applyNumberFormat="1" applyFont="1" applyFill="1" applyBorder="1"/>
    <xf numFmtId="165" fontId="7" fillId="5" borderId="3" xfId="2" applyFont="1" applyFill="1" applyBorder="1" applyAlignment="1">
      <alignment horizontal="center"/>
    </xf>
    <xf numFmtId="164" fontId="7" fillId="2" borderId="3" xfId="1" applyNumberFormat="1" applyFont="1" applyFill="1" applyBorder="1"/>
    <xf numFmtId="165" fontId="7" fillId="2" borderId="3" xfId="2" applyFont="1" applyFill="1" applyBorder="1" applyAlignment="1">
      <alignment horizontal="center"/>
    </xf>
    <xf numFmtId="164" fontId="5" fillId="4" borderId="4" xfId="1" applyNumberFormat="1" applyFont="1" applyFill="1" applyBorder="1"/>
    <xf numFmtId="164" fontId="5" fillId="3" borderId="5" xfId="1" applyNumberFormat="1" applyFont="1" applyFill="1" applyBorder="1"/>
    <xf numFmtId="164" fontId="5" fillId="4" borderId="5" xfId="1" applyNumberFormat="1" applyFont="1" applyFill="1" applyBorder="1"/>
    <xf numFmtId="164" fontId="0" fillId="0" borderId="0" xfId="0" applyNumberFormat="1" applyAlignment="1">
      <alignment horizontal="left" vertical="center" wrapText="1"/>
    </xf>
    <xf numFmtId="164" fontId="9" fillId="0" borderId="0" xfId="1" applyNumberFormat="1" applyFont="1" applyAlignment="1">
      <alignment vertical="center" wrapText="1"/>
    </xf>
    <xf numFmtId="164" fontId="0" fillId="0" borderId="0" xfId="1" applyNumberFormat="1" applyFont="1" applyAlignment="1">
      <alignment vertical="center" wrapText="1"/>
    </xf>
    <xf numFmtId="164" fontId="18" fillId="0" borderId="0" xfId="0" applyNumberFormat="1" applyFont="1" applyAlignment="1">
      <alignment horizontal="center" vertical="center" wrapText="1"/>
    </xf>
    <xf numFmtId="171" fontId="18" fillId="0" borderId="0" xfId="0" applyNumberFormat="1" applyFont="1" applyAlignment="1">
      <alignment horizontal="center" vertical="center" wrapText="1"/>
    </xf>
    <xf numFmtId="164" fontId="18" fillId="0" borderId="0" xfId="1" applyNumberFormat="1" applyFont="1" applyAlignment="1">
      <alignment vertical="center" wrapText="1"/>
    </xf>
    <xf numFmtId="164" fontId="18" fillId="0" borderId="0" xfId="1" applyNumberFormat="1" applyFont="1" applyAlignment="1">
      <alignment horizontal="center" vertical="center" wrapText="1"/>
    </xf>
    <xf numFmtId="168" fontId="0" fillId="0" borderId="0" xfId="1" applyNumberFormat="1" applyFont="1" applyAlignment="1">
      <alignment vertical="center" wrapText="1"/>
    </xf>
    <xf numFmtId="165" fontId="0" fillId="0" borderId="0" xfId="2" applyFont="1" applyAlignment="1">
      <alignment horizontal="center" vertical="center" wrapText="1"/>
    </xf>
    <xf numFmtId="168" fontId="9" fillId="0" borderId="0" xfId="1" applyNumberFormat="1" applyFont="1" applyAlignment="1">
      <alignment vertical="center" wrapText="1"/>
    </xf>
    <xf numFmtId="164" fontId="17" fillId="22" borderId="9" xfId="1" applyNumberFormat="1" applyFont="1" applyFill="1" applyBorder="1" applyAlignment="1">
      <alignment horizontal="center" vertical="center" wrapText="1"/>
    </xf>
    <xf numFmtId="171" fontId="17" fillId="22" borderId="9" xfId="1" applyNumberFormat="1" applyFont="1" applyFill="1" applyBorder="1" applyAlignment="1">
      <alignment horizontal="center" vertical="center" wrapText="1"/>
    </xf>
    <xf numFmtId="165" fontId="17" fillId="22" borderId="11" xfId="2" applyFont="1" applyFill="1" applyBorder="1" applyAlignment="1">
      <alignment horizontal="center" vertical="center" wrapText="1"/>
    </xf>
    <xf numFmtId="168" fontId="17" fillId="22" borderId="9" xfId="1" applyNumberFormat="1" applyFont="1" applyFill="1" applyBorder="1" applyAlignment="1">
      <alignment horizontal="center" vertical="center" wrapText="1"/>
    </xf>
    <xf numFmtId="164" fontId="15" fillId="2" borderId="9" xfId="1" applyNumberFormat="1" applyFont="1" applyFill="1" applyBorder="1" applyAlignment="1">
      <alignment horizontal="right" vertical="center" wrapText="1"/>
    </xf>
    <xf numFmtId="164" fontId="15" fillId="0" borderId="9" xfId="0" applyNumberFormat="1" applyFont="1" applyBorder="1" applyAlignment="1">
      <alignment horizontal="right" vertical="center" wrapText="1"/>
    </xf>
    <xf numFmtId="171" fontId="15" fillId="0" borderId="9" xfId="0" applyNumberFormat="1" applyFont="1" applyBorder="1" applyAlignment="1">
      <alignment horizontal="right" vertical="center" wrapText="1"/>
    </xf>
    <xf numFmtId="170" fontId="13" fillId="0" borderId="0" xfId="0" applyNumberFormat="1" applyFont="1" applyAlignment="1">
      <alignment horizontal="right" vertical="center" wrapText="1"/>
    </xf>
    <xf numFmtId="170" fontId="13" fillId="0" borderId="0" xfId="1" applyNumberFormat="1" applyFont="1" applyAlignment="1">
      <alignment horizontal="right" vertical="center" wrapText="1"/>
    </xf>
    <xf numFmtId="170" fontId="13" fillId="0" borderId="0" xfId="2" applyNumberFormat="1" applyFont="1" applyAlignment="1">
      <alignment horizontal="right" vertical="center" wrapText="1"/>
    </xf>
    <xf numFmtId="169" fontId="13" fillId="9" borderId="9" xfId="0" applyNumberFormat="1" applyFont="1" applyFill="1" applyBorder="1" applyAlignment="1">
      <alignment horizontal="left" vertical="center" wrapText="1"/>
    </xf>
    <xf numFmtId="168" fontId="11" fillId="0" borderId="0" xfId="1" applyNumberFormat="1" applyFont="1" applyAlignment="1">
      <alignment horizontal="center" vertical="center" wrapText="1"/>
    </xf>
    <xf numFmtId="168" fontId="10" fillId="0" borderId="0" xfId="1" applyNumberFormat="1" applyFont="1" applyAlignment="1">
      <alignment horizontal="center" vertical="center" wrapText="1"/>
    </xf>
    <xf numFmtId="169" fontId="13" fillId="10" borderId="9" xfId="0" applyNumberFormat="1" applyFont="1" applyFill="1" applyBorder="1" applyAlignment="1">
      <alignment horizontal="left" vertical="center" wrapText="1"/>
    </xf>
    <xf numFmtId="168" fontId="11" fillId="0" borderId="0" xfId="1" applyNumberFormat="1" applyFont="1" applyAlignment="1">
      <alignment vertical="center" wrapText="1"/>
    </xf>
    <xf numFmtId="168" fontId="10" fillId="0" borderId="0" xfId="1" applyNumberFormat="1" applyFont="1" applyAlignment="1">
      <alignment vertical="center" wrapText="1"/>
    </xf>
    <xf numFmtId="164" fontId="13" fillId="0" borderId="9" xfId="0" applyNumberFormat="1" applyFont="1" applyBorder="1" applyAlignment="1">
      <alignment horizontal="right" vertical="center" wrapText="1"/>
    </xf>
    <xf numFmtId="164" fontId="15" fillId="0" borderId="9" xfId="1" applyNumberFormat="1" applyFont="1" applyBorder="1" applyAlignment="1">
      <alignment horizontal="right" vertical="center" wrapText="1"/>
    </xf>
    <xf numFmtId="171" fontId="15" fillId="2" borderId="9" xfId="1" applyNumberFormat="1" applyFont="1" applyFill="1" applyBorder="1" applyAlignment="1">
      <alignment horizontal="right" vertical="center" wrapText="1"/>
    </xf>
    <xf numFmtId="169" fontId="13" fillId="2" borderId="9" xfId="0" applyNumberFormat="1" applyFont="1" applyFill="1" applyBorder="1" applyAlignment="1">
      <alignment horizontal="left" vertical="center" wrapText="1"/>
    </xf>
    <xf numFmtId="164" fontId="15" fillId="12" borderId="9" xfId="0" applyNumberFormat="1" applyFont="1" applyFill="1" applyBorder="1" applyAlignment="1">
      <alignment horizontal="right" vertical="center" wrapText="1"/>
    </xf>
    <xf numFmtId="164" fontId="13" fillId="19" borderId="9" xfId="0" applyNumberFormat="1" applyFont="1" applyFill="1" applyBorder="1" applyAlignment="1">
      <alignment horizontal="right" vertical="center" wrapText="1"/>
    </xf>
    <xf numFmtId="164" fontId="15" fillId="19" borderId="9" xfId="0" applyNumberFormat="1" applyFont="1" applyFill="1" applyBorder="1" applyAlignment="1">
      <alignment horizontal="right" vertical="center" wrapText="1"/>
    </xf>
    <xf numFmtId="171" fontId="15" fillId="19" borderId="9" xfId="0" applyNumberFormat="1" applyFont="1" applyFill="1" applyBorder="1" applyAlignment="1">
      <alignment horizontal="right" vertical="center" wrapText="1"/>
    </xf>
    <xf numFmtId="169" fontId="13" fillId="20" borderId="9" xfId="0" applyNumberFormat="1" applyFont="1" applyFill="1" applyBorder="1" applyAlignment="1">
      <alignment horizontal="left" vertical="center" wrapText="1"/>
    </xf>
    <xf numFmtId="168" fontId="9" fillId="19" borderId="0" xfId="1" applyNumberFormat="1" applyFont="1" applyFill="1" applyAlignment="1">
      <alignment vertical="center" wrapText="1"/>
    </xf>
    <xf numFmtId="168" fontId="0" fillId="19" borderId="0" xfId="1" applyNumberFormat="1" applyFont="1" applyFill="1" applyAlignment="1">
      <alignment vertical="center" wrapText="1"/>
    </xf>
    <xf numFmtId="171" fontId="15" fillId="0" borderId="9" xfId="1" applyNumberFormat="1" applyFont="1" applyBorder="1" applyAlignment="1">
      <alignment horizontal="right" vertical="center" wrapText="1"/>
    </xf>
    <xf numFmtId="169" fontId="13" fillId="13" borderId="9" xfId="0" applyNumberFormat="1" applyFont="1" applyFill="1" applyBorder="1" applyAlignment="1">
      <alignment horizontal="left" vertical="center" wrapText="1"/>
    </xf>
    <xf numFmtId="169" fontId="13" fillId="0" borderId="9" xfId="0" applyNumberFormat="1" applyFont="1" applyBorder="1" applyAlignment="1">
      <alignment horizontal="left" vertical="center" wrapText="1"/>
    </xf>
    <xf numFmtId="164" fontId="15" fillId="9" borderId="9" xfId="0" applyNumberFormat="1" applyFont="1" applyFill="1" applyBorder="1" applyAlignment="1">
      <alignment horizontal="right" vertical="center" wrapText="1"/>
    </xf>
    <xf numFmtId="164" fontId="15" fillId="0" borderId="12" xfId="0" applyNumberFormat="1" applyFont="1" applyBorder="1" applyAlignment="1">
      <alignment horizontal="right" vertical="center" wrapText="1"/>
    </xf>
    <xf numFmtId="164" fontId="15" fillId="2" borderId="9" xfId="0" applyNumberFormat="1" applyFont="1" applyFill="1" applyBorder="1" applyAlignment="1">
      <alignment horizontal="right" vertical="center" wrapText="1"/>
    </xf>
    <xf numFmtId="171" fontId="15" fillId="2" borderId="9" xfId="0" applyNumberFormat="1" applyFont="1" applyFill="1" applyBorder="1" applyAlignment="1">
      <alignment horizontal="right" vertical="center" wrapText="1"/>
    </xf>
    <xf numFmtId="169" fontId="13" fillId="10" borderId="9" xfId="0" applyNumberFormat="1" applyFont="1" applyFill="1" applyBorder="1" applyAlignment="1">
      <alignment horizontal="center" vertical="center" wrapText="1"/>
    </xf>
    <xf numFmtId="168" fontId="15" fillId="0" borderId="0" xfId="1" applyNumberFormat="1" applyFont="1" applyAlignment="1">
      <alignment vertical="center" wrapText="1"/>
    </xf>
    <xf numFmtId="169" fontId="13" fillId="10" borderId="0" xfId="0" applyNumberFormat="1" applyFont="1" applyFill="1" applyAlignment="1">
      <alignment horizontal="left" vertical="center" wrapText="1"/>
    </xf>
    <xf numFmtId="164" fontId="13" fillId="0" borderId="12" xfId="0" applyNumberFormat="1" applyFont="1" applyBorder="1" applyAlignment="1">
      <alignment horizontal="right" vertical="center" wrapText="1"/>
    </xf>
    <xf numFmtId="171" fontId="15" fillId="0" borderId="12" xfId="0" applyNumberFormat="1" applyFont="1" applyBorder="1" applyAlignment="1">
      <alignment horizontal="right" vertical="center" wrapText="1"/>
    </xf>
    <xf numFmtId="169" fontId="13" fillId="10" borderId="12" xfId="0" applyNumberFormat="1" applyFont="1" applyFill="1" applyBorder="1" applyAlignment="1">
      <alignment horizontal="center" vertical="center" wrapText="1"/>
    </xf>
    <xf numFmtId="168" fontId="15" fillId="0" borderId="9" xfId="1" applyNumberFormat="1" applyFont="1" applyBorder="1" applyAlignment="1">
      <alignment vertical="center" wrapText="1"/>
    </xf>
    <xf numFmtId="170" fontId="13" fillId="0" borderId="9" xfId="1" applyNumberFormat="1" applyFont="1" applyBorder="1" applyAlignment="1">
      <alignment horizontal="right" vertical="center" wrapText="1"/>
    </xf>
    <xf numFmtId="170" fontId="13" fillId="0" borderId="9" xfId="0" applyNumberFormat="1" applyFont="1" applyBorder="1" applyAlignment="1">
      <alignment horizontal="right" vertical="center" wrapText="1"/>
    </xf>
    <xf numFmtId="164" fontId="15" fillId="16" borderId="9" xfId="1" applyNumberFormat="1" applyFont="1" applyFill="1" applyBorder="1" applyAlignment="1">
      <alignment horizontal="right" vertical="center" wrapText="1"/>
    </xf>
    <xf numFmtId="169" fontId="13" fillId="0" borderId="9" xfId="0" applyNumberFormat="1" applyFont="1" applyBorder="1" applyAlignment="1">
      <alignment horizontal="center" vertical="center" wrapText="1"/>
    </xf>
    <xf numFmtId="164" fontId="15" fillId="0" borderId="12" xfId="1" applyNumberFormat="1" applyFont="1" applyBorder="1" applyAlignment="1">
      <alignment horizontal="right" vertical="center" wrapText="1"/>
    </xf>
    <xf numFmtId="168" fontId="15" fillId="0" borderId="12" xfId="1" applyNumberFormat="1" applyFont="1" applyBorder="1" applyAlignment="1">
      <alignment vertical="center" wrapText="1"/>
    </xf>
    <xf numFmtId="170" fontId="13" fillId="0" borderId="12" xfId="1" applyNumberFormat="1" applyFont="1" applyBorder="1" applyAlignment="1">
      <alignment horizontal="right" vertical="center" wrapText="1"/>
    </xf>
    <xf numFmtId="170" fontId="13" fillId="0" borderId="12" xfId="0" applyNumberFormat="1" applyFont="1" applyBorder="1" applyAlignment="1">
      <alignment horizontal="right" vertical="center" wrapText="1"/>
    </xf>
    <xf numFmtId="169" fontId="13" fillId="10" borderId="12" xfId="0" applyNumberFormat="1" applyFont="1" applyFill="1" applyBorder="1" applyAlignment="1">
      <alignment horizontal="left" vertical="center" wrapText="1"/>
    </xf>
    <xf numFmtId="164" fontId="15" fillId="2" borderId="12" xfId="1" applyNumberFormat="1" applyFont="1" applyFill="1" applyBorder="1" applyAlignment="1">
      <alignment horizontal="right" vertical="center" wrapText="1"/>
    </xf>
    <xf numFmtId="164" fontId="15" fillId="0" borderId="15" xfId="0" applyNumberFormat="1" applyFont="1" applyBorder="1" applyAlignment="1">
      <alignment horizontal="right" vertical="center" wrapText="1"/>
    </xf>
    <xf numFmtId="164" fontId="20" fillId="2" borderId="12" xfId="1" applyNumberFormat="1" applyFont="1" applyFill="1" applyBorder="1" applyAlignment="1">
      <alignment horizontal="right" vertical="center" wrapText="1"/>
    </xf>
    <xf numFmtId="164" fontId="20" fillId="0" borderId="15" xfId="0" applyNumberFormat="1" applyFont="1" applyBorder="1" applyAlignment="1">
      <alignment horizontal="right" vertical="center" wrapText="1"/>
    </xf>
    <xf numFmtId="171" fontId="20" fillId="0" borderId="16" xfId="0" applyNumberFormat="1" applyFont="1" applyBorder="1" applyAlignment="1">
      <alignment horizontal="right" vertical="center" wrapText="1"/>
    </xf>
    <xf numFmtId="164" fontId="20" fillId="0" borderId="16" xfId="0" applyNumberFormat="1" applyFont="1" applyBorder="1" applyAlignment="1">
      <alignment horizontal="right" vertical="center" wrapText="1"/>
    </xf>
    <xf numFmtId="164" fontId="20" fillId="0" borderId="16" xfId="1" applyNumberFormat="1" applyFont="1" applyBorder="1" applyAlignment="1">
      <alignment horizontal="right" vertical="center" wrapText="1"/>
    </xf>
    <xf numFmtId="164" fontId="20" fillId="0" borderId="14" xfId="1" applyNumberFormat="1" applyFont="1" applyBorder="1" applyAlignment="1">
      <alignment horizontal="right" vertical="center" wrapText="1"/>
    </xf>
    <xf numFmtId="169" fontId="19" fillId="10" borderId="12" xfId="1" applyNumberFormat="1" applyFont="1" applyFill="1" applyBorder="1" applyAlignment="1">
      <alignment horizontal="center" vertical="center" wrapText="1"/>
    </xf>
    <xf numFmtId="168" fontId="20" fillId="0" borderId="12" xfId="1" applyNumberFormat="1" applyFont="1" applyBorder="1" applyAlignment="1">
      <alignment vertical="center" wrapText="1"/>
    </xf>
    <xf numFmtId="170" fontId="19" fillId="0" borderId="12" xfId="1" applyNumberFormat="1" applyFont="1" applyBorder="1" applyAlignment="1">
      <alignment horizontal="right" vertical="center" wrapText="1"/>
    </xf>
    <xf numFmtId="170" fontId="19" fillId="0" borderId="12" xfId="2" applyNumberFormat="1" applyFont="1" applyBorder="1" applyAlignment="1">
      <alignment horizontal="right" vertical="center" wrapText="1"/>
    </xf>
    <xf numFmtId="169" fontId="19" fillId="10" borderId="12" xfId="0" applyNumberFormat="1" applyFont="1" applyFill="1" applyBorder="1" applyAlignment="1">
      <alignment horizontal="left" vertical="center" wrapText="1"/>
    </xf>
    <xf numFmtId="168" fontId="9" fillId="0" borderId="9" xfId="1" applyNumberFormat="1" applyFont="1" applyBorder="1" applyAlignment="1">
      <alignment vertical="center" wrapText="1"/>
    </xf>
    <xf numFmtId="168" fontId="0" fillId="0" borderId="9" xfId="1" applyNumberFormat="1" applyFont="1" applyBorder="1" applyAlignment="1">
      <alignment vertical="center" wrapText="1"/>
    </xf>
    <xf numFmtId="171" fontId="15" fillId="0" borderId="16" xfId="0" applyNumberFormat="1" applyFont="1" applyBorder="1" applyAlignment="1">
      <alignment horizontal="right" vertical="center" wrapText="1"/>
    </xf>
    <xf numFmtId="164" fontId="15" fillId="0" borderId="16" xfId="0" applyNumberFormat="1" applyFont="1" applyBorder="1" applyAlignment="1">
      <alignment horizontal="right" vertical="center" wrapText="1"/>
    </xf>
    <xf numFmtId="164" fontId="15" fillId="0" borderId="16" xfId="1" applyNumberFormat="1" applyFont="1" applyBorder="1" applyAlignment="1">
      <alignment horizontal="right" vertical="center" wrapText="1"/>
    </xf>
    <xf numFmtId="164" fontId="15" fillId="0" borderId="14" xfId="1" applyNumberFormat="1" applyFont="1" applyBorder="1" applyAlignment="1">
      <alignment horizontal="right" vertical="center" wrapText="1"/>
    </xf>
    <xf numFmtId="169" fontId="13" fillId="10" borderId="12" xfId="1" applyNumberFormat="1" applyFont="1" applyFill="1" applyBorder="1" applyAlignment="1">
      <alignment horizontal="center" vertical="center" wrapText="1"/>
    </xf>
    <xf numFmtId="170" fontId="13" fillId="0" borderId="12" xfId="2" applyNumberFormat="1" applyFont="1" applyBorder="1" applyAlignment="1">
      <alignment horizontal="right" vertical="center" wrapText="1"/>
    </xf>
    <xf numFmtId="164" fontId="20" fillId="0" borderId="12" xfId="1" applyNumberFormat="1" applyFont="1" applyBorder="1" applyAlignment="1">
      <alignment horizontal="right" vertical="center" wrapText="1"/>
    </xf>
    <xf numFmtId="164" fontId="22" fillId="2" borderId="12" xfId="1" applyNumberFormat="1" applyFont="1" applyFill="1" applyBorder="1" applyAlignment="1">
      <alignment horizontal="right" vertical="center" wrapText="1"/>
    </xf>
    <xf numFmtId="164" fontId="22" fillId="0" borderId="15" xfId="0" applyNumberFormat="1" applyFont="1" applyBorder="1" applyAlignment="1">
      <alignment horizontal="right" vertical="center" wrapText="1"/>
    </xf>
    <xf numFmtId="171" fontId="22" fillId="0" borderId="16" xfId="0" applyNumberFormat="1" applyFont="1" applyBorder="1" applyAlignment="1">
      <alignment horizontal="right" vertical="center" wrapText="1"/>
    </xf>
    <xf numFmtId="164" fontId="22" fillId="0" borderId="16" xfId="0" applyNumberFormat="1" applyFont="1" applyBorder="1" applyAlignment="1">
      <alignment horizontal="right" vertical="center" wrapText="1"/>
    </xf>
    <xf numFmtId="164" fontId="22" fillId="0" borderId="16" xfId="1" applyNumberFormat="1" applyFont="1" applyBorder="1" applyAlignment="1">
      <alignment horizontal="right" vertical="center" wrapText="1"/>
    </xf>
    <xf numFmtId="164" fontId="22" fillId="0" borderId="14" xfId="1" applyNumberFormat="1" applyFont="1" applyBorder="1" applyAlignment="1">
      <alignment horizontal="right" vertical="center" wrapText="1"/>
    </xf>
    <xf numFmtId="169" fontId="21" fillId="10" borderId="12" xfId="1" applyNumberFormat="1" applyFont="1" applyFill="1" applyBorder="1" applyAlignment="1">
      <alignment horizontal="center" vertical="center" wrapText="1"/>
    </xf>
    <xf numFmtId="168" fontId="22" fillId="0" borderId="12" xfId="1" applyNumberFormat="1" applyFont="1" applyBorder="1" applyAlignment="1">
      <alignment vertical="center" wrapText="1"/>
    </xf>
    <xf numFmtId="170" fontId="21" fillId="0" borderId="12" xfId="1" applyNumberFormat="1" applyFont="1" applyBorder="1" applyAlignment="1">
      <alignment horizontal="right" vertical="center" wrapText="1"/>
    </xf>
    <xf numFmtId="170" fontId="21" fillId="0" borderId="12" xfId="2" applyNumberFormat="1" applyFont="1" applyBorder="1" applyAlignment="1">
      <alignment horizontal="right" vertical="center" wrapText="1"/>
    </xf>
    <xf numFmtId="169" fontId="21" fillId="10" borderId="12" xfId="0" applyNumberFormat="1" applyFont="1" applyFill="1" applyBorder="1" applyAlignment="1">
      <alignment horizontal="left" vertical="center" wrapText="1"/>
    </xf>
    <xf numFmtId="164" fontId="24" fillId="2" borderId="12" xfId="1" applyNumberFormat="1" applyFont="1" applyFill="1" applyBorder="1" applyAlignment="1">
      <alignment horizontal="right" vertical="center" wrapText="1"/>
    </xf>
    <xf numFmtId="164" fontId="24" fillId="0" borderId="15" xfId="0" applyNumberFormat="1" applyFont="1" applyBorder="1" applyAlignment="1">
      <alignment horizontal="right" vertical="center" wrapText="1"/>
    </xf>
    <xf numFmtId="171" fontId="24" fillId="0" borderId="16" xfId="0" applyNumberFormat="1" applyFont="1" applyBorder="1" applyAlignment="1">
      <alignment horizontal="right" vertical="center" wrapText="1"/>
    </xf>
    <xf numFmtId="164" fontId="24" fillId="0" borderId="16" xfId="0" applyNumberFormat="1" applyFont="1" applyBorder="1" applyAlignment="1">
      <alignment horizontal="right" vertical="center" wrapText="1"/>
    </xf>
    <xf numFmtId="164" fontId="24" fillId="0" borderId="16" xfId="1" applyNumberFormat="1" applyFont="1" applyBorder="1" applyAlignment="1">
      <alignment horizontal="right" vertical="center" wrapText="1"/>
    </xf>
    <xf numFmtId="164" fontId="24" fillId="0" borderId="14" xfId="1" applyNumberFormat="1" applyFont="1" applyBorder="1" applyAlignment="1">
      <alignment horizontal="right" vertical="center" wrapText="1"/>
    </xf>
    <xf numFmtId="169" fontId="23" fillId="10" borderId="12" xfId="1" applyNumberFormat="1" applyFont="1" applyFill="1" applyBorder="1" applyAlignment="1">
      <alignment horizontal="center" vertical="center" wrapText="1"/>
    </xf>
    <xf numFmtId="168" fontId="24" fillId="0" borderId="12" xfId="1" applyNumberFormat="1" applyFont="1" applyBorder="1" applyAlignment="1">
      <alignment vertical="center" wrapText="1"/>
    </xf>
    <xf numFmtId="170" fontId="23" fillId="0" borderId="12" xfId="1" applyNumberFormat="1" applyFont="1" applyBorder="1" applyAlignment="1">
      <alignment horizontal="right" vertical="center" wrapText="1"/>
    </xf>
    <xf numFmtId="170" fontId="23" fillId="0" borderId="12" xfId="2" applyNumberFormat="1" applyFont="1" applyBorder="1" applyAlignment="1">
      <alignment horizontal="right" vertical="center" wrapText="1"/>
    </xf>
    <xf numFmtId="169" fontId="23" fillId="10" borderId="12" xfId="0" applyNumberFormat="1" applyFont="1" applyFill="1" applyBorder="1" applyAlignment="1">
      <alignment horizontal="left" vertical="center" wrapText="1"/>
    </xf>
    <xf numFmtId="164" fontId="24" fillId="0" borderId="9" xfId="0" applyNumberFormat="1" applyFont="1" applyBorder="1" applyAlignment="1">
      <alignment horizontal="right" vertical="center" wrapText="1"/>
    </xf>
    <xf numFmtId="164" fontId="24" fillId="0" borderId="9" xfId="1" applyNumberFormat="1" applyFont="1" applyBorder="1" applyAlignment="1">
      <alignment horizontal="right" vertical="center" wrapText="1"/>
    </xf>
    <xf numFmtId="165" fontId="0" fillId="0" borderId="9" xfId="2" applyFont="1" applyBorder="1" applyAlignment="1">
      <alignment horizontal="center" vertical="center" wrapText="1"/>
    </xf>
    <xf numFmtId="43" fontId="23" fillId="0" borderId="9" xfId="1" applyNumberFormat="1" applyFont="1" applyBorder="1" applyAlignment="1">
      <alignment horizontal="center" vertical="center" wrapText="1"/>
    </xf>
    <xf numFmtId="164" fontId="11" fillId="0" borderId="0" xfId="1" applyNumberFormat="1" applyFont="1" applyAlignment="1">
      <alignment horizontal="center" vertical="center" wrapText="1"/>
    </xf>
    <xf numFmtId="0" fontId="25" fillId="12" borderId="14" xfId="1" applyNumberFormat="1" applyFont="1" applyFill="1" applyBorder="1" applyAlignment="1" applyProtection="1">
      <alignment horizontal="center" vertical="center" wrapText="1"/>
    </xf>
    <xf numFmtId="167" fontId="26" fillId="0" borderId="12" xfId="1" applyFont="1" applyBorder="1" applyAlignment="1" applyProtection="1">
      <alignment horizontal="center" vertical="center" wrapText="1"/>
    </xf>
    <xf numFmtId="14" fontId="25" fillId="0" borderId="12" xfId="1" applyNumberFormat="1" applyFont="1" applyBorder="1" applyAlignment="1" applyProtection="1">
      <alignment horizontal="left" vertical="center" wrapText="1"/>
    </xf>
    <xf numFmtId="167" fontId="25" fillId="0" borderId="12" xfId="1" applyFont="1" applyBorder="1" applyAlignment="1" applyProtection="1">
      <alignment horizontal="center" vertical="center" wrapText="1"/>
    </xf>
    <xf numFmtId="0" fontId="25" fillId="0" borderId="12" xfId="1" applyNumberFormat="1" applyFont="1" applyBorder="1" applyAlignment="1" applyProtection="1">
      <alignment horizontal="center" vertical="center" wrapText="1"/>
    </xf>
    <xf numFmtId="167" fontId="25" fillId="0" borderId="12" xfId="1" applyFont="1" applyBorder="1" applyAlignment="1" applyProtection="1">
      <alignment horizontal="left" vertical="center" wrapText="1"/>
    </xf>
    <xf numFmtId="167" fontId="25" fillId="23" borderId="12" xfId="1" applyFont="1" applyFill="1" applyBorder="1" applyAlignment="1" applyProtection="1">
      <alignment horizontal="center" vertical="center" wrapText="1"/>
    </xf>
    <xf numFmtId="167" fontId="26" fillId="0" borderId="12" xfId="1" applyFont="1" applyBorder="1" applyAlignment="1" applyProtection="1">
      <alignment horizontal="left" vertical="center" wrapText="1"/>
    </xf>
    <xf numFmtId="164" fontId="26" fillId="2" borderId="12" xfId="1" applyNumberFormat="1" applyFont="1" applyFill="1" applyBorder="1" applyAlignment="1" applyProtection="1">
      <alignment horizontal="right" vertical="center" wrapText="1"/>
    </xf>
    <xf numFmtId="14" fontId="26" fillId="2" borderId="12" xfId="1" applyNumberFormat="1" applyFont="1" applyFill="1" applyBorder="1" applyAlignment="1" applyProtection="1">
      <alignment horizontal="center" vertical="center" wrapText="1"/>
    </xf>
    <xf numFmtId="14" fontId="26" fillId="17" borderId="12" xfId="1" applyNumberFormat="1" applyFont="1" applyFill="1" applyBorder="1" applyAlignment="1" applyProtection="1">
      <alignment horizontal="center" vertical="center" wrapText="1"/>
    </xf>
    <xf numFmtId="14" fontId="26" fillId="0" borderId="15" xfId="1" applyNumberFormat="1" applyFont="1" applyBorder="1" applyAlignment="1" applyProtection="1">
      <alignment horizontal="center" vertical="center" wrapText="1"/>
    </xf>
    <xf numFmtId="164" fontId="26" fillId="23" borderId="15" xfId="1" applyNumberFormat="1" applyFont="1" applyFill="1" applyBorder="1" applyAlignment="1" applyProtection="1">
      <alignment horizontal="right" vertical="center" wrapText="1"/>
    </xf>
    <xf numFmtId="171" fontId="26" fillId="23" borderId="16" xfId="1" applyNumberFormat="1" applyFont="1" applyFill="1" applyBorder="1" applyAlignment="1" applyProtection="1">
      <alignment horizontal="right" vertical="center" wrapText="1"/>
    </xf>
    <xf numFmtId="164" fontId="26" fillId="23" borderId="16" xfId="1" applyNumberFormat="1" applyFont="1" applyFill="1" applyBorder="1" applyAlignment="1" applyProtection="1">
      <alignment horizontal="right" vertical="center" wrapText="1"/>
    </xf>
    <xf numFmtId="164" fontId="26" fillId="23" borderId="14" xfId="1" applyNumberFormat="1" applyFont="1" applyFill="1" applyBorder="1" applyAlignment="1" applyProtection="1">
      <alignment horizontal="right" vertical="center" wrapText="1"/>
    </xf>
    <xf numFmtId="167" fontId="25" fillId="0" borderId="14" xfId="1" applyFont="1" applyFill="1" applyBorder="1" applyAlignment="1" applyProtection="1">
      <alignment horizontal="center" vertical="center" wrapText="1"/>
    </xf>
    <xf numFmtId="169" fontId="25" fillId="10" borderId="12" xfId="1" applyNumberFormat="1" applyFont="1" applyFill="1" applyBorder="1" applyAlignment="1" applyProtection="1">
      <alignment horizontal="center" vertical="center" wrapText="1"/>
    </xf>
    <xf numFmtId="168" fontId="26" fillId="0" borderId="12" xfId="1" applyNumberFormat="1" applyFont="1" applyFill="1" applyBorder="1" applyAlignment="1" applyProtection="1">
      <alignment vertical="center" wrapText="1"/>
    </xf>
    <xf numFmtId="170" fontId="25" fillId="0" borderId="12" xfId="1" applyNumberFormat="1" applyFont="1" applyFill="1" applyBorder="1" applyAlignment="1" applyProtection="1">
      <alignment horizontal="right" vertical="center" wrapText="1"/>
    </xf>
    <xf numFmtId="170" fontId="25" fillId="0" borderId="12" xfId="2" applyNumberFormat="1" applyFont="1" applyBorder="1" applyAlignment="1" applyProtection="1">
      <alignment horizontal="right" vertical="center" wrapText="1"/>
    </xf>
    <xf numFmtId="169" fontId="25" fillId="10" borderId="12" xfId="0" applyNumberFormat="1" applyFont="1" applyFill="1" applyBorder="1" applyAlignment="1" applyProtection="1">
      <alignment horizontal="left" vertical="center" wrapText="1"/>
    </xf>
    <xf numFmtId="164" fontId="24" fillId="0" borderId="12" xfId="0" applyNumberFormat="1" applyFont="1" applyBorder="1" applyAlignment="1">
      <alignment horizontal="right" vertical="center" wrapText="1"/>
    </xf>
    <xf numFmtId="164" fontId="24" fillId="0" borderId="12" xfId="1" applyNumberFormat="1" applyFont="1" applyBorder="1" applyAlignment="1">
      <alignment horizontal="right" vertical="center" wrapText="1"/>
    </xf>
    <xf numFmtId="0" fontId="23" fillId="12" borderId="9" xfId="0" applyFont="1" applyFill="1" applyBorder="1" applyAlignment="1">
      <alignment horizontal="center" vertical="center" wrapText="1"/>
    </xf>
    <xf numFmtId="0" fontId="24" fillId="0" borderId="9" xfId="0" applyFont="1" applyBorder="1" applyAlignment="1">
      <alignment horizontal="center" vertical="center" wrapText="1"/>
    </xf>
    <xf numFmtId="0" fontId="23" fillId="0" borderId="9" xfId="0" applyFont="1" applyBorder="1" applyAlignment="1">
      <alignment horizontal="center" vertical="center" wrapText="1"/>
    </xf>
    <xf numFmtId="14" fontId="23" fillId="0" borderId="9" xfId="0" applyNumberFormat="1" applyFont="1" applyBorder="1" applyAlignment="1">
      <alignment horizontal="left" vertical="center" wrapText="1"/>
    </xf>
    <xf numFmtId="164" fontId="24" fillId="2" borderId="9" xfId="1" applyNumberFormat="1" applyFont="1" applyFill="1" applyBorder="1" applyAlignment="1">
      <alignment horizontal="right" vertical="center" wrapText="1"/>
    </xf>
    <xf numFmtId="14" fontId="24" fillId="2" borderId="9" xfId="1" applyNumberFormat="1" applyFont="1" applyFill="1" applyBorder="1" applyAlignment="1">
      <alignment horizontal="center" vertical="center" wrapText="1"/>
    </xf>
    <xf numFmtId="14" fontId="23" fillId="0" borderId="9" xfId="0" applyNumberFormat="1" applyFont="1" applyBorder="1" applyAlignment="1">
      <alignment horizontal="center" vertical="center" wrapText="1"/>
    </xf>
    <xf numFmtId="14" fontId="24" fillId="17" borderId="9" xfId="0" applyNumberFormat="1" applyFont="1" applyFill="1" applyBorder="1" applyAlignment="1">
      <alignment horizontal="center" vertical="center" wrapText="1"/>
    </xf>
    <xf numFmtId="14" fontId="24" fillId="0" borderId="9" xfId="0" applyNumberFormat="1" applyFont="1" applyBorder="1" applyAlignment="1">
      <alignment horizontal="center" vertical="center" wrapText="1"/>
    </xf>
    <xf numFmtId="171" fontId="24" fillId="0" borderId="9" xfId="0" applyNumberFormat="1" applyFont="1" applyBorder="1" applyAlignment="1">
      <alignment horizontal="right" vertical="center" wrapText="1"/>
    </xf>
    <xf numFmtId="169" fontId="23" fillId="10" borderId="9" xfId="1" applyNumberFormat="1" applyFont="1" applyFill="1" applyBorder="1" applyAlignment="1">
      <alignment horizontal="center" vertical="center" wrapText="1"/>
    </xf>
    <xf numFmtId="168" fontId="24" fillId="0" borderId="9" xfId="1" applyNumberFormat="1" applyFont="1" applyBorder="1" applyAlignment="1">
      <alignment vertical="center" wrapText="1"/>
    </xf>
    <xf numFmtId="170" fontId="23" fillId="0" borderId="9" xfId="1" applyNumberFormat="1" applyFont="1" applyBorder="1" applyAlignment="1">
      <alignment horizontal="right" vertical="center" wrapText="1"/>
    </xf>
    <xf numFmtId="170" fontId="23" fillId="0" borderId="9" xfId="2" applyNumberFormat="1" applyFont="1" applyBorder="1" applyAlignment="1">
      <alignment horizontal="right" vertical="center" wrapText="1"/>
    </xf>
    <xf numFmtId="169" fontId="23" fillId="10" borderId="9" xfId="0" applyNumberFormat="1" applyFont="1" applyFill="1" applyBorder="1" applyAlignment="1">
      <alignment horizontal="left" vertical="center" wrapText="1"/>
    </xf>
    <xf numFmtId="168" fontId="8" fillId="7" borderId="6" xfId="1" applyNumberFormat="1" applyFont="1" applyFill="1" applyBorder="1" applyAlignment="1">
      <alignment horizontal="left" vertical="center" wrapText="1"/>
    </xf>
    <xf numFmtId="164" fontId="0" fillId="0" borderId="0" xfId="1" applyNumberFormat="1" applyFont="1"/>
    <xf numFmtId="165" fontId="0" fillId="0" borderId="0" xfId="2" applyFont="1" applyAlignment="1">
      <alignment horizontal="center"/>
    </xf>
  </cellXfs>
  <cellStyles count="16">
    <cellStyle name="Lien hypertexte 2" xfId="3"/>
    <cellStyle name="Milliers" xfId="1" builtinId="3"/>
    <cellStyle name="Milliers 10" xfId="4"/>
    <cellStyle name="Milliers 2" xfId="5"/>
    <cellStyle name="Milliers 2 2" xfId="6"/>
    <cellStyle name="Milliers 2 3" xfId="7"/>
    <cellStyle name="Milliers 3" xfId="8"/>
    <cellStyle name="Milliers 3 2" xfId="9"/>
    <cellStyle name="Milliers 4" xfId="10"/>
    <cellStyle name="Normal" xfId="0" builtinId="0"/>
    <cellStyle name="Normal 10" xfId="15"/>
    <cellStyle name="Normal 11" xfId="11"/>
    <cellStyle name="Normal 2" xfId="12"/>
    <cellStyle name="Normal 4" xfId="13"/>
    <cellStyle name="Normal 5" xfId="14"/>
    <cellStyle name="Pourcentage" xfId="2" builtinId="5"/>
  </cellStyles>
  <dxfs count="784">
    <dxf>
      <font>
        <strike val="0"/>
        <condense val="0"/>
        <extend val="0"/>
        <outline val="0"/>
        <shadow val="0"/>
        <vertAlign val="baseline"/>
        <sz val="10"/>
        <color theme="1"/>
        <name val="Calibri"/>
      </font>
      <numFmt numFmtId="169" formatCode="[$د.م.‏-1801]\ #,##0.00;[Red][$د.م.‏-1801]\ #,##0.00\-"/>
      <fill>
        <patternFill patternType="solid">
          <fgColor rgb="FF70AD47"/>
          <bgColor rgb="FF77BC65"/>
        </patternFill>
      </fill>
      <alignment horizontal="lef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70" formatCode="#.##0\.00"/>
      <alignment horizontal="right" vertical="center" wrapText="1"/>
      <border outline="0">
        <left style="thin">
          <color auto="1"/>
        </left>
        <right style="thin">
          <color auto="1"/>
        </right>
        <top style="thin">
          <color auto="1"/>
        </top>
        <bottom style="thin">
          <color auto="1"/>
        </bottom>
      </border>
      <protection locked="1" hidden="0"/>
    </dxf>
    <dxf>
      <font>
        <strike val="0"/>
        <outline val="0"/>
        <shadow val="0"/>
        <vertAlign val="baseline"/>
        <sz val="10"/>
        <name val="Calibri"/>
      </font>
      <numFmt numFmtId="170" formatCode="#.##0\.00"/>
      <alignment horizontal="righ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70" formatCode="#.##0\.00"/>
      <alignment horizontal="righ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70" formatCode="#.##0\.00"/>
      <alignment horizontal="righ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70" formatCode="#.##0\.00"/>
      <alignment horizontal="righ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8" formatCode="#,##0.00\ [$MAD]"/>
      <alignment horizontal="general"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69" formatCode="[$د.م.‏-1801]\ #,##0.00;[Red][$د.م.‏-1801]\ #,##0.00\-"/>
      <fill>
        <patternFill patternType="solid">
          <fgColor rgb="FF70AD47"/>
          <bgColor rgb="FF77BC65"/>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71" formatCode="#,##0.00\ &quot;€&quot;"/>
      <fill>
        <patternFill>
          <fgColor indexed="64"/>
          <bgColor indexed="65"/>
        </patternFill>
      </fill>
      <alignment horizontal="right" vertical="center" wrapText="1"/>
      <border>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style="thin">
          <color auto="1"/>
        </left>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alignment horizontal="center" vertical="center" wrapText="1"/>
      <border outline="0">
        <left style="thin">
          <color auto="1"/>
        </left>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indexed="64"/>
          <bgColor theme="0"/>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fill>
        <patternFill>
          <fgColor indexed="64"/>
          <bgColor indexed="65"/>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left" vertical="center" wrapText="1"/>
      <border outline="0">
        <left style="thin">
          <color auto="1"/>
        </left>
        <right style="thin">
          <color auto="1"/>
        </right>
        <top style="thin">
          <color auto="1"/>
        </top>
        <bottom style="thin">
          <color auto="1"/>
        </bottom>
      </border>
      <protection locked="1" hidden="0"/>
    </dxf>
    <dxf>
      <font>
        <strike val="0"/>
        <outline val="0"/>
        <shadow val="0"/>
        <vertAlign val="baseline"/>
        <sz val="10"/>
        <name val="Calibri"/>
      </font>
      <numFmt numFmtId="0" formatCode="General"/>
      <alignment horizontal="center" vertical="center" wrapText="1"/>
      <border>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fill>
        <patternFill patternType="solid">
          <fgColor indexed="64"/>
          <bgColor rgb="FFFFFF00"/>
        </patternFill>
      </fill>
      <alignment horizontal="center" vertical="center" wrapText="1"/>
      <border outline="0">
        <left/>
        <right style="thin">
          <color auto="1"/>
        </right>
        <top style="thin">
          <color auto="1"/>
        </top>
        <bottom style="thin">
          <color auto="1"/>
        </bottom>
      </border>
      <protection locked="1" hidden="0"/>
    </dxf>
    <dxf>
      <border outline="0">
        <left style="thin">
          <color auto="1"/>
        </left>
        <bottom style="thin">
          <color auto="1"/>
        </bottom>
      </border>
    </dxf>
    <dxf>
      <font>
        <strike val="0"/>
        <outline val="0"/>
        <shadow val="0"/>
        <vertAlign val="baseline"/>
        <sz val="10"/>
        <name val="Calibri"/>
      </font>
      <alignment vertical="center"/>
    </dxf>
    <dxf>
      <font>
        <b/>
        <strike val="0"/>
        <condense val="0"/>
        <extend val="0"/>
        <outline val="0"/>
        <shadow val="0"/>
        <vertAlign val="baseline"/>
        <sz val="10"/>
        <color rgb="FFFFFFFF"/>
        <name val="Calibri"/>
      </font>
      <fill>
        <patternFill patternType="solid">
          <fgColor rgb="FFA6A6A6"/>
          <bgColor rgb="FF2E75B6"/>
        </patternFill>
      </fill>
      <alignment horizontal="center" vertical="center" wrapText="1"/>
      <border outline="0">
        <left style="thin">
          <color theme="0" tint="-0.34998626667073579"/>
        </left>
        <right style="thin">
          <color theme="0" tint="-0.34998626667073579"/>
        </right>
        <top/>
        <bottom/>
      </border>
      <protection locked="1" hidden="0"/>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29</xdr:row>
      <xdr:rowOff>22680</xdr:rowOff>
    </xdr:from>
    <xdr:to>
      <xdr:col>9</xdr:col>
      <xdr:colOff>165240</xdr:colOff>
      <xdr:row>32</xdr:row>
      <xdr:rowOff>163800</xdr:rowOff>
    </xdr:to>
    <xdr:pic>
      <xdr:nvPicPr>
        <xdr:cNvPr id="2" name="Image 2"/>
        <xdr:cNvPicPr/>
      </xdr:nvPicPr>
      <xdr:blipFill>
        <a:blip xmlns:r="http://schemas.openxmlformats.org/officeDocument/2006/relationships" r:embed="rId1"/>
        <a:stretch>
          <a:fillRect/>
        </a:stretch>
      </xdr:blipFill>
      <xdr:spPr>
        <a:xfrm>
          <a:off x="16658640" y="5547240"/>
          <a:ext cx="917640" cy="712440"/>
        </a:xfrm>
        <a:prstGeom prst="rect">
          <a:avLst/>
        </a:prstGeom>
        <a:noFill/>
        <a:ln w="0">
          <a:noFill/>
          <a:prstDash val="solid"/>
        </a:ln>
      </xdr:spPr>
    </xdr:pic>
    <xdr:clientData/>
  </xdr:twoCellAnchor>
</xdr:wsDr>
</file>

<file path=xl/tables/table1.xml><?xml version="1.0" encoding="utf-8"?>
<table xmlns="http://schemas.openxmlformats.org/spreadsheetml/2006/main" id="1" name="Tableau1" displayName="Tableau1" ref="A127:B135" totalsRowShown="0">
  <autoFilter ref="A127:B135"/>
  <tableColumns count="2">
    <tableColumn id="1" name="STATUT SUPPORT D'ENGAGEMENT"/>
    <tableColumn id="2" name="MONTANT"/>
  </tableColumns>
  <tableStyleInfo showFirstColumn="0" showLastColumn="0" showRowStripes="1" showColumnStripes="0"/>
</table>
</file>

<file path=xl/tables/table2.xml><?xml version="1.0" encoding="utf-8"?>
<table xmlns="http://schemas.openxmlformats.org/spreadsheetml/2006/main" id="2" name="Engagements2026Juillet" displayName="Engagements2026Juillet" ref="A1:AM674" totalsRowShown="0" headerRowDxfId="41" dataDxfId="40" tableBorderDxfId="39" headerRowCellStyle="Pourcentage">
  <autoFilter ref="A1:AM674">
    <filterColumn colId="2">
      <filters>
        <filter val="26000075 CL"/>
        <filter val="75AOM/SNRT"/>
      </filters>
    </filterColumn>
  </autoFilter>
  <tableColumns count="39">
    <tableColumn id="1" name="ANNEE LANCEMENT" dataDxfId="38"/>
    <tableColumn id="2" name="DIRECTION " dataDxfId="37"/>
    <tableColumn id="3" name="REF" dataDxfId="36"/>
    <tableColumn id="4" name="BCI" dataDxfId="35"/>
    <tableColumn id="5" name="LOTS" dataDxfId="34"/>
    <tableColumn id="6" name="OBJET" dataDxfId="33"/>
    <tableColumn id="7" name="STATUT 1" dataDxfId="32"/>
    <tableColumn id="8" name="STATUT SUPPORT D'ENGAGEMENT" dataDxfId="31"/>
    <tableColumn id="9" name="N° SUPPORT D'ENGAGEMENT" dataDxfId="30"/>
    <tableColumn id="10" name="CATEGORIES" dataDxfId="29"/>
    <tableColumn id="11" name="TYPE BUDGET" dataDxfId="28"/>
    <tableColumn id="12" name="BUDGET" dataDxfId="27"/>
    <tableColumn id="13" name="LIGNES BUDGETAIRES" dataDxfId="26"/>
    <tableColumn id="14" name="MONTANT PREENGAGE INITIAL" dataDxfId="25" dataCellStyle="Milliers"/>
    <tableColumn id="15" name="ESTIMATION TTC" dataDxfId="24" dataCellStyle="Milliers"/>
    <tableColumn id="16" name="ESTIMATION HT" dataDxfId="23" dataCellStyle="Milliers"/>
    <tableColumn id="17" name="NATURE BESOIN" dataDxfId="22"/>
    <tableColumn id="18" name="DEBUT REC" dataDxfId="21" dataCellStyle="Milliers"/>
    <tableColumn id="19" name="FIN REC" dataDxfId="20" dataCellStyle="Milliers"/>
    <tableColumn id="20" name="ADJUDICATAIRE / FRS" dataDxfId="19"/>
    <tableColumn id="21" name="ANNEE APPROBATION" dataDxfId="18"/>
    <tableColumn id="22" name="DATE DE LA FICHE" dataDxfId="17"/>
    <tableColumn id="23" name="DATE VISA" dataDxfId="16" dataCellStyle="Milliers"/>
    <tableColumn id="24" name="DATE APPROB" dataDxfId="15"/>
    <tableColumn id="25" name="MONTANT MARCHE HT PART EN MAD" dataDxfId="14"/>
    <tableColumn id="26" name="MONTANT MARCHE HT PART EN DEVISES" dataDxfId="13"/>
    <tableColumn id="27" name="MONTANT MARCHE TTC  PART EN MAD" dataDxfId="12"/>
    <tableColumn id="28" name="MONTANT MARCHE TTC  PART EN DEVISES" dataDxfId="11"/>
    <tableColumn id="29" name="TOTAL MARCHE HT TOTAL ENGAGE HT" dataDxfId="10"/>
    <tableColumn id="30" name="TOTAL MARCHE TTC TOTAL ENGAGE TTC" dataDxfId="9"/>
    <tableColumn id="31" name="STATUT D'ENGAGEMENT" dataDxfId="8" dataCellStyle="Milliers"/>
    <tableColumn id="32" name="Remarque (archive)" dataDxfId="7"/>
    <tableColumn id="33" name="Reserve" dataDxfId="6" dataCellStyle="Milliers"/>
    <tableColumn id="34" name="PREVISION PPA HT" dataDxfId="5" dataCellStyle="Milliers"/>
    <tableColumn id="35" name="ECART ESTIMATION HT-PPA HT" dataDxfId="4" dataCellStyle="Milliers"/>
    <tableColumn id="36" name="ECART ENGAGEMENT HT-PPA HT" dataDxfId="3" dataCellStyle="Milliers"/>
    <tableColumn id="37" name="ECART ESTIMATION_x000a_eng/estim" dataDxfId="2"/>
    <tableColumn id="38" name="ECART PPA_x000a_enga/ppa" dataDxfId="1" dataCellStyle="Milliers"/>
    <tableColumn id="39" name="REMARQUE" dataDxfId="0"/>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50"/>
  <sheetViews>
    <sheetView showGridLines="0" topLeftCell="A49" zoomScale="85" zoomScaleNormal="85" workbookViewId="0">
      <selection activeCell="A55" sqref="A55"/>
    </sheetView>
  </sheetViews>
  <sheetFormatPr baseColWidth="10" defaultColWidth="10.7109375" defaultRowHeight="15" customHeight="1" x14ac:dyDescent="0.25"/>
  <cols>
    <col min="1" max="1" width="91.42578125" style="1" customWidth="1"/>
    <col min="2" max="2" width="16.7109375" style="157" customWidth="1"/>
    <col min="3" max="3" width="15.7109375" style="158" customWidth="1"/>
    <col min="4" max="4" width="5.140625" style="1" customWidth="1"/>
    <col min="6" max="6" width="56.28515625" style="1" customWidth="1"/>
    <col min="7" max="7" width="29.7109375" style="1" customWidth="1"/>
  </cols>
  <sheetData>
    <row r="1" spans="1:3" x14ac:dyDescent="0.25">
      <c r="A1" s="2" t="s">
        <v>0</v>
      </c>
      <c r="B1" s="159"/>
      <c r="C1" s="160"/>
    </row>
    <row r="2" spans="1:3" x14ac:dyDescent="0.25">
      <c r="A2" s="3" t="s">
        <v>1</v>
      </c>
      <c r="B2" s="4"/>
      <c r="C2" s="4"/>
    </row>
    <row r="3" spans="1:3" x14ac:dyDescent="0.25">
      <c r="A3" s="5" t="s">
        <v>2</v>
      </c>
      <c r="B3" s="6"/>
      <c r="C3" s="6"/>
    </row>
    <row r="4" spans="1:3" x14ac:dyDescent="0.25">
      <c r="A4" s="3" t="s">
        <v>3</v>
      </c>
      <c r="B4" s="3"/>
      <c r="C4" s="3"/>
    </row>
    <row r="5" spans="1:3" x14ac:dyDescent="0.25">
      <c r="A5" s="4" t="s">
        <v>4</v>
      </c>
      <c r="B5" s="4"/>
      <c r="C5" s="4"/>
    </row>
    <row r="6" spans="1:3" x14ac:dyDescent="0.25">
      <c r="A6" s="2" t="s">
        <v>5</v>
      </c>
      <c r="B6" s="159"/>
      <c r="C6" s="160"/>
    </row>
    <row r="7" spans="1:3" x14ac:dyDescent="0.25">
      <c r="A7" s="11" t="s">
        <v>6</v>
      </c>
      <c r="B7" s="161"/>
      <c r="C7" s="162"/>
    </row>
    <row r="8" spans="1:3" x14ac:dyDescent="0.25">
      <c r="A8" s="6" t="s">
        <v>7</v>
      </c>
      <c r="B8" s="163"/>
      <c r="C8" s="164">
        <f>IFERROR(B8/(B7+B8),0)</f>
        <v>0</v>
      </c>
    </row>
    <row r="9" spans="1:3" x14ac:dyDescent="0.25">
      <c r="A9" s="2" t="s">
        <v>8</v>
      </c>
      <c r="B9" s="159"/>
      <c r="C9" s="160"/>
    </row>
    <row r="10" spans="1:3" x14ac:dyDescent="0.25">
      <c r="A10" s="3" t="s">
        <v>9</v>
      </c>
      <c r="B10" s="3"/>
      <c r="C10" s="3"/>
    </row>
    <row r="11" spans="1:3" x14ac:dyDescent="0.25">
      <c r="A11" s="4" t="s">
        <v>10</v>
      </c>
      <c r="B11" s="4"/>
      <c r="C11" s="4"/>
    </row>
    <row r="12" spans="1:3" x14ac:dyDescent="0.25">
      <c r="A12" s="3" t="s">
        <v>11</v>
      </c>
      <c r="B12" s="3"/>
      <c r="C12" s="3"/>
    </row>
    <row r="13" spans="1:3" x14ac:dyDescent="0.25">
      <c r="A13" s="4" t="s">
        <v>12</v>
      </c>
      <c r="B13" s="4"/>
      <c r="C13" s="4"/>
    </row>
    <row r="14" spans="1:3" x14ac:dyDescent="0.25">
      <c r="A14" s="3" t="s">
        <v>13</v>
      </c>
      <c r="B14" s="3"/>
      <c r="C14" s="3"/>
    </row>
    <row r="15" spans="1:3" x14ac:dyDescent="0.25">
      <c r="A15" s="4" t="s">
        <v>14</v>
      </c>
      <c r="B15" s="4"/>
      <c r="C15" s="4"/>
    </row>
    <row r="16" spans="1:3" x14ac:dyDescent="0.25">
      <c r="A16" s="3" t="s">
        <v>15</v>
      </c>
      <c r="B16" s="3"/>
      <c r="C16" s="3"/>
    </row>
    <row r="17" spans="1:3" x14ac:dyDescent="0.25">
      <c r="A17" s="4" t="s">
        <v>16</v>
      </c>
      <c r="B17" s="4"/>
      <c r="C17" s="4"/>
    </row>
    <row r="18" spans="1:3" x14ac:dyDescent="0.25">
      <c r="A18" s="3" t="s">
        <v>17</v>
      </c>
      <c r="B18" s="3"/>
      <c r="C18" s="3"/>
    </row>
    <row r="19" spans="1:3" x14ac:dyDescent="0.25">
      <c r="A19" s="4" t="s">
        <v>18</v>
      </c>
      <c r="B19" s="4"/>
      <c r="C19" s="4"/>
    </row>
    <row r="20" spans="1:3" x14ac:dyDescent="0.25">
      <c r="A20" s="3" t="s">
        <v>19</v>
      </c>
      <c r="B20" s="3"/>
      <c r="C20" s="3"/>
    </row>
    <row r="21" spans="1:3" x14ac:dyDescent="0.25">
      <c r="A21" s="4" t="s">
        <v>20</v>
      </c>
      <c r="B21" s="4"/>
      <c r="C21" s="4"/>
    </row>
    <row r="22" spans="1:3" x14ac:dyDescent="0.25">
      <c r="A22" s="3" t="s">
        <v>21</v>
      </c>
      <c r="B22" s="3"/>
      <c r="C22" s="3"/>
    </row>
    <row r="23" spans="1:3" x14ac:dyDescent="0.25">
      <c r="A23" s="4" t="s">
        <v>22</v>
      </c>
      <c r="B23" s="4"/>
      <c r="C23" s="4"/>
    </row>
    <row r="24" spans="1:3" x14ac:dyDescent="0.25">
      <c r="A24" s="3" t="s">
        <v>23</v>
      </c>
      <c r="B24" s="3"/>
      <c r="C24" s="3"/>
    </row>
    <row r="25" spans="1:3" x14ac:dyDescent="0.25">
      <c r="A25" s="4" t="s">
        <v>24</v>
      </c>
      <c r="B25" s="4"/>
      <c r="C25" s="4"/>
    </row>
    <row r="26" spans="1:3" x14ac:dyDescent="0.25">
      <c r="A26" s="3" t="s">
        <v>25</v>
      </c>
      <c r="B26" s="3"/>
      <c r="C26" s="3"/>
    </row>
    <row r="27" spans="1:3" x14ac:dyDescent="0.25">
      <c r="A27" s="4" t="s">
        <v>26</v>
      </c>
      <c r="B27" s="4"/>
      <c r="C27" s="4"/>
    </row>
    <row r="28" spans="1:3" x14ac:dyDescent="0.25">
      <c r="A28" s="3" t="s">
        <v>27</v>
      </c>
      <c r="B28" s="3"/>
      <c r="C28" s="3"/>
    </row>
    <row r="29" spans="1:3" x14ac:dyDescent="0.25">
      <c r="A29" s="4" t="s">
        <v>28</v>
      </c>
      <c r="B29" s="4"/>
      <c r="C29" s="4"/>
    </row>
    <row r="30" spans="1:3" x14ac:dyDescent="0.25">
      <c r="A30" s="3" t="s">
        <v>29</v>
      </c>
      <c r="B30" s="3"/>
      <c r="C30" s="3"/>
    </row>
    <row r="31" spans="1:3" x14ac:dyDescent="0.25">
      <c r="A31" s="4" t="s">
        <v>30</v>
      </c>
      <c r="B31" s="4"/>
      <c r="C31" s="4"/>
    </row>
    <row r="32" spans="1:3" x14ac:dyDescent="0.25">
      <c r="A32" s="3" t="s">
        <v>31</v>
      </c>
      <c r="B32" s="3"/>
      <c r="C32" s="3"/>
    </row>
    <row r="33" spans="1:4" x14ac:dyDescent="0.25">
      <c r="A33" s="2" t="s">
        <v>32</v>
      </c>
      <c r="B33" s="159"/>
      <c r="C33" s="160"/>
    </row>
    <row r="34" spans="1:4" x14ac:dyDescent="0.25">
      <c r="A34" s="4" t="s">
        <v>33</v>
      </c>
      <c r="B34" s="3"/>
      <c r="C34" s="3"/>
    </row>
    <row r="35" spans="1:4" x14ac:dyDescent="0.25">
      <c r="A35" s="3" t="s">
        <v>34</v>
      </c>
      <c r="B35" s="4"/>
      <c r="C35" s="4"/>
    </row>
    <row r="36" spans="1:4" x14ac:dyDescent="0.25">
      <c r="A36" s="4" t="s">
        <v>35</v>
      </c>
      <c r="B36" s="3"/>
      <c r="C36" s="3"/>
    </row>
    <row r="37" spans="1:4" x14ac:dyDescent="0.25">
      <c r="A37" s="3" t="s">
        <v>36</v>
      </c>
      <c r="B37" s="4"/>
      <c r="C37" s="4"/>
    </row>
    <row r="38" spans="1:4" x14ac:dyDescent="0.25">
      <c r="A38" s="4" t="s">
        <v>37</v>
      </c>
      <c r="B38" s="3"/>
      <c r="C38" s="3"/>
    </row>
    <row r="39" spans="1:4" x14ac:dyDescent="0.25">
      <c r="A39" s="3" t="s">
        <v>38</v>
      </c>
      <c r="B39" s="4"/>
      <c r="C39" s="4"/>
    </row>
    <row r="40" spans="1:4" x14ac:dyDescent="0.25">
      <c r="A40" s="4" t="s">
        <v>39</v>
      </c>
      <c r="B40" s="3"/>
      <c r="C40" s="3"/>
    </row>
    <row r="41" spans="1:4" x14ac:dyDescent="0.25">
      <c r="A41" s="3" t="s">
        <v>40</v>
      </c>
      <c r="B41" s="4"/>
      <c r="C41" s="4"/>
    </row>
    <row r="42" spans="1:4" x14ac:dyDescent="0.25">
      <c r="A42" s="4" t="s">
        <v>41</v>
      </c>
      <c r="B42" s="3"/>
      <c r="C42" s="3"/>
    </row>
    <row r="43" spans="1:4" x14ac:dyDescent="0.25">
      <c r="A43" s="3" t="s">
        <v>42</v>
      </c>
      <c r="B43" s="4"/>
      <c r="C43" s="4"/>
    </row>
    <row r="44" spans="1:4" x14ac:dyDescent="0.25">
      <c r="A44" s="4" t="s">
        <v>43</v>
      </c>
      <c r="B44" s="3"/>
      <c r="C44" s="3"/>
    </row>
    <row r="45" spans="1:4" x14ac:dyDescent="0.25">
      <c r="A45" s="2" t="s">
        <v>44</v>
      </c>
      <c r="B45" s="159" t="s">
        <v>45</v>
      </c>
      <c r="C45" s="160" t="s">
        <v>46</v>
      </c>
    </row>
    <row r="46" spans="1:4" x14ac:dyDescent="0.25">
      <c r="A46" s="6" t="s">
        <v>47</v>
      </c>
      <c r="B46" s="163"/>
      <c r="C46" s="164"/>
      <c r="D46" s="165"/>
    </row>
    <row r="47" spans="1:4" x14ac:dyDescent="0.25">
      <c r="A47" s="11" t="s">
        <v>48</v>
      </c>
      <c r="B47" s="161"/>
      <c r="C47" s="162"/>
    </row>
    <row r="48" spans="1:4" x14ac:dyDescent="0.25">
      <c r="A48" s="6" t="s">
        <v>49</v>
      </c>
      <c r="B48" s="163"/>
      <c r="C48" s="164">
        <f>IFERROR(MTP/MTT,0)</f>
        <v>0</v>
      </c>
    </row>
    <row r="49" spans="1:3" x14ac:dyDescent="0.25">
      <c r="A49" s="11" t="s">
        <v>50</v>
      </c>
      <c r="B49" s="161"/>
      <c r="C49" s="162"/>
    </row>
    <row r="50" spans="1:3" x14ac:dyDescent="0.25">
      <c r="A50" s="7" t="s">
        <v>51</v>
      </c>
      <c r="B50" s="166" t="s">
        <v>52</v>
      </c>
      <c r="C50" s="167" t="s">
        <v>53</v>
      </c>
    </row>
    <row r="51" spans="1:3" x14ac:dyDescent="0.25">
      <c r="A51" s="3" t="s">
        <v>54</v>
      </c>
      <c r="B51" s="8"/>
      <c r="C51" s="8"/>
    </row>
    <row r="52" spans="1:3" x14ac:dyDescent="0.25">
      <c r="A52" s="9" t="s">
        <v>55</v>
      </c>
      <c r="B52" s="10"/>
      <c r="C52" s="10"/>
    </row>
    <row r="53" spans="1:3" x14ac:dyDescent="0.25">
      <c r="A53" s="3" t="s">
        <v>56</v>
      </c>
      <c r="B53" s="8"/>
      <c r="C53" s="8"/>
    </row>
    <row r="54" spans="1:3" x14ac:dyDescent="0.25">
      <c r="A54" s="11" t="s">
        <v>57</v>
      </c>
      <c r="B54" s="12"/>
      <c r="C54" s="12"/>
    </row>
    <row r="55" spans="1:3" x14ac:dyDescent="0.25">
      <c r="A55" s="9" t="s">
        <v>58</v>
      </c>
      <c r="B55" s="10"/>
      <c r="C55" s="10"/>
    </row>
    <row r="56" spans="1:3" x14ac:dyDescent="0.25">
      <c r="A56" s="3" t="s">
        <v>59</v>
      </c>
      <c r="B56" s="8"/>
      <c r="C56" s="8"/>
    </row>
    <row r="57" spans="1:3" x14ac:dyDescent="0.25">
      <c r="A57" s="9" t="s">
        <v>60</v>
      </c>
      <c r="B57" s="10"/>
      <c r="C57" s="10"/>
    </row>
    <row r="58" spans="1:3" x14ac:dyDescent="0.25">
      <c r="A58" s="3" t="s">
        <v>61</v>
      </c>
      <c r="B58" s="8"/>
      <c r="C58" s="8"/>
    </row>
    <row r="59" spans="1:3" x14ac:dyDescent="0.25">
      <c r="A59" s="9" t="s">
        <v>62</v>
      </c>
      <c r="B59" s="10"/>
      <c r="C59" s="10"/>
    </row>
    <row r="60" spans="1:3" x14ac:dyDescent="0.25">
      <c r="A60" s="3" t="s">
        <v>63</v>
      </c>
      <c r="B60" s="8"/>
      <c r="C60" s="8"/>
    </row>
    <row r="61" spans="1:3" x14ac:dyDescent="0.25">
      <c r="A61" s="9" t="s">
        <v>64</v>
      </c>
      <c r="B61" s="10"/>
      <c r="C61" s="10"/>
    </row>
    <row r="62" spans="1:3" x14ac:dyDescent="0.25">
      <c r="A62" s="3" t="s">
        <v>65</v>
      </c>
      <c r="B62" s="8"/>
      <c r="C62" s="8"/>
    </row>
    <row r="63" spans="1:3" x14ac:dyDescent="0.25">
      <c r="A63" s="9" t="s">
        <v>66</v>
      </c>
      <c r="B63" s="10"/>
      <c r="C63" s="10"/>
    </row>
    <row r="64" spans="1:3" x14ac:dyDescent="0.25">
      <c r="A64" s="3" t="s">
        <v>67</v>
      </c>
      <c r="B64" s="8"/>
      <c r="C64" s="8"/>
    </row>
    <row r="65" spans="1:3" x14ac:dyDescent="0.25">
      <c r="A65" s="9" t="s">
        <v>68</v>
      </c>
      <c r="B65" s="10"/>
      <c r="C65" s="10"/>
    </row>
    <row r="66" spans="1:3" x14ac:dyDescent="0.25">
      <c r="A66" s="3" t="s">
        <v>69</v>
      </c>
      <c r="B66" s="8"/>
      <c r="C66" s="8"/>
    </row>
    <row r="67" spans="1:3" x14ac:dyDescent="0.25">
      <c r="A67" s="9" t="s">
        <v>70</v>
      </c>
      <c r="B67" s="10"/>
      <c r="C67" s="10"/>
    </row>
    <row r="68" spans="1:3" x14ac:dyDescent="0.25">
      <c r="A68" s="9" t="s">
        <v>71</v>
      </c>
      <c r="B68" s="10"/>
      <c r="C68" s="10"/>
    </row>
    <row r="69" spans="1:3" x14ac:dyDescent="0.25">
      <c r="A69" s="3" t="s">
        <v>72</v>
      </c>
      <c r="B69" s="8"/>
      <c r="C69" s="8"/>
    </row>
    <row r="70" spans="1:3" x14ac:dyDescent="0.25">
      <c r="A70" s="9" t="s">
        <v>73</v>
      </c>
      <c r="B70" s="10"/>
      <c r="C70" s="10"/>
    </row>
    <row r="71" spans="1:3" x14ac:dyDescent="0.25">
      <c r="A71" s="3" t="s">
        <v>74</v>
      </c>
      <c r="B71" s="8"/>
      <c r="C71" s="8"/>
    </row>
    <row r="72" spans="1:3" x14ac:dyDescent="0.25">
      <c r="A72" s="9" t="s">
        <v>75</v>
      </c>
      <c r="B72" s="10"/>
      <c r="C72" s="10"/>
    </row>
    <row r="73" spans="1:3" x14ac:dyDescent="0.25">
      <c r="A73" s="3" t="s">
        <v>76</v>
      </c>
      <c r="B73" s="8"/>
      <c r="C73" s="8"/>
    </row>
    <row r="74" spans="1:3" x14ac:dyDescent="0.25">
      <c r="A74" s="9" t="s">
        <v>77</v>
      </c>
      <c r="B74" s="10"/>
      <c r="C74" s="10"/>
    </row>
    <row r="75" spans="1:3" x14ac:dyDescent="0.25">
      <c r="A75" s="3" t="s">
        <v>78</v>
      </c>
      <c r="B75" s="8"/>
      <c r="C75" s="8"/>
    </row>
    <row r="76" spans="1:3" x14ac:dyDescent="0.25">
      <c r="A76" s="9" t="s">
        <v>79</v>
      </c>
      <c r="B76" s="10"/>
      <c r="C76" s="10"/>
    </row>
    <row r="77" spans="1:3" x14ac:dyDescent="0.25">
      <c r="A77" s="3" t="s">
        <v>80</v>
      </c>
      <c r="B77" s="8"/>
      <c r="C77" s="8"/>
    </row>
    <row r="78" spans="1:3" x14ac:dyDescent="0.25">
      <c r="A78" s="9" t="s">
        <v>81</v>
      </c>
      <c r="B78" s="10"/>
      <c r="C78" s="10"/>
    </row>
    <row r="79" spans="1:3" x14ac:dyDescent="0.25">
      <c r="A79" s="13" t="s">
        <v>82</v>
      </c>
      <c r="B79" s="168" t="s">
        <v>52</v>
      </c>
      <c r="C79" s="169" t="s">
        <v>83</v>
      </c>
    </row>
    <row r="80" spans="1:3" x14ac:dyDescent="0.25">
      <c r="A80" s="14" t="s">
        <v>84</v>
      </c>
      <c r="B80" s="170"/>
      <c r="C80" s="170"/>
    </row>
    <row r="81" spans="1:3" x14ac:dyDescent="0.25">
      <c r="A81" s="15" t="s">
        <v>85</v>
      </c>
      <c r="B81" s="171"/>
      <c r="C81" s="171"/>
    </row>
    <row r="82" spans="1:3" x14ac:dyDescent="0.25">
      <c r="A82" s="4" t="s">
        <v>86</v>
      </c>
      <c r="B82" s="172"/>
      <c r="C82" s="172"/>
    </row>
    <row r="83" spans="1:3" x14ac:dyDescent="0.25">
      <c r="A83" s="15" t="s">
        <v>87</v>
      </c>
      <c r="B83" s="171"/>
      <c r="C83" s="171"/>
    </row>
    <row r="84" spans="1:3" x14ac:dyDescent="0.25">
      <c r="A84" s="4" t="s">
        <v>88</v>
      </c>
      <c r="B84" s="172"/>
      <c r="C84" s="172"/>
    </row>
    <row r="85" spans="1:3" x14ac:dyDescent="0.25">
      <c r="A85" s="15" t="s">
        <v>89</v>
      </c>
      <c r="B85" s="171"/>
      <c r="C85" s="171"/>
    </row>
    <row r="86" spans="1:3" x14ac:dyDescent="0.25">
      <c r="A86" s="4" t="s">
        <v>90</v>
      </c>
      <c r="B86" s="172"/>
      <c r="C86" s="172"/>
    </row>
    <row r="87" spans="1:3" x14ac:dyDescent="0.25">
      <c r="A87" s="15" t="s">
        <v>91</v>
      </c>
      <c r="B87" s="171"/>
      <c r="C87" s="171"/>
    </row>
    <row r="88" spans="1:3" x14ac:dyDescent="0.25">
      <c r="A88" s="4" t="s">
        <v>41</v>
      </c>
      <c r="B88" s="172"/>
      <c r="C88" s="172"/>
    </row>
    <row r="89" spans="1:3" x14ac:dyDescent="0.25">
      <c r="A89" s="15" t="s">
        <v>92</v>
      </c>
      <c r="B89" s="171"/>
      <c r="C89" s="171"/>
    </row>
    <row r="90" spans="1:3" x14ac:dyDescent="0.25">
      <c r="A90" s="4" t="s">
        <v>93</v>
      </c>
      <c r="B90" s="172"/>
      <c r="C90" s="172"/>
    </row>
    <row r="91" spans="1:3" x14ac:dyDescent="0.25">
      <c r="A91" s="15" t="s">
        <v>94</v>
      </c>
      <c r="B91" s="171"/>
      <c r="C91" s="171"/>
    </row>
    <row r="92" spans="1:3" x14ac:dyDescent="0.25">
      <c r="A92" s="4" t="s">
        <v>95</v>
      </c>
      <c r="B92" s="172"/>
      <c r="C92" s="172"/>
    </row>
    <row r="93" spans="1:3" x14ac:dyDescent="0.25">
      <c r="A93" s="15" t="s">
        <v>96</v>
      </c>
      <c r="B93" s="171"/>
      <c r="C93" s="171"/>
    </row>
    <row r="94" spans="1:3" x14ac:dyDescent="0.25">
      <c r="A94" s="4" t="s">
        <v>97</v>
      </c>
      <c r="B94" s="172"/>
      <c r="C94" s="172"/>
    </row>
    <row r="95" spans="1:3" ht="13.9" customHeight="1" x14ac:dyDescent="0.25">
      <c r="A95" s="321" t="s">
        <v>98</v>
      </c>
      <c r="B95" s="322"/>
      <c r="C95" s="323"/>
    </row>
    <row r="96" spans="1:3" x14ac:dyDescent="0.25">
      <c r="A96" s="171" t="s">
        <v>99</v>
      </c>
      <c r="B96" s="171"/>
      <c r="C96" s="171"/>
    </row>
    <row r="97" spans="1:3" x14ac:dyDescent="0.25">
      <c r="A97" s="172" t="s">
        <v>100</v>
      </c>
      <c r="B97" s="172"/>
      <c r="C97" s="172"/>
    </row>
    <row r="98" spans="1:3" x14ac:dyDescent="0.25">
      <c r="A98" s="171" t="s">
        <v>101</v>
      </c>
      <c r="B98" s="171"/>
      <c r="C98" s="171"/>
    </row>
    <row r="99" spans="1:3" x14ac:dyDescent="0.25">
      <c r="A99" s="172" t="s">
        <v>102</v>
      </c>
      <c r="B99" s="172"/>
      <c r="C99" s="172"/>
    </row>
    <row r="100" spans="1:3" x14ac:dyDescent="0.25">
      <c r="A100" s="171" t="s">
        <v>103</v>
      </c>
      <c r="B100" s="171"/>
      <c r="C100" s="171"/>
    </row>
    <row r="101" spans="1:3" ht="13.9" customHeight="1" x14ac:dyDescent="0.25">
      <c r="A101" s="321" t="s">
        <v>104</v>
      </c>
      <c r="B101" s="322"/>
      <c r="C101" s="323"/>
    </row>
    <row r="102" spans="1:3" x14ac:dyDescent="0.25">
      <c r="A102" s="171" t="s">
        <v>105</v>
      </c>
      <c r="B102" s="171"/>
      <c r="C102" s="171"/>
    </row>
    <row r="103" spans="1:3" x14ac:dyDescent="0.25">
      <c r="A103" s="172" t="s">
        <v>106</v>
      </c>
      <c r="B103" s="172"/>
      <c r="C103" s="172"/>
    </row>
    <row r="104" spans="1:3" x14ac:dyDescent="0.25">
      <c r="A104" s="171" t="s">
        <v>107</v>
      </c>
      <c r="B104" s="171"/>
      <c r="C104" s="171"/>
    </row>
    <row r="105" spans="1:3" x14ac:dyDescent="0.25">
      <c r="A105" s="172" t="s">
        <v>108</v>
      </c>
      <c r="B105" s="172"/>
      <c r="C105" s="172"/>
    </row>
    <row r="106" spans="1:3" x14ac:dyDescent="0.25">
      <c r="A106" s="171" t="s">
        <v>109</v>
      </c>
      <c r="B106" s="171"/>
      <c r="C106" s="171"/>
    </row>
    <row r="107" spans="1:3" x14ac:dyDescent="0.25">
      <c r="A107" s="172" t="s">
        <v>110</v>
      </c>
      <c r="B107" s="172"/>
      <c r="C107" s="172"/>
    </row>
    <row r="108" spans="1:3" x14ac:dyDescent="0.25">
      <c r="A108" s="171" t="s">
        <v>111</v>
      </c>
      <c r="B108" s="172"/>
      <c r="C108" s="172"/>
    </row>
    <row r="109" spans="1:3" x14ac:dyDescent="0.25">
      <c r="A109" s="172" t="s">
        <v>112</v>
      </c>
      <c r="B109" s="172"/>
      <c r="C109" s="172"/>
    </row>
    <row r="110" spans="1:3" x14ac:dyDescent="0.25">
      <c r="A110" s="171" t="s">
        <v>113</v>
      </c>
      <c r="B110" s="172"/>
      <c r="C110" s="172"/>
    </row>
    <row r="111" spans="1:3" x14ac:dyDescent="0.25">
      <c r="A111" s="172" t="s">
        <v>114</v>
      </c>
      <c r="B111" s="171"/>
      <c r="C111" s="171"/>
    </row>
    <row r="112" spans="1:3" ht="13.9" customHeight="1" x14ac:dyDescent="0.25">
      <c r="A112" s="321" t="s">
        <v>115</v>
      </c>
      <c r="B112" s="322"/>
      <c r="C112" s="323"/>
    </row>
    <row r="113" spans="1:3" x14ac:dyDescent="0.25">
      <c r="A113" s="171" t="s">
        <v>116</v>
      </c>
      <c r="B113" s="171"/>
      <c r="C113" s="171"/>
    </row>
    <row r="114" spans="1:3" x14ac:dyDescent="0.25">
      <c r="A114" s="172" t="s">
        <v>117</v>
      </c>
      <c r="B114" s="172"/>
      <c r="C114" s="172"/>
    </row>
    <row r="115" spans="1:3" x14ac:dyDescent="0.25">
      <c r="A115" s="171" t="s">
        <v>118</v>
      </c>
      <c r="B115" s="171"/>
      <c r="C115" s="171"/>
    </row>
    <row r="116" spans="1:3" x14ac:dyDescent="0.25">
      <c r="A116" s="172" t="s">
        <v>119</v>
      </c>
      <c r="B116" s="172"/>
      <c r="C116" s="172"/>
    </row>
    <row r="117" spans="1:3" x14ac:dyDescent="0.25">
      <c r="A117" s="171" t="s">
        <v>120</v>
      </c>
      <c r="B117" s="171"/>
      <c r="C117" s="171"/>
    </row>
    <row r="118" spans="1:3" x14ac:dyDescent="0.25">
      <c r="A118" s="172" t="s">
        <v>121</v>
      </c>
      <c r="B118" s="172"/>
      <c r="C118" s="172"/>
    </row>
    <row r="119" spans="1:3" x14ac:dyDescent="0.25">
      <c r="A119" s="16" t="s">
        <v>122</v>
      </c>
    </row>
    <row r="120" spans="1:3" x14ac:dyDescent="0.25">
      <c r="A120" s="172" t="s">
        <v>123</v>
      </c>
      <c r="B120" s="172"/>
      <c r="C120" s="172"/>
    </row>
    <row r="121" spans="1:3" x14ac:dyDescent="0.25">
      <c r="A121" s="171" t="s">
        <v>111</v>
      </c>
      <c r="B121" s="171"/>
      <c r="C121" s="171"/>
    </row>
    <row r="122" spans="1:3" x14ac:dyDescent="0.25">
      <c r="A122" s="171" t="s">
        <v>112</v>
      </c>
      <c r="B122" s="171"/>
      <c r="C122" s="171"/>
    </row>
    <row r="123" spans="1:3" x14ac:dyDescent="0.25">
      <c r="A123" s="172" t="s">
        <v>113</v>
      </c>
      <c r="B123" s="172"/>
      <c r="C123" s="172"/>
    </row>
    <row r="124" spans="1:3" x14ac:dyDescent="0.25">
      <c r="A124" s="171" t="s">
        <v>109</v>
      </c>
      <c r="B124" s="171"/>
      <c r="C124" s="171"/>
    </row>
    <row r="125" spans="1:3" x14ac:dyDescent="0.25">
      <c r="A125" s="172" t="s">
        <v>110</v>
      </c>
      <c r="B125" s="172"/>
      <c r="C125" s="172"/>
    </row>
    <row r="126" spans="1:3" x14ac:dyDescent="0.25">
      <c r="A126" s="171" t="s">
        <v>114</v>
      </c>
      <c r="B126" s="171"/>
      <c r="C126" s="171"/>
    </row>
    <row r="127" spans="1:3" x14ac:dyDescent="0.25">
      <c r="A127" s="16" t="s">
        <v>124</v>
      </c>
      <c r="B127" s="157" t="s">
        <v>125</v>
      </c>
    </row>
    <row r="128" spans="1:3" x14ac:dyDescent="0.25">
      <c r="A128" s="172" t="s">
        <v>126</v>
      </c>
      <c r="B128" s="172"/>
      <c r="C128" s="172"/>
    </row>
    <row r="129" spans="1:3" x14ac:dyDescent="0.25">
      <c r="A129" s="171" t="s">
        <v>127</v>
      </c>
      <c r="B129" s="171"/>
      <c r="C129" s="171"/>
    </row>
    <row r="130" spans="1:3" x14ac:dyDescent="0.25">
      <c r="A130" s="172" t="s">
        <v>116</v>
      </c>
      <c r="B130" s="172"/>
      <c r="C130" s="172"/>
    </row>
    <row r="131" spans="1:3" x14ac:dyDescent="0.25">
      <c r="A131" s="171" t="s">
        <v>117</v>
      </c>
      <c r="B131" s="171"/>
      <c r="C131" s="171"/>
    </row>
    <row r="132" spans="1:3" x14ac:dyDescent="0.25">
      <c r="A132" s="172" t="s">
        <v>118</v>
      </c>
      <c r="B132" s="172"/>
      <c r="C132" s="172"/>
    </row>
    <row r="133" spans="1:3" x14ac:dyDescent="0.25">
      <c r="A133" s="171" t="s">
        <v>119</v>
      </c>
      <c r="B133" s="171"/>
      <c r="C133" s="171"/>
    </row>
    <row r="134" spans="1:3" x14ac:dyDescent="0.25">
      <c r="A134" s="172" t="s">
        <v>128</v>
      </c>
      <c r="B134" s="172"/>
      <c r="C134" s="172"/>
    </row>
    <row r="135" spans="1:3" x14ac:dyDescent="0.25">
      <c r="A135" s="171" t="s">
        <v>120</v>
      </c>
      <c r="B135" s="171"/>
      <c r="C135" s="171"/>
    </row>
    <row r="136" spans="1:3" x14ac:dyDescent="0.25">
      <c r="A136" s="17" t="s">
        <v>129</v>
      </c>
    </row>
    <row r="137" spans="1:3" x14ac:dyDescent="0.25">
      <c r="A137" s="172" t="s">
        <v>130</v>
      </c>
      <c r="B137" s="172"/>
      <c r="C137" s="172"/>
    </row>
    <row r="138" spans="1:3" x14ac:dyDescent="0.25">
      <c r="A138" s="171" t="s">
        <v>131</v>
      </c>
      <c r="B138" s="171"/>
      <c r="C138" s="171"/>
    </row>
    <row r="139" spans="1:3" x14ac:dyDescent="0.25">
      <c r="A139" s="172" t="s">
        <v>132</v>
      </c>
      <c r="B139" s="172"/>
      <c r="C139" s="172"/>
    </row>
    <row r="140" spans="1:3" x14ac:dyDescent="0.25">
      <c r="A140" s="171"/>
      <c r="B140" s="171"/>
      <c r="C140" s="171"/>
    </row>
    <row r="141" spans="1:3" x14ac:dyDescent="0.25">
      <c r="A141" s="17" t="s">
        <v>133</v>
      </c>
    </row>
    <row r="142" spans="1:3" x14ac:dyDescent="0.25">
      <c r="A142" s="172" t="s">
        <v>134</v>
      </c>
      <c r="B142" s="172"/>
      <c r="C142" s="172"/>
    </row>
    <row r="143" spans="1:3" x14ac:dyDescent="0.25">
      <c r="A143" s="171" t="s">
        <v>135</v>
      </c>
      <c r="B143" s="171"/>
      <c r="C143" s="171"/>
    </row>
    <row r="144" spans="1:3" x14ac:dyDescent="0.25">
      <c r="A144" s="172" t="s">
        <v>136</v>
      </c>
      <c r="B144" s="172"/>
      <c r="C144" s="172"/>
    </row>
    <row r="145" spans="1:3" x14ac:dyDescent="0.25">
      <c r="A145" s="17" t="s">
        <v>137</v>
      </c>
      <c r="B145" s="171"/>
      <c r="C145" s="171"/>
    </row>
    <row r="146" spans="1:3" x14ac:dyDescent="0.25">
      <c r="A146" s="161" t="s">
        <v>138</v>
      </c>
      <c r="B146" s="161"/>
      <c r="C146" s="161"/>
    </row>
    <row r="147" spans="1:3" x14ac:dyDescent="0.25">
      <c r="A147" s="161" t="s">
        <v>139</v>
      </c>
      <c r="B147" s="161"/>
      <c r="C147" s="161"/>
    </row>
    <row r="148" spans="1:3" x14ac:dyDescent="0.25">
      <c r="A148" s="161" t="s">
        <v>140</v>
      </c>
      <c r="B148" s="161"/>
      <c r="C148" s="161"/>
    </row>
    <row r="149" spans="1:3" x14ac:dyDescent="0.25">
      <c r="A149" s="161" t="s">
        <v>141</v>
      </c>
      <c r="B149" s="161"/>
      <c r="C149" s="161"/>
    </row>
    <row r="150" spans="1:3" x14ac:dyDescent="0.25">
      <c r="A150" s="17" t="s">
        <v>133</v>
      </c>
    </row>
  </sheetData>
  <mergeCells count="3">
    <mergeCell ref="A112:C112"/>
    <mergeCell ref="A95:C95"/>
    <mergeCell ref="A101:C101"/>
  </mergeCells>
  <pageMargins left="0.7" right="0.7" top="0.75" bottom="0.75" header="0.511811023622047" footer="0.511811023622047"/>
  <pageSetup paperSize="9" orientation="portrait"/>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867"/>
  <sheetViews>
    <sheetView showGridLines="0" tabSelected="1" zoomScale="115" zoomScaleNormal="115" workbookViewId="0">
      <pane xSplit="3" ySplit="1" topLeftCell="Z675" activePane="bottomRight" state="frozen"/>
      <selection pane="topRight" activeCell="D1" sqref="D1"/>
      <selection pane="bottomLeft" activeCell="A2" sqref="A2"/>
      <selection pane="bottomRight" activeCell="AE682" sqref="AE682"/>
    </sheetView>
  </sheetViews>
  <sheetFormatPr baseColWidth="10" defaultColWidth="11.5703125" defaultRowHeight="13.9" customHeight="1" x14ac:dyDescent="0.25"/>
  <cols>
    <col min="1" max="1" width="15.85546875" style="139" customWidth="1"/>
    <col min="2" max="2" width="13.5703125" style="139" customWidth="1"/>
    <col min="3" max="3" width="20.42578125" style="18" customWidth="1"/>
    <col min="4" max="4" width="14" style="18" customWidth="1"/>
    <col min="5" max="5" width="10.85546875" style="139" customWidth="1"/>
    <col min="6" max="6" width="63.42578125" style="21" customWidth="1"/>
    <col min="7" max="7" width="15" style="18" customWidth="1"/>
    <col min="8" max="8" width="17.140625" style="19" customWidth="1"/>
    <col min="9" max="9" width="19.42578125" style="20" customWidth="1"/>
    <col min="10" max="10" width="13.5703125" style="139" customWidth="1"/>
    <col min="11" max="11" width="24.7109375" style="139" customWidth="1"/>
    <col min="12" max="12" width="25.28515625" style="22" customWidth="1"/>
    <col min="13" max="13" width="36.7109375" style="21" customWidth="1"/>
    <col min="14" max="14" width="16.5703125" style="173" customWidth="1"/>
    <col min="15" max="15" width="19.7109375" style="174" customWidth="1"/>
    <col min="16" max="16" width="17.85546875" style="175" customWidth="1"/>
    <col min="17" max="17" width="19.85546875" style="24" customWidth="1"/>
    <col min="18" max="19" width="16.140625" style="24" customWidth="1"/>
    <col min="20" max="20" width="23.28515625" style="24" customWidth="1"/>
    <col min="21" max="21" width="16.7109375" style="20" customWidth="1"/>
    <col min="22" max="22" width="16.7109375" style="149" customWidth="1"/>
    <col min="23" max="23" width="16.42578125" style="19" bestFit="1" customWidth="1"/>
    <col min="24" max="24" width="16.28515625" style="149" customWidth="1"/>
    <col min="25" max="25" width="19" style="176" customWidth="1"/>
    <col min="26" max="26" width="17.140625" style="177" customWidth="1"/>
    <col min="27" max="27" width="16" style="176" customWidth="1"/>
    <col min="28" max="28" width="18.7109375" style="178" customWidth="1"/>
    <col min="29" max="29" width="17.28515625" style="178" customWidth="1"/>
    <col min="30" max="30" width="16.85546875" style="179" customWidth="1"/>
    <col min="31" max="31" width="20.42578125" style="25" customWidth="1"/>
    <col min="32" max="33" width="15" style="25" hidden="1" customWidth="1"/>
    <col min="34" max="34" width="15" style="24" hidden="1" customWidth="1"/>
    <col min="35" max="35" width="20.42578125" style="180" hidden="1" customWidth="1"/>
    <col min="36" max="36" width="16.5703125" style="139" hidden="1" customWidth="1"/>
    <col min="37" max="37" width="19.140625" style="181" hidden="1" customWidth="1"/>
    <col min="38" max="38" width="22.7109375" style="26" hidden="1" customWidth="1"/>
    <col min="39" max="39" width="61.85546875" style="26" customWidth="1"/>
    <col min="40" max="40" width="23.42578125" style="182" customWidth="1"/>
    <col min="41" max="41" width="22" style="180" customWidth="1"/>
    <col min="42" max="43" width="17.85546875" style="23" customWidth="1"/>
    <col min="44" max="44" width="20" style="139" customWidth="1"/>
    <col min="45" max="45" width="17.7109375" style="27" customWidth="1"/>
  </cols>
  <sheetData>
    <row r="1" spans="1:46" s="28" customFormat="1" ht="49.5" customHeight="1" x14ac:dyDescent="0.25">
      <c r="A1" s="134" t="s">
        <v>142</v>
      </c>
      <c r="B1" s="140" t="s">
        <v>51</v>
      </c>
      <c r="C1" s="140" t="s">
        <v>143</v>
      </c>
      <c r="D1" s="140" t="s">
        <v>110</v>
      </c>
      <c r="E1" s="140" t="s">
        <v>144</v>
      </c>
      <c r="F1" s="140" t="s">
        <v>145</v>
      </c>
      <c r="G1" s="140" t="s">
        <v>115</v>
      </c>
      <c r="H1" s="140" t="s">
        <v>124</v>
      </c>
      <c r="I1" s="140" t="s">
        <v>146</v>
      </c>
      <c r="J1" s="140" t="s">
        <v>129</v>
      </c>
      <c r="K1" s="140" t="s">
        <v>147</v>
      </c>
      <c r="L1" s="140" t="s">
        <v>5</v>
      </c>
      <c r="M1" s="140" t="s">
        <v>82</v>
      </c>
      <c r="N1" s="183" t="s">
        <v>148</v>
      </c>
      <c r="O1" s="183" t="s">
        <v>149</v>
      </c>
      <c r="P1" s="183" t="s">
        <v>150</v>
      </c>
      <c r="Q1" s="69" t="s">
        <v>137</v>
      </c>
      <c r="R1" s="69" t="s">
        <v>151</v>
      </c>
      <c r="S1" s="69" t="s">
        <v>152</v>
      </c>
      <c r="T1" s="140" t="s">
        <v>153</v>
      </c>
      <c r="U1" s="140" t="s">
        <v>154</v>
      </c>
      <c r="V1" s="69" t="s">
        <v>155</v>
      </c>
      <c r="W1" s="69" t="s">
        <v>156</v>
      </c>
      <c r="X1" s="69" t="s">
        <v>157</v>
      </c>
      <c r="Y1" s="183" t="s">
        <v>158</v>
      </c>
      <c r="Z1" s="184" t="s">
        <v>159</v>
      </c>
      <c r="AA1" s="183" t="s">
        <v>160</v>
      </c>
      <c r="AB1" s="183" t="s">
        <v>161</v>
      </c>
      <c r="AC1" s="183" t="s">
        <v>162</v>
      </c>
      <c r="AD1" s="183" t="s">
        <v>163</v>
      </c>
      <c r="AE1" s="70" t="s">
        <v>98</v>
      </c>
      <c r="AF1" s="70" t="s">
        <v>164</v>
      </c>
      <c r="AG1" s="70" t="s">
        <v>165</v>
      </c>
      <c r="AH1" s="71" t="s">
        <v>166</v>
      </c>
      <c r="AI1" s="71" t="s">
        <v>167</v>
      </c>
      <c r="AJ1" s="71" t="s">
        <v>168</v>
      </c>
      <c r="AK1" s="72" t="s">
        <v>169</v>
      </c>
      <c r="AL1" s="185" t="s">
        <v>170</v>
      </c>
      <c r="AM1" s="186" t="s">
        <v>171</v>
      </c>
      <c r="AT1" s="29"/>
    </row>
    <row r="2" spans="1:46" ht="30" hidden="1" customHeight="1" x14ac:dyDescent="0.25">
      <c r="A2" s="135">
        <v>2026</v>
      </c>
      <c r="B2" s="66" t="s">
        <v>70</v>
      </c>
      <c r="C2" s="73" t="s">
        <v>172</v>
      </c>
      <c r="D2" s="144" t="s">
        <v>114</v>
      </c>
      <c r="E2" s="144">
        <v>1</v>
      </c>
      <c r="F2" s="65" t="s">
        <v>173</v>
      </c>
      <c r="G2" s="144" t="s">
        <v>121</v>
      </c>
      <c r="H2" s="66" t="s">
        <v>126</v>
      </c>
      <c r="I2" s="79" t="s">
        <v>174</v>
      </c>
      <c r="J2" s="144" t="s">
        <v>132</v>
      </c>
      <c r="K2" s="144" t="s">
        <v>3</v>
      </c>
      <c r="L2" s="66" t="s">
        <v>6</v>
      </c>
      <c r="M2" s="67" t="s">
        <v>31</v>
      </c>
      <c r="N2" s="187"/>
      <c r="O2" s="187"/>
      <c r="P2" s="187"/>
      <c r="Q2" s="144" t="s">
        <v>139</v>
      </c>
      <c r="R2" s="89"/>
      <c r="S2" s="89"/>
      <c r="T2" s="65" t="s">
        <v>175</v>
      </c>
      <c r="U2" s="144">
        <v>2026</v>
      </c>
      <c r="V2" s="99">
        <v>46030</v>
      </c>
      <c r="W2" s="89"/>
      <c r="X2" s="99">
        <v>46066</v>
      </c>
      <c r="Y2" s="188">
        <v>829202</v>
      </c>
      <c r="Z2" s="189">
        <v>0</v>
      </c>
      <c r="AA2" s="188">
        <v>995042.4</v>
      </c>
      <c r="AB2" s="188">
        <v>0</v>
      </c>
      <c r="AC2" s="188">
        <v>829202</v>
      </c>
      <c r="AD2" s="188">
        <v>995042.4</v>
      </c>
      <c r="AE2" s="68" t="s">
        <v>102</v>
      </c>
      <c r="AF2" s="68"/>
      <c r="AG2" s="68"/>
      <c r="AH2" s="190"/>
      <c r="AI2" s="191"/>
      <c r="AJ2" s="190"/>
      <c r="AK2" s="192"/>
      <c r="AL2" s="190"/>
      <c r="AM2" s="193" t="s">
        <v>176</v>
      </c>
      <c r="AN2" s="194"/>
      <c r="AO2" s="195"/>
      <c r="AP2" s="31"/>
      <c r="AQ2" s="31"/>
      <c r="AR2" s="30"/>
      <c r="AS2" s="31"/>
    </row>
    <row r="3" spans="1:46" ht="30" hidden="1" customHeight="1" x14ac:dyDescent="0.25">
      <c r="A3" s="46">
        <v>2026</v>
      </c>
      <c r="B3" s="66" t="s">
        <v>77</v>
      </c>
      <c r="C3" s="65" t="s">
        <v>177</v>
      </c>
      <c r="D3" s="144" t="s">
        <v>114</v>
      </c>
      <c r="E3" s="141"/>
      <c r="F3" s="65" t="s">
        <v>178</v>
      </c>
      <c r="G3" s="144" t="s">
        <v>121</v>
      </c>
      <c r="H3" s="66" t="s">
        <v>126</v>
      </c>
      <c r="I3" s="65" t="s">
        <v>179</v>
      </c>
      <c r="J3" s="144" t="s">
        <v>132</v>
      </c>
      <c r="K3" s="144" t="s">
        <v>3</v>
      </c>
      <c r="L3" s="66" t="s">
        <v>6</v>
      </c>
      <c r="M3" s="65" t="s">
        <v>180</v>
      </c>
      <c r="N3" s="187"/>
      <c r="O3" s="187"/>
      <c r="P3" s="187"/>
      <c r="Q3" s="144" t="s">
        <v>140</v>
      </c>
      <c r="R3" s="89"/>
      <c r="S3" s="89"/>
      <c r="T3" s="65" t="s">
        <v>181</v>
      </c>
      <c r="U3" s="144">
        <v>2026</v>
      </c>
      <c r="V3" s="99">
        <v>46022</v>
      </c>
      <c r="W3" s="89"/>
      <c r="X3" s="99">
        <v>46024</v>
      </c>
      <c r="Y3" s="188">
        <v>154000</v>
      </c>
      <c r="Z3" s="189">
        <v>0</v>
      </c>
      <c r="AA3" s="188">
        <f>+Y3</f>
        <v>154000</v>
      </c>
      <c r="AB3" s="188">
        <f>+Z3</f>
        <v>0</v>
      </c>
      <c r="AC3" s="188">
        <f>+Y3</f>
        <v>154000</v>
      </c>
      <c r="AD3" s="188">
        <f>+AA3</f>
        <v>154000</v>
      </c>
      <c r="AE3" s="68" t="s">
        <v>102</v>
      </c>
      <c r="AF3" s="68"/>
      <c r="AG3" s="68"/>
      <c r="AH3" s="190"/>
      <c r="AI3" s="191"/>
      <c r="AJ3" s="190"/>
      <c r="AK3" s="192"/>
      <c r="AL3" s="190"/>
      <c r="AM3" s="196" t="s">
        <v>182</v>
      </c>
      <c r="AN3" s="194"/>
      <c r="AO3" s="195"/>
      <c r="AP3" s="31"/>
      <c r="AQ3" s="31"/>
      <c r="AR3" s="30"/>
      <c r="AS3" s="31"/>
    </row>
    <row r="4" spans="1:46" ht="30" hidden="1" customHeight="1" x14ac:dyDescent="0.25">
      <c r="A4" s="46">
        <v>2026</v>
      </c>
      <c r="B4" s="66" t="s">
        <v>77</v>
      </c>
      <c r="C4" s="65" t="s">
        <v>177</v>
      </c>
      <c r="D4" s="144" t="s">
        <v>114</v>
      </c>
      <c r="E4" s="141"/>
      <c r="F4" s="65" t="s">
        <v>183</v>
      </c>
      <c r="G4" s="144" t="s">
        <v>121</v>
      </c>
      <c r="H4" s="66" t="s">
        <v>126</v>
      </c>
      <c r="I4" s="65" t="s">
        <v>184</v>
      </c>
      <c r="J4" s="144" t="s">
        <v>132</v>
      </c>
      <c r="K4" s="144" t="s">
        <v>3</v>
      </c>
      <c r="L4" s="66" t="s">
        <v>6</v>
      </c>
      <c r="M4" s="65" t="s">
        <v>180</v>
      </c>
      <c r="N4" s="187"/>
      <c r="O4" s="187"/>
      <c r="P4" s="187"/>
      <c r="Q4" s="144" t="s">
        <v>140</v>
      </c>
      <c r="R4" s="89"/>
      <c r="S4" s="89"/>
      <c r="T4" s="65" t="s">
        <v>185</v>
      </c>
      <c r="U4" s="144">
        <v>2026</v>
      </c>
      <c r="V4" s="99">
        <v>46387</v>
      </c>
      <c r="W4" s="89"/>
      <c r="X4" s="99">
        <v>46024</v>
      </c>
      <c r="Y4" s="188">
        <v>375000</v>
      </c>
      <c r="Z4" s="189">
        <v>0</v>
      </c>
      <c r="AA4" s="188">
        <f t="shared" ref="AA4:AA35" si="0">Y4</f>
        <v>375000</v>
      </c>
      <c r="AB4" s="188">
        <v>0</v>
      </c>
      <c r="AC4" s="188">
        <f t="shared" ref="AC4:AC35" si="1">Y4</f>
        <v>375000</v>
      </c>
      <c r="AD4" s="188">
        <f t="shared" ref="AD4:AD35" si="2">Y4</f>
        <v>375000</v>
      </c>
      <c r="AE4" s="68" t="s">
        <v>102</v>
      </c>
      <c r="AF4" s="68"/>
      <c r="AG4" s="68"/>
      <c r="AH4" s="190"/>
      <c r="AI4" s="191"/>
      <c r="AJ4" s="190"/>
      <c r="AK4" s="192"/>
      <c r="AL4" s="190"/>
      <c r="AM4" s="196" t="s">
        <v>182</v>
      </c>
      <c r="AN4" s="194"/>
      <c r="AO4" s="195"/>
      <c r="AP4" s="31"/>
      <c r="AQ4" s="31"/>
      <c r="AR4" s="30"/>
      <c r="AS4" s="31"/>
    </row>
    <row r="5" spans="1:46" ht="30" hidden="1" customHeight="1" x14ac:dyDescent="0.25">
      <c r="A5" s="46">
        <v>2026</v>
      </c>
      <c r="B5" s="66" t="s">
        <v>77</v>
      </c>
      <c r="C5" s="65" t="s">
        <v>177</v>
      </c>
      <c r="D5" s="144" t="s">
        <v>114</v>
      </c>
      <c r="E5" s="141"/>
      <c r="F5" s="65" t="s">
        <v>186</v>
      </c>
      <c r="G5" s="144" t="s">
        <v>121</v>
      </c>
      <c r="H5" s="66" t="s">
        <v>126</v>
      </c>
      <c r="I5" s="65" t="s">
        <v>187</v>
      </c>
      <c r="J5" s="144" t="s">
        <v>132</v>
      </c>
      <c r="K5" s="144" t="s">
        <v>3</v>
      </c>
      <c r="L5" s="66" t="s">
        <v>6</v>
      </c>
      <c r="M5" s="65" t="s">
        <v>180</v>
      </c>
      <c r="N5" s="187"/>
      <c r="O5" s="187"/>
      <c r="P5" s="187"/>
      <c r="Q5" s="144" t="s">
        <v>140</v>
      </c>
      <c r="R5" s="89"/>
      <c r="S5" s="89"/>
      <c r="T5" s="65" t="s">
        <v>188</v>
      </c>
      <c r="U5" s="144">
        <v>2026</v>
      </c>
      <c r="V5" s="99">
        <v>46387</v>
      </c>
      <c r="W5" s="89"/>
      <c r="X5" s="99">
        <v>46024</v>
      </c>
      <c r="Y5" s="188">
        <v>445714.08</v>
      </c>
      <c r="Z5" s="189">
        <v>0</v>
      </c>
      <c r="AA5" s="188">
        <f t="shared" si="0"/>
        <v>445714.08</v>
      </c>
      <c r="AB5" s="188">
        <v>0</v>
      </c>
      <c r="AC5" s="188">
        <f t="shared" si="1"/>
        <v>445714.08</v>
      </c>
      <c r="AD5" s="188">
        <f t="shared" si="2"/>
        <v>445714.08</v>
      </c>
      <c r="AE5" s="68" t="s">
        <v>102</v>
      </c>
      <c r="AF5" s="68"/>
      <c r="AG5" s="68"/>
      <c r="AH5" s="190"/>
      <c r="AI5" s="191"/>
      <c r="AJ5" s="190"/>
      <c r="AK5" s="192"/>
      <c r="AL5" s="190"/>
      <c r="AM5" s="196" t="s">
        <v>182</v>
      </c>
      <c r="AN5" s="194"/>
      <c r="AO5" s="195"/>
      <c r="AP5" s="31"/>
      <c r="AQ5" s="31"/>
      <c r="AR5" s="30"/>
      <c r="AS5" s="31"/>
    </row>
    <row r="6" spans="1:46" ht="30" hidden="1" customHeight="1" x14ac:dyDescent="0.25">
      <c r="A6" s="46">
        <v>2026</v>
      </c>
      <c r="B6" s="66" t="s">
        <v>77</v>
      </c>
      <c r="C6" s="65" t="s">
        <v>177</v>
      </c>
      <c r="D6" s="144" t="s">
        <v>114</v>
      </c>
      <c r="E6" s="141"/>
      <c r="F6" s="65" t="s">
        <v>189</v>
      </c>
      <c r="G6" s="144" t="s">
        <v>121</v>
      </c>
      <c r="H6" s="66" t="s">
        <v>126</v>
      </c>
      <c r="I6" s="65" t="s">
        <v>190</v>
      </c>
      <c r="J6" s="144" t="s">
        <v>132</v>
      </c>
      <c r="K6" s="144" t="s">
        <v>3</v>
      </c>
      <c r="L6" s="66" t="s">
        <v>6</v>
      </c>
      <c r="M6" s="65" t="s">
        <v>180</v>
      </c>
      <c r="N6" s="187"/>
      <c r="O6" s="187"/>
      <c r="P6" s="187"/>
      <c r="Q6" s="144" t="s">
        <v>140</v>
      </c>
      <c r="R6" s="89"/>
      <c r="S6" s="89"/>
      <c r="T6" s="65" t="s">
        <v>191</v>
      </c>
      <c r="U6" s="144">
        <v>2026</v>
      </c>
      <c r="V6" s="99">
        <v>46387</v>
      </c>
      <c r="W6" s="89"/>
      <c r="X6" s="99">
        <v>46024</v>
      </c>
      <c r="Y6" s="188">
        <v>880000</v>
      </c>
      <c r="Z6" s="189">
        <v>0</v>
      </c>
      <c r="AA6" s="188">
        <f t="shared" si="0"/>
        <v>880000</v>
      </c>
      <c r="AB6" s="188">
        <v>0</v>
      </c>
      <c r="AC6" s="188">
        <f t="shared" si="1"/>
        <v>880000</v>
      </c>
      <c r="AD6" s="188">
        <f t="shared" si="2"/>
        <v>880000</v>
      </c>
      <c r="AE6" s="68" t="s">
        <v>102</v>
      </c>
      <c r="AF6" s="68"/>
      <c r="AG6" s="68"/>
      <c r="AH6" s="190"/>
      <c r="AI6" s="191"/>
      <c r="AJ6" s="190"/>
      <c r="AK6" s="192"/>
      <c r="AL6" s="190"/>
      <c r="AM6" s="196" t="s">
        <v>182</v>
      </c>
      <c r="AN6" s="194"/>
      <c r="AO6" s="195"/>
      <c r="AP6" s="31"/>
      <c r="AQ6" s="31"/>
      <c r="AR6" s="30"/>
      <c r="AS6" s="31"/>
    </row>
    <row r="7" spans="1:46" ht="30" hidden="1" customHeight="1" x14ac:dyDescent="0.25">
      <c r="A7" s="46">
        <v>2026</v>
      </c>
      <c r="B7" s="66" t="s">
        <v>77</v>
      </c>
      <c r="C7" s="65" t="s">
        <v>177</v>
      </c>
      <c r="D7" s="144" t="s">
        <v>114</v>
      </c>
      <c r="E7" s="141"/>
      <c r="F7" s="65" t="s">
        <v>192</v>
      </c>
      <c r="G7" s="144" t="s">
        <v>121</v>
      </c>
      <c r="H7" s="66" t="s">
        <v>126</v>
      </c>
      <c r="I7" s="65" t="s">
        <v>193</v>
      </c>
      <c r="J7" s="144" t="s">
        <v>132</v>
      </c>
      <c r="K7" s="144" t="s">
        <v>3</v>
      </c>
      <c r="L7" s="66" t="s">
        <v>6</v>
      </c>
      <c r="M7" s="65" t="s">
        <v>180</v>
      </c>
      <c r="N7" s="187"/>
      <c r="O7" s="187"/>
      <c r="P7" s="187"/>
      <c r="Q7" s="144" t="s">
        <v>140</v>
      </c>
      <c r="R7" s="89"/>
      <c r="S7" s="89"/>
      <c r="T7" s="65" t="s">
        <v>194</v>
      </c>
      <c r="U7" s="144">
        <v>2026</v>
      </c>
      <c r="V7" s="99">
        <v>46387</v>
      </c>
      <c r="W7" s="89"/>
      <c r="X7" s="99">
        <v>46024</v>
      </c>
      <c r="Y7" s="188">
        <v>176000</v>
      </c>
      <c r="Z7" s="189">
        <v>0</v>
      </c>
      <c r="AA7" s="188">
        <f t="shared" si="0"/>
        <v>176000</v>
      </c>
      <c r="AB7" s="188">
        <v>0</v>
      </c>
      <c r="AC7" s="188">
        <f t="shared" si="1"/>
        <v>176000</v>
      </c>
      <c r="AD7" s="188">
        <f t="shared" si="2"/>
        <v>176000</v>
      </c>
      <c r="AE7" s="68" t="s">
        <v>102</v>
      </c>
      <c r="AF7" s="68"/>
      <c r="AG7" s="68"/>
      <c r="AH7" s="190"/>
      <c r="AI7" s="191"/>
      <c r="AJ7" s="190"/>
      <c r="AK7" s="192"/>
      <c r="AL7" s="190"/>
      <c r="AM7" s="196" t="s">
        <v>182</v>
      </c>
      <c r="AN7" s="194"/>
      <c r="AO7" s="195"/>
      <c r="AP7" s="31"/>
      <c r="AQ7" s="31"/>
      <c r="AR7" s="30"/>
      <c r="AS7" s="31"/>
    </row>
    <row r="8" spans="1:46" ht="30" hidden="1" customHeight="1" x14ac:dyDescent="0.25">
      <c r="A8" s="46">
        <v>2026</v>
      </c>
      <c r="B8" s="66" t="s">
        <v>77</v>
      </c>
      <c r="C8" s="65" t="s">
        <v>177</v>
      </c>
      <c r="D8" s="144" t="s">
        <v>114</v>
      </c>
      <c r="E8" s="141"/>
      <c r="F8" s="65" t="s">
        <v>195</v>
      </c>
      <c r="G8" s="144" t="s">
        <v>121</v>
      </c>
      <c r="H8" s="66" t="s">
        <v>126</v>
      </c>
      <c r="I8" s="65" t="s">
        <v>196</v>
      </c>
      <c r="J8" s="144" t="s">
        <v>132</v>
      </c>
      <c r="K8" s="144" t="s">
        <v>3</v>
      </c>
      <c r="L8" s="66" t="s">
        <v>6</v>
      </c>
      <c r="M8" s="65" t="s">
        <v>180</v>
      </c>
      <c r="N8" s="187"/>
      <c r="O8" s="187"/>
      <c r="P8" s="187"/>
      <c r="Q8" s="144" t="s">
        <v>140</v>
      </c>
      <c r="R8" s="89"/>
      <c r="S8" s="89"/>
      <c r="T8" s="65" t="s">
        <v>197</v>
      </c>
      <c r="U8" s="144">
        <v>2026</v>
      </c>
      <c r="V8" s="99">
        <v>46387</v>
      </c>
      <c r="W8" s="89"/>
      <c r="X8" s="99">
        <v>46024</v>
      </c>
      <c r="Y8" s="188">
        <v>342857</v>
      </c>
      <c r="Z8" s="189">
        <v>0</v>
      </c>
      <c r="AA8" s="188">
        <f t="shared" si="0"/>
        <v>342857</v>
      </c>
      <c r="AB8" s="188">
        <v>0</v>
      </c>
      <c r="AC8" s="188">
        <f t="shared" si="1"/>
        <v>342857</v>
      </c>
      <c r="AD8" s="188">
        <f t="shared" si="2"/>
        <v>342857</v>
      </c>
      <c r="AE8" s="68" t="s">
        <v>102</v>
      </c>
      <c r="AF8" s="68"/>
      <c r="AG8" s="68"/>
      <c r="AH8" s="190"/>
      <c r="AI8" s="191"/>
      <c r="AJ8" s="190"/>
      <c r="AK8" s="192"/>
      <c r="AL8" s="190"/>
      <c r="AM8" s="196" t="s">
        <v>182</v>
      </c>
      <c r="AN8" s="194"/>
      <c r="AO8" s="195"/>
      <c r="AP8" s="31"/>
      <c r="AQ8" s="31"/>
      <c r="AR8" s="30"/>
      <c r="AS8" s="31"/>
    </row>
    <row r="9" spans="1:46" ht="30" hidden="1" customHeight="1" x14ac:dyDescent="0.25">
      <c r="A9" s="135">
        <v>2026</v>
      </c>
      <c r="B9" s="66" t="s">
        <v>63</v>
      </c>
      <c r="C9" s="65" t="s">
        <v>198</v>
      </c>
      <c r="D9" s="144" t="s">
        <v>114</v>
      </c>
      <c r="E9" s="141"/>
      <c r="F9" s="65" t="s">
        <v>199</v>
      </c>
      <c r="G9" s="144" t="s">
        <v>121</v>
      </c>
      <c r="H9" s="66" t="s">
        <v>126</v>
      </c>
      <c r="I9" s="74"/>
      <c r="J9" s="144" t="s">
        <v>132</v>
      </c>
      <c r="K9" s="144" t="s">
        <v>3</v>
      </c>
      <c r="L9" s="66" t="s">
        <v>6</v>
      </c>
      <c r="M9" s="65" t="s">
        <v>200</v>
      </c>
      <c r="N9" s="187"/>
      <c r="O9" s="187"/>
      <c r="P9" s="187"/>
      <c r="Q9" s="144" t="s">
        <v>140</v>
      </c>
      <c r="R9" s="89"/>
      <c r="S9" s="89"/>
      <c r="T9" s="65" t="s">
        <v>201</v>
      </c>
      <c r="U9" s="144">
        <v>2026</v>
      </c>
      <c r="V9" s="99">
        <v>46022</v>
      </c>
      <c r="W9" s="89"/>
      <c r="X9" s="99">
        <v>46024</v>
      </c>
      <c r="Y9" s="188">
        <v>113142.48</v>
      </c>
      <c r="Z9" s="189">
        <v>0</v>
      </c>
      <c r="AA9" s="188">
        <f t="shared" si="0"/>
        <v>113142.48</v>
      </c>
      <c r="AB9" s="188">
        <v>0</v>
      </c>
      <c r="AC9" s="188">
        <f t="shared" si="1"/>
        <v>113142.48</v>
      </c>
      <c r="AD9" s="188">
        <f t="shared" si="2"/>
        <v>113142.48</v>
      </c>
      <c r="AE9" s="68" t="s">
        <v>102</v>
      </c>
      <c r="AF9" s="68"/>
      <c r="AG9" s="68"/>
      <c r="AH9" s="190"/>
      <c r="AI9" s="191"/>
      <c r="AJ9" s="190"/>
      <c r="AK9" s="192"/>
      <c r="AL9" s="190"/>
      <c r="AM9" s="193" t="s">
        <v>202</v>
      </c>
      <c r="AN9" s="194"/>
      <c r="AO9" s="195"/>
      <c r="AP9" s="31"/>
      <c r="AQ9" s="31"/>
      <c r="AR9" s="30"/>
      <c r="AS9" s="31"/>
    </row>
    <row r="10" spans="1:46" ht="30" hidden="1" customHeight="1" x14ac:dyDescent="0.25">
      <c r="A10" s="135">
        <v>2026</v>
      </c>
      <c r="B10" s="66" t="s">
        <v>63</v>
      </c>
      <c r="C10" s="65" t="s">
        <v>198</v>
      </c>
      <c r="D10" s="144" t="s">
        <v>114</v>
      </c>
      <c r="E10" s="141"/>
      <c r="F10" s="65" t="s">
        <v>203</v>
      </c>
      <c r="G10" s="144" t="s">
        <v>121</v>
      </c>
      <c r="H10" s="66" t="s">
        <v>126</v>
      </c>
      <c r="I10" s="74"/>
      <c r="J10" s="144" t="s">
        <v>132</v>
      </c>
      <c r="K10" s="144" t="s">
        <v>3</v>
      </c>
      <c r="L10" s="66" t="s">
        <v>6</v>
      </c>
      <c r="M10" s="65" t="s">
        <v>200</v>
      </c>
      <c r="N10" s="187"/>
      <c r="O10" s="187"/>
      <c r="P10" s="187"/>
      <c r="Q10" s="144" t="s">
        <v>140</v>
      </c>
      <c r="R10" s="89"/>
      <c r="S10" s="89"/>
      <c r="T10" s="65" t="s">
        <v>204</v>
      </c>
      <c r="U10" s="144">
        <v>2026</v>
      </c>
      <c r="V10" s="99">
        <v>46022</v>
      </c>
      <c r="W10" s="89"/>
      <c r="X10" s="99">
        <v>46024</v>
      </c>
      <c r="Y10" s="188">
        <v>113142.48</v>
      </c>
      <c r="Z10" s="189">
        <v>0</v>
      </c>
      <c r="AA10" s="188">
        <f t="shared" si="0"/>
        <v>113142.48</v>
      </c>
      <c r="AB10" s="188">
        <v>0</v>
      </c>
      <c r="AC10" s="188">
        <f t="shared" si="1"/>
        <v>113142.48</v>
      </c>
      <c r="AD10" s="188">
        <f t="shared" si="2"/>
        <v>113142.48</v>
      </c>
      <c r="AE10" s="68" t="s">
        <v>102</v>
      </c>
      <c r="AF10" s="68"/>
      <c r="AG10" s="68"/>
      <c r="AH10" s="190"/>
      <c r="AI10" s="191"/>
      <c r="AJ10" s="190"/>
      <c r="AK10" s="192"/>
      <c r="AL10" s="190"/>
      <c r="AM10" s="193" t="s">
        <v>202</v>
      </c>
      <c r="AN10" s="194"/>
      <c r="AO10" s="195"/>
      <c r="AP10" s="31"/>
      <c r="AQ10" s="31"/>
      <c r="AR10" s="30"/>
      <c r="AS10" s="31"/>
    </row>
    <row r="11" spans="1:46" ht="30" hidden="1" customHeight="1" x14ac:dyDescent="0.25">
      <c r="A11" s="135">
        <v>2026</v>
      </c>
      <c r="B11" s="66" t="s">
        <v>63</v>
      </c>
      <c r="C11" s="65" t="s">
        <v>198</v>
      </c>
      <c r="D11" s="144" t="s">
        <v>114</v>
      </c>
      <c r="E11" s="141"/>
      <c r="F11" s="65" t="s">
        <v>205</v>
      </c>
      <c r="G11" s="144" t="s">
        <v>121</v>
      </c>
      <c r="H11" s="66" t="s">
        <v>126</v>
      </c>
      <c r="I11" s="74"/>
      <c r="J11" s="144" t="s">
        <v>132</v>
      </c>
      <c r="K11" s="144" t="s">
        <v>3</v>
      </c>
      <c r="L11" s="66" t="s">
        <v>6</v>
      </c>
      <c r="M11" s="65" t="s">
        <v>200</v>
      </c>
      <c r="N11" s="187"/>
      <c r="O11" s="187"/>
      <c r="P11" s="187"/>
      <c r="Q11" s="144" t="s">
        <v>140</v>
      </c>
      <c r="R11" s="89"/>
      <c r="S11" s="89"/>
      <c r="T11" s="65" t="s">
        <v>206</v>
      </c>
      <c r="U11" s="144">
        <v>2026</v>
      </c>
      <c r="V11" s="99">
        <v>46022</v>
      </c>
      <c r="W11" s="89"/>
      <c r="X11" s="99">
        <v>46024</v>
      </c>
      <c r="Y11" s="188">
        <v>113142.48</v>
      </c>
      <c r="Z11" s="189">
        <v>0</v>
      </c>
      <c r="AA11" s="188">
        <f t="shared" si="0"/>
        <v>113142.48</v>
      </c>
      <c r="AB11" s="188">
        <v>0</v>
      </c>
      <c r="AC11" s="188">
        <f t="shared" si="1"/>
        <v>113142.48</v>
      </c>
      <c r="AD11" s="188">
        <f t="shared" si="2"/>
        <v>113142.48</v>
      </c>
      <c r="AE11" s="68" t="s">
        <v>102</v>
      </c>
      <c r="AF11" s="68"/>
      <c r="AG11" s="68"/>
      <c r="AH11" s="190"/>
      <c r="AI11" s="191"/>
      <c r="AJ11" s="190"/>
      <c r="AK11" s="192"/>
      <c r="AL11" s="190"/>
      <c r="AM11" s="193" t="s">
        <v>202</v>
      </c>
      <c r="AN11" s="194"/>
      <c r="AO11" s="195"/>
      <c r="AP11" s="31"/>
      <c r="AQ11" s="31"/>
      <c r="AR11" s="30"/>
      <c r="AS11" s="31"/>
    </row>
    <row r="12" spans="1:46" ht="30" hidden="1" customHeight="1" x14ac:dyDescent="0.25">
      <c r="A12" s="135">
        <v>2026</v>
      </c>
      <c r="B12" s="66" t="s">
        <v>63</v>
      </c>
      <c r="C12" s="65" t="s">
        <v>198</v>
      </c>
      <c r="D12" s="144" t="s">
        <v>114</v>
      </c>
      <c r="E12" s="141"/>
      <c r="F12" s="65" t="s">
        <v>207</v>
      </c>
      <c r="G12" s="144" t="s">
        <v>121</v>
      </c>
      <c r="H12" s="66" t="s">
        <v>126</v>
      </c>
      <c r="I12" s="74"/>
      <c r="J12" s="144" t="s">
        <v>132</v>
      </c>
      <c r="K12" s="144" t="s">
        <v>3</v>
      </c>
      <c r="L12" s="66" t="s">
        <v>6</v>
      </c>
      <c r="M12" s="65" t="s">
        <v>200</v>
      </c>
      <c r="N12" s="187"/>
      <c r="O12" s="187"/>
      <c r="P12" s="187"/>
      <c r="Q12" s="144" t="s">
        <v>140</v>
      </c>
      <c r="R12" s="89"/>
      <c r="S12" s="89"/>
      <c r="T12" s="65" t="s">
        <v>206</v>
      </c>
      <c r="U12" s="144">
        <v>2026</v>
      </c>
      <c r="V12" s="99">
        <v>46022</v>
      </c>
      <c r="W12" s="89"/>
      <c r="X12" s="99">
        <v>46024</v>
      </c>
      <c r="Y12" s="188">
        <v>113142.48</v>
      </c>
      <c r="Z12" s="189">
        <v>0</v>
      </c>
      <c r="AA12" s="188">
        <f t="shared" si="0"/>
        <v>113142.48</v>
      </c>
      <c r="AB12" s="188">
        <v>0</v>
      </c>
      <c r="AC12" s="188">
        <f t="shared" si="1"/>
        <v>113142.48</v>
      </c>
      <c r="AD12" s="188">
        <f t="shared" si="2"/>
        <v>113142.48</v>
      </c>
      <c r="AE12" s="68" t="s">
        <v>102</v>
      </c>
      <c r="AF12" s="68"/>
      <c r="AG12" s="68"/>
      <c r="AH12" s="190"/>
      <c r="AI12" s="191"/>
      <c r="AJ12" s="190"/>
      <c r="AK12" s="192"/>
      <c r="AL12" s="190"/>
      <c r="AM12" s="193" t="s">
        <v>202</v>
      </c>
      <c r="AN12" s="194"/>
      <c r="AO12" s="195"/>
      <c r="AP12" s="31"/>
      <c r="AQ12" s="31"/>
      <c r="AR12" s="30"/>
      <c r="AS12" s="31"/>
    </row>
    <row r="13" spans="1:46" ht="30" hidden="1" customHeight="1" x14ac:dyDescent="0.25">
      <c r="A13" s="135">
        <v>2026</v>
      </c>
      <c r="B13" s="66" t="s">
        <v>63</v>
      </c>
      <c r="C13" s="65" t="s">
        <v>198</v>
      </c>
      <c r="D13" s="144" t="s">
        <v>114</v>
      </c>
      <c r="E13" s="141"/>
      <c r="F13" s="65" t="s">
        <v>208</v>
      </c>
      <c r="G13" s="144" t="s">
        <v>121</v>
      </c>
      <c r="H13" s="66" t="s">
        <v>126</v>
      </c>
      <c r="I13" s="74"/>
      <c r="J13" s="144" t="s">
        <v>132</v>
      </c>
      <c r="K13" s="144" t="s">
        <v>3</v>
      </c>
      <c r="L13" s="66" t="s">
        <v>6</v>
      </c>
      <c r="M13" s="65" t="s">
        <v>200</v>
      </c>
      <c r="N13" s="187"/>
      <c r="O13" s="187"/>
      <c r="P13" s="187"/>
      <c r="Q13" s="144" t="s">
        <v>140</v>
      </c>
      <c r="R13" s="89"/>
      <c r="S13" s="89"/>
      <c r="T13" s="65" t="s">
        <v>209</v>
      </c>
      <c r="U13" s="144">
        <v>2026</v>
      </c>
      <c r="V13" s="99">
        <v>46022</v>
      </c>
      <c r="W13" s="89"/>
      <c r="X13" s="99">
        <v>46024</v>
      </c>
      <c r="Y13" s="188">
        <v>113142.48</v>
      </c>
      <c r="Z13" s="189">
        <v>0</v>
      </c>
      <c r="AA13" s="188">
        <f t="shared" si="0"/>
        <v>113142.48</v>
      </c>
      <c r="AB13" s="188">
        <v>0</v>
      </c>
      <c r="AC13" s="188">
        <f t="shared" si="1"/>
        <v>113142.48</v>
      </c>
      <c r="AD13" s="188">
        <f t="shared" si="2"/>
        <v>113142.48</v>
      </c>
      <c r="AE13" s="68" t="s">
        <v>102</v>
      </c>
      <c r="AF13" s="68"/>
      <c r="AG13" s="68"/>
      <c r="AH13" s="190"/>
      <c r="AI13" s="191"/>
      <c r="AJ13" s="190"/>
      <c r="AK13" s="192"/>
      <c r="AL13" s="190"/>
      <c r="AM13" s="193" t="s">
        <v>202</v>
      </c>
      <c r="AN13" s="194"/>
      <c r="AO13" s="195"/>
      <c r="AP13" s="31"/>
      <c r="AQ13" s="31"/>
      <c r="AR13" s="30"/>
      <c r="AS13" s="31"/>
    </row>
    <row r="14" spans="1:46" ht="30" hidden="1" customHeight="1" x14ac:dyDescent="0.25">
      <c r="A14" s="135">
        <v>2026</v>
      </c>
      <c r="B14" s="66" t="s">
        <v>63</v>
      </c>
      <c r="C14" s="65" t="s">
        <v>198</v>
      </c>
      <c r="D14" s="144" t="s">
        <v>114</v>
      </c>
      <c r="E14" s="141"/>
      <c r="F14" s="65" t="s">
        <v>210</v>
      </c>
      <c r="G14" s="144" t="s">
        <v>121</v>
      </c>
      <c r="H14" s="66" t="s">
        <v>126</v>
      </c>
      <c r="I14" s="74"/>
      <c r="J14" s="144" t="s">
        <v>132</v>
      </c>
      <c r="K14" s="144" t="s">
        <v>3</v>
      </c>
      <c r="L14" s="66" t="s">
        <v>6</v>
      </c>
      <c r="M14" s="65" t="s">
        <v>200</v>
      </c>
      <c r="N14" s="187"/>
      <c r="O14" s="187"/>
      <c r="P14" s="187"/>
      <c r="Q14" s="144" t="s">
        <v>140</v>
      </c>
      <c r="R14" s="89"/>
      <c r="S14" s="89"/>
      <c r="T14" s="65" t="s">
        <v>211</v>
      </c>
      <c r="U14" s="144">
        <v>2026</v>
      </c>
      <c r="V14" s="99">
        <v>46022</v>
      </c>
      <c r="W14" s="89"/>
      <c r="X14" s="99">
        <v>46024</v>
      </c>
      <c r="Y14" s="188">
        <v>113142.48</v>
      </c>
      <c r="Z14" s="189">
        <v>0</v>
      </c>
      <c r="AA14" s="188">
        <f t="shared" si="0"/>
        <v>113142.48</v>
      </c>
      <c r="AB14" s="188">
        <v>0</v>
      </c>
      <c r="AC14" s="188">
        <f t="shared" si="1"/>
        <v>113142.48</v>
      </c>
      <c r="AD14" s="188">
        <f t="shared" si="2"/>
        <v>113142.48</v>
      </c>
      <c r="AE14" s="68" t="s">
        <v>102</v>
      </c>
      <c r="AF14" s="68"/>
      <c r="AG14" s="68"/>
      <c r="AH14" s="190"/>
      <c r="AI14" s="191"/>
      <c r="AJ14" s="190"/>
      <c r="AK14" s="192"/>
      <c r="AL14" s="190"/>
      <c r="AM14" s="193" t="s">
        <v>202</v>
      </c>
      <c r="AN14" s="194"/>
      <c r="AO14" s="195"/>
      <c r="AP14" s="31"/>
      <c r="AQ14" s="31"/>
      <c r="AR14" s="30"/>
      <c r="AS14" s="31"/>
    </row>
    <row r="15" spans="1:46" ht="30" hidden="1" customHeight="1" x14ac:dyDescent="0.25">
      <c r="A15" s="135">
        <v>2026</v>
      </c>
      <c r="B15" s="66" t="s">
        <v>63</v>
      </c>
      <c r="C15" s="65" t="s">
        <v>198</v>
      </c>
      <c r="D15" s="144" t="s">
        <v>114</v>
      </c>
      <c r="E15" s="141"/>
      <c r="F15" s="65" t="s">
        <v>212</v>
      </c>
      <c r="G15" s="144" t="s">
        <v>121</v>
      </c>
      <c r="H15" s="66" t="s">
        <v>126</v>
      </c>
      <c r="I15" s="74"/>
      <c r="J15" s="144" t="s">
        <v>132</v>
      </c>
      <c r="K15" s="144" t="s">
        <v>3</v>
      </c>
      <c r="L15" s="66" t="s">
        <v>6</v>
      </c>
      <c r="M15" s="65" t="s">
        <v>200</v>
      </c>
      <c r="N15" s="187"/>
      <c r="O15" s="187"/>
      <c r="P15" s="187"/>
      <c r="Q15" s="144" t="s">
        <v>140</v>
      </c>
      <c r="R15" s="89"/>
      <c r="S15" s="89"/>
      <c r="T15" s="65" t="s">
        <v>213</v>
      </c>
      <c r="U15" s="144">
        <v>2026</v>
      </c>
      <c r="V15" s="99">
        <v>46022</v>
      </c>
      <c r="W15" s="89"/>
      <c r="X15" s="99">
        <v>46024</v>
      </c>
      <c r="Y15" s="188">
        <v>113142.48</v>
      </c>
      <c r="Z15" s="189">
        <v>0</v>
      </c>
      <c r="AA15" s="188">
        <f t="shared" si="0"/>
        <v>113142.48</v>
      </c>
      <c r="AB15" s="188">
        <v>0</v>
      </c>
      <c r="AC15" s="188">
        <f t="shared" si="1"/>
        <v>113142.48</v>
      </c>
      <c r="AD15" s="188">
        <f t="shared" si="2"/>
        <v>113142.48</v>
      </c>
      <c r="AE15" s="68" t="s">
        <v>102</v>
      </c>
      <c r="AF15" s="68"/>
      <c r="AG15" s="68"/>
      <c r="AH15" s="190"/>
      <c r="AI15" s="191"/>
      <c r="AJ15" s="190"/>
      <c r="AK15" s="192"/>
      <c r="AL15" s="190"/>
      <c r="AM15" s="193" t="s">
        <v>202</v>
      </c>
      <c r="AN15" s="194"/>
      <c r="AO15" s="195"/>
      <c r="AP15" s="31"/>
      <c r="AQ15" s="31"/>
      <c r="AR15" s="30"/>
      <c r="AS15" s="31"/>
    </row>
    <row r="16" spans="1:46" ht="30" hidden="1" customHeight="1" x14ac:dyDescent="0.25">
      <c r="A16" s="135">
        <v>2026</v>
      </c>
      <c r="B16" s="66" t="s">
        <v>63</v>
      </c>
      <c r="C16" s="65" t="s">
        <v>198</v>
      </c>
      <c r="D16" s="144" t="s">
        <v>114</v>
      </c>
      <c r="E16" s="141"/>
      <c r="F16" s="65" t="s">
        <v>214</v>
      </c>
      <c r="G16" s="144" t="s">
        <v>121</v>
      </c>
      <c r="H16" s="66" t="s">
        <v>126</v>
      </c>
      <c r="I16" s="74"/>
      <c r="J16" s="144" t="s">
        <v>132</v>
      </c>
      <c r="K16" s="144" t="s">
        <v>3</v>
      </c>
      <c r="L16" s="66" t="s">
        <v>6</v>
      </c>
      <c r="M16" s="65" t="s">
        <v>200</v>
      </c>
      <c r="N16" s="187"/>
      <c r="O16" s="187"/>
      <c r="P16" s="187"/>
      <c r="Q16" s="144" t="s">
        <v>140</v>
      </c>
      <c r="R16" s="89"/>
      <c r="S16" s="89"/>
      <c r="T16" s="65" t="s">
        <v>215</v>
      </c>
      <c r="U16" s="144">
        <v>2026</v>
      </c>
      <c r="V16" s="99">
        <v>46022</v>
      </c>
      <c r="W16" s="89"/>
      <c r="X16" s="99">
        <v>46024</v>
      </c>
      <c r="Y16" s="188">
        <v>113142.48</v>
      </c>
      <c r="Z16" s="189">
        <v>0</v>
      </c>
      <c r="AA16" s="188">
        <f t="shared" si="0"/>
        <v>113142.48</v>
      </c>
      <c r="AB16" s="188">
        <v>0</v>
      </c>
      <c r="AC16" s="188">
        <f t="shared" si="1"/>
        <v>113142.48</v>
      </c>
      <c r="AD16" s="188">
        <f t="shared" si="2"/>
        <v>113142.48</v>
      </c>
      <c r="AE16" s="68" t="s">
        <v>102</v>
      </c>
      <c r="AF16" s="68"/>
      <c r="AG16" s="68"/>
      <c r="AH16" s="190"/>
      <c r="AI16" s="191"/>
      <c r="AJ16" s="190"/>
      <c r="AK16" s="192"/>
      <c r="AL16" s="190"/>
      <c r="AM16" s="193" t="s">
        <v>202</v>
      </c>
      <c r="AN16" s="194"/>
      <c r="AO16" s="195"/>
      <c r="AP16" s="31"/>
      <c r="AQ16" s="31"/>
      <c r="AR16" s="30"/>
      <c r="AS16" s="31"/>
    </row>
    <row r="17" spans="1:45" ht="30" hidden="1" customHeight="1" x14ac:dyDescent="0.25">
      <c r="A17" s="135">
        <v>2026</v>
      </c>
      <c r="B17" s="66" t="s">
        <v>63</v>
      </c>
      <c r="C17" s="65" t="s">
        <v>198</v>
      </c>
      <c r="D17" s="144" t="s">
        <v>114</v>
      </c>
      <c r="E17" s="141"/>
      <c r="F17" s="65" t="s">
        <v>216</v>
      </c>
      <c r="G17" s="144" t="s">
        <v>121</v>
      </c>
      <c r="H17" s="66" t="s">
        <v>126</v>
      </c>
      <c r="I17" s="74"/>
      <c r="J17" s="144" t="s">
        <v>132</v>
      </c>
      <c r="K17" s="144" t="s">
        <v>3</v>
      </c>
      <c r="L17" s="66" t="s">
        <v>6</v>
      </c>
      <c r="M17" s="65" t="s">
        <v>200</v>
      </c>
      <c r="N17" s="187"/>
      <c r="O17" s="187"/>
      <c r="P17" s="187"/>
      <c r="Q17" s="144" t="s">
        <v>140</v>
      </c>
      <c r="R17" s="89"/>
      <c r="S17" s="89"/>
      <c r="T17" s="65" t="s">
        <v>217</v>
      </c>
      <c r="U17" s="144">
        <v>2026</v>
      </c>
      <c r="V17" s="99">
        <v>46022</v>
      </c>
      <c r="W17" s="89"/>
      <c r="X17" s="99">
        <v>46024</v>
      </c>
      <c r="Y17" s="188">
        <v>113142.48</v>
      </c>
      <c r="Z17" s="189">
        <v>0</v>
      </c>
      <c r="AA17" s="188">
        <f t="shared" si="0"/>
        <v>113142.48</v>
      </c>
      <c r="AB17" s="188">
        <v>0</v>
      </c>
      <c r="AC17" s="188">
        <f t="shared" si="1"/>
        <v>113142.48</v>
      </c>
      <c r="AD17" s="188">
        <f t="shared" si="2"/>
        <v>113142.48</v>
      </c>
      <c r="AE17" s="68" t="s">
        <v>102</v>
      </c>
      <c r="AF17" s="68"/>
      <c r="AG17" s="68"/>
      <c r="AH17" s="190"/>
      <c r="AI17" s="191"/>
      <c r="AJ17" s="190"/>
      <c r="AK17" s="192"/>
      <c r="AL17" s="190"/>
      <c r="AM17" s="193" t="s">
        <v>202</v>
      </c>
      <c r="AN17" s="194"/>
      <c r="AO17" s="195"/>
      <c r="AP17" s="31"/>
      <c r="AQ17" s="31"/>
      <c r="AR17" s="30"/>
      <c r="AS17" s="31"/>
    </row>
    <row r="18" spans="1:45" ht="30" hidden="1" customHeight="1" x14ac:dyDescent="0.25">
      <c r="A18" s="135">
        <v>2026</v>
      </c>
      <c r="B18" s="66" t="s">
        <v>63</v>
      </c>
      <c r="C18" s="65" t="s">
        <v>198</v>
      </c>
      <c r="D18" s="144" t="s">
        <v>114</v>
      </c>
      <c r="E18" s="141"/>
      <c r="F18" s="65" t="s">
        <v>218</v>
      </c>
      <c r="G18" s="144" t="s">
        <v>121</v>
      </c>
      <c r="H18" s="66" t="s">
        <v>126</v>
      </c>
      <c r="I18" s="74"/>
      <c r="J18" s="144" t="s">
        <v>132</v>
      </c>
      <c r="K18" s="144" t="s">
        <v>3</v>
      </c>
      <c r="L18" s="66" t="s">
        <v>6</v>
      </c>
      <c r="M18" s="65" t="s">
        <v>200</v>
      </c>
      <c r="N18" s="187"/>
      <c r="O18" s="187"/>
      <c r="P18" s="187"/>
      <c r="Q18" s="144" t="s">
        <v>140</v>
      </c>
      <c r="R18" s="89"/>
      <c r="S18" s="89"/>
      <c r="T18" s="65" t="s">
        <v>219</v>
      </c>
      <c r="U18" s="144">
        <v>2026</v>
      </c>
      <c r="V18" s="99">
        <v>46022</v>
      </c>
      <c r="W18" s="89"/>
      <c r="X18" s="99">
        <v>46024</v>
      </c>
      <c r="Y18" s="188">
        <v>113142.48</v>
      </c>
      <c r="Z18" s="189">
        <v>0</v>
      </c>
      <c r="AA18" s="188">
        <f t="shared" si="0"/>
        <v>113142.48</v>
      </c>
      <c r="AB18" s="188">
        <v>0</v>
      </c>
      <c r="AC18" s="188">
        <f t="shared" si="1"/>
        <v>113142.48</v>
      </c>
      <c r="AD18" s="188">
        <f t="shared" si="2"/>
        <v>113142.48</v>
      </c>
      <c r="AE18" s="68" t="s">
        <v>102</v>
      </c>
      <c r="AF18" s="68"/>
      <c r="AG18" s="68"/>
      <c r="AH18" s="190"/>
      <c r="AI18" s="191"/>
      <c r="AJ18" s="190"/>
      <c r="AK18" s="192"/>
      <c r="AL18" s="190"/>
      <c r="AM18" s="193" t="s">
        <v>202</v>
      </c>
      <c r="AN18" s="194"/>
      <c r="AO18" s="195"/>
      <c r="AP18" s="31"/>
      <c r="AQ18" s="31"/>
      <c r="AR18" s="30"/>
      <c r="AS18" s="31"/>
    </row>
    <row r="19" spans="1:45" ht="30" hidden="1" customHeight="1" x14ac:dyDescent="0.25">
      <c r="A19" s="135">
        <v>2026</v>
      </c>
      <c r="B19" s="66" t="s">
        <v>63</v>
      </c>
      <c r="C19" s="65" t="s">
        <v>198</v>
      </c>
      <c r="D19" s="144" t="s">
        <v>114</v>
      </c>
      <c r="E19" s="141"/>
      <c r="F19" s="65" t="s">
        <v>220</v>
      </c>
      <c r="G19" s="144" t="s">
        <v>121</v>
      </c>
      <c r="H19" s="66" t="s">
        <v>126</v>
      </c>
      <c r="I19" s="74"/>
      <c r="J19" s="144" t="s">
        <v>132</v>
      </c>
      <c r="K19" s="144" t="s">
        <v>3</v>
      </c>
      <c r="L19" s="66" t="s">
        <v>6</v>
      </c>
      <c r="M19" s="65" t="s">
        <v>200</v>
      </c>
      <c r="N19" s="187"/>
      <c r="O19" s="187"/>
      <c r="P19" s="187"/>
      <c r="Q19" s="144" t="s">
        <v>140</v>
      </c>
      <c r="R19" s="89"/>
      <c r="S19" s="89"/>
      <c r="T19" s="65" t="s">
        <v>221</v>
      </c>
      <c r="U19" s="144">
        <v>2026</v>
      </c>
      <c r="V19" s="99">
        <v>46022</v>
      </c>
      <c r="W19" s="89"/>
      <c r="X19" s="99">
        <v>46024</v>
      </c>
      <c r="Y19" s="188">
        <v>113142.48</v>
      </c>
      <c r="Z19" s="189">
        <v>0</v>
      </c>
      <c r="AA19" s="188">
        <f t="shared" si="0"/>
        <v>113142.48</v>
      </c>
      <c r="AB19" s="188">
        <v>0</v>
      </c>
      <c r="AC19" s="188">
        <f t="shared" si="1"/>
        <v>113142.48</v>
      </c>
      <c r="AD19" s="188">
        <f t="shared" si="2"/>
        <v>113142.48</v>
      </c>
      <c r="AE19" s="68" t="s">
        <v>102</v>
      </c>
      <c r="AF19" s="68"/>
      <c r="AG19" s="68"/>
      <c r="AH19" s="190"/>
      <c r="AI19" s="191"/>
      <c r="AJ19" s="190"/>
      <c r="AK19" s="192"/>
      <c r="AL19" s="190"/>
      <c r="AM19" s="193" t="s">
        <v>202</v>
      </c>
      <c r="AN19" s="194"/>
      <c r="AO19" s="195"/>
      <c r="AP19" s="31"/>
      <c r="AQ19" s="31"/>
      <c r="AR19" s="30"/>
      <c r="AS19" s="31"/>
    </row>
    <row r="20" spans="1:45" ht="30" hidden="1" customHeight="1" x14ac:dyDescent="0.25">
      <c r="A20" s="135">
        <v>2026</v>
      </c>
      <c r="B20" s="66" t="s">
        <v>63</v>
      </c>
      <c r="C20" s="65" t="s">
        <v>198</v>
      </c>
      <c r="D20" s="144" t="s">
        <v>114</v>
      </c>
      <c r="E20" s="141"/>
      <c r="F20" s="65" t="s">
        <v>222</v>
      </c>
      <c r="G20" s="144" t="s">
        <v>121</v>
      </c>
      <c r="H20" s="66" t="s">
        <v>126</v>
      </c>
      <c r="I20" s="74"/>
      <c r="J20" s="144" t="s">
        <v>132</v>
      </c>
      <c r="K20" s="144" t="s">
        <v>3</v>
      </c>
      <c r="L20" s="66" t="s">
        <v>6</v>
      </c>
      <c r="M20" s="65" t="s">
        <v>200</v>
      </c>
      <c r="N20" s="187"/>
      <c r="O20" s="187"/>
      <c r="P20" s="187"/>
      <c r="Q20" s="144" t="s">
        <v>140</v>
      </c>
      <c r="R20" s="89"/>
      <c r="S20" s="89"/>
      <c r="T20" s="65" t="s">
        <v>223</v>
      </c>
      <c r="U20" s="144">
        <v>2026</v>
      </c>
      <c r="V20" s="99">
        <v>46022</v>
      </c>
      <c r="W20" s="89"/>
      <c r="X20" s="99">
        <v>46024</v>
      </c>
      <c r="Y20" s="188">
        <v>113142.48</v>
      </c>
      <c r="Z20" s="189">
        <v>0</v>
      </c>
      <c r="AA20" s="188">
        <f t="shared" si="0"/>
        <v>113142.48</v>
      </c>
      <c r="AB20" s="188">
        <v>0</v>
      </c>
      <c r="AC20" s="188">
        <f t="shared" si="1"/>
        <v>113142.48</v>
      </c>
      <c r="AD20" s="188">
        <f t="shared" si="2"/>
        <v>113142.48</v>
      </c>
      <c r="AE20" s="68" t="s">
        <v>102</v>
      </c>
      <c r="AF20" s="68"/>
      <c r="AG20" s="68"/>
      <c r="AH20" s="190"/>
      <c r="AI20" s="191"/>
      <c r="AJ20" s="190"/>
      <c r="AK20" s="192"/>
      <c r="AL20" s="190"/>
      <c r="AM20" s="193" t="s">
        <v>202</v>
      </c>
      <c r="AN20" s="194"/>
      <c r="AO20" s="195"/>
      <c r="AP20" s="31"/>
      <c r="AQ20" s="31"/>
      <c r="AR20" s="30"/>
      <c r="AS20" s="31"/>
    </row>
    <row r="21" spans="1:45" ht="30" hidden="1" customHeight="1" x14ac:dyDescent="0.25">
      <c r="A21" s="135">
        <v>2026</v>
      </c>
      <c r="B21" s="66" t="s">
        <v>63</v>
      </c>
      <c r="C21" s="65" t="s">
        <v>198</v>
      </c>
      <c r="D21" s="144" t="s">
        <v>114</v>
      </c>
      <c r="E21" s="141"/>
      <c r="F21" s="65" t="s">
        <v>224</v>
      </c>
      <c r="G21" s="144" t="s">
        <v>121</v>
      </c>
      <c r="H21" s="66" t="s">
        <v>126</v>
      </c>
      <c r="I21" s="74"/>
      <c r="J21" s="144" t="s">
        <v>132</v>
      </c>
      <c r="K21" s="144" t="s">
        <v>3</v>
      </c>
      <c r="L21" s="66" t="s">
        <v>6</v>
      </c>
      <c r="M21" s="65" t="s">
        <v>200</v>
      </c>
      <c r="N21" s="187"/>
      <c r="O21" s="187"/>
      <c r="P21" s="187"/>
      <c r="Q21" s="144" t="s">
        <v>140</v>
      </c>
      <c r="R21" s="89"/>
      <c r="S21" s="89"/>
      <c r="T21" s="65" t="s">
        <v>225</v>
      </c>
      <c r="U21" s="144">
        <v>2026</v>
      </c>
      <c r="V21" s="99">
        <v>46022</v>
      </c>
      <c r="W21" s="89"/>
      <c r="X21" s="99">
        <v>46024</v>
      </c>
      <c r="Y21" s="188">
        <v>113142.48</v>
      </c>
      <c r="Z21" s="189">
        <v>0</v>
      </c>
      <c r="AA21" s="188">
        <f t="shared" si="0"/>
        <v>113142.48</v>
      </c>
      <c r="AB21" s="188">
        <v>0</v>
      </c>
      <c r="AC21" s="188">
        <f t="shared" si="1"/>
        <v>113142.48</v>
      </c>
      <c r="AD21" s="188">
        <f t="shared" si="2"/>
        <v>113142.48</v>
      </c>
      <c r="AE21" s="68" t="s">
        <v>102</v>
      </c>
      <c r="AF21" s="68"/>
      <c r="AG21" s="68"/>
      <c r="AH21" s="190"/>
      <c r="AI21" s="191"/>
      <c r="AJ21" s="190"/>
      <c r="AK21" s="192"/>
      <c r="AL21" s="190"/>
      <c r="AM21" s="193" t="s">
        <v>202</v>
      </c>
      <c r="AN21" s="194"/>
      <c r="AO21" s="195"/>
      <c r="AP21" s="31"/>
      <c r="AQ21" s="31"/>
      <c r="AR21" s="30"/>
      <c r="AS21" s="31"/>
    </row>
    <row r="22" spans="1:45" ht="30" hidden="1" customHeight="1" x14ac:dyDescent="0.25">
      <c r="A22" s="135">
        <v>2026</v>
      </c>
      <c r="B22" s="66" t="s">
        <v>63</v>
      </c>
      <c r="C22" s="65" t="s">
        <v>198</v>
      </c>
      <c r="D22" s="144" t="s">
        <v>114</v>
      </c>
      <c r="E22" s="141"/>
      <c r="F22" s="65" t="s">
        <v>226</v>
      </c>
      <c r="G22" s="144" t="s">
        <v>121</v>
      </c>
      <c r="H22" s="66" t="s">
        <v>126</v>
      </c>
      <c r="I22" s="74"/>
      <c r="J22" s="144" t="s">
        <v>132</v>
      </c>
      <c r="K22" s="144" t="s">
        <v>3</v>
      </c>
      <c r="L22" s="66" t="s">
        <v>6</v>
      </c>
      <c r="M22" s="65" t="s">
        <v>200</v>
      </c>
      <c r="N22" s="187"/>
      <c r="O22" s="187"/>
      <c r="P22" s="187"/>
      <c r="Q22" s="144" t="s">
        <v>140</v>
      </c>
      <c r="R22" s="89"/>
      <c r="S22" s="89"/>
      <c r="T22" s="65" t="s">
        <v>227</v>
      </c>
      <c r="U22" s="144">
        <v>2026</v>
      </c>
      <c r="V22" s="99">
        <v>46022</v>
      </c>
      <c r="W22" s="89"/>
      <c r="X22" s="99">
        <v>46024</v>
      </c>
      <c r="Y22" s="188">
        <v>113142.48</v>
      </c>
      <c r="Z22" s="189">
        <v>0</v>
      </c>
      <c r="AA22" s="188">
        <f t="shared" si="0"/>
        <v>113142.48</v>
      </c>
      <c r="AB22" s="188">
        <v>0</v>
      </c>
      <c r="AC22" s="188">
        <f t="shared" si="1"/>
        <v>113142.48</v>
      </c>
      <c r="AD22" s="188">
        <f t="shared" si="2"/>
        <v>113142.48</v>
      </c>
      <c r="AE22" s="68" t="s">
        <v>102</v>
      </c>
      <c r="AF22" s="68"/>
      <c r="AG22" s="68"/>
      <c r="AH22" s="190"/>
      <c r="AI22" s="191"/>
      <c r="AJ22" s="190"/>
      <c r="AK22" s="192"/>
      <c r="AL22" s="190"/>
      <c r="AM22" s="193" t="s">
        <v>202</v>
      </c>
      <c r="AN22" s="194"/>
      <c r="AO22" s="195"/>
      <c r="AP22" s="31"/>
      <c r="AQ22" s="31"/>
      <c r="AR22" s="30"/>
      <c r="AS22" s="31"/>
    </row>
    <row r="23" spans="1:45" ht="30" hidden="1" customHeight="1" x14ac:dyDescent="0.25">
      <c r="A23" s="135">
        <v>2026</v>
      </c>
      <c r="B23" s="66" t="s">
        <v>63</v>
      </c>
      <c r="C23" s="65" t="s">
        <v>198</v>
      </c>
      <c r="D23" s="144" t="s">
        <v>114</v>
      </c>
      <c r="E23" s="141"/>
      <c r="F23" s="65" t="s">
        <v>228</v>
      </c>
      <c r="G23" s="144" t="s">
        <v>121</v>
      </c>
      <c r="H23" s="66" t="s">
        <v>126</v>
      </c>
      <c r="I23" s="74"/>
      <c r="J23" s="144" t="s">
        <v>132</v>
      </c>
      <c r="K23" s="144" t="s">
        <v>3</v>
      </c>
      <c r="L23" s="66" t="s">
        <v>6</v>
      </c>
      <c r="M23" s="65" t="s">
        <v>200</v>
      </c>
      <c r="N23" s="187"/>
      <c r="O23" s="187"/>
      <c r="P23" s="187"/>
      <c r="Q23" s="144" t="s">
        <v>140</v>
      </c>
      <c r="R23" s="89"/>
      <c r="S23" s="89"/>
      <c r="T23" s="65" t="s">
        <v>229</v>
      </c>
      <c r="U23" s="144">
        <v>2026</v>
      </c>
      <c r="V23" s="99">
        <v>46022</v>
      </c>
      <c r="W23" s="89"/>
      <c r="X23" s="99">
        <v>46024</v>
      </c>
      <c r="Y23" s="188">
        <v>156000</v>
      </c>
      <c r="Z23" s="189"/>
      <c r="AA23" s="188">
        <f t="shared" si="0"/>
        <v>156000</v>
      </c>
      <c r="AB23" s="188"/>
      <c r="AC23" s="188">
        <f t="shared" si="1"/>
        <v>156000</v>
      </c>
      <c r="AD23" s="188">
        <f t="shared" si="2"/>
        <v>156000</v>
      </c>
      <c r="AE23" s="68" t="s">
        <v>102</v>
      </c>
      <c r="AF23" s="68"/>
      <c r="AG23" s="68"/>
      <c r="AH23" s="190"/>
      <c r="AI23" s="191"/>
      <c r="AJ23" s="190"/>
      <c r="AK23" s="192"/>
      <c r="AL23" s="190"/>
      <c r="AM23" s="193" t="s">
        <v>202</v>
      </c>
      <c r="AN23" s="194"/>
      <c r="AO23" s="195"/>
      <c r="AP23" s="31"/>
      <c r="AQ23" s="31"/>
      <c r="AR23" s="30"/>
      <c r="AS23" s="31"/>
    </row>
    <row r="24" spans="1:45" ht="30" hidden="1" customHeight="1" x14ac:dyDescent="0.25">
      <c r="A24" s="135">
        <v>2026</v>
      </c>
      <c r="B24" s="66" t="s">
        <v>63</v>
      </c>
      <c r="C24" s="65" t="s">
        <v>198</v>
      </c>
      <c r="D24" s="144" t="s">
        <v>114</v>
      </c>
      <c r="E24" s="141"/>
      <c r="F24" s="65" t="s">
        <v>230</v>
      </c>
      <c r="G24" s="144" t="s">
        <v>121</v>
      </c>
      <c r="H24" s="66" t="s">
        <v>126</v>
      </c>
      <c r="I24" s="74"/>
      <c r="J24" s="144" t="s">
        <v>132</v>
      </c>
      <c r="K24" s="144" t="s">
        <v>3</v>
      </c>
      <c r="L24" s="66" t="s">
        <v>6</v>
      </c>
      <c r="M24" s="65" t="s">
        <v>200</v>
      </c>
      <c r="N24" s="187"/>
      <c r="O24" s="187"/>
      <c r="P24" s="187"/>
      <c r="Q24" s="144" t="s">
        <v>140</v>
      </c>
      <c r="R24" s="89"/>
      <c r="S24" s="89"/>
      <c r="T24" s="65" t="s">
        <v>231</v>
      </c>
      <c r="U24" s="144">
        <v>2026</v>
      </c>
      <c r="V24" s="99">
        <v>46022</v>
      </c>
      <c r="W24" s="89"/>
      <c r="X24" s="99">
        <v>46024</v>
      </c>
      <c r="Y24" s="188">
        <v>113142.48</v>
      </c>
      <c r="Z24" s="189">
        <v>0</v>
      </c>
      <c r="AA24" s="188">
        <f t="shared" si="0"/>
        <v>113142.48</v>
      </c>
      <c r="AB24" s="188">
        <v>0</v>
      </c>
      <c r="AC24" s="188">
        <f t="shared" si="1"/>
        <v>113142.48</v>
      </c>
      <c r="AD24" s="188">
        <f t="shared" si="2"/>
        <v>113142.48</v>
      </c>
      <c r="AE24" s="68" t="s">
        <v>102</v>
      </c>
      <c r="AF24" s="68"/>
      <c r="AG24" s="68"/>
      <c r="AH24" s="190"/>
      <c r="AI24" s="191"/>
      <c r="AJ24" s="190"/>
      <c r="AK24" s="192"/>
      <c r="AL24" s="190"/>
      <c r="AM24" s="193" t="s">
        <v>202</v>
      </c>
      <c r="AN24" s="194"/>
      <c r="AO24" s="195"/>
      <c r="AP24" s="31"/>
      <c r="AQ24" s="31"/>
      <c r="AR24" s="30"/>
      <c r="AS24" s="31"/>
    </row>
    <row r="25" spans="1:45" ht="30" hidden="1" customHeight="1" x14ac:dyDescent="0.25">
      <c r="A25" s="135">
        <v>2026</v>
      </c>
      <c r="B25" s="66" t="s">
        <v>63</v>
      </c>
      <c r="C25" s="65" t="s">
        <v>198</v>
      </c>
      <c r="D25" s="144" t="s">
        <v>114</v>
      </c>
      <c r="E25" s="141"/>
      <c r="F25" s="65" t="s">
        <v>232</v>
      </c>
      <c r="G25" s="144" t="s">
        <v>121</v>
      </c>
      <c r="H25" s="66" t="s">
        <v>126</v>
      </c>
      <c r="I25" s="74"/>
      <c r="J25" s="144" t="s">
        <v>132</v>
      </c>
      <c r="K25" s="144" t="s">
        <v>3</v>
      </c>
      <c r="L25" s="66" t="s">
        <v>6</v>
      </c>
      <c r="M25" s="65" t="s">
        <v>200</v>
      </c>
      <c r="N25" s="187"/>
      <c r="O25" s="187"/>
      <c r="P25" s="187"/>
      <c r="Q25" s="144" t="s">
        <v>140</v>
      </c>
      <c r="R25" s="89"/>
      <c r="S25" s="89"/>
      <c r="T25" s="65" t="s">
        <v>233</v>
      </c>
      <c r="U25" s="144">
        <v>2026</v>
      </c>
      <c r="V25" s="99">
        <v>46022</v>
      </c>
      <c r="W25" s="89"/>
      <c r="X25" s="99">
        <v>46024</v>
      </c>
      <c r="Y25" s="188">
        <v>113142.48</v>
      </c>
      <c r="Z25" s="189">
        <v>0</v>
      </c>
      <c r="AA25" s="188">
        <f t="shared" si="0"/>
        <v>113142.48</v>
      </c>
      <c r="AB25" s="188">
        <v>0</v>
      </c>
      <c r="AC25" s="188">
        <f t="shared" si="1"/>
        <v>113142.48</v>
      </c>
      <c r="AD25" s="188">
        <f t="shared" si="2"/>
        <v>113142.48</v>
      </c>
      <c r="AE25" s="68" t="s">
        <v>102</v>
      </c>
      <c r="AF25" s="68"/>
      <c r="AG25" s="68"/>
      <c r="AH25" s="190"/>
      <c r="AI25" s="191"/>
      <c r="AJ25" s="190"/>
      <c r="AK25" s="192"/>
      <c r="AL25" s="190"/>
      <c r="AM25" s="193" t="s">
        <v>202</v>
      </c>
      <c r="AN25" s="194"/>
      <c r="AO25" s="195"/>
      <c r="AP25" s="31"/>
      <c r="AQ25" s="31"/>
      <c r="AR25" s="30"/>
      <c r="AS25" s="31"/>
    </row>
    <row r="26" spans="1:45" ht="30" hidden="1" customHeight="1" x14ac:dyDescent="0.25">
      <c r="A26" s="135">
        <v>2026</v>
      </c>
      <c r="B26" s="66" t="s">
        <v>63</v>
      </c>
      <c r="C26" s="65" t="s">
        <v>198</v>
      </c>
      <c r="D26" s="144" t="s">
        <v>114</v>
      </c>
      <c r="E26" s="141"/>
      <c r="F26" s="65" t="s">
        <v>234</v>
      </c>
      <c r="G26" s="144" t="s">
        <v>121</v>
      </c>
      <c r="H26" s="66" t="s">
        <v>126</v>
      </c>
      <c r="I26" s="74"/>
      <c r="J26" s="144" t="s">
        <v>132</v>
      </c>
      <c r="K26" s="144" t="s">
        <v>3</v>
      </c>
      <c r="L26" s="66" t="s">
        <v>6</v>
      </c>
      <c r="M26" s="65" t="s">
        <v>200</v>
      </c>
      <c r="N26" s="187"/>
      <c r="O26" s="187"/>
      <c r="P26" s="187"/>
      <c r="Q26" s="144" t="s">
        <v>140</v>
      </c>
      <c r="R26" s="89"/>
      <c r="S26" s="89"/>
      <c r="T26" s="65" t="s">
        <v>235</v>
      </c>
      <c r="U26" s="144">
        <v>2026</v>
      </c>
      <c r="V26" s="99">
        <v>46022</v>
      </c>
      <c r="W26" s="89"/>
      <c r="X26" s="99">
        <v>46024</v>
      </c>
      <c r="Y26" s="188">
        <v>113142.48</v>
      </c>
      <c r="Z26" s="189">
        <v>0</v>
      </c>
      <c r="AA26" s="188">
        <f t="shared" si="0"/>
        <v>113142.48</v>
      </c>
      <c r="AB26" s="188">
        <v>0</v>
      </c>
      <c r="AC26" s="188">
        <f t="shared" si="1"/>
        <v>113142.48</v>
      </c>
      <c r="AD26" s="188">
        <f t="shared" si="2"/>
        <v>113142.48</v>
      </c>
      <c r="AE26" s="68" t="s">
        <v>102</v>
      </c>
      <c r="AF26" s="68"/>
      <c r="AG26" s="68"/>
      <c r="AH26" s="190"/>
      <c r="AI26" s="191"/>
      <c r="AJ26" s="190"/>
      <c r="AK26" s="192"/>
      <c r="AL26" s="190"/>
      <c r="AM26" s="193" t="s">
        <v>202</v>
      </c>
      <c r="AN26" s="194"/>
      <c r="AO26" s="195"/>
      <c r="AP26" s="31"/>
      <c r="AQ26" s="31"/>
      <c r="AR26" s="30"/>
      <c r="AS26" s="31"/>
    </row>
    <row r="27" spans="1:45" ht="30" hidden="1" customHeight="1" x14ac:dyDescent="0.25">
      <c r="A27" s="135">
        <v>2026</v>
      </c>
      <c r="B27" s="66" t="s">
        <v>63</v>
      </c>
      <c r="C27" s="65" t="s">
        <v>198</v>
      </c>
      <c r="D27" s="144" t="s">
        <v>114</v>
      </c>
      <c r="E27" s="141"/>
      <c r="F27" s="65" t="s">
        <v>236</v>
      </c>
      <c r="G27" s="144" t="s">
        <v>121</v>
      </c>
      <c r="H27" s="66" t="s">
        <v>126</v>
      </c>
      <c r="I27" s="74"/>
      <c r="J27" s="144" t="s">
        <v>132</v>
      </c>
      <c r="K27" s="144" t="s">
        <v>3</v>
      </c>
      <c r="L27" s="66" t="s">
        <v>6</v>
      </c>
      <c r="M27" s="65" t="s">
        <v>200</v>
      </c>
      <c r="N27" s="187"/>
      <c r="O27" s="187"/>
      <c r="P27" s="187"/>
      <c r="Q27" s="144" t="s">
        <v>140</v>
      </c>
      <c r="R27" s="89"/>
      <c r="S27" s="89"/>
      <c r="T27" s="65" t="s">
        <v>237</v>
      </c>
      <c r="U27" s="144">
        <v>2026</v>
      </c>
      <c r="V27" s="99">
        <v>46022</v>
      </c>
      <c r="W27" s="89"/>
      <c r="X27" s="99">
        <v>46024</v>
      </c>
      <c r="Y27" s="188">
        <v>144000</v>
      </c>
      <c r="Z27" s="189">
        <v>0</v>
      </c>
      <c r="AA27" s="188">
        <f t="shared" si="0"/>
        <v>144000</v>
      </c>
      <c r="AB27" s="188">
        <v>0</v>
      </c>
      <c r="AC27" s="188">
        <f t="shared" si="1"/>
        <v>144000</v>
      </c>
      <c r="AD27" s="188">
        <f t="shared" si="2"/>
        <v>144000</v>
      </c>
      <c r="AE27" s="68" t="s">
        <v>102</v>
      </c>
      <c r="AF27" s="68"/>
      <c r="AG27" s="68"/>
      <c r="AH27" s="190"/>
      <c r="AI27" s="191"/>
      <c r="AJ27" s="190"/>
      <c r="AK27" s="192"/>
      <c r="AL27" s="190"/>
      <c r="AM27" s="193" t="s">
        <v>202</v>
      </c>
      <c r="AN27" s="194"/>
      <c r="AO27" s="195"/>
      <c r="AP27" s="31"/>
      <c r="AQ27" s="31"/>
      <c r="AR27" s="30"/>
      <c r="AS27" s="31"/>
    </row>
    <row r="28" spans="1:45" ht="30" hidden="1" customHeight="1" x14ac:dyDescent="0.25">
      <c r="A28" s="135">
        <v>2026</v>
      </c>
      <c r="B28" s="66" t="s">
        <v>63</v>
      </c>
      <c r="C28" s="65" t="s">
        <v>198</v>
      </c>
      <c r="D28" s="144" t="s">
        <v>114</v>
      </c>
      <c r="E28" s="141"/>
      <c r="F28" s="65" t="s">
        <v>238</v>
      </c>
      <c r="G28" s="144" t="s">
        <v>121</v>
      </c>
      <c r="H28" s="66" t="s">
        <v>126</v>
      </c>
      <c r="I28" s="74"/>
      <c r="J28" s="144" t="s">
        <v>132</v>
      </c>
      <c r="K28" s="144" t="s">
        <v>3</v>
      </c>
      <c r="L28" s="66" t="s">
        <v>6</v>
      </c>
      <c r="M28" s="65" t="s">
        <v>200</v>
      </c>
      <c r="N28" s="187"/>
      <c r="O28" s="187"/>
      <c r="P28" s="187"/>
      <c r="Q28" s="144" t="s">
        <v>140</v>
      </c>
      <c r="R28" s="89"/>
      <c r="S28" s="89"/>
      <c r="T28" s="65" t="s">
        <v>239</v>
      </c>
      <c r="U28" s="144">
        <v>2026</v>
      </c>
      <c r="V28" s="99">
        <v>46022</v>
      </c>
      <c r="W28" s="89"/>
      <c r="X28" s="99">
        <v>46024</v>
      </c>
      <c r="Y28" s="188">
        <v>113142.48</v>
      </c>
      <c r="Z28" s="189">
        <v>0</v>
      </c>
      <c r="AA28" s="188">
        <f t="shared" si="0"/>
        <v>113142.48</v>
      </c>
      <c r="AB28" s="188">
        <v>0</v>
      </c>
      <c r="AC28" s="188">
        <f t="shared" si="1"/>
        <v>113142.48</v>
      </c>
      <c r="AD28" s="188">
        <f t="shared" si="2"/>
        <v>113142.48</v>
      </c>
      <c r="AE28" s="68" t="s">
        <v>102</v>
      </c>
      <c r="AF28" s="68"/>
      <c r="AG28" s="68"/>
      <c r="AH28" s="190"/>
      <c r="AI28" s="191"/>
      <c r="AJ28" s="190"/>
      <c r="AK28" s="192"/>
      <c r="AL28" s="190"/>
      <c r="AM28" s="193" t="s">
        <v>202</v>
      </c>
      <c r="AN28" s="194"/>
      <c r="AO28" s="195"/>
      <c r="AP28" s="31"/>
      <c r="AQ28" s="31"/>
      <c r="AR28" s="30"/>
      <c r="AS28" s="31"/>
    </row>
    <row r="29" spans="1:45" ht="30" hidden="1" customHeight="1" x14ac:dyDescent="0.25">
      <c r="A29" s="135">
        <v>2026</v>
      </c>
      <c r="B29" s="66" t="s">
        <v>63</v>
      </c>
      <c r="C29" s="65" t="s">
        <v>198</v>
      </c>
      <c r="D29" s="144" t="s">
        <v>114</v>
      </c>
      <c r="E29" s="141"/>
      <c r="F29" s="65" t="s">
        <v>240</v>
      </c>
      <c r="G29" s="144" t="s">
        <v>121</v>
      </c>
      <c r="H29" s="66" t="s">
        <v>126</v>
      </c>
      <c r="I29" s="74"/>
      <c r="J29" s="144" t="s">
        <v>132</v>
      </c>
      <c r="K29" s="144" t="s">
        <v>3</v>
      </c>
      <c r="L29" s="66" t="s">
        <v>6</v>
      </c>
      <c r="M29" s="65" t="s">
        <v>200</v>
      </c>
      <c r="N29" s="187"/>
      <c r="O29" s="187"/>
      <c r="P29" s="187"/>
      <c r="Q29" s="144" t="s">
        <v>140</v>
      </c>
      <c r="R29" s="89"/>
      <c r="S29" s="89"/>
      <c r="T29" s="65" t="s">
        <v>241</v>
      </c>
      <c r="U29" s="144">
        <v>2026</v>
      </c>
      <c r="V29" s="99">
        <v>46022</v>
      </c>
      <c r="W29" s="89"/>
      <c r="X29" s="99">
        <v>46024</v>
      </c>
      <c r="Y29" s="188">
        <v>113142.48</v>
      </c>
      <c r="Z29" s="189">
        <v>0</v>
      </c>
      <c r="AA29" s="188">
        <f t="shared" si="0"/>
        <v>113142.48</v>
      </c>
      <c r="AB29" s="188">
        <v>0</v>
      </c>
      <c r="AC29" s="188">
        <f t="shared" si="1"/>
        <v>113142.48</v>
      </c>
      <c r="AD29" s="188">
        <f t="shared" si="2"/>
        <v>113142.48</v>
      </c>
      <c r="AE29" s="68" t="s">
        <v>102</v>
      </c>
      <c r="AF29" s="68"/>
      <c r="AG29" s="68"/>
      <c r="AH29" s="190"/>
      <c r="AI29" s="191"/>
      <c r="AJ29" s="190"/>
      <c r="AK29" s="192"/>
      <c r="AL29" s="190"/>
      <c r="AM29" s="193" t="s">
        <v>202</v>
      </c>
      <c r="AN29" s="194"/>
      <c r="AO29" s="195"/>
      <c r="AP29" s="31"/>
      <c r="AQ29" s="31"/>
      <c r="AR29" s="30"/>
      <c r="AS29" s="31"/>
    </row>
    <row r="30" spans="1:45" ht="30" hidden="1" customHeight="1" x14ac:dyDescent="0.25">
      <c r="A30" s="135">
        <v>2026</v>
      </c>
      <c r="B30" s="66" t="s">
        <v>63</v>
      </c>
      <c r="C30" s="65" t="s">
        <v>198</v>
      </c>
      <c r="D30" s="144" t="s">
        <v>114</v>
      </c>
      <c r="E30" s="141"/>
      <c r="F30" s="65" t="s">
        <v>242</v>
      </c>
      <c r="G30" s="144" t="s">
        <v>121</v>
      </c>
      <c r="H30" s="66" t="s">
        <v>126</v>
      </c>
      <c r="I30" s="74"/>
      <c r="J30" s="144" t="s">
        <v>132</v>
      </c>
      <c r="K30" s="144" t="s">
        <v>3</v>
      </c>
      <c r="L30" s="66" t="s">
        <v>6</v>
      </c>
      <c r="M30" s="65" t="s">
        <v>200</v>
      </c>
      <c r="N30" s="187"/>
      <c r="O30" s="187"/>
      <c r="P30" s="187"/>
      <c r="Q30" s="144" t="s">
        <v>140</v>
      </c>
      <c r="R30" s="89"/>
      <c r="S30" s="89"/>
      <c r="T30" s="65" t="s">
        <v>243</v>
      </c>
      <c r="U30" s="144">
        <v>2026</v>
      </c>
      <c r="V30" s="99">
        <v>46022</v>
      </c>
      <c r="W30" s="89"/>
      <c r="X30" s="99">
        <v>46024</v>
      </c>
      <c r="Y30" s="188">
        <v>113142.48</v>
      </c>
      <c r="Z30" s="189">
        <v>0</v>
      </c>
      <c r="AA30" s="188">
        <f t="shared" si="0"/>
        <v>113142.48</v>
      </c>
      <c r="AB30" s="188">
        <v>0</v>
      </c>
      <c r="AC30" s="188">
        <f t="shared" si="1"/>
        <v>113142.48</v>
      </c>
      <c r="AD30" s="188">
        <f t="shared" si="2"/>
        <v>113142.48</v>
      </c>
      <c r="AE30" s="68" t="s">
        <v>102</v>
      </c>
      <c r="AF30" s="68"/>
      <c r="AG30" s="68"/>
      <c r="AH30" s="190"/>
      <c r="AI30" s="191"/>
      <c r="AJ30" s="190"/>
      <c r="AK30" s="192"/>
      <c r="AL30" s="190"/>
      <c r="AM30" s="193" t="s">
        <v>202</v>
      </c>
      <c r="AN30" s="194"/>
      <c r="AO30" s="195"/>
      <c r="AP30" s="31"/>
      <c r="AQ30" s="31"/>
      <c r="AR30" s="30"/>
      <c r="AS30" s="31"/>
    </row>
    <row r="31" spans="1:45" ht="30" hidden="1" customHeight="1" x14ac:dyDescent="0.25">
      <c r="A31" s="135">
        <v>2026</v>
      </c>
      <c r="B31" s="66" t="s">
        <v>63</v>
      </c>
      <c r="C31" s="65" t="s">
        <v>198</v>
      </c>
      <c r="D31" s="144" t="s">
        <v>114</v>
      </c>
      <c r="E31" s="141"/>
      <c r="F31" s="65" t="s">
        <v>244</v>
      </c>
      <c r="G31" s="144" t="s">
        <v>121</v>
      </c>
      <c r="H31" s="66" t="s">
        <v>126</v>
      </c>
      <c r="I31" s="74"/>
      <c r="J31" s="144" t="s">
        <v>132</v>
      </c>
      <c r="K31" s="144" t="s">
        <v>3</v>
      </c>
      <c r="L31" s="66" t="s">
        <v>6</v>
      </c>
      <c r="M31" s="65" t="s">
        <v>200</v>
      </c>
      <c r="N31" s="187"/>
      <c r="O31" s="187"/>
      <c r="P31" s="187"/>
      <c r="Q31" s="144" t="s">
        <v>140</v>
      </c>
      <c r="R31" s="89"/>
      <c r="S31" s="89"/>
      <c r="T31" s="65" t="s">
        <v>245</v>
      </c>
      <c r="U31" s="144">
        <v>2026</v>
      </c>
      <c r="V31" s="99">
        <v>46022</v>
      </c>
      <c r="W31" s="89"/>
      <c r="X31" s="99">
        <v>46024</v>
      </c>
      <c r="Y31" s="188">
        <v>113142.48</v>
      </c>
      <c r="Z31" s="189">
        <v>0</v>
      </c>
      <c r="AA31" s="188">
        <f t="shared" si="0"/>
        <v>113142.48</v>
      </c>
      <c r="AB31" s="188">
        <v>0</v>
      </c>
      <c r="AC31" s="188">
        <f t="shared" si="1"/>
        <v>113142.48</v>
      </c>
      <c r="AD31" s="188">
        <f t="shared" si="2"/>
        <v>113142.48</v>
      </c>
      <c r="AE31" s="68" t="s">
        <v>102</v>
      </c>
      <c r="AF31" s="68"/>
      <c r="AG31" s="68"/>
      <c r="AH31" s="190"/>
      <c r="AI31" s="191"/>
      <c r="AJ31" s="190"/>
      <c r="AK31" s="192"/>
      <c r="AL31" s="190"/>
      <c r="AM31" s="193" t="s">
        <v>202</v>
      </c>
      <c r="AN31" s="194"/>
      <c r="AO31" s="195"/>
      <c r="AP31" s="31"/>
      <c r="AQ31" s="31"/>
      <c r="AR31" s="30"/>
      <c r="AS31" s="31"/>
    </row>
    <row r="32" spans="1:45" ht="30" hidden="1" customHeight="1" x14ac:dyDescent="0.25">
      <c r="A32" s="135">
        <v>2026</v>
      </c>
      <c r="B32" s="66" t="s">
        <v>63</v>
      </c>
      <c r="C32" s="65" t="s">
        <v>198</v>
      </c>
      <c r="D32" s="144" t="s">
        <v>114</v>
      </c>
      <c r="E32" s="141"/>
      <c r="F32" s="65" t="s">
        <v>246</v>
      </c>
      <c r="G32" s="144" t="s">
        <v>121</v>
      </c>
      <c r="H32" s="66" t="s">
        <v>126</v>
      </c>
      <c r="I32" s="74"/>
      <c r="J32" s="144" t="s">
        <v>132</v>
      </c>
      <c r="K32" s="144" t="s">
        <v>3</v>
      </c>
      <c r="L32" s="66" t="s">
        <v>6</v>
      </c>
      <c r="M32" s="65" t="s">
        <v>200</v>
      </c>
      <c r="N32" s="187"/>
      <c r="O32" s="187"/>
      <c r="P32" s="187"/>
      <c r="Q32" s="144" t="s">
        <v>140</v>
      </c>
      <c r="R32" s="89"/>
      <c r="S32" s="89"/>
      <c r="T32" s="65" t="s">
        <v>247</v>
      </c>
      <c r="U32" s="144">
        <v>2026</v>
      </c>
      <c r="V32" s="99">
        <v>46022</v>
      </c>
      <c r="W32" s="89"/>
      <c r="X32" s="99">
        <v>46024</v>
      </c>
      <c r="Y32" s="188">
        <v>144000</v>
      </c>
      <c r="Z32" s="189">
        <v>0</v>
      </c>
      <c r="AA32" s="188">
        <f t="shared" si="0"/>
        <v>144000</v>
      </c>
      <c r="AB32" s="188">
        <v>0</v>
      </c>
      <c r="AC32" s="188">
        <f t="shared" si="1"/>
        <v>144000</v>
      </c>
      <c r="AD32" s="188">
        <f t="shared" si="2"/>
        <v>144000</v>
      </c>
      <c r="AE32" s="68" t="s">
        <v>102</v>
      </c>
      <c r="AF32" s="68"/>
      <c r="AG32" s="68"/>
      <c r="AH32" s="190"/>
      <c r="AI32" s="191"/>
      <c r="AJ32" s="190"/>
      <c r="AK32" s="192"/>
      <c r="AL32" s="190"/>
      <c r="AM32" s="193" t="s">
        <v>202</v>
      </c>
      <c r="AN32" s="194"/>
      <c r="AO32" s="195"/>
      <c r="AP32" s="31"/>
      <c r="AQ32" s="31"/>
      <c r="AR32" s="30"/>
      <c r="AS32" s="31"/>
    </row>
    <row r="33" spans="1:45" ht="30" hidden="1" customHeight="1" x14ac:dyDescent="0.25">
      <c r="A33" s="135">
        <v>2026</v>
      </c>
      <c r="B33" s="66" t="s">
        <v>63</v>
      </c>
      <c r="C33" s="65" t="s">
        <v>198</v>
      </c>
      <c r="D33" s="144" t="s">
        <v>114</v>
      </c>
      <c r="E33" s="141"/>
      <c r="F33" s="65" t="s">
        <v>248</v>
      </c>
      <c r="G33" s="144" t="s">
        <v>121</v>
      </c>
      <c r="H33" s="66" t="s">
        <v>126</v>
      </c>
      <c r="I33" s="74"/>
      <c r="J33" s="144" t="s">
        <v>132</v>
      </c>
      <c r="K33" s="144" t="s">
        <v>3</v>
      </c>
      <c r="L33" s="66" t="s">
        <v>6</v>
      </c>
      <c r="M33" s="65" t="s">
        <v>200</v>
      </c>
      <c r="N33" s="187"/>
      <c r="O33" s="187"/>
      <c r="P33" s="187"/>
      <c r="Q33" s="144" t="s">
        <v>140</v>
      </c>
      <c r="R33" s="89"/>
      <c r="S33" s="89"/>
      <c r="T33" s="65" t="s">
        <v>249</v>
      </c>
      <c r="U33" s="144">
        <v>2026</v>
      </c>
      <c r="V33" s="99">
        <v>46022</v>
      </c>
      <c r="W33" s="89"/>
      <c r="X33" s="99">
        <v>46024</v>
      </c>
      <c r="Y33" s="188">
        <v>113142.48</v>
      </c>
      <c r="Z33" s="189">
        <v>0</v>
      </c>
      <c r="AA33" s="188">
        <f t="shared" si="0"/>
        <v>113142.48</v>
      </c>
      <c r="AB33" s="188">
        <v>0</v>
      </c>
      <c r="AC33" s="188">
        <f t="shared" si="1"/>
        <v>113142.48</v>
      </c>
      <c r="AD33" s="188">
        <f t="shared" si="2"/>
        <v>113142.48</v>
      </c>
      <c r="AE33" s="68" t="s">
        <v>102</v>
      </c>
      <c r="AF33" s="68"/>
      <c r="AG33" s="68"/>
      <c r="AH33" s="190"/>
      <c r="AI33" s="191"/>
      <c r="AJ33" s="190"/>
      <c r="AK33" s="192"/>
      <c r="AL33" s="190"/>
      <c r="AM33" s="193" t="s">
        <v>202</v>
      </c>
      <c r="AN33" s="194"/>
      <c r="AO33" s="195"/>
      <c r="AP33" s="31"/>
      <c r="AQ33" s="31"/>
      <c r="AR33" s="30"/>
      <c r="AS33" s="31"/>
    </row>
    <row r="34" spans="1:45" ht="30" hidden="1" customHeight="1" x14ac:dyDescent="0.25">
      <c r="A34" s="135">
        <v>2026</v>
      </c>
      <c r="B34" s="66" t="s">
        <v>63</v>
      </c>
      <c r="C34" s="65" t="s">
        <v>198</v>
      </c>
      <c r="D34" s="144" t="s">
        <v>114</v>
      </c>
      <c r="E34" s="141"/>
      <c r="F34" s="65" t="s">
        <v>250</v>
      </c>
      <c r="G34" s="144" t="s">
        <v>121</v>
      </c>
      <c r="H34" s="66" t="s">
        <v>126</v>
      </c>
      <c r="I34" s="74"/>
      <c r="J34" s="144" t="s">
        <v>132</v>
      </c>
      <c r="K34" s="144" t="s">
        <v>3</v>
      </c>
      <c r="L34" s="66" t="s">
        <v>6</v>
      </c>
      <c r="M34" s="65" t="s">
        <v>200</v>
      </c>
      <c r="N34" s="187"/>
      <c r="O34" s="187"/>
      <c r="P34" s="187"/>
      <c r="Q34" s="144" t="s">
        <v>140</v>
      </c>
      <c r="R34" s="89"/>
      <c r="S34" s="89"/>
      <c r="T34" s="65" t="s">
        <v>251</v>
      </c>
      <c r="U34" s="144">
        <v>2026</v>
      </c>
      <c r="V34" s="99">
        <v>46022</v>
      </c>
      <c r="W34" s="89"/>
      <c r="X34" s="99">
        <v>46024</v>
      </c>
      <c r="Y34" s="188">
        <v>113142.48</v>
      </c>
      <c r="Z34" s="189">
        <v>0</v>
      </c>
      <c r="AA34" s="188">
        <f t="shared" si="0"/>
        <v>113142.48</v>
      </c>
      <c r="AB34" s="188">
        <v>0</v>
      </c>
      <c r="AC34" s="188">
        <f t="shared" si="1"/>
        <v>113142.48</v>
      </c>
      <c r="AD34" s="188">
        <f t="shared" si="2"/>
        <v>113142.48</v>
      </c>
      <c r="AE34" s="68" t="s">
        <v>102</v>
      </c>
      <c r="AF34" s="68"/>
      <c r="AG34" s="68"/>
      <c r="AH34" s="190"/>
      <c r="AI34" s="191"/>
      <c r="AJ34" s="190"/>
      <c r="AK34" s="192"/>
      <c r="AL34" s="190"/>
      <c r="AM34" s="193" t="s">
        <v>202</v>
      </c>
      <c r="AN34" s="194"/>
      <c r="AO34" s="195"/>
      <c r="AP34" s="31"/>
      <c r="AQ34" s="31"/>
      <c r="AR34" s="30"/>
      <c r="AS34" s="31"/>
    </row>
    <row r="35" spans="1:45" ht="30" hidden="1" customHeight="1" x14ac:dyDescent="0.25">
      <c r="A35" s="135">
        <v>2026</v>
      </c>
      <c r="B35" s="66" t="s">
        <v>63</v>
      </c>
      <c r="C35" s="65" t="s">
        <v>198</v>
      </c>
      <c r="D35" s="144" t="s">
        <v>114</v>
      </c>
      <c r="E35" s="141"/>
      <c r="F35" s="65" t="s">
        <v>252</v>
      </c>
      <c r="G35" s="144" t="s">
        <v>121</v>
      </c>
      <c r="H35" s="66" t="s">
        <v>126</v>
      </c>
      <c r="I35" s="74"/>
      <c r="J35" s="144" t="s">
        <v>132</v>
      </c>
      <c r="K35" s="144" t="s">
        <v>3</v>
      </c>
      <c r="L35" s="66" t="s">
        <v>6</v>
      </c>
      <c r="M35" s="65" t="s">
        <v>200</v>
      </c>
      <c r="N35" s="187"/>
      <c r="O35" s="187"/>
      <c r="P35" s="187"/>
      <c r="Q35" s="144" t="s">
        <v>140</v>
      </c>
      <c r="R35" s="89"/>
      <c r="S35" s="89"/>
      <c r="T35" s="65" t="s">
        <v>253</v>
      </c>
      <c r="U35" s="144">
        <v>2026</v>
      </c>
      <c r="V35" s="99">
        <v>46022</v>
      </c>
      <c r="W35" s="89"/>
      <c r="X35" s="99">
        <v>46024</v>
      </c>
      <c r="Y35" s="188">
        <v>113142.48</v>
      </c>
      <c r="Z35" s="189">
        <v>0</v>
      </c>
      <c r="AA35" s="188">
        <f t="shared" si="0"/>
        <v>113142.48</v>
      </c>
      <c r="AB35" s="188">
        <v>0</v>
      </c>
      <c r="AC35" s="188">
        <f t="shared" si="1"/>
        <v>113142.48</v>
      </c>
      <c r="AD35" s="188">
        <f t="shared" si="2"/>
        <v>113142.48</v>
      </c>
      <c r="AE35" s="68" t="s">
        <v>102</v>
      </c>
      <c r="AF35" s="68"/>
      <c r="AG35" s="68"/>
      <c r="AH35" s="190"/>
      <c r="AI35" s="191"/>
      <c r="AJ35" s="190"/>
      <c r="AK35" s="192"/>
      <c r="AL35" s="190"/>
      <c r="AM35" s="193" t="s">
        <v>202</v>
      </c>
      <c r="AN35" s="194"/>
      <c r="AO35" s="195"/>
      <c r="AP35" s="31"/>
      <c r="AQ35" s="31"/>
      <c r="AR35" s="30"/>
      <c r="AS35" s="31"/>
    </row>
    <row r="36" spans="1:45" ht="30" hidden="1" customHeight="1" x14ac:dyDescent="0.25">
      <c r="A36" s="135">
        <v>2026</v>
      </c>
      <c r="B36" s="66" t="s">
        <v>63</v>
      </c>
      <c r="C36" s="65" t="s">
        <v>198</v>
      </c>
      <c r="D36" s="144" t="s">
        <v>114</v>
      </c>
      <c r="E36" s="141"/>
      <c r="F36" s="65" t="s">
        <v>254</v>
      </c>
      <c r="G36" s="144" t="s">
        <v>121</v>
      </c>
      <c r="H36" s="66" t="s">
        <v>126</v>
      </c>
      <c r="I36" s="74"/>
      <c r="J36" s="144" t="s">
        <v>132</v>
      </c>
      <c r="K36" s="144" t="s">
        <v>3</v>
      </c>
      <c r="L36" s="66" t="s">
        <v>6</v>
      </c>
      <c r="M36" s="65" t="s">
        <v>200</v>
      </c>
      <c r="N36" s="187"/>
      <c r="O36" s="187"/>
      <c r="P36" s="187"/>
      <c r="Q36" s="144" t="s">
        <v>140</v>
      </c>
      <c r="R36" s="89"/>
      <c r="S36" s="89"/>
      <c r="T36" s="65" t="s">
        <v>255</v>
      </c>
      <c r="U36" s="144">
        <v>2026</v>
      </c>
      <c r="V36" s="99">
        <v>46022</v>
      </c>
      <c r="W36" s="89"/>
      <c r="X36" s="99">
        <v>46024</v>
      </c>
      <c r="Y36" s="188">
        <v>113142.48</v>
      </c>
      <c r="Z36" s="189">
        <v>0</v>
      </c>
      <c r="AA36" s="188">
        <f t="shared" ref="AA36:AA67" si="3">Y36</f>
        <v>113142.48</v>
      </c>
      <c r="AB36" s="188">
        <v>0</v>
      </c>
      <c r="AC36" s="188">
        <f t="shared" ref="AC36:AC67" si="4">Y36</f>
        <v>113142.48</v>
      </c>
      <c r="AD36" s="188">
        <f t="shared" ref="AD36:AD67" si="5">Y36</f>
        <v>113142.48</v>
      </c>
      <c r="AE36" s="68" t="s">
        <v>102</v>
      </c>
      <c r="AF36" s="68"/>
      <c r="AG36" s="68"/>
      <c r="AH36" s="190"/>
      <c r="AI36" s="191"/>
      <c r="AJ36" s="190"/>
      <c r="AK36" s="192"/>
      <c r="AL36" s="190"/>
      <c r="AM36" s="193" t="s">
        <v>202</v>
      </c>
      <c r="AN36" s="194"/>
      <c r="AO36" s="195"/>
      <c r="AP36" s="31"/>
      <c r="AQ36" s="31"/>
      <c r="AR36" s="30"/>
      <c r="AS36" s="31"/>
    </row>
    <row r="37" spans="1:45" ht="30" hidden="1" customHeight="1" x14ac:dyDescent="0.25">
      <c r="A37" s="135">
        <v>2026</v>
      </c>
      <c r="B37" s="66" t="s">
        <v>63</v>
      </c>
      <c r="C37" s="65" t="s">
        <v>198</v>
      </c>
      <c r="D37" s="144" t="s">
        <v>114</v>
      </c>
      <c r="E37" s="141"/>
      <c r="F37" s="65" t="s">
        <v>256</v>
      </c>
      <c r="G37" s="144" t="s">
        <v>121</v>
      </c>
      <c r="H37" s="66" t="s">
        <v>126</v>
      </c>
      <c r="I37" s="74"/>
      <c r="J37" s="144" t="s">
        <v>132</v>
      </c>
      <c r="K37" s="144" t="s">
        <v>3</v>
      </c>
      <c r="L37" s="66" t="s">
        <v>6</v>
      </c>
      <c r="M37" s="65" t="s">
        <v>200</v>
      </c>
      <c r="N37" s="187"/>
      <c r="O37" s="187"/>
      <c r="P37" s="187"/>
      <c r="Q37" s="144" t="s">
        <v>140</v>
      </c>
      <c r="R37" s="89"/>
      <c r="S37" s="89"/>
      <c r="T37" s="65" t="s">
        <v>257</v>
      </c>
      <c r="U37" s="144">
        <v>2026</v>
      </c>
      <c r="V37" s="99">
        <v>46022</v>
      </c>
      <c r="W37" s="89"/>
      <c r="X37" s="99">
        <v>46024</v>
      </c>
      <c r="Y37" s="188">
        <v>204000</v>
      </c>
      <c r="Z37" s="189">
        <v>0</v>
      </c>
      <c r="AA37" s="188">
        <f t="shared" si="3"/>
        <v>204000</v>
      </c>
      <c r="AB37" s="188">
        <v>0</v>
      </c>
      <c r="AC37" s="188">
        <f t="shared" si="4"/>
        <v>204000</v>
      </c>
      <c r="AD37" s="188">
        <f t="shared" si="5"/>
        <v>204000</v>
      </c>
      <c r="AE37" s="68" t="s">
        <v>102</v>
      </c>
      <c r="AF37" s="68"/>
      <c r="AG37" s="68"/>
      <c r="AH37" s="190"/>
      <c r="AI37" s="191"/>
      <c r="AJ37" s="190"/>
      <c r="AK37" s="192"/>
      <c r="AL37" s="190"/>
      <c r="AM37" s="193" t="s">
        <v>202</v>
      </c>
      <c r="AN37" s="194"/>
      <c r="AO37" s="195"/>
      <c r="AP37" s="31"/>
      <c r="AQ37" s="31"/>
      <c r="AR37" s="30"/>
      <c r="AS37" s="31"/>
    </row>
    <row r="38" spans="1:45" ht="30" hidden="1" customHeight="1" x14ac:dyDescent="0.25">
      <c r="A38" s="135">
        <v>2026</v>
      </c>
      <c r="B38" s="66" t="s">
        <v>63</v>
      </c>
      <c r="C38" s="65" t="s">
        <v>198</v>
      </c>
      <c r="D38" s="144" t="s">
        <v>114</v>
      </c>
      <c r="E38" s="141"/>
      <c r="F38" s="65" t="s">
        <v>258</v>
      </c>
      <c r="G38" s="144" t="s">
        <v>121</v>
      </c>
      <c r="H38" s="66" t="s">
        <v>126</v>
      </c>
      <c r="I38" s="74"/>
      <c r="J38" s="144" t="s">
        <v>132</v>
      </c>
      <c r="K38" s="144" t="s">
        <v>3</v>
      </c>
      <c r="L38" s="66" t="s">
        <v>6</v>
      </c>
      <c r="M38" s="65" t="s">
        <v>200</v>
      </c>
      <c r="N38" s="187"/>
      <c r="O38" s="187"/>
      <c r="P38" s="187"/>
      <c r="Q38" s="144" t="s">
        <v>140</v>
      </c>
      <c r="R38" s="89"/>
      <c r="S38" s="89"/>
      <c r="T38" s="65" t="s">
        <v>259</v>
      </c>
      <c r="U38" s="144">
        <v>2026</v>
      </c>
      <c r="V38" s="99">
        <v>46022</v>
      </c>
      <c r="W38" s="89"/>
      <c r="X38" s="99">
        <v>46024</v>
      </c>
      <c r="Y38" s="188">
        <v>180000</v>
      </c>
      <c r="Z38" s="189">
        <v>0</v>
      </c>
      <c r="AA38" s="188">
        <f t="shared" si="3"/>
        <v>180000</v>
      </c>
      <c r="AB38" s="188">
        <v>0</v>
      </c>
      <c r="AC38" s="188">
        <f t="shared" si="4"/>
        <v>180000</v>
      </c>
      <c r="AD38" s="188">
        <f t="shared" si="5"/>
        <v>180000</v>
      </c>
      <c r="AE38" s="68" t="s">
        <v>102</v>
      </c>
      <c r="AF38" s="68"/>
      <c r="AG38" s="68"/>
      <c r="AH38" s="190"/>
      <c r="AI38" s="191"/>
      <c r="AJ38" s="190"/>
      <c r="AK38" s="192"/>
      <c r="AL38" s="190"/>
      <c r="AM38" s="193" t="s">
        <v>202</v>
      </c>
      <c r="AN38" s="194"/>
      <c r="AO38" s="195"/>
      <c r="AP38" s="31"/>
      <c r="AQ38" s="31"/>
      <c r="AR38" s="30"/>
      <c r="AS38" s="31"/>
    </row>
    <row r="39" spans="1:45" ht="30" hidden="1" customHeight="1" x14ac:dyDescent="0.25">
      <c r="A39" s="135">
        <v>2026</v>
      </c>
      <c r="B39" s="66" t="s">
        <v>63</v>
      </c>
      <c r="C39" s="65" t="s">
        <v>198</v>
      </c>
      <c r="D39" s="144" t="s">
        <v>114</v>
      </c>
      <c r="E39" s="141"/>
      <c r="F39" s="65" t="s">
        <v>260</v>
      </c>
      <c r="G39" s="144" t="s">
        <v>121</v>
      </c>
      <c r="H39" s="66" t="s">
        <v>126</v>
      </c>
      <c r="I39" s="74"/>
      <c r="J39" s="144" t="s">
        <v>132</v>
      </c>
      <c r="K39" s="144" t="s">
        <v>3</v>
      </c>
      <c r="L39" s="66" t="s">
        <v>6</v>
      </c>
      <c r="M39" s="65" t="s">
        <v>200</v>
      </c>
      <c r="N39" s="187"/>
      <c r="O39" s="187"/>
      <c r="P39" s="187"/>
      <c r="Q39" s="144" t="s">
        <v>140</v>
      </c>
      <c r="R39" s="89"/>
      <c r="S39" s="89"/>
      <c r="T39" s="65" t="s">
        <v>261</v>
      </c>
      <c r="U39" s="144">
        <v>2026</v>
      </c>
      <c r="V39" s="99">
        <v>46022</v>
      </c>
      <c r="W39" s="89"/>
      <c r="X39" s="99">
        <v>46024</v>
      </c>
      <c r="Y39" s="188">
        <v>144000</v>
      </c>
      <c r="Z39" s="189">
        <v>0</v>
      </c>
      <c r="AA39" s="188">
        <f t="shared" si="3"/>
        <v>144000</v>
      </c>
      <c r="AB39" s="188">
        <v>0</v>
      </c>
      <c r="AC39" s="188">
        <f t="shared" si="4"/>
        <v>144000</v>
      </c>
      <c r="AD39" s="188">
        <f t="shared" si="5"/>
        <v>144000</v>
      </c>
      <c r="AE39" s="68" t="s">
        <v>102</v>
      </c>
      <c r="AF39" s="68"/>
      <c r="AG39" s="68"/>
      <c r="AH39" s="190"/>
      <c r="AI39" s="191"/>
      <c r="AJ39" s="190"/>
      <c r="AK39" s="192"/>
      <c r="AL39" s="190"/>
      <c r="AM39" s="193" t="s">
        <v>202</v>
      </c>
      <c r="AN39" s="194"/>
      <c r="AO39" s="195"/>
      <c r="AP39" s="31"/>
      <c r="AQ39" s="31"/>
      <c r="AR39" s="30"/>
      <c r="AS39" s="31"/>
    </row>
    <row r="40" spans="1:45" ht="30" hidden="1" customHeight="1" x14ac:dyDescent="0.25">
      <c r="A40" s="135">
        <v>2026</v>
      </c>
      <c r="B40" s="66" t="s">
        <v>63</v>
      </c>
      <c r="C40" s="65" t="s">
        <v>198</v>
      </c>
      <c r="D40" s="144" t="s">
        <v>114</v>
      </c>
      <c r="E40" s="141"/>
      <c r="F40" s="65" t="s">
        <v>262</v>
      </c>
      <c r="G40" s="144" t="s">
        <v>121</v>
      </c>
      <c r="H40" s="66" t="s">
        <v>126</v>
      </c>
      <c r="I40" s="74"/>
      <c r="J40" s="144" t="s">
        <v>132</v>
      </c>
      <c r="K40" s="144" t="s">
        <v>3</v>
      </c>
      <c r="L40" s="66" t="s">
        <v>6</v>
      </c>
      <c r="M40" s="65" t="s">
        <v>200</v>
      </c>
      <c r="N40" s="187"/>
      <c r="O40" s="187"/>
      <c r="P40" s="187"/>
      <c r="Q40" s="144" t="s">
        <v>140</v>
      </c>
      <c r="R40" s="89"/>
      <c r="S40" s="89"/>
      <c r="T40" s="65" t="s">
        <v>263</v>
      </c>
      <c r="U40" s="144">
        <v>2026</v>
      </c>
      <c r="V40" s="99">
        <v>46022</v>
      </c>
      <c r="W40" s="89"/>
      <c r="X40" s="99">
        <v>46024</v>
      </c>
      <c r="Y40" s="188">
        <v>113142.48</v>
      </c>
      <c r="Z40" s="189">
        <v>0</v>
      </c>
      <c r="AA40" s="188">
        <f t="shared" si="3"/>
        <v>113142.48</v>
      </c>
      <c r="AB40" s="188">
        <v>0</v>
      </c>
      <c r="AC40" s="188">
        <f t="shared" si="4"/>
        <v>113142.48</v>
      </c>
      <c r="AD40" s="188">
        <f t="shared" si="5"/>
        <v>113142.48</v>
      </c>
      <c r="AE40" s="68" t="s">
        <v>102</v>
      </c>
      <c r="AF40" s="68"/>
      <c r="AG40" s="68"/>
      <c r="AH40" s="190"/>
      <c r="AI40" s="191"/>
      <c r="AJ40" s="190"/>
      <c r="AK40" s="192"/>
      <c r="AL40" s="190"/>
      <c r="AM40" s="193" t="s">
        <v>202</v>
      </c>
      <c r="AN40" s="194"/>
      <c r="AO40" s="195"/>
      <c r="AP40" s="31"/>
      <c r="AQ40" s="31"/>
      <c r="AR40" s="30"/>
      <c r="AS40" s="31"/>
    </row>
    <row r="41" spans="1:45" ht="30" hidden="1" customHeight="1" x14ac:dyDescent="0.25">
      <c r="A41" s="135">
        <v>2026</v>
      </c>
      <c r="B41" s="66" t="s">
        <v>63</v>
      </c>
      <c r="C41" s="65" t="s">
        <v>198</v>
      </c>
      <c r="D41" s="144" t="s">
        <v>114</v>
      </c>
      <c r="E41" s="141"/>
      <c r="F41" s="65" t="s">
        <v>264</v>
      </c>
      <c r="G41" s="144" t="s">
        <v>121</v>
      </c>
      <c r="H41" s="66" t="s">
        <v>126</v>
      </c>
      <c r="I41" s="74"/>
      <c r="J41" s="144" t="s">
        <v>132</v>
      </c>
      <c r="K41" s="144" t="s">
        <v>3</v>
      </c>
      <c r="L41" s="66" t="s">
        <v>6</v>
      </c>
      <c r="M41" s="65" t="s">
        <v>200</v>
      </c>
      <c r="N41" s="187"/>
      <c r="O41" s="187"/>
      <c r="P41" s="187"/>
      <c r="Q41" s="144" t="s">
        <v>140</v>
      </c>
      <c r="R41" s="89"/>
      <c r="S41" s="89"/>
      <c r="T41" s="65" t="s">
        <v>265</v>
      </c>
      <c r="U41" s="144">
        <v>2026</v>
      </c>
      <c r="V41" s="99">
        <v>46022</v>
      </c>
      <c r="W41" s="89"/>
      <c r="X41" s="99">
        <v>46024</v>
      </c>
      <c r="Y41" s="188">
        <v>132000</v>
      </c>
      <c r="Z41" s="189">
        <v>0</v>
      </c>
      <c r="AA41" s="188">
        <f t="shared" si="3"/>
        <v>132000</v>
      </c>
      <c r="AB41" s="188">
        <v>0</v>
      </c>
      <c r="AC41" s="188">
        <f t="shared" si="4"/>
        <v>132000</v>
      </c>
      <c r="AD41" s="188">
        <f t="shared" si="5"/>
        <v>132000</v>
      </c>
      <c r="AE41" s="68" t="s">
        <v>102</v>
      </c>
      <c r="AF41" s="68"/>
      <c r="AG41" s="68"/>
      <c r="AH41" s="190"/>
      <c r="AI41" s="191"/>
      <c r="AJ41" s="190"/>
      <c r="AK41" s="192"/>
      <c r="AL41" s="190"/>
      <c r="AM41" s="193" t="s">
        <v>202</v>
      </c>
      <c r="AN41" s="194"/>
      <c r="AO41" s="195"/>
      <c r="AP41" s="31"/>
      <c r="AQ41" s="31"/>
      <c r="AR41" s="30"/>
      <c r="AS41" s="31"/>
    </row>
    <row r="42" spans="1:45" ht="30" hidden="1" customHeight="1" x14ac:dyDescent="0.25">
      <c r="A42" s="135">
        <v>2026</v>
      </c>
      <c r="B42" s="66" t="s">
        <v>63</v>
      </c>
      <c r="C42" s="65" t="s">
        <v>198</v>
      </c>
      <c r="D42" s="144" t="s">
        <v>114</v>
      </c>
      <c r="E42" s="141"/>
      <c r="F42" s="65" t="s">
        <v>266</v>
      </c>
      <c r="G42" s="144" t="s">
        <v>121</v>
      </c>
      <c r="H42" s="66" t="s">
        <v>126</v>
      </c>
      <c r="I42" s="74"/>
      <c r="J42" s="144" t="s">
        <v>132</v>
      </c>
      <c r="K42" s="144" t="s">
        <v>3</v>
      </c>
      <c r="L42" s="66" t="s">
        <v>6</v>
      </c>
      <c r="M42" s="65" t="s">
        <v>200</v>
      </c>
      <c r="N42" s="187"/>
      <c r="O42" s="187"/>
      <c r="P42" s="187"/>
      <c r="Q42" s="144" t="s">
        <v>140</v>
      </c>
      <c r="R42" s="89"/>
      <c r="S42" s="89"/>
      <c r="T42" s="65" t="s">
        <v>267</v>
      </c>
      <c r="U42" s="144">
        <v>2026</v>
      </c>
      <c r="V42" s="99">
        <v>46022</v>
      </c>
      <c r="W42" s="89"/>
      <c r="X42" s="99">
        <v>46024</v>
      </c>
      <c r="Y42" s="188">
        <v>113142.48</v>
      </c>
      <c r="Z42" s="189">
        <v>0</v>
      </c>
      <c r="AA42" s="188">
        <f t="shared" si="3"/>
        <v>113142.48</v>
      </c>
      <c r="AB42" s="188">
        <v>0</v>
      </c>
      <c r="AC42" s="188">
        <f t="shared" si="4"/>
        <v>113142.48</v>
      </c>
      <c r="AD42" s="188">
        <f t="shared" si="5"/>
        <v>113142.48</v>
      </c>
      <c r="AE42" s="68" t="s">
        <v>102</v>
      </c>
      <c r="AF42" s="68"/>
      <c r="AG42" s="68"/>
      <c r="AH42" s="190"/>
      <c r="AI42" s="191"/>
      <c r="AJ42" s="190"/>
      <c r="AK42" s="192"/>
      <c r="AL42" s="190"/>
      <c r="AM42" s="193" t="s">
        <v>202</v>
      </c>
      <c r="AN42" s="194"/>
      <c r="AO42" s="195"/>
      <c r="AP42" s="31"/>
      <c r="AQ42" s="31"/>
      <c r="AR42" s="30"/>
      <c r="AS42" s="31"/>
    </row>
    <row r="43" spans="1:45" ht="30" hidden="1" customHeight="1" x14ac:dyDescent="0.25">
      <c r="A43" s="135">
        <v>2026</v>
      </c>
      <c r="B43" s="66" t="s">
        <v>63</v>
      </c>
      <c r="C43" s="65" t="s">
        <v>198</v>
      </c>
      <c r="D43" s="144" t="s">
        <v>114</v>
      </c>
      <c r="E43" s="141"/>
      <c r="F43" s="65" t="s">
        <v>268</v>
      </c>
      <c r="G43" s="144" t="s">
        <v>121</v>
      </c>
      <c r="H43" s="66" t="s">
        <v>126</v>
      </c>
      <c r="I43" s="74"/>
      <c r="J43" s="144" t="s">
        <v>132</v>
      </c>
      <c r="K43" s="144" t="s">
        <v>3</v>
      </c>
      <c r="L43" s="66" t="s">
        <v>6</v>
      </c>
      <c r="M43" s="65" t="s">
        <v>200</v>
      </c>
      <c r="N43" s="187"/>
      <c r="O43" s="187"/>
      <c r="P43" s="187"/>
      <c r="Q43" s="144" t="s">
        <v>140</v>
      </c>
      <c r="R43" s="89"/>
      <c r="S43" s="89"/>
      <c r="T43" s="65" t="s">
        <v>269</v>
      </c>
      <c r="U43" s="144">
        <v>2026</v>
      </c>
      <c r="V43" s="99">
        <v>46022</v>
      </c>
      <c r="W43" s="89"/>
      <c r="X43" s="99">
        <v>46024</v>
      </c>
      <c r="Y43" s="188">
        <v>113142.48</v>
      </c>
      <c r="Z43" s="189">
        <v>0</v>
      </c>
      <c r="AA43" s="188">
        <f t="shared" si="3"/>
        <v>113142.48</v>
      </c>
      <c r="AB43" s="188">
        <v>0</v>
      </c>
      <c r="AC43" s="188">
        <f t="shared" si="4"/>
        <v>113142.48</v>
      </c>
      <c r="AD43" s="188">
        <f t="shared" si="5"/>
        <v>113142.48</v>
      </c>
      <c r="AE43" s="68" t="s">
        <v>102</v>
      </c>
      <c r="AF43" s="68"/>
      <c r="AG43" s="68"/>
      <c r="AH43" s="190"/>
      <c r="AI43" s="191"/>
      <c r="AJ43" s="190"/>
      <c r="AK43" s="192"/>
      <c r="AL43" s="190"/>
      <c r="AM43" s="193" t="s">
        <v>202</v>
      </c>
      <c r="AN43" s="194"/>
      <c r="AO43" s="195"/>
      <c r="AP43" s="31"/>
      <c r="AQ43" s="31"/>
      <c r="AR43" s="30"/>
      <c r="AS43" s="31"/>
    </row>
    <row r="44" spans="1:45" ht="30" hidden="1" customHeight="1" x14ac:dyDescent="0.25">
      <c r="A44" s="135">
        <v>2026</v>
      </c>
      <c r="B44" s="66" t="s">
        <v>63</v>
      </c>
      <c r="C44" s="65" t="s">
        <v>198</v>
      </c>
      <c r="D44" s="144" t="s">
        <v>114</v>
      </c>
      <c r="E44" s="141"/>
      <c r="F44" s="65" t="s">
        <v>270</v>
      </c>
      <c r="G44" s="144" t="s">
        <v>121</v>
      </c>
      <c r="H44" s="66" t="s">
        <v>126</v>
      </c>
      <c r="I44" s="74"/>
      <c r="J44" s="144" t="s">
        <v>132</v>
      </c>
      <c r="K44" s="144" t="s">
        <v>3</v>
      </c>
      <c r="L44" s="66" t="s">
        <v>6</v>
      </c>
      <c r="M44" s="65" t="s">
        <v>200</v>
      </c>
      <c r="N44" s="187"/>
      <c r="O44" s="187"/>
      <c r="P44" s="187"/>
      <c r="Q44" s="144" t="s">
        <v>140</v>
      </c>
      <c r="R44" s="89"/>
      <c r="S44" s="89"/>
      <c r="T44" s="65" t="s">
        <v>271</v>
      </c>
      <c r="U44" s="144">
        <v>2026</v>
      </c>
      <c r="V44" s="99">
        <v>46022</v>
      </c>
      <c r="W44" s="89"/>
      <c r="X44" s="99">
        <v>46024</v>
      </c>
      <c r="Y44" s="188">
        <v>113142.48</v>
      </c>
      <c r="Z44" s="189">
        <v>0</v>
      </c>
      <c r="AA44" s="188">
        <f t="shared" si="3"/>
        <v>113142.48</v>
      </c>
      <c r="AB44" s="188">
        <v>0</v>
      </c>
      <c r="AC44" s="188">
        <f t="shared" si="4"/>
        <v>113142.48</v>
      </c>
      <c r="AD44" s="188">
        <f t="shared" si="5"/>
        <v>113142.48</v>
      </c>
      <c r="AE44" s="68" t="s">
        <v>102</v>
      </c>
      <c r="AF44" s="68"/>
      <c r="AG44" s="68"/>
      <c r="AH44" s="190"/>
      <c r="AI44" s="191"/>
      <c r="AJ44" s="190"/>
      <c r="AK44" s="192"/>
      <c r="AL44" s="190"/>
      <c r="AM44" s="193" t="s">
        <v>202</v>
      </c>
      <c r="AN44" s="194"/>
      <c r="AO44" s="195"/>
      <c r="AP44" s="31"/>
      <c r="AQ44" s="31"/>
      <c r="AR44" s="30"/>
      <c r="AS44" s="31"/>
    </row>
    <row r="45" spans="1:45" ht="30" hidden="1" customHeight="1" x14ac:dyDescent="0.25">
      <c r="A45" s="135">
        <v>2026</v>
      </c>
      <c r="B45" s="66" t="s">
        <v>63</v>
      </c>
      <c r="C45" s="65" t="s">
        <v>198</v>
      </c>
      <c r="D45" s="144" t="s">
        <v>114</v>
      </c>
      <c r="E45" s="141"/>
      <c r="F45" s="65" t="s">
        <v>272</v>
      </c>
      <c r="G45" s="144" t="s">
        <v>121</v>
      </c>
      <c r="H45" s="66" t="s">
        <v>126</v>
      </c>
      <c r="I45" s="74"/>
      <c r="J45" s="144" t="s">
        <v>132</v>
      </c>
      <c r="K45" s="144" t="s">
        <v>3</v>
      </c>
      <c r="L45" s="66" t="s">
        <v>6</v>
      </c>
      <c r="M45" s="65" t="s">
        <v>200</v>
      </c>
      <c r="N45" s="187"/>
      <c r="O45" s="187"/>
      <c r="P45" s="187"/>
      <c r="Q45" s="144" t="s">
        <v>140</v>
      </c>
      <c r="R45" s="89"/>
      <c r="S45" s="89"/>
      <c r="T45" s="65" t="s">
        <v>273</v>
      </c>
      <c r="U45" s="144">
        <v>2026</v>
      </c>
      <c r="V45" s="99">
        <v>46022</v>
      </c>
      <c r="W45" s="89"/>
      <c r="X45" s="99">
        <v>46024</v>
      </c>
      <c r="Y45" s="188">
        <v>113142.48</v>
      </c>
      <c r="Z45" s="189">
        <v>0</v>
      </c>
      <c r="AA45" s="188">
        <f t="shared" si="3"/>
        <v>113142.48</v>
      </c>
      <c r="AB45" s="188">
        <v>0</v>
      </c>
      <c r="AC45" s="188">
        <f t="shared" si="4"/>
        <v>113142.48</v>
      </c>
      <c r="AD45" s="188">
        <f t="shared" si="5"/>
        <v>113142.48</v>
      </c>
      <c r="AE45" s="68" t="s">
        <v>102</v>
      </c>
      <c r="AF45" s="68"/>
      <c r="AG45" s="68"/>
      <c r="AH45" s="190"/>
      <c r="AI45" s="191"/>
      <c r="AJ45" s="190"/>
      <c r="AK45" s="192"/>
      <c r="AL45" s="190"/>
      <c r="AM45" s="193" t="s">
        <v>202</v>
      </c>
      <c r="AN45" s="194"/>
      <c r="AO45" s="195"/>
      <c r="AP45" s="31"/>
      <c r="AQ45" s="31"/>
      <c r="AR45" s="30"/>
      <c r="AS45" s="31"/>
    </row>
    <row r="46" spans="1:45" ht="30" hidden="1" customHeight="1" x14ac:dyDescent="0.25">
      <c r="A46" s="135">
        <v>2026</v>
      </c>
      <c r="B46" s="66" t="s">
        <v>63</v>
      </c>
      <c r="C46" s="65" t="s">
        <v>198</v>
      </c>
      <c r="D46" s="144" t="s">
        <v>114</v>
      </c>
      <c r="E46" s="141"/>
      <c r="F46" s="65" t="s">
        <v>274</v>
      </c>
      <c r="G46" s="144" t="s">
        <v>121</v>
      </c>
      <c r="H46" s="66" t="s">
        <v>126</v>
      </c>
      <c r="I46" s="74"/>
      <c r="J46" s="144" t="s">
        <v>132</v>
      </c>
      <c r="K46" s="144" t="s">
        <v>3</v>
      </c>
      <c r="L46" s="66" t="s">
        <v>6</v>
      </c>
      <c r="M46" s="65" t="s">
        <v>200</v>
      </c>
      <c r="N46" s="187"/>
      <c r="O46" s="187"/>
      <c r="P46" s="187"/>
      <c r="Q46" s="144" t="s">
        <v>140</v>
      </c>
      <c r="R46" s="89"/>
      <c r="S46" s="89"/>
      <c r="T46" s="65" t="s">
        <v>275</v>
      </c>
      <c r="U46" s="144">
        <v>2026</v>
      </c>
      <c r="V46" s="99">
        <v>46022</v>
      </c>
      <c r="W46" s="89"/>
      <c r="X46" s="99">
        <v>46024</v>
      </c>
      <c r="Y46" s="188">
        <v>113142.48</v>
      </c>
      <c r="Z46" s="189">
        <v>0</v>
      </c>
      <c r="AA46" s="188">
        <f t="shared" si="3"/>
        <v>113142.48</v>
      </c>
      <c r="AB46" s="188">
        <v>0</v>
      </c>
      <c r="AC46" s="188">
        <f t="shared" si="4"/>
        <v>113142.48</v>
      </c>
      <c r="AD46" s="188">
        <f t="shared" si="5"/>
        <v>113142.48</v>
      </c>
      <c r="AE46" s="68" t="s">
        <v>102</v>
      </c>
      <c r="AF46" s="68"/>
      <c r="AG46" s="68"/>
      <c r="AH46" s="190"/>
      <c r="AI46" s="191"/>
      <c r="AJ46" s="190"/>
      <c r="AK46" s="192"/>
      <c r="AL46" s="190"/>
      <c r="AM46" s="193" t="s">
        <v>202</v>
      </c>
      <c r="AN46" s="194"/>
      <c r="AO46" s="195"/>
      <c r="AP46" s="31"/>
      <c r="AQ46" s="31"/>
      <c r="AR46" s="30"/>
      <c r="AS46" s="31"/>
    </row>
    <row r="47" spans="1:45" ht="30" hidden="1" customHeight="1" x14ac:dyDescent="0.25">
      <c r="A47" s="135">
        <v>2026</v>
      </c>
      <c r="B47" s="66" t="s">
        <v>63</v>
      </c>
      <c r="C47" s="65" t="s">
        <v>198</v>
      </c>
      <c r="D47" s="144" t="s">
        <v>114</v>
      </c>
      <c r="E47" s="141"/>
      <c r="F47" s="65" t="s">
        <v>276</v>
      </c>
      <c r="G47" s="144" t="s">
        <v>121</v>
      </c>
      <c r="H47" s="66" t="s">
        <v>126</v>
      </c>
      <c r="I47" s="74"/>
      <c r="J47" s="144" t="s">
        <v>132</v>
      </c>
      <c r="K47" s="144" t="s">
        <v>3</v>
      </c>
      <c r="L47" s="66" t="s">
        <v>6</v>
      </c>
      <c r="M47" s="65" t="s">
        <v>200</v>
      </c>
      <c r="N47" s="187"/>
      <c r="O47" s="187"/>
      <c r="P47" s="187"/>
      <c r="Q47" s="144" t="s">
        <v>140</v>
      </c>
      <c r="R47" s="89"/>
      <c r="S47" s="89"/>
      <c r="T47" s="65" t="s">
        <v>277</v>
      </c>
      <c r="U47" s="144">
        <v>2026</v>
      </c>
      <c r="V47" s="99">
        <v>46022</v>
      </c>
      <c r="W47" s="89"/>
      <c r="X47" s="99">
        <v>46024</v>
      </c>
      <c r="Y47" s="188">
        <v>113142.48</v>
      </c>
      <c r="Z47" s="189">
        <v>0</v>
      </c>
      <c r="AA47" s="188">
        <f t="shared" si="3"/>
        <v>113142.48</v>
      </c>
      <c r="AB47" s="188">
        <v>0</v>
      </c>
      <c r="AC47" s="188">
        <f t="shared" si="4"/>
        <v>113142.48</v>
      </c>
      <c r="AD47" s="188">
        <f t="shared" si="5"/>
        <v>113142.48</v>
      </c>
      <c r="AE47" s="68" t="s">
        <v>102</v>
      </c>
      <c r="AF47" s="68"/>
      <c r="AG47" s="68"/>
      <c r="AH47" s="190"/>
      <c r="AI47" s="191"/>
      <c r="AJ47" s="190"/>
      <c r="AK47" s="192"/>
      <c r="AL47" s="190"/>
      <c r="AM47" s="193" t="s">
        <v>202</v>
      </c>
      <c r="AN47" s="194"/>
      <c r="AO47" s="195"/>
      <c r="AP47" s="31"/>
      <c r="AQ47" s="31"/>
      <c r="AR47" s="30"/>
      <c r="AS47" s="31"/>
    </row>
    <row r="48" spans="1:45" ht="30" hidden="1" customHeight="1" x14ac:dyDescent="0.25">
      <c r="A48" s="135">
        <v>2026</v>
      </c>
      <c r="B48" s="66" t="s">
        <v>63</v>
      </c>
      <c r="C48" s="65" t="s">
        <v>198</v>
      </c>
      <c r="D48" s="144" t="s">
        <v>114</v>
      </c>
      <c r="E48" s="141"/>
      <c r="F48" s="65" t="s">
        <v>278</v>
      </c>
      <c r="G48" s="144" t="s">
        <v>121</v>
      </c>
      <c r="H48" s="66" t="s">
        <v>126</v>
      </c>
      <c r="I48" s="74"/>
      <c r="J48" s="144" t="s">
        <v>132</v>
      </c>
      <c r="K48" s="144" t="s">
        <v>3</v>
      </c>
      <c r="L48" s="66" t="s">
        <v>6</v>
      </c>
      <c r="M48" s="65" t="s">
        <v>200</v>
      </c>
      <c r="N48" s="187"/>
      <c r="O48" s="187"/>
      <c r="P48" s="187"/>
      <c r="Q48" s="144" t="s">
        <v>140</v>
      </c>
      <c r="R48" s="89"/>
      <c r="S48" s="89"/>
      <c r="T48" s="65" t="s">
        <v>279</v>
      </c>
      <c r="U48" s="144">
        <v>2026</v>
      </c>
      <c r="V48" s="99">
        <v>46022</v>
      </c>
      <c r="W48" s="89"/>
      <c r="X48" s="99">
        <v>46024</v>
      </c>
      <c r="Y48" s="188">
        <v>113142.48</v>
      </c>
      <c r="Z48" s="189">
        <v>0</v>
      </c>
      <c r="AA48" s="188">
        <f t="shared" si="3"/>
        <v>113142.48</v>
      </c>
      <c r="AB48" s="188">
        <v>0</v>
      </c>
      <c r="AC48" s="188">
        <f t="shared" si="4"/>
        <v>113142.48</v>
      </c>
      <c r="AD48" s="188">
        <f t="shared" si="5"/>
        <v>113142.48</v>
      </c>
      <c r="AE48" s="68" t="s">
        <v>102</v>
      </c>
      <c r="AF48" s="68"/>
      <c r="AG48" s="68"/>
      <c r="AH48" s="190"/>
      <c r="AI48" s="191"/>
      <c r="AJ48" s="190"/>
      <c r="AK48" s="192"/>
      <c r="AL48" s="190"/>
      <c r="AM48" s="193" t="s">
        <v>202</v>
      </c>
      <c r="AN48" s="194"/>
      <c r="AO48" s="195"/>
      <c r="AP48" s="31"/>
      <c r="AQ48" s="31"/>
      <c r="AR48" s="30"/>
      <c r="AS48" s="31"/>
    </row>
    <row r="49" spans="1:45" ht="30" hidden="1" customHeight="1" x14ac:dyDescent="0.25">
      <c r="A49" s="135">
        <v>2026</v>
      </c>
      <c r="B49" s="66" t="s">
        <v>63</v>
      </c>
      <c r="C49" s="65" t="s">
        <v>198</v>
      </c>
      <c r="D49" s="144" t="s">
        <v>114</v>
      </c>
      <c r="E49" s="141"/>
      <c r="F49" s="65" t="s">
        <v>280</v>
      </c>
      <c r="G49" s="144" t="s">
        <v>121</v>
      </c>
      <c r="H49" s="66" t="s">
        <v>126</v>
      </c>
      <c r="I49" s="74"/>
      <c r="J49" s="144" t="s">
        <v>132</v>
      </c>
      <c r="K49" s="144" t="s">
        <v>3</v>
      </c>
      <c r="L49" s="66" t="s">
        <v>6</v>
      </c>
      <c r="M49" s="65" t="s">
        <v>200</v>
      </c>
      <c r="N49" s="187"/>
      <c r="O49" s="187"/>
      <c r="P49" s="187"/>
      <c r="Q49" s="144" t="s">
        <v>140</v>
      </c>
      <c r="R49" s="89"/>
      <c r="S49" s="89"/>
      <c r="T49" s="65" t="s">
        <v>281</v>
      </c>
      <c r="U49" s="144">
        <v>2026</v>
      </c>
      <c r="V49" s="99">
        <v>46022</v>
      </c>
      <c r="W49" s="89"/>
      <c r="X49" s="99">
        <v>46024</v>
      </c>
      <c r="Y49" s="188">
        <v>113142.48</v>
      </c>
      <c r="Z49" s="189">
        <v>0</v>
      </c>
      <c r="AA49" s="188">
        <f t="shared" si="3"/>
        <v>113142.48</v>
      </c>
      <c r="AB49" s="188">
        <v>0</v>
      </c>
      <c r="AC49" s="188">
        <f t="shared" si="4"/>
        <v>113142.48</v>
      </c>
      <c r="AD49" s="188">
        <f t="shared" si="5"/>
        <v>113142.48</v>
      </c>
      <c r="AE49" s="68" t="s">
        <v>102</v>
      </c>
      <c r="AF49" s="68"/>
      <c r="AG49" s="68"/>
      <c r="AH49" s="190"/>
      <c r="AI49" s="191"/>
      <c r="AJ49" s="190"/>
      <c r="AK49" s="192"/>
      <c r="AL49" s="190"/>
      <c r="AM49" s="193" t="s">
        <v>202</v>
      </c>
      <c r="AN49" s="194"/>
      <c r="AO49" s="195"/>
      <c r="AP49" s="31"/>
      <c r="AQ49" s="31"/>
      <c r="AR49" s="30"/>
      <c r="AS49" s="31"/>
    </row>
    <row r="50" spans="1:45" ht="30" hidden="1" customHeight="1" x14ac:dyDescent="0.25">
      <c r="A50" s="135">
        <v>2026</v>
      </c>
      <c r="B50" s="66" t="s">
        <v>63</v>
      </c>
      <c r="C50" s="65" t="s">
        <v>198</v>
      </c>
      <c r="D50" s="144" t="s">
        <v>114</v>
      </c>
      <c r="E50" s="141"/>
      <c r="F50" s="65" t="s">
        <v>282</v>
      </c>
      <c r="G50" s="144" t="s">
        <v>121</v>
      </c>
      <c r="H50" s="66" t="s">
        <v>126</v>
      </c>
      <c r="I50" s="74"/>
      <c r="J50" s="144" t="s">
        <v>132</v>
      </c>
      <c r="K50" s="144" t="s">
        <v>3</v>
      </c>
      <c r="L50" s="66" t="s">
        <v>6</v>
      </c>
      <c r="M50" s="65" t="s">
        <v>200</v>
      </c>
      <c r="N50" s="187"/>
      <c r="O50" s="187"/>
      <c r="P50" s="187"/>
      <c r="Q50" s="144" t="s">
        <v>140</v>
      </c>
      <c r="R50" s="89"/>
      <c r="S50" s="89"/>
      <c r="T50" s="65" t="s">
        <v>283</v>
      </c>
      <c r="U50" s="144">
        <v>2026</v>
      </c>
      <c r="V50" s="99">
        <v>46022</v>
      </c>
      <c r="W50" s="89"/>
      <c r="X50" s="99">
        <v>46024</v>
      </c>
      <c r="Y50" s="188">
        <v>113142.48</v>
      </c>
      <c r="Z50" s="189">
        <v>0</v>
      </c>
      <c r="AA50" s="188">
        <f t="shared" si="3"/>
        <v>113142.48</v>
      </c>
      <c r="AB50" s="188">
        <v>0</v>
      </c>
      <c r="AC50" s="188">
        <f t="shared" si="4"/>
        <v>113142.48</v>
      </c>
      <c r="AD50" s="188">
        <f t="shared" si="5"/>
        <v>113142.48</v>
      </c>
      <c r="AE50" s="68" t="s">
        <v>102</v>
      </c>
      <c r="AF50" s="68"/>
      <c r="AG50" s="68"/>
      <c r="AH50" s="190"/>
      <c r="AI50" s="191"/>
      <c r="AJ50" s="190"/>
      <c r="AK50" s="192"/>
      <c r="AL50" s="190"/>
      <c r="AM50" s="193" t="s">
        <v>202</v>
      </c>
      <c r="AN50" s="194"/>
      <c r="AO50" s="195"/>
      <c r="AP50" s="31"/>
      <c r="AQ50" s="31"/>
      <c r="AR50" s="30"/>
      <c r="AS50" s="31"/>
    </row>
    <row r="51" spans="1:45" ht="30" hidden="1" customHeight="1" x14ac:dyDescent="0.25">
      <c r="A51" s="135">
        <v>2026</v>
      </c>
      <c r="B51" s="66" t="s">
        <v>63</v>
      </c>
      <c r="C51" s="65" t="s">
        <v>198</v>
      </c>
      <c r="D51" s="144" t="s">
        <v>114</v>
      </c>
      <c r="E51" s="141"/>
      <c r="F51" s="65" t="s">
        <v>284</v>
      </c>
      <c r="G51" s="144" t="s">
        <v>121</v>
      </c>
      <c r="H51" s="66" t="s">
        <v>126</v>
      </c>
      <c r="I51" s="74"/>
      <c r="J51" s="144" t="s">
        <v>132</v>
      </c>
      <c r="K51" s="144" t="s">
        <v>3</v>
      </c>
      <c r="L51" s="66" t="s">
        <v>6</v>
      </c>
      <c r="M51" s="65" t="s">
        <v>200</v>
      </c>
      <c r="N51" s="187"/>
      <c r="O51" s="187"/>
      <c r="P51" s="187"/>
      <c r="Q51" s="144" t="s">
        <v>140</v>
      </c>
      <c r="R51" s="89"/>
      <c r="S51" s="89"/>
      <c r="T51" s="65" t="s">
        <v>285</v>
      </c>
      <c r="U51" s="144">
        <v>2026</v>
      </c>
      <c r="V51" s="99">
        <v>46022</v>
      </c>
      <c r="W51" s="89"/>
      <c r="X51" s="99">
        <v>46024</v>
      </c>
      <c r="Y51" s="188">
        <v>113142.48</v>
      </c>
      <c r="Z51" s="189">
        <v>0</v>
      </c>
      <c r="AA51" s="188">
        <f t="shared" si="3"/>
        <v>113142.48</v>
      </c>
      <c r="AB51" s="188">
        <v>0</v>
      </c>
      <c r="AC51" s="188">
        <f t="shared" si="4"/>
        <v>113142.48</v>
      </c>
      <c r="AD51" s="188">
        <f t="shared" si="5"/>
        <v>113142.48</v>
      </c>
      <c r="AE51" s="68" t="s">
        <v>102</v>
      </c>
      <c r="AF51" s="68"/>
      <c r="AG51" s="68"/>
      <c r="AH51" s="190"/>
      <c r="AI51" s="191"/>
      <c r="AJ51" s="190"/>
      <c r="AK51" s="192"/>
      <c r="AL51" s="190"/>
      <c r="AM51" s="193" t="s">
        <v>202</v>
      </c>
      <c r="AN51" s="194"/>
      <c r="AO51" s="195"/>
      <c r="AP51" s="31"/>
      <c r="AQ51" s="31"/>
      <c r="AR51" s="30"/>
      <c r="AS51" s="31"/>
    </row>
    <row r="52" spans="1:45" ht="30" hidden="1" customHeight="1" x14ac:dyDescent="0.25">
      <c r="A52" s="135">
        <v>2026</v>
      </c>
      <c r="B52" s="66" t="s">
        <v>63</v>
      </c>
      <c r="C52" s="65" t="s">
        <v>198</v>
      </c>
      <c r="D52" s="144" t="s">
        <v>114</v>
      </c>
      <c r="E52" s="141"/>
      <c r="F52" s="65" t="s">
        <v>286</v>
      </c>
      <c r="G52" s="144" t="s">
        <v>121</v>
      </c>
      <c r="H52" s="66" t="s">
        <v>126</v>
      </c>
      <c r="I52" s="74"/>
      <c r="J52" s="144" t="s">
        <v>132</v>
      </c>
      <c r="K52" s="144" t="s">
        <v>3</v>
      </c>
      <c r="L52" s="66" t="s">
        <v>6</v>
      </c>
      <c r="M52" s="65" t="s">
        <v>200</v>
      </c>
      <c r="N52" s="187"/>
      <c r="O52" s="187"/>
      <c r="P52" s="187"/>
      <c r="Q52" s="144" t="s">
        <v>140</v>
      </c>
      <c r="R52" s="89"/>
      <c r="S52" s="89"/>
      <c r="T52" s="65" t="s">
        <v>287</v>
      </c>
      <c r="U52" s="144">
        <v>2026</v>
      </c>
      <c r="V52" s="99">
        <v>46022</v>
      </c>
      <c r="W52" s="89"/>
      <c r="X52" s="99">
        <v>46024</v>
      </c>
      <c r="Y52" s="188">
        <v>171360</v>
      </c>
      <c r="Z52" s="189">
        <v>0</v>
      </c>
      <c r="AA52" s="188">
        <f t="shared" si="3"/>
        <v>171360</v>
      </c>
      <c r="AB52" s="188">
        <v>0</v>
      </c>
      <c r="AC52" s="188">
        <f t="shared" si="4"/>
        <v>171360</v>
      </c>
      <c r="AD52" s="188">
        <f t="shared" si="5"/>
        <v>171360</v>
      </c>
      <c r="AE52" s="68" t="s">
        <v>102</v>
      </c>
      <c r="AF52" s="68"/>
      <c r="AG52" s="68"/>
      <c r="AH52" s="190"/>
      <c r="AI52" s="191"/>
      <c r="AJ52" s="190"/>
      <c r="AK52" s="192"/>
      <c r="AL52" s="190"/>
      <c r="AM52" s="193" t="s">
        <v>202</v>
      </c>
      <c r="AN52" s="194"/>
      <c r="AO52" s="195"/>
      <c r="AP52" s="31"/>
      <c r="AQ52" s="31"/>
      <c r="AR52" s="30"/>
      <c r="AS52" s="31"/>
    </row>
    <row r="53" spans="1:45" ht="30" hidden="1" customHeight="1" x14ac:dyDescent="0.25">
      <c r="A53" s="135">
        <v>2026</v>
      </c>
      <c r="B53" s="66" t="s">
        <v>63</v>
      </c>
      <c r="C53" s="65" t="s">
        <v>198</v>
      </c>
      <c r="D53" s="144" t="s">
        <v>114</v>
      </c>
      <c r="E53" s="141"/>
      <c r="F53" s="65" t="s">
        <v>288</v>
      </c>
      <c r="G53" s="144" t="s">
        <v>121</v>
      </c>
      <c r="H53" s="66" t="s">
        <v>126</v>
      </c>
      <c r="I53" s="74"/>
      <c r="J53" s="144" t="s">
        <v>132</v>
      </c>
      <c r="K53" s="144" t="s">
        <v>3</v>
      </c>
      <c r="L53" s="66" t="s">
        <v>6</v>
      </c>
      <c r="M53" s="65" t="s">
        <v>200</v>
      </c>
      <c r="N53" s="187"/>
      <c r="O53" s="187"/>
      <c r="P53" s="187"/>
      <c r="Q53" s="144" t="s">
        <v>140</v>
      </c>
      <c r="R53" s="89"/>
      <c r="S53" s="89"/>
      <c r="T53" s="65" t="s">
        <v>289</v>
      </c>
      <c r="U53" s="144">
        <v>2026</v>
      </c>
      <c r="V53" s="99">
        <v>46022</v>
      </c>
      <c r="W53" s="89"/>
      <c r="X53" s="99">
        <v>46024</v>
      </c>
      <c r="Y53" s="188">
        <v>113142.48</v>
      </c>
      <c r="Z53" s="189">
        <v>0</v>
      </c>
      <c r="AA53" s="188">
        <f t="shared" si="3"/>
        <v>113142.48</v>
      </c>
      <c r="AB53" s="188">
        <v>0</v>
      </c>
      <c r="AC53" s="188">
        <f t="shared" si="4"/>
        <v>113142.48</v>
      </c>
      <c r="AD53" s="188">
        <f t="shared" si="5"/>
        <v>113142.48</v>
      </c>
      <c r="AE53" s="68" t="s">
        <v>102</v>
      </c>
      <c r="AF53" s="68"/>
      <c r="AG53" s="68"/>
      <c r="AH53" s="190"/>
      <c r="AI53" s="191"/>
      <c r="AJ53" s="190"/>
      <c r="AK53" s="192"/>
      <c r="AL53" s="190"/>
      <c r="AM53" s="193" t="s">
        <v>202</v>
      </c>
      <c r="AN53" s="194"/>
      <c r="AO53" s="195"/>
      <c r="AP53" s="31"/>
      <c r="AQ53" s="31"/>
      <c r="AR53" s="30"/>
      <c r="AS53" s="31"/>
    </row>
    <row r="54" spans="1:45" ht="30" hidden="1" customHeight="1" x14ac:dyDescent="0.25">
      <c r="A54" s="135">
        <v>2026</v>
      </c>
      <c r="B54" s="66" t="s">
        <v>63</v>
      </c>
      <c r="C54" s="65" t="s">
        <v>198</v>
      </c>
      <c r="D54" s="144" t="s">
        <v>114</v>
      </c>
      <c r="E54" s="141"/>
      <c r="F54" s="65" t="s">
        <v>290</v>
      </c>
      <c r="G54" s="144" t="s">
        <v>121</v>
      </c>
      <c r="H54" s="66" t="s">
        <v>126</v>
      </c>
      <c r="I54" s="74"/>
      <c r="J54" s="144" t="s">
        <v>132</v>
      </c>
      <c r="K54" s="144" t="s">
        <v>3</v>
      </c>
      <c r="L54" s="66" t="s">
        <v>6</v>
      </c>
      <c r="M54" s="65" t="s">
        <v>200</v>
      </c>
      <c r="N54" s="187"/>
      <c r="O54" s="187"/>
      <c r="P54" s="187"/>
      <c r="Q54" s="144" t="s">
        <v>140</v>
      </c>
      <c r="R54" s="89"/>
      <c r="S54" s="89"/>
      <c r="T54" s="65" t="s">
        <v>291</v>
      </c>
      <c r="U54" s="144">
        <v>2026</v>
      </c>
      <c r="V54" s="99">
        <v>46022</v>
      </c>
      <c r="W54" s="89"/>
      <c r="X54" s="99">
        <v>46024</v>
      </c>
      <c r="Y54" s="188">
        <v>113142.48</v>
      </c>
      <c r="Z54" s="189">
        <v>0</v>
      </c>
      <c r="AA54" s="188">
        <f t="shared" si="3"/>
        <v>113142.48</v>
      </c>
      <c r="AB54" s="188">
        <v>0</v>
      </c>
      <c r="AC54" s="188">
        <f t="shared" si="4"/>
        <v>113142.48</v>
      </c>
      <c r="AD54" s="188">
        <f t="shared" si="5"/>
        <v>113142.48</v>
      </c>
      <c r="AE54" s="68" t="s">
        <v>102</v>
      </c>
      <c r="AF54" s="68"/>
      <c r="AG54" s="68"/>
      <c r="AH54" s="190"/>
      <c r="AI54" s="191"/>
      <c r="AJ54" s="190"/>
      <c r="AK54" s="192"/>
      <c r="AL54" s="190"/>
      <c r="AM54" s="193" t="s">
        <v>202</v>
      </c>
      <c r="AN54" s="194"/>
      <c r="AO54" s="195"/>
      <c r="AP54" s="31"/>
      <c r="AQ54" s="31"/>
      <c r="AR54" s="30"/>
      <c r="AS54" s="31"/>
    </row>
    <row r="55" spans="1:45" ht="30" hidden="1" customHeight="1" x14ac:dyDescent="0.25">
      <c r="A55" s="135">
        <v>2026</v>
      </c>
      <c r="B55" s="66" t="s">
        <v>63</v>
      </c>
      <c r="C55" s="65" t="s">
        <v>198</v>
      </c>
      <c r="D55" s="144" t="s">
        <v>114</v>
      </c>
      <c r="E55" s="141"/>
      <c r="F55" s="65" t="s">
        <v>292</v>
      </c>
      <c r="G55" s="144" t="s">
        <v>121</v>
      </c>
      <c r="H55" s="66" t="s">
        <v>126</v>
      </c>
      <c r="I55" s="74"/>
      <c r="J55" s="144" t="s">
        <v>132</v>
      </c>
      <c r="K55" s="144" t="s">
        <v>3</v>
      </c>
      <c r="L55" s="66" t="s">
        <v>6</v>
      </c>
      <c r="M55" s="65" t="s">
        <v>200</v>
      </c>
      <c r="N55" s="187"/>
      <c r="O55" s="187"/>
      <c r="P55" s="187"/>
      <c r="Q55" s="144" t="s">
        <v>140</v>
      </c>
      <c r="R55" s="89"/>
      <c r="S55" s="89"/>
      <c r="T55" s="65" t="s">
        <v>293</v>
      </c>
      <c r="U55" s="144">
        <v>2026</v>
      </c>
      <c r="V55" s="99">
        <v>46022</v>
      </c>
      <c r="W55" s="89"/>
      <c r="X55" s="99">
        <v>46024</v>
      </c>
      <c r="Y55" s="188">
        <v>150000</v>
      </c>
      <c r="Z55" s="189">
        <v>0</v>
      </c>
      <c r="AA55" s="188">
        <f t="shared" si="3"/>
        <v>150000</v>
      </c>
      <c r="AB55" s="188">
        <v>0</v>
      </c>
      <c r="AC55" s="188">
        <f t="shared" si="4"/>
        <v>150000</v>
      </c>
      <c r="AD55" s="188">
        <f t="shared" si="5"/>
        <v>150000</v>
      </c>
      <c r="AE55" s="68" t="s">
        <v>102</v>
      </c>
      <c r="AF55" s="68"/>
      <c r="AG55" s="68"/>
      <c r="AH55" s="190"/>
      <c r="AI55" s="191"/>
      <c r="AJ55" s="190"/>
      <c r="AK55" s="192"/>
      <c r="AL55" s="190"/>
      <c r="AM55" s="193" t="s">
        <v>202</v>
      </c>
      <c r="AN55" s="194"/>
      <c r="AO55" s="195"/>
      <c r="AP55" s="31"/>
      <c r="AQ55" s="31"/>
      <c r="AR55" s="30"/>
      <c r="AS55" s="31"/>
    </row>
    <row r="56" spans="1:45" ht="30" hidden="1" customHeight="1" x14ac:dyDescent="0.25">
      <c r="A56" s="135">
        <v>2026</v>
      </c>
      <c r="B56" s="66" t="s">
        <v>63</v>
      </c>
      <c r="C56" s="65" t="s">
        <v>198</v>
      </c>
      <c r="D56" s="144" t="s">
        <v>114</v>
      </c>
      <c r="E56" s="141"/>
      <c r="F56" s="65" t="s">
        <v>294</v>
      </c>
      <c r="G56" s="144" t="s">
        <v>121</v>
      </c>
      <c r="H56" s="66" t="s">
        <v>126</v>
      </c>
      <c r="I56" s="74"/>
      <c r="J56" s="144" t="s">
        <v>132</v>
      </c>
      <c r="K56" s="144" t="s">
        <v>3</v>
      </c>
      <c r="L56" s="66" t="s">
        <v>6</v>
      </c>
      <c r="M56" s="65" t="s">
        <v>200</v>
      </c>
      <c r="N56" s="187"/>
      <c r="O56" s="187"/>
      <c r="P56" s="187"/>
      <c r="Q56" s="144" t="s">
        <v>140</v>
      </c>
      <c r="R56" s="89"/>
      <c r="S56" s="89"/>
      <c r="T56" s="65" t="s">
        <v>295</v>
      </c>
      <c r="U56" s="144">
        <v>2026</v>
      </c>
      <c r="V56" s="99">
        <v>46022</v>
      </c>
      <c r="W56" s="89"/>
      <c r="X56" s="99">
        <v>46024</v>
      </c>
      <c r="Y56" s="188">
        <v>150000</v>
      </c>
      <c r="Z56" s="189">
        <v>0</v>
      </c>
      <c r="AA56" s="188">
        <f t="shared" si="3"/>
        <v>150000</v>
      </c>
      <c r="AB56" s="188">
        <v>0</v>
      </c>
      <c r="AC56" s="188">
        <f t="shared" si="4"/>
        <v>150000</v>
      </c>
      <c r="AD56" s="188">
        <f t="shared" si="5"/>
        <v>150000</v>
      </c>
      <c r="AE56" s="68" t="s">
        <v>102</v>
      </c>
      <c r="AF56" s="68"/>
      <c r="AG56" s="68"/>
      <c r="AH56" s="190"/>
      <c r="AI56" s="191"/>
      <c r="AJ56" s="190"/>
      <c r="AK56" s="192"/>
      <c r="AL56" s="190"/>
      <c r="AM56" s="193" t="s">
        <v>202</v>
      </c>
      <c r="AN56" s="194"/>
      <c r="AO56" s="195"/>
      <c r="AP56" s="31"/>
      <c r="AQ56" s="31"/>
      <c r="AR56" s="30"/>
      <c r="AS56" s="31"/>
    </row>
    <row r="57" spans="1:45" ht="45" hidden="1" customHeight="1" x14ac:dyDescent="0.25">
      <c r="A57" s="135">
        <v>2026</v>
      </c>
      <c r="B57" s="66" t="s">
        <v>63</v>
      </c>
      <c r="C57" s="65" t="s">
        <v>296</v>
      </c>
      <c r="D57" s="144" t="s">
        <v>114</v>
      </c>
      <c r="E57" s="141"/>
      <c r="F57" s="65" t="s">
        <v>297</v>
      </c>
      <c r="G57" s="144" t="s">
        <v>120</v>
      </c>
      <c r="H57" s="66" t="s">
        <v>120</v>
      </c>
      <c r="I57" s="74"/>
      <c r="J57" s="144" t="s">
        <v>132</v>
      </c>
      <c r="K57" s="144" t="s">
        <v>3</v>
      </c>
      <c r="L57" s="66" t="s">
        <v>6</v>
      </c>
      <c r="M57" s="65" t="s">
        <v>200</v>
      </c>
      <c r="N57" s="187"/>
      <c r="O57" s="187"/>
      <c r="P57" s="187"/>
      <c r="Q57" s="144" t="s">
        <v>140</v>
      </c>
      <c r="R57" s="89"/>
      <c r="S57" s="89"/>
      <c r="T57" s="65" t="s">
        <v>298</v>
      </c>
      <c r="U57" s="144">
        <v>2026</v>
      </c>
      <c r="V57" s="93"/>
      <c r="W57" s="89"/>
      <c r="X57" s="99"/>
      <c r="Y57" s="188">
        <v>28285.62</v>
      </c>
      <c r="Z57" s="189"/>
      <c r="AA57" s="188">
        <f t="shared" si="3"/>
        <v>28285.62</v>
      </c>
      <c r="AB57" s="188"/>
      <c r="AC57" s="188">
        <f t="shared" si="4"/>
        <v>28285.62</v>
      </c>
      <c r="AD57" s="188">
        <f t="shared" si="5"/>
        <v>28285.62</v>
      </c>
      <c r="AE57" s="68" t="s">
        <v>101</v>
      </c>
      <c r="AF57" s="68"/>
      <c r="AG57" s="68"/>
      <c r="AH57" s="190"/>
      <c r="AI57" s="191"/>
      <c r="AJ57" s="190"/>
      <c r="AK57" s="192"/>
      <c r="AL57" s="190"/>
      <c r="AM57" s="193"/>
      <c r="AN57" s="194"/>
      <c r="AO57" s="195"/>
      <c r="AP57" s="31"/>
      <c r="AQ57" s="31"/>
      <c r="AR57" s="30"/>
      <c r="AS57" s="31"/>
    </row>
    <row r="58" spans="1:45" ht="30" hidden="1" customHeight="1" x14ac:dyDescent="0.25">
      <c r="A58" s="135">
        <v>2026</v>
      </c>
      <c r="B58" s="66" t="s">
        <v>63</v>
      </c>
      <c r="C58" s="65" t="s">
        <v>296</v>
      </c>
      <c r="D58" s="144" t="s">
        <v>114</v>
      </c>
      <c r="E58" s="141"/>
      <c r="F58" s="65" t="s">
        <v>299</v>
      </c>
      <c r="G58" s="144" t="s">
        <v>120</v>
      </c>
      <c r="H58" s="66" t="s">
        <v>120</v>
      </c>
      <c r="I58" s="74"/>
      <c r="J58" s="144" t="s">
        <v>132</v>
      </c>
      <c r="K58" s="144" t="s">
        <v>3</v>
      </c>
      <c r="L58" s="66" t="s">
        <v>6</v>
      </c>
      <c r="M58" s="65" t="s">
        <v>200</v>
      </c>
      <c r="N58" s="187"/>
      <c r="O58" s="187"/>
      <c r="P58" s="187"/>
      <c r="Q58" s="144" t="s">
        <v>140</v>
      </c>
      <c r="R58" s="89"/>
      <c r="S58" s="89"/>
      <c r="T58" s="65" t="s">
        <v>300</v>
      </c>
      <c r="U58" s="144">
        <v>2026</v>
      </c>
      <c r="V58" s="93"/>
      <c r="W58" s="89"/>
      <c r="X58" s="99"/>
      <c r="Y58" s="188">
        <v>28285.62</v>
      </c>
      <c r="Z58" s="189"/>
      <c r="AA58" s="188">
        <f t="shared" si="3"/>
        <v>28285.62</v>
      </c>
      <c r="AB58" s="188"/>
      <c r="AC58" s="188">
        <f t="shared" si="4"/>
        <v>28285.62</v>
      </c>
      <c r="AD58" s="188">
        <f t="shared" si="5"/>
        <v>28285.62</v>
      </c>
      <c r="AE58" s="68" t="s">
        <v>101</v>
      </c>
      <c r="AF58" s="68"/>
      <c r="AG58" s="68"/>
      <c r="AH58" s="190"/>
      <c r="AI58" s="191"/>
      <c r="AJ58" s="190"/>
      <c r="AK58" s="192"/>
      <c r="AL58" s="190"/>
      <c r="AM58" s="193"/>
      <c r="AN58" s="194"/>
      <c r="AO58" s="195"/>
      <c r="AP58" s="31"/>
      <c r="AQ58" s="31"/>
      <c r="AR58" s="30"/>
      <c r="AS58" s="31"/>
    </row>
    <row r="59" spans="1:45" ht="30" hidden="1" customHeight="1" x14ac:dyDescent="0.25">
      <c r="A59" s="135">
        <v>2026</v>
      </c>
      <c r="B59" s="66" t="s">
        <v>63</v>
      </c>
      <c r="C59" s="65" t="s">
        <v>198</v>
      </c>
      <c r="D59" s="144" t="s">
        <v>114</v>
      </c>
      <c r="E59" s="141"/>
      <c r="F59" s="65" t="s">
        <v>301</v>
      </c>
      <c r="G59" s="144" t="s">
        <v>121</v>
      </c>
      <c r="H59" s="66" t="s">
        <v>126</v>
      </c>
      <c r="I59" s="74"/>
      <c r="J59" s="144" t="s">
        <v>132</v>
      </c>
      <c r="K59" s="144" t="s">
        <v>3</v>
      </c>
      <c r="L59" s="66" t="s">
        <v>6</v>
      </c>
      <c r="M59" s="65" t="s">
        <v>200</v>
      </c>
      <c r="N59" s="187"/>
      <c r="O59" s="187"/>
      <c r="P59" s="187"/>
      <c r="Q59" s="144" t="s">
        <v>140</v>
      </c>
      <c r="R59" s="89"/>
      <c r="S59" s="89"/>
      <c r="T59" s="65" t="s">
        <v>302</v>
      </c>
      <c r="U59" s="144">
        <v>2026</v>
      </c>
      <c r="V59" s="99">
        <v>46022</v>
      </c>
      <c r="W59" s="89"/>
      <c r="X59" s="99">
        <v>46024</v>
      </c>
      <c r="Y59" s="188">
        <v>150500</v>
      </c>
      <c r="Z59" s="189">
        <v>0</v>
      </c>
      <c r="AA59" s="188">
        <f t="shared" si="3"/>
        <v>150500</v>
      </c>
      <c r="AB59" s="188">
        <v>0</v>
      </c>
      <c r="AC59" s="188">
        <f t="shared" si="4"/>
        <v>150500</v>
      </c>
      <c r="AD59" s="188">
        <f t="shared" si="5"/>
        <v>150500</v>
      </c>
      <c r="AE59" s="68" t="s">
        <v>102</v>
      </c>
      <c r="AF59" s="68"/>
      <c r="AG59" s="68"/>
      <c r="AH59" s="190"/>
      <c r="AI59" s="191"/>
      <c r="AJ59" s="190"/>
      <c r="AK59" s="192"/>
      <c r="AL59" s="190"/>
      <c r="AM59" s="193" t="s">
        <v>202</v>
      </c>
      <c r="AN59" s="194"/>
      <c r="AO59" s="195"/>
      <c r="AP59" s="31"/>
      <c r="AQ59" s="31"/>
      <c r="AR59" s="30"/>
      <c r="AS59" s="31"/>
    </row>
    <row r="60" spans="1:45" ht="30" hidden="1" customHeight="1" x14ac:dyDescent="0.25">
      <c r="A60" s="135">
        <v>2026</v>
      </c>
      <c r="B60" s="66" t="s">
        <v>63</v>
      </c>
      <c r="C60" s="65" t="s">
        <v>198</v>
      </c>
      <c r="D60" s="144" t="s">
        <v>114</v>
      </c>
      <c r="E60" s="141"/>
      <c r="F60" s="65" t="s">
        <v>303</v>
      </c>
      <c r="G60" s="144" t="s">
        <v>121</v>
      </c>
      <c r="H60" s="66" t="s">
        <v>126</v>
      </c>
      <c r="I60" s="74"/>
      <c r="J60" s="144" t="s">
        <v>132</v>
      </c>
      <c r="K60" s="144" t="s">
        <v>3</v>
      </c>
      <c r="L60" s="66" t="s">
        <v>6</v>
      </c>
      <c r="M60" s="65" t="s">
        <v>200</v>
      </c>
      <c r="N60" s="187"/>
      <c r="O60" s="187"/>
      <c r="P60" s="187"/>
      <c r="Q60" s="144" t="s">
        <v>140</v>
      </c>
      <c r="R60" s="89"/>
      <c r="S60" s="89"/>
      <c r="T60" s="65" t="s">
        <v>304</v>
      </c>
      <c r="U60" s="144">
        <v>2026</v>
      </c>
      <c r="V60" s="99">
        <v>46022</v>
      </c>
      <c r="W60" s="89"/>
      <c r="X60" s="99">
        <v>46024</v>
      </c>
      <c r="Y60" s="188">
        <v>150000</v>
      </c>
      <c r="Z60" s="189">
        <v>0</v>
      </c>
      <c r="AA60" s="188">
        <f t="shared" si="3"/>
        <v>150000</v>
      </c>
      <c r="AB60" s="188">
        <v>0</v>
      </c>
      <c r="AC60" s="188">
        <f t="shared" si="4"/>
        <v>150000</v>
      </c>
      <c r="AD60" s="188">
        <f t="shared" si="5"/>
        <v>150000</v>
      </c>
      <c r="AE60" s="68" t="s">
        <v>102</v>
      </c>
      <c r="AF60" s="68"/>
      <c r="AG60" s="68"/>
      <c r="AH60" s="190"/>
      <c r="AI60" s="191"/>
      <c r="AJ60" s="190"/>
      <c r="AK60" s="192"/>
      <c r="AL60" s="190"/>
      <c r="AM60" s="193" t="s">
        <v>202</v>
      </c>
      <c r="AN60" s="194"/>
      <c r="AO60" s="195"/>
      <c r="AP60" s="31"/>
      <c r="AQ60" s="31"/>
      <c r="AR60" s="30"/>
      <c r="AS60" s="31"/>
    </row>
    <row r="61" spans="1:45" ht="30" hidden="1" customHeight="1" x14ac:dyDescent="0.25">
      <c r="A61" s="46">
        <v>2026</v>
      </c>
      <c r="B61" s="66" t="s">
        <v>72</v>
      </c>
      <c r="C61" s="65" t="s">
        <v>305</v>
      </c>
      <c r="D61" s="144" t="s">
        <v>114</v>
      </c>
      <c r="E61" s="141"/>
      <c r="F61" s="65" t="s">
        <v>306</v>
      </c>
      <c r="G61" s="144" t="s">
        <v>121</v>
      </c>
      <c r="H61" s="66" t="s">
        <v>126</v>
      </c>
      <c r="I61" s="74"/>
      <c r="J61" s="144" t="s">
        <v>132</v>
      </c>
      <c r="K61" s="144" t="s">
        <v>3</v>
      </c>
      <c r="L61" s="66" t="s">
        <v>6</v>
      </c>
      <c r="M61" s="65" t="s">
        <v>200</v>
      </c>
      <c r="N61" s="187"/>
      <c r="O61" s="187"/>
      <c r="P61" s="187"/>
      <c r="Q61" s="144" t="s">
        <v>140</v>
      </c>
      <c r="R61" s="89"/>
      <c r="S61" s="89"/>
      <c r="T61" s="65" t="s">
        <v>307</v>
      </c>
      <c r="U61" s="144">
        <v>2026</v>
      </c>
      <c r="V61" s="99">
        <v>46387</v>
      </c>
      <c r="W61" s="89"/>
      <c r="X61" s="99">
        <v>46024</v>
      </c>
      <c r="Y61" s="188">
        <v>108000</v>
      </c>
      <c r="Z61" s="189">
        <v>0</v>
      </c>
      <c r="AA61" s="188">
        <f t="shared" si="3"/>
        <v>108000</v>
      </c>
      <c r="AB61" s="188">
        <v>0</v>
      </c>
      <c r="AC61" s="188">
        <f t="shared" si="4"/>
        <v>108000</v>
      </c>
      <c r="AD61" s="188">
        <f t="shared" si="5"/>
        <v>108000</v>
      </c>
      <c r="AE61" s="68" t="s">
        <v>102</v>
      </c>
      <c r="AF61" s="68"/>
      <c r="AG61" s="68"/>
      <c r="AH61" s="190"/>
      <c r="AI61" s="191"/>
      <c r="AJ61" s="190"/>
      <c r="AK61" s="192"/>
      <c r="AL61" s="190"/>
      <c r="AM61" s="193" t="s">
        <v>202</v>
      </c>
      <c r="AN61" s="194"/>
      <c r="AO61" s="195"/>
      <c r="AP61" s="31"/>
      <c r="AQ61" s="31"/>
      <c r="AR61" s="30"/>
      <c r="AS61" s="31"/>
    </row>
    <row r="62" spans="1:45" ht="30" hidden="1" customHeight="1" x14ac:dyDescent="0.25">
      <c r="A62" s="46">
        <v>2026</v>
      </c>
      <c r="B62" s="66" t="s">
        <v>72</v>
      </c>
      <c r="C62" s="65" t="s">
        <v>305</v>
      </c>
      <c r="D62" s="144" t="s">
        <v>114</v>
      </c>
      <c r="E62" s="141"/>
      <c r="F62" s="65" t="s">
        <v>308</v>
      </c>
      <c r="G62" s="144" t="s">
        <v>121</v>
      </c>
      <c r="H62" s="66" t="s">
        <v>126</v>
      </c>
      <c r="I62" s="74"/>
      <c r="J62" s="144" t="s">
        <v>132</v>
      </c>
      <c r="K62" s="144" t="s">
        <v>3</v>
      </c>
      <c r="L62" s="66" t="s">
        <v>6</v>
      </c>
      <c r="M62" s="65" t="s">
        <v>200</v>
      </c>
      <c r="N62" s="187"/>
      <c r="O62" s="187"/>
      <c r="P62" s="187"/>
      <c r="Q62" s="144" t="s">
        <v>140</v>
      </c>
      <c r="R62" s="89"/>
      <c r="S62" s="89"/>
      <c r="T62" s="65" t="s">
        <v>309</v>
      </c>
      <c r="U62" s="144">
        <v>2026</v>
      </c>
      <c r="V62" s="99">
        <v>46387</v>
      </c>
      <c r="W62" s="89"/>
      <c r="X62" s="99">
        <v>46024</v>
      </c>
      <c r="Y62" s="188">
        <v>72000</v>
      </c>
      <c r="Z62" s="189">
        <v>0</v>
      </c>
      <c r="AA62" s="188">
        <f t="shared" si="3"/>
        <v>72000</v>
      </c>
      <c r="AB62" s="188">
        <v>0</v>
      </c>
      <c r="AC62" s="188">
        <f t="shared" si="4"/>
        <v>72000</v>
      </c>
      <c r="AD62" s="188">
        <f t="shared" si="5"/>
        <v>72000</v>
      </c>
      <c r="AE62" s="68" t="s">
        <v>102</v>
      </c>
      <c r="AF62" s="68"/>
      <c r="AG62" s="68"/>
      <c r="AH62" s="190"/>
      <c r="AI62" s="191"/>
      <c r="AJ62" s="190"/>
      <c r="AK62" s="192"/>
      <c r="AL62" s="190"/>
      <c r="AM62" s="193" t="s">
        <v>202</v>
      </c>
      <c r="AN62" s="194"/>
      <c r="AO62" s="195"/>
      <c r="AP62" s="31"/>
      <c r="AQ62" s="31"/>
      <c r="AR62" s="30"/>
      <c r="AS62" s="31"/>
    </row>
    <row r="63" spans="1:45" ht="30" hidden="1" customHeight="1" x14ac:dyDescent="0.25">
      <c r="A63" s="46">
        <v>2026</v>
      </c>
      <c r="B63" s="66" t="s">
        <v>72</v>
      </c>
      <c r="C63" s="65" t="s">
        <v>305</v>
      </c>
      <c r="D63" s="144" t="s">
        <v>114</v>
      </c>
      <c r="E63" s="141"/>
      <c r="F63" s="65" t="s">
        <v>310</v>
      </c>
      <c r="G63" s="144" t="s">
        <v>121</v>
      </c>
      <c r="H63" s="66" t="s">
        <v>126</v>
      </c>
      <c r="I63" s="74"/>
      <c r="J63" s="144" t="s">
        <v>132</v>
      </c>
      <c r="K63" s="144" t="s">
        <v>3</v>
      </c>
      <c r="L63" s="66" t="s">
        <v>6</v>
      </c>
      <c r="M63" s="65" t="s">
        <v>200</v>
      </c>
      <c r="N63" s="187"/>
      <c r="O63" s="187"/>
      <c r="P63" s="187"/>
      <c r="Q63" s="144" t="s">
        <v>140</v>
      </c>
      <c r="R63" s="89"/>
      <c r="S63" s="89"/>
      <c r="T63" s="65" t="s">
        <v>311</v>
      </c>
      <c r="U63" s="144">
        <v>2026</v>
      </c>
      <c r="V63" s="99">
        <v>46387</v>
      </c>
      <c r="W63" s="89"/>
      <c r="X63" s="99">
        <v>46024</v>
      </c>
      <c r="Y63" s="188">
        <v>84000</v>
      </c>
      <c r="Z63" s="189">
        <v>0</v>
      </c>
      <c r="AA63" s="188">
        <f t="shared" si="3"/>
        <v>84000</v>
      </c>
      <c r="AB63" s="188">
        <v>0</v>
      </c>
      <c r="AC63" s="188">
        <f t="shared" si="4"/>
        <v>84000</v>
      </c>
      <c r="AD63" s="188">
        <f t="shared" si="5"/>
        <v>84000</v>
      </c>
      <c r="AE63" s="68" t="s">
        <v>102</v>
      </c>
      <c r="AF63" s="68"/>
      <c r="AG63" s="68"/>
      <c r="AH63" s="190"/>
      <c r="AI63" s="191"/>
      <c r="AJ63" s="190"/>
      <c r="AK63" s="192"/>
      <c r="AL63" s="190"/>
      <c r="AM63" s="193" t="s">
        <v>202</v>
      </c>
      <c r="AN63" s="194"/>
      <c r="AO63" s="195"/>
      <c r="AP63" s="31"/>
      <c r="AQ63" s="31"/>
      <c r="AR63" s="30"/>
      <c r="AS63" s="31"/>
    </row>
    <row r="64" spans="1:45" ht="30" hidden="1" customHeight="1" x14ac:dyDescent="0.25">
      <c r="A64" s="46">
        <v>2026</v>
      </c>
      <c r="B64" s="66" t="s">
        <v>72</v>
      </c>
      <c r="C64" s="65" t="s">
        <v>305</v>
      </c>
      <c r="D64" s="144" t="s">
        <v>114</v>
      </c>
      <c r="E64" s="141"/>
      <c r="F64" s="65" t="s">
        <v>312</v>
      </c>
      <c r="G64" s="144" t="s">
        <v>121</v>
      </c>
      <c r="H64" s="66" t="s">
        <v>126</v>
      </c>
      <c r="I64" s="74"/>
      <c r="J64" s="144" t="s">
        <v>132</v>
      </c>
      <c r="K64" s="144" t="s">
        <v>3</v>
      </c>
      <c r="L64" s="66" t="s">
        <v>6</v>
      </c>
      <c r="M64" s="65" t="s">
        <v>200</v>
      </c>
      <c r="N64" s="187"/>
      <c r="O64" s="187"/>
      <c r="P64" s="187"/>
      <c r="Q64" s="144" t="s">
        <v>140</v>
      </c>
      <c r="R64" s="89"/>
      <c r="S64" s="89"/>
      <c r="T64" s="65" t="s">
        <v>313</v>
      </c>
      <c r="U64" s="144">
        <v>2026</v>
      </c>
      <c r="V64" s="99">
        <v>46387</v>
      </c>
      <c r="W64" s="89"/>
      <c r="X64" s="99">
        <v>46024</v>
      </c>
      <c r="Y64" s="188">
        <v>84000</v>
      </c>
      <c r="Z64" s="189">
        <v>0</v>
      </c>
      <c r="AA64" s="188">
        <f t="shared" si="3"/>
        <v>84000</v>
      </c>
      <c r="AB64" s="188">
        <v>0</v>
      </c>
      <c r="AC64" s="188">
        <f t="shared" si="4"/>
        <v>84000</v>
      </c>
      <c r="AD64" s="188">
        <f t="shared" si="5"/>
        <v>84000</v>
      </c>
      <c r="AE64" s="68" t="s">
        <v>102</v>
      </c>
      <c r="AF64" s="68"/>
      <c r="AG64" s="68"/>
      <c r="AH64" s="190"/>
      <c r="AI64" s="191"/>
      <c r="AJ64" s="190"/>
      <c r="AK64" s="192"/>
      <c r="AL64" s="190"/>
      <c r="AM64" s="193" t="s">
        <v>202</v>
      </c>
      <c r="AN64" s="194"/>
      <c r="AO64" s="195"/>
      <c r="AP64" s="31"/>
      <c r="AQ64" s="31"/>
      <c r="AR64" s="30"/>
      <c r="AS64" s="31"/>
    </row>
    <row r="65" spans="1:45" ht="30" hidden="1" customHeight="1" x14ac:dyDescent="0.25">
      <c r="A65" s="46">
        <v>2026</v>
      </c>
      <c r="B65" s="66" t="s">
        <v>72</v>
      </c>
      <c r="C65" s="65" t="s">
        <v>305</v>
      </c>
      <c r="D65" s="144" t="s">
        <v>114</v>
      </c>
      <c r="E65" s="141"/>
      <c r="F65" s="65" t="s">
        <v>314</v>
      </c>
      <c r="G65" s="144" t="s">
        <v>121</v>
      </c>
      <c r="H65" s="66" t="s">
        <v>126</v>
      </c>
      <c r="I65" s="74"/>
      <c r="J65" s="144" t="s">
        <v>132</v>
      </c>
      <c r="K65" s="144" t="s">
        <v>3</v>
      </c>
      <c r="L65" s="66" t="s">
        <v>6</v>
      </c>
      <c r="M65" s="65" t="s">
        <v>200</v>
      </c>
      <c r="N65" s="187"/>
      <c r="O65" s="187"/>
      <c r="P65" s="187"/>
      <c r="Q65" s="144" t="s">
        <v>140</v>
      </c>
      <c r="R65" s="89"/>
      <c r="S65" s="89"/>
      <c r="T65" s="65" t="s">
        <v>315</v>
      </c>
      <c r="U65" s="144">
        <v>2026</v>
      </c>
      <c r="V65" s="99">
        <v>46387</v>
      </c>
      <c r="W65" s="89"/>
      <c r="X65" s="99">
        <v>46024</v>
      </c>
      <c r="Y65" s="188">
        <v>84000</v>
      </c>
      <c r="Z65" s="189">
        <v>0</v>
      </c>
      <c r="AA65" s="188">
        <f t="shared" si="3"/>
        <v>84000</v>
      </c>
      <c r="AB65" s="188">
        <v>0</v>
      </c>
      <c r="AC65" s="188">
        <f t="shared" si="4"/>
        <v>84000</v>
      </c>
      <c r="AD65" s="188">
        <f t="shared" si="5"/>
        <v>84000</v>
      </c>
      <c r="AE65" s="68" t="s">
        <v>102</v>
      </c>
      <c r="AF65" s="68"/>
      <c r="AG65" s="68"/>
      <c r="AH65" s="190"/>
      <c r="AI65" s="191"/>
      <c r="AJ65" s="190"/>
      <c r="AK65" s="192"/>
      <c r="AL65" s="190"/>
      <c r="AM65" s="193" t="s">
        <v>202</v>
      </c>
      <c r="AN65" s="194"/>
      <c r="AO65" s="195"/>
      <c r="AP65" s="31"/>
      <c r="AQ65" s="31"/>
      <c r="AR65" s="30"/>
      <c r="AS65" s="31"/>
    </row>
    <row r="66" spans="1:45" ht="30" hidden="1" customHeight="1" x14ac:dyDescent="0.25">
      <c r="A66" s="46">
        <v>2026</v>
      </c>
      <c r="B66" s="66" t="s">
        <v>72</v>
      </c>
      <c r="C66" s="65" t="s">
        <v>305</v>
      </c>
      <c r="D66" s="144" t="s">
        <v>114</v>
      </c>
      <c r="E66" s="141"/>
      <c r="F66" s="65" t="s">
        <v>316</v>
      </c>
      <c r="G66" s="144" t="s">
        <v>121</v>
      </c>
      <c r="H66" s="66" t="s">
        <v>126</v>
      </c>
      <c r="I66" s="74"/>
      <c r="J66" s="144" t="s">
        <v>132</v>
      </c>
      <c r="K66" s="144" t="s">
        <v>3</v>
      </c>
      <c r="L66" s="66" t="s">
        <v>6</v>
      </c>
      <c r="M66" s="65" t="s">
        <v>200</v>
      </c>
      <c r="N66" s="187"/>
      <c r="O66" s="187"/>
      <c r="P66" s="187"/>
      <c r="Q66" s="144" t="s">
        <v>140</v>
      </c>
      <c r="R66" s="89"/>
      <c r="S66" s="89"/>
      <c r="T66" s="65" t="s">
        <v>317</v>
      </c>
      <c r="U66" s="144">
        <v>2026</v>
      </c>
      <c r="V66" s="99">
        <v>46387</v>
      </c>
      <c r="W66" s="89"/>
      <c r="X66" s="99">
        <v>46024</v>
      </c>
      <c r="Y66" s="188">
        <v>84000</v>
      </c>
      <c r="Z66" s="189">
        <v>0</v>
      </c>
      <c r="AA66" s="188">
        <f t="shared" si="3"/>
        <v>84000</v>
      </c>
      <c r="AB66" s="188">
        <v>0</v>
      </c>
      <c r="AC66" s="188">
        <f t="shared" si="4"/>
        <v>84000</v>
      </c>
      <c r="AD66" s="188">
        <f t="shared" si="5"/>
        <v>84000</v>
      </c>
      <c r="AE66" s="68" t="s">
        <v>102</v>
      </c>
      <c r="AF66" s="68"/>
      <c r="AG66" s="68"/>
      <c r="AH66" s="190"/>
      <c r="AI66" s="191"/>
      <c r="AJ66" s="190"/>
      <c r="AK66" s="192"/>
      <c r="AL66" s="190"/>
      <c r="AM66" s="193" t="s">
        <v>202</v>
      </c>
      <c r="AN66" s="194"/>
      <c r="AO66" s="195"/>
      <c r="AP66" s="31"/>
      <c r="AQ66" s="31"/>
      <c r="AR66" s="30"/>
      <c r="AS66" s="31"/>
    </row>
    <row r="67" spans="1:45" ht="30" hidden="1" customHeight="1" x14ac:dyDescent="0.25">
      <c r="A67" s="46">
        <v>2026</v>
      </c>
      <c r="B67" s="66" t="s">
        <v>72</v>
      </c>
      <c r="C67" s="65" t="s">
        <v>305</v>
      </c>
      <c r="D67" s="144" t="s">
        <v>114</v>
      </c>
      <c r="E67" s="141"/>
      <c r="F67" s="65" t="s">
        <v>318</v>
      </c>
      <c r="G67" s="144" t="s">
        <v>121</v>
      </c>
      <c r="H67" s="66" t="s">
        <v>126</v>
      </c>
      <c r="I67" s="74"/>
      <c r="J67" s="144" t="s">
        <v>132</v>
      </c>
      <c r="K67" s="144" t="s">
        <v>3</v>
      </c>
      <c r="L67" s="66" t="s">
        <v>6</v>
      </c>
      <c r="M67" s="65" t="s">
        <v>200</v>
      </c>
      <c r="N67" s="187"/>
      <c r="O67" s="187"/>
      <c r="P67" s="187"/>
      <c r="Q67" s="144" t="s">
        <v>140</v>
      </c>
      <c r="R67" s="89"/>
      <c r="S67" s="89"/>
      <c r="T67" s="65" t="s">
        <v>319</v>
      </c>
      <c r="U67" s="144">
        <v>2026</v>
      </c>
      <c r="V67" s="99">
        <v>46387</v>
      </c>
      <c r="W67" s="89"/>
      <c r="X67" s="99">
        <v>46024</v>
      </c>
      <c r="Y67" s="188">
        <v>84000</v>
      </c>
      <c r="Z67" s="189">
        <v>0</v>
      </c>
      <c r="AA67" s="188">
        <f t="shared" si="3"/>
        <v>84000</v>
      </c>
      <c r="AB67" s="188">
        <v>0</v>
      </c>
      <c r="AC67" s="188">
        <f t="shared" si="4"/>
        <v>84000</v>
      </c>
      <c r="AD67" s="188">
        <f t="shared" si="5"/>
        <v>84000</v>
      </c>
      <c r="AE67" s="68" t="s">
        <v>102</v>
      </c>
      <c r="AF67" s="68"/>
      <c r="AG67" s="68"/>
      <c r="AH67" s="190"/>
      <c r="AI67" s="191"/>
      <c r="AJ67" s="190"/>
      <c r="AK67" s="192"/>
      <c r="AL67" s="190"/>
      <c r="AM67" s="193" t="s">
        <v>202</v>
      </c>
      <c r="AN67" s="194"/>
      <c r="AO67" s="195"/>
      <c r="AP67" s="31"/>
      <c r="AQ67" s="31"/>
      <c r="AR67" s="30"/>
      <c r="AS67" s="31"/>
    </row>
    <row r="68" spans="1:45" ht="30" hidden="1" customHeight="1" x14ac:dyDescent="0.25">
      <c r="A68" s="46">
        <v>2026</v>
      </c>
      <c r="B68" s="66" t="s">
        <v>72</v>
      </c>
      <c r="C68" s="65" t="s">
        <v>305</v>
      </c>
      <c r="D68" s="144" t="s">
        <v>114</v>
      </c>
      <c r="E68" s="141"/>
      <c r="F68" s="65" t="s">
        <v>320</v>
      </c>
      <c r="G68" s="144" t="s">
        <v>121</v>
      </c>
      <c r="H68" s="66" t="s">
        <v>126</v>
      </c>
      <c r="I68" s="74"/>
      <c r="J68" s="144" t="s">
        <v>132</v>
      </c>
      <c r="K68" s="144" t="s">
        <v>3</v>
      </c>
      <c r="L68" s="66" t="s">
        <v>6</v>
      </c>
      <c r="M68" s="65" t="s">
        <v>200</v>
      </c>
      <c r="N68" s="187"/>
      <c r="O68" s="187"/>
      <c r="P68" s="187"/>
      <c r="Q68" s="144" t="s">
        <v>140</v>
      </c>
      <c r="R68" s="89"/>
      <c r="S68" s="89"/>
      <c r="T68" s="65" t="s">
        <v>321</v>
      </c>
      <c r="U68" s="144">
        <v>2026</v>
      </c>
      <c r="V68" s="99">
        <v>46387</v>
      </c>
      <c r="W68" s="89"/>
      <c r="X68" s="99">
        <v>46024</v>
      </c>
      <c r="Y68" s="188">
        <v>84000</v>
      </c>
      <c r="Z68" s="189">
        <v>0</v>
      </c>
      <c r="AA68" s="188">
        <f t="shared" ref="AA68:AA81" si="6">Y68</f>
        <v>84000</v>
      </c>
      <c r="AB68" s="188">
        <v>0</v>
      </c>
      <c r="AC68" s="188">
        <f t="shared" ref="AC68:AC81" si="7">Y68</f>
        <v>84000</v>
      </c>
      <c r="AD68" s="188">
        <f t="shared" ref="AD68:AD81" si="8">Y68</f>
        <v>84000</v>
      </c>
      <c r="AE68" s="68" t="s">
        <v>102</v>
      </c>
      <c r="AF68" s="68"/>
      <c r="AG68" s="68"/>
      <c r="AH68" s="190"/>
      <c r="AI68" s="191"/>
      <c r="AJ68" s="190"/>
      <c r="AK68" s="192"/>
      <c r="AL68" s="190"/>
      <c r="AM68" s="193" t="s">
        <v>202</v>
      </c>
      <c r="AN68" s="194"/>
      <c r="AO68" s="195"/>
      <c r="AP68" s="31"/>
      <c r="AQ68" s="31"/>
      <c r="AR68" s="30"/>
      <c r="AS68" s="31"/>
    </row>
    <row r="69" spans="1:45" ht="30" hidden="1" customHeight="1" x14ac:dyDescent="0.25">
      <c r="A69" s="46">
        <v>2026</v>
      </c>
      <c r="B69" s="66" t="s">
        <v>72</v>
      </c>
      <c r="C69" s="65" t="s">
        <v>305</v>
      </c>
      <c r="D69" s="144" t="s">
        <v>114</v>
      </c>
      <c r="E69" s="141"/>
      <c r="F69" s="65" t="s">
        <v>322</v>
      </c>
      <c r="G69" s="144" t="s">
        <v>121</v>
      </c>
      <c r="H69" s="66" t="s">
        <v>126</v>
      </c>
      <c r="I69" s="74"/>
      <c r="J69" s="144" t="s">
        <v>132</v>
      </c>
      <c r="K69" s="144" t="s">
        <v>3</v>
      </c>
      <c r="L69" s="66" t="s">
        <v>6</v>
      </c>
      <c r="M69" s="65" t="s">
        <v>200</v>
      </c>
      <c r="N69" s="187"/>
      <c r="O69" s="187"/>
      <c r="P69" s="187"/>
      <c r="Q69" s="144" t="s">
        <v>140</v>
      </c>
      <c r="R69" s="89"/>
      <c r="S69" s="89"/>
      <c r="T69" s="65" t="s">
        <v>323</v>
      </c>
      <c r="U69" s="144">
        <v>2026</v>
      </c>
      <c r="V69" s="99">
        <v>46387</v>
      </c>
      <c r="W69" s="89"/>
      <c r="X69" s="99">
        <v>46024</v>
      </c>
      <c r="Y69" s="188">
        <v>84000</v>
      </c>
      <c r="Z69" s="189">
        <v>0</v>
      </c>
      <c r="AA69" s="188">
        <f t="shared" si="6"/>
        <v>84000</v>
      </c>
      <c r="AB69" s="188">
        <v>0</v>
      </c>
      <c r="AC69" s="188">
        <f t="shared" si="7"/>
        <v>84000</v>
      </c>
      <c r="AD69" s="188">
        <f t="shared" si="8"/>
        <v>84000</v>
      </c>
      <c r="AE69" s="68" t="s">
        <v>102</v>
      </c>
      <c r="AF69" s="68"/>
      <c r="AG69" s="68"/>
      <c r="AH69" s="190"/>
      <c r="AI69" s="191"/>
      <c r="AJ69" s="190"/>
      <c r="AK69" s="192"/>
      <c r="AL69" s="190"/>
      <c r="AM69" s="193" t="s">
        <v>202</v>
      </c>
      <c r="AN69" s="194"/>
      <c r="AO69" s="195"/>
      <c r="AP69" s="31"/>
      <c r="AQ69" s="31"/>
      <c r="AR69" s="30"/>
      <c r="AS69" s="31"/>
    </row>
    <row r="70" spans="1:45" ht="30" hidden="1" customHeight="1" x14ac:dyDescent="0.25">
      <c r="A70" s="46">
        <v>2026</v>
      </c>
      <c r="B70" s="66" t="s">
        <v>72</v>
      </c>
      <c r="C70" s="65" t="s">
        <v>305</v>
      </c>
      <c r="D70" s="144" t="s">
        <v>114</v>
      </c>
      <c r="E70" s="141"/>
      <c r="F70" s="65" t="s">
        <v>324</v>
      </c>
      <c r="G70" s="144" t="s">
        <v>121</v>
      </c>
      <c r="H70" s="66" t="s">
        <v>126</v>
      </c>
      <c r="I70" s="74"/>
      <c r="J70" s="144" t="s">
        <v>132</v>
      </c>
      <c r="K70" s="144" t="s">
        <v>3</v>
      </c>
      <c r="L70" s="66" t="s">
        <v>6</v>
      </c>
      <c r="M70" s="65" t="s">
        <v>200</v>
      </c>
      <c r="N70" s="187"/>
      <c r="O70" s="187"/>
      <c r="P70" s="187"/>
      <c r="Q70" s="144" t="s">
        <v>140</v>
      </c>
      <c r="R70" s="89"/>
      <c r="S70" s="89"/>
      <c r="T70" s="65" t="s">
        <v>325</v>
      </c>
      <c r="U70" s="144">
        <v>2026</v>
      </c>
      <c r="V70" s="99">
        <v>46387</v>
      </c>
      <c r="W70" s="89"/>
      <c r="X70" s="99">
        <v>46024</v>
      </c>
      <c r="Y70" s="188">
        <v>84000</v>
      </c>
      <c r="Z70" s="189">
        <v>0</v>
      </c>
      <c r="AA70" s="188">
        <f t="shared" si="6"/>
        <v>84000</v>
      </c>
      <c r="AB70" s="188">
        <v>0</v>
      </c>
      <c r="AC70" s="188">
        <f t="shared" si="7"/>
        <v>84000</v>
      </c>
      <c r="AD70" s="188">
        <f t="shared" si="8"/>
        <v>84000</v>
      </c>
      <c r="AE70" s="68" t="s">
        <v>102</v>
      </c>
      <c r="AF70" s="68"/>
      <c r="AG70" s="68"/>
      <c r="AH70" s="190"/>
      <c r="AI70" s="191"/>
      <c r="AJ70" s="190"/>
      <c r="AK70" s="192"/>
      <c r="AL70" s="190"/>
      <c r="AM70" s="193" t="s">
        <v>202</v>
      </c>
      <c r="AN70" s="194"/>
      <c r="AO70" s="195"/>
      <c r="AP70" s="31"/>
      <c r="AQ70" s="31"/>
      <c r="AR70" s="30"/>
      <c r="AS70" s="31"/>
    </row>
    <row r="71" spans="1:45" ht="30" hidden="1" customHeight="1" x14ac:dyDescent="0.25">
      <c r="A71" s="46">
        <v>2026</v>
      </c>
      <c r="B71" s="66" t="s">
        <v>72</v>
      </c>
      <c r="C71" s="65" t="s">
        <v>305</v>
      </c>
      <c r="D71" s="144" t="s">
        <v>114</v>
      </c>
      <c r="E71" s="141"/>
      <c r="F71" s="65" t="s">
        <v>326</v>
      </c>
      <c r="G71" s="144" t="s">
        <v>121</v>
      </c>
      <c r="H71" s="66" t="s">
        <v>126</v>
      </c>
      <c r="I71" s="74"/>
      <c r="J71" s="144" t="s">
        <v>132</v>
      </c>
      <c r="K71" s="144" t="s">
        <v>3</v>
      </c>
      <c r="L71" s="66" t="s">
        <v>6</v>
      </c>
      <c r="M71" s="65" t="s">
        <v>200</v>
      </c>
      <c r="N71" s="187"/>
      <c r="O71" s="187"/>
      <c r="P71" s="187"/>
      <c r="Q71" s="144" t="s">
        <v>140</v>
      </c>
      <c r="R71" s="89"/>
      <c r="S71" s="89"/>
      <c r="T71" s="65" t="s">
        <v>327</v>
      </c>
      <c r="U71" s="144">
        <v>2026</v>
      </c>
      <c r="V71" s="99">
        <v>46387</v>
      </c>
      <c r="W71" s="89"/>
      <c r="X71" s="99">
        <v>46024</v>
      </c>
      <c r="Y71" s="188">
        <v>144000</v>
      </c>
      <c r="Z71" s="189">
        <v>0</v>
      </c>
      <c r="AA71" s="188">
        <f t="shared" si="6"/>
        <v>144000</v>
      </c>
      <c r="AB71" s="188">
        <v>0</v>
      </c>
      <c r="AC71" s="188">
        <f t="shared" si="7"/>
        <v>144000</v>
      </c>
      <c r="AD71" s="188">
        <f t="shared" si="8"/>
        <v>144000</v>
      </c>
      <c r="AE71" s="68" t="s">
        <v>102</v>
      </c>
      <c r="AF71" s="68"/>
      <c r="AG71" s="68"/>
      <c r="AH71" s="190"/>
      <c r="AI71" s="191"/>
      <c r="AJ71" s="190"/>
      <c r="AK71" s="192"/>
      <c r="AL71" s="190"/>
      <c r="AM71" s="193" t="s">
        <v>202</v>
      </c>
      <c r="AN71" s="194"/>
      <c r="AO71" s="195"/>
      <c r="AP71" s="31"/>
      <c r="AQ71" s="31"/>
      <c r="AR71" s="30"/>
      <c r="AS71" s="31"/>
    </row>
    <row r="72" spans="1:45" ht="30" hidden="1" customHeight="1" x14ac:dyDescent="0.25">
      <c r="A72" s="46">
        <v>2026</v>
      </c>
      <c r="B72" s="66" t="s">
        <v>72</v>
      </c>
      <c r="C72" s="65" t="s">
        <v>305</v>
      </c>
      <c r="D72" s="144" t="s">
        <v>114</v>
      </c>
      <c r="E72" s="141"/>
      <c r="F72" s="65" t="s">
        <v>328</v>
      </c>
      <c r="G72" s="144" t="s">
        <v>121</v>
      </c>
      <c r="H72" s="66" t="s">
        <v>126</v>
      </c>
      <c r="I72" s="74"/>
      <c r="J72" s="144" t="s">
        <v>132</v>
      </c>
      <c r="K72" s="144" t="s">
        <v>3</v>
      </c>
      <c r="L72" s="66" t="s">
        <v>6</v>
      </c>
      <c r="M72" s="65" t="s">
        <v>200</v>
      </c>
      <c r="N72" s="187"/>
      <c r="O72" s="187"/>
      <c r="P72" s="187"/>
      <c r="Q72" s="144" t="s">
        <v>140</v>
      </c>
      <c r="R72" s="89"/>
      <c r="S72" s="89"/>
      <c r="T72" s="65" t="s">
        <v>329</v>
      </c>
      <c r="U72" s="144">
        <v>2026</v>
      </c>
      <c r="V72" s="99">
        <v>46387</v>
      </c>
      <c r="W72" s="89"/>
      <c r="X72" s="99">
        <v>46024</v>
      </c>
      <c r="Y72" s="188">
        <v>144000</v>
      </c>
      <c r="Z72" s="189">
        <v>0</v>
      </c>
      <c r="AA72" s="188">
        <f t="shared" si="6"/>
        <v>144000</v>
      </c>
      <c r="AB72" s="188">
        <v>0</v>
      </c>
      <c r="AC72" s="188">
        <f t="shared" si="7"/>
        <v>144000</v>
      </c>
      <c r="AD72" s="188">
        <f t="shared" si="8"/>
        <v>144000</v>
      </c>
      <c r="AE72" s="68" t="s">
        <v>102</v>
      </c>
      <c r="AF72" s="68"/>
      <c r="AG72" s="68"/>
      <c r="AH72" s="190"/>
      <c r="AI72" s="191"/>
      <c r="AJ72" s="190"/>
      <c r="AK72" s="192"/>
      <c r="AL72" s="190"/>
      <c r="AM72" s="193" t="s">
        <v>202</v>
      </c>
      <c r="AN72" s="194"/>
      <c r="AO72" s="195"/>
      <c r="AP72" s="31"/>
      <c r="AQ72" s="31"/>
      <c r="AR72" s="30"/>
      <c r="AS72" s="31"/>
    </row>
    <row r="73" spans="1:45" ht="30" hidden="1" customHeight="1" x14ac:dyDescent="0.25">
      <c r="A73" s="46">
        <v>2026</v>
      </c>
      <c r="B73" s="66" t="s">
        <v>72</v>
      </c>
      <c r="C73" s="65" t="s">
        <v>305</v>
      </c>
      <c r="D73" s="144" t="s">
        <v>114</v>
      </c>
      <c r="E73" s="141"/>
      <c r="F73" s="65" t="s">
        <v>330</v>
      </c>
      <c r="G73" s="144" t="s">
        <v>121</v>
      </c>
      <c r="H73" s="66" t="s">
        <v>126</v>
      </c>
      <c r="I73" s="74"/>
      <c r="J73" s="144" t="s">
        <v>132</v>
      </c>
      <c r="K73" s="144" t="s">
        <v>3</v>
      </c>
      <c r="L73" s="66" t="s">
        <v>6</v>
      </c>
      <c r="M73" s="65" t="s">
        <v>200</v>
      </c>
      <c r="N73" s="187"/>
      <c r="O73" s="187"/>
      <c r="P73" s="187"/>
      <c r="Q73" s="144" t="s">
        <v>140</v>
      </c>
      <c r="R73" s="89"/>
      <c r="S73" s="89"/>
      <c r="T73" s="65" t="s">
        <v>331</v>
      </c>
      <c r="U73" s="144">
        <v>2026</v>
      </c>
      <c r="V73" s="99">
        <v>46387</v>
      </c>
      <c r="W73" s="89"/>
      <c r="X73" s="99">
        <v>46024</v>
      </c>
      <c r="Y73" s="188">
        <v>60000</v>
      </c>
      <c r="Z73" s="189">
        <v>0</v>
      </c>
      <c r="AA73" s="188">
        <f t="shared" si="6"/>
        <v>60000</v>
      </c>
      <c r="AB73" s="188">
        <v>0</v>
      </c>
      <c r="AC73" s="188">
        <f t="shared" si="7"/>
        <v>60000</v>
      </c>
      <c r="AD73" s="188">
        <f t="shared" si="8"/>
        <v>60000</v>
      </c>
      <c r="AE73" s="68" t="s">
        <v>102</v>
      </c>
      <c r="AF73" s="68"/>
      <c r="AG73" s="68"/>
      <c r="AH73" s="190"/>
      <c r="AI73" s="191"/>
      <c r="AJ73" s="190"/>
      <c r="AK73" s="192"/>
      <c r="AL73" s="190"/>
      <c r="AM73" s="193" t="s">
        <v>202</v>
      </c>
      <c r="AN73" s="194"/>
      <c r="AO73" s="195"/>
      <c r="AP73" s="31"/>
      <c r="AQ73" s="31"/>
      <c r="AR73" s="30"/>
      <c r="AS73" s="31"/>
    </row>
    <row r="74" spans="1:45" ht="30" hidden="1" customHeight="1" x14ac:dyDescent="0.25">
      <c r="A74" s="46">
        <v>2026</v>
      </c>
      <c r="B74" s="66" t="s">
        <v>72</v>
      </c>
      <c r="C74" s="65" t="s">
        <v>305</v>
      </c>
      <c r="D74" s="144" t="s">
        <v>114</v>
      </c>
      <c r="E74" s="141"/>
      <c r="F74" s="65" t="s">
        <v>332</v>
      </c>
      <c r="G74" s="144" t="s">
        <v>121</v>
      </c>
      <c r="H74" s="66" t="s">
        <v>126</v>
      </c>
      <c r="I74" s="74"/>
      <c r="J74" s="144" t="s">
        <v>132</v>
      </c>
      <c r="K74" s="144" t="s">
        <v>3</v>
      </c>
      <c r="L74" s="66" t="s">
        <v>6</v>
      </c>
      <c r="M74" s="65" t="s">
        <v>200</v>
      </c>
      <c r="N74" s="187"/>
      <c r="O74" s="187"/>
      <c r="P74" s="187"/>
      <c r="Q74" s="144" t="s">
        <v>140</v>
      </c>
      <c r="R74" s="89"/>
      <c r="S74" s="89"/>
      <c r="T74" s="65" t="s">
        <v>333</v>
      </c>
      <c r="U74" s="144">
        <v>2026</v>
      </c>
      <c r="V74" s="99">
        <v>46387</v>
      </c>
      <c r="W74" s="89"/>
      <c r="X74" s="99">
        <v>46024</v>
      </c>
      <c r="Y74" s="188">
        <v>72000</v>
      </c>
      <c r="Z74" s="189">
        <v>0</v>
      </c>
      <c r="AA74" s="188">
        <f t="shared" si="6"/>
        <v>72000</v>
      </c>
      <c r="AB74" s="188">
        <v>0</v>
      </c>
      <c r="AC74" s="188">
        <f t="shared" si="7"/>
        <v>72000</v>
      </c>
      <c r="AD74" s="188">
        <f t="shared" si="8"/>
        <v>72000</v>
      </c>
      <c r="AE74" s="68" t="s">
        <v>102</v>
      </c>
      <c r="AF74" s="68"/>
      <c r="AG74" s="68"/>
      <c r="AH74" s="190"/>
      <c r="AI74" s="191"/>
      <c r="AJ74" s="190"/>
      <c r="AK74" s="192"/>
      <c r="AL74" s="190"/>
      <c r="AM74" s="193" t="s">
        <v>202</v>
      </c>
      <c r="AN74" s="194"/>
      <c r="AO74" s="195"/>
      <c r="AP74" s="31"/>
      <c r="AQ74" s="31"/>
      <c r="AR74" s="30"/>
      <c r="AS74" s="31"/>
    </row>
    <row r="75" spans="1:45" ht="30" hidden="1" customHeight="1" x14ac:dyDescent="0.25">
      <c r="A75" s="46">
        <v>2026</v>
      </c>
      <c r="B75" s="66" t="s">
        <v>72</v>
      </c>
      <c r="C75" s="65" t="s">
        <v>305</v>
      </c>
      <c r="D75" s="144" t="s">
        <v>114</v>
      </c>
      <c r="E75" s="141"/>
      <c r="F75" s="65" t="s">
        <v>334</v>
      </c>
      <c r="G75" s="144" t="s">
        <v>121</v>
      </c>
      <c r="H75" s="66" t="s">
        <v>126</v>
      </c>
      <c r="I75" s="74"/>
      <c r="J75" s="144" t="s">
        <v>132</v>
      </c>
      <c r="K75" s="144" t="s">
        <v>3</v>
      </c>
      <c r="L75" s="66" t="s">
        <v>6</v>
      </c>
      <c r="M75" s="65" t="s">
        <v>200</v>
      </c>
      <c r="N75" s="187"/>
      <c r="O75" s="187"/>
      <c r="P75" s="187"/>
      <c r="Q75" s="144" t="s">
        <v>140</v>
      </c>
      <c r="R75" s="89"/>
      <c r="S75" s="89"/>
      <c r="T75" s="65" t="s">
        <v>335</v>
      </c>
      <c r="U75" s="144">
        <v>2026</v>
      </c>
      <c r="V75" s="99">
        <v>46387</v>
      </c>
      <c r="W75" s="89"/>
      <c r="X75" s="99">
        <v>46024</v>
      </c>
      <c r="Y75" s="188">
        <v>84000</v>
      </c>
      <c r="Z75" s="189">
        <v>0</v>
      </c>
      <c r="AA75" s="188">
        <f t="shared" si="6"/>
        <v>84000</v>
      </c>
      <c r="AB75" s="188">
        <v>0</v>
      </c>
      <c r="AC75" s="188">
        <f t="shared" si="7"/>
        <v>84000</v>
      </c>
      <c r="AD75" s="188">
        <f t="shared" si="8"/>
        <v>84000</v>
      </c>
      <c r="AE75" s="68" t="s">
        <v>102</v>
      </c>
      <c r="AF75" s="68"/>
      <c r="AG75" s="68"/>
      <c r="AH75" s="190"/>
      <c r="AI75" s="191"/>
      <c r="AJ75" s="190"/>
      <c r="AK75" s="192"/>
      <c r="AL75" s="190"/>
      <c r="AM75" s="193" t="s">
        <v>202</v>
      </c>
      <c r="AN75" s="194"/>
      <c r="AO75" s="195"/>
      <c r="AP75" s="31"/>
      <c r="AQ75" s="31"/>
      <c r="AR75" s="30"/>
      <c r="AS75" s="31"/>
    </row>
    <row r="76" spans="1:45" ht="30" hidden="1" customHeight="1" x14ac:dyDescent="0.25">
      <c r="A76" s="46">
        <v>2026</v>
      </c>
      <c r="B76" s="66" t="s">
        <v>72</v>
      </c>
      <c r="C76" s="65" t="s">
        <v>305</v>
      </c>
      <c r="D76" s="144" t="s">
        <v>114</v>
      </c>
      <c r="E76" s="141"/>
      <c r="F76" s="65" t="s">
        <v>336</v>
      </c>
      <c r="G76" s="144" t="s">
        <v>121</v>
      </c>
      <c r="H76" s="66" t="s">
        <v>126</v>
      </c>
      <c r="I76" s="74"/>
      <c r="J76" s="144" t="s">
        <v>132</v>
      </c>
      <c r="K76" s="144" t="s">
        <v>3</v>
      </c>
      <c r="L76" s="66" t="s">
        <v>6</v>
      </c>
      <c r="M76" s="65" t="s">
        <v>200</v>
      </c>
      <c r="N76" s="187"/>
      <c r="O76" s="187"/>
      <c r="P76" s="187"/>
      <c r="Q76" s="144" t="s">
        <v>140</v>
      </c>
      <c r="R76" s="89"/>
      <c r="S76" s="89"/>
      <c r="T76" s="65" t="s">
        <v>337</v>
      </c>
      <c r="U76" s="144">
        <v>2026</v>
      </c>
      <c r="V76" s="99">
        <v>46387</v>
      </c>
      <c r="W76" s="89"/>
      <c r="X76" s="99">
        <v>46024</v>
      </c>
      <c r="Y76" s="188">
        <v>84000</v>
      </c>
      <c r="Z76" s="189">
        <v>0</v>
      </c>
      <c r="AA76" s="188">
        <f t="shared" si="6"/>
        <v>84000</v>
      </c>
      <c r="AB76" s="188">
        <v>0</v>
      </c>
      <c r="AC76" s="188">
        <f t="shared" si="7"/>
        <v>84000</v>
      </c>
      <c r="AD76" s="188">
        <f t="shared" si="8"/>
        <v>84000</v>
      </c>
      <c r="AE76" s="68" t="s">
        <v>102</v>
      </c>
      <c r="AF76" s="68"/>
      <c r="AG76" s="68"/>
      <c r="AH76" s="190"/>
      <c r="AI76" s="191"/>
      <c r="AJ76" s="190"/>
      <c r="AK76" s="192"/>
      <c r="AL76" s="190"/>
      <c r="AM76" s="193" t="s">
        <v>202</v>
      </c>
      <c r="AN76" s="194"/>
      <c r="AO76" s="195"/>
      <c r="AP76" s="31"/>
      <c r="AQ76" s="31"/>
      <c r="AR76" s="30"/>
      <c r="AS76" s="31"/>
    </row>
    <row r="77" spans="1:45" ht="30" hidden="1" customHeight="1" x14ac:dyDescent="0.25">
      <c r="A77" s="46">
        <v>2026</v>
      </c>
      <c r="B77" s="66" t="s">
        <v>72</v>
      </c>
      <c r="C77" s="65" t="s">
        <v>305</v>
      </c>
      <c r="D77" s="144" t="s">
        <v>114</v>
      </c>
      <c r="E77" s="141"/>
      <c r="F77" s="65" t="s">
        <v>338</v>
      </c>
      <c r="G77" s="144" t="s">
        <v>121</v>
      </c>
      <c r="H77" s="66" t="s">
        <v>126</v>
      </c>
      <c r="I77" s="74"/>
      <c r="J77" s="144" t="s">
        <v>132</v>
      </c>
      <c r="K77" s="144" t="s">
        <v>3</v>
      </c>
      <c r="L77" s="66" t="s">
        <v>6</v>
      </c>
      <c r="M77" s="65" t="s">
        <v>200</v>
      </c>
      <c r="N77" s="187"/>
      <c r="O77" s="187"/>
      <c r="P77" s="187"/>
      <c r="Q77" s="144" t="s">
        <v>140</v>
      </c>
      <c r="R77" s="89"/>
      <c r="S77" s="89"/>
      <c r="T77" s="65" t="s">
        <v>339</v>
      </c>
      <c r="U77" s="144">
        <v>2026</v>
      </c>
      <c r="V77" s="99">
        <v>46387</v>
      </c>
      <c r="W77" s="89"/>
      <c r="X77" s="99">
        <v>46024</v>
      </c>
      <c r="Y77" s="188">
        <v>84000</v>
      </c>
      <c r="Z77" s="189">
        <v>0</v>
      </c>
      <c r="AA77" s="188">
        <f t="shared" si="6"/>
        <v>84000</v>
      </c>
      <c r="AB77" s="188">
        <v>0</v>
      </c>
      <c r="AC77" s="188">
        <f t="shared" si="7"/>
        <v>84000</v>
      </c>
      <c r="AD77" s="188">
        <f t="shared" si="8"/>
        <v>84000</v>
      </c>
      <c r="AE77" s="68" t="s">
        <v>102</v>
      </c>
      <c r="AF77" s="68"/>
      <c r="AG77" s="68"/>
      <c r="AH77" s="190"/>
      <c r="AI77" s="191"/>
      <c r="AJ77" s="190"/>
      <c r="AK77" s="192"/>
      <c r="AL77" s="190"/>
      <c r="AM77" s="193" t="s">
        <v>202</v>
      </c>
      <c r="AN77" s="194"/>
      <c r="AO77" s="195"/>
      <c r="AP77" s="31"/>
      <c r="AQ77" s="31"/>
      <c r="AR77" s="30"/>
      <c r="AS77" s="31"/>
    </row>
    <row r="78" spans="1:45" ht="30" hidden="1" customHeight="1" x14ac:dyDescent="0.25">
      <c r="A78" s="46">
        <v>2026</v>
      </c>
      <c r="B78" s="66" t="s">
        <v>76</v>
      </c>
      <c r="C78" s="65" t="s">
        <v>340</v>
      </c>
      <c r="D78" s="144" t="s">
        <v>114</v>
      </c>
      <c r="E78" s="141"/>
      <c r="F78" s="65" t="s">
        <v>341</v>
      </c>
      <c r="G78" s="144" t="s">
        <v>121</v>
      </c>
      <c r="H78" s="66" t="s">
        <v>126</v>
      </c>
      <c r="I78" s="74"/>
      <c r="J78" s="144" t="s">
        <v>132</v>
      </c>
      <c r="K78" s="144" t="s">
        <v>3</v>
      </c>
      <c r="L78" s="66" t="s">
        <v>6</v>
      </c>
      <c r="M78" s="65" t="s">
        <v>342</v>
      </c>
      <c r="N78" s="187"/>
      <c r="O78" s="187"/>
      <c r="P78" s="187"/>
      <c r="Q78" s="144" t="s">
        <v>140</v>
      </c>
      <c r="R78" s="89"/>
      <c r="S78" s="89"/>
      <c r="T78" s="65" t="s">
        <v>343</v>
      </c>
      <c r="U78" s="144">
        <v>2026</v>
      </c>
      <c r="V78" s="99">
        <v>46387</v>
      </c>
      <c r="W78" s="89"/>
      <c r="X78" s="99">
        <v>46024</v>
      </c>
      <c r="Y78" s="188">
        <v>108000</v>
      </c>
      <c r="Z78" s="189">
        <v>0</v>
      </c>
      <c r="AA78" s="188">
        <f t="shared" si="6"/>
        <v>108000</v>
      </c>
      <c r="AB78" s="188">
        <v>0</v>
      </c>
      <c r="AC78" s="188">
        <f t="shared" si="7"/>
        <v>108000</v>
      </c>
      <c r="AD78" s="188">
        <f t="shared" si="8"/>
        <v>108000</v>
      </c>
      <c r="AE78" s="68" t="s">
        <v>102</v>
      </c>
      <c r="AF78" s="68"/>
      <c r="AG78" s="68"/>
      <c r="AH78" s="190"/>
      <c r="AI78" s="191"/>
      <c r="AJ78" s="190"/>
      <c r="AK78" s="192"/>
      <c r="AL78" s="190"/>
      <c r="AM78" s="193" t="s">
        <v>202</v>
      </c>
      <c r="AN78" s="194"/>
      <c r="AO78" s="195"/>
      <c r="AP78" s="31"/>
      <c r="AQ78" s="31"/>
      <c r="AR78" s="30"/>
      <c r="AS78" s="31"/>
    </row>
    <row r="79" spans="1:45" ht="30" hidden="1" customHeight="1" x14ac:dyDescent="0.25">
      <c r="A79" s="135">
        <v>2026</v>
      </c>
      <c r="B79" s="66" t="s">
        <v>60</v>
      </c>
      <c r="C79" s="65" t="s">
        <v>344</v>
      </c>
      <c r="D79" s="144" t="s">
        <v>114</v>
      </c>
      <c r="E79" s="141"/>
      <c r="F79" s="65" t="s">
        <v>345</v>
      </c>
      <c r="G79" s="144" t="s">
        <v>121</v>
      </c>
      <c r="H79" s="66" t="s">
        <v>126</v>
      </c>
      <c r="I79" s="74"/>
      <c r="J79" s="144" t="s">
        <v>132</v>
      </c>
      <c r="K79" s="144" t="s">
        <v>3</v>
      </c>
      <c r="L79" s="66" t="s">
        <v>6</v>
      </c>
      <c r="M79" s="65" t="s">
        <v>200</v>
      </c>
      <c r="N79" s="187"/>
      <c r="O79" s="187"/>
      <c r="P79" s="187"/>
      <c r="Q79" s="144" t="s">
        <v>140</v>
      </c>
      <c r="R79" s="89"/>
      <c r="S79" s="89"/>
      <c r="T79" s="65" t="s">
        <v>346</v>
      </c>
      <c r="U79" s="144">
        <v>2026</v>
      </c>
      <c r="V79" s="99">
        <v>46387</v>
      </c>
      <c r="W79" s="89"/>
      <c r="X79" s="99">
        <v>46024</v>
      </c>
      <c r="Y79" s="188">
        <v>102857.16</v>
      </c>
      <c r="Z79" s="189">
        <v>0</v>
      </c>
      <c r="AA79" s="188">
        <f t="shared" si="6"/>
        <v>102857.16</v>
      </c>
      <c r="AB79" s="188">
        <v>0</v>
      </c>
      <c r="AC79" s="188">
        <f t="shared" si="7"/>
        <v>102857.16</v>
      </c>
      <c r="AD79" s="188">
        <f t="shared" si="8"/>
        <v>102857.16</v>
      </c>
      <c r="AE79" s="68" t="s">
        <v>102</v>
      </c>
      <c r="AF79" s="68"/>
      <c r="AG79" s="68"/>
      <c r="AH79" s="190"/>
      <c r="AI79" s="191"/>
      <c r="AJ79" s="190"/>
      <c r="AK79" s="192"/>
      <c r="AL79" s="190"/>
      <c r="AM79" s="193" t="s">
        <v>202</v>
      </c>
      <c r="AN79" s="194"/>
      <c r="AO79" s="195"/>
      <c r="AP79" s="31"/>
      <c r="AQ79" s="31"/>
      <c r="AR79" s="30"/>
      <c r="AS79" s="31"/>
    </row>
    <row r="80" spans="1:45" ht="30" hidden="1" customHeight="1" x14ac:dyDescent="0.25">
      <c r="A80" s="135">
        <v>2026</v>
      </c>
      <c r="B80" s="66" t="s">
        <v>60</v>
      </c>
      <c r="C80" s="65" t="s">
        <v>344</v>
      </c>
      <c r="D80" s="144" t="s">
        <v>114</v>
      </c>
      <c r="E80" s="141"/>
      <c r="F80" s="65" t="s">
        <v>347</v>
      </c>
      <c r="G80" s="144" t="s">
        <v>121</v>
      </c>
      <c r="H80" s="66" t="s">
        <v>126</v>
      </c>
      <c r="I80" s="74"/>
      <c r="J80" s="144" t="s">
        <v>132</v>
      </c>
      <c r="K80" s="144" t="s">
        <v>3</v>
      </c>
      <c r="L80" s="66" t="s">
        <v>6</v>
      </c>
      <c r="M80" s="65" t="s">
        <v>200</v>
      </c>
      <c r="N80" s="187"/>
      <c r="O80" s="187"/>
      <c r="P80" s="187"/>
      <c r="Q80" s="144" t="s">
        <v>140</v>
      </c>
      <c r="R80" s="89"/>
      <c r="S80" s="89"/>
      <c r="T80" s="65" t="s">
        <v>348</v>
      </c>
      <c r="U80" s="144">
        <v>2026</v>
      </c>
      <c r="V80" s="99">
        <v>46387</v>
      </c>
      <c r="W80" s="89"/>
      <c r="X80" s="99">
        <v>46024</v>
      </c>
      <c r="Y80" s="188">
        <v>77142.84</v>
      </c>
      <c r="Z80" s="189">
        <v>0</v>
      </c>
      <c r="AA80" s="188">
        <f t="shared" si="6"/>
        <v>77142.84</v>
      </c>
      <c r="AB80" s="188">
        <v>0</v>
      </c>
      <c r="AC80" s="188">
        <f t="shared" si="7"/>
        <v>77142.84</v>
      </c>
      <c r="AD80" s="188">
        <f t="shared" si="8"/>
        <v>77142.84</v>
      </c>
      <c r="AE80" s="68" t="s">
        <v>102</v>
      </c>
      <c r="AF80" s="68"/>
      <c r="AG80" s="68"/>
      <c r="AH80" s="190"/>
      <c r="AI80" s="191"/>
      <c r="AJ80" s="190"/>
      <c r="AK80" s="192"/>
      <c r="AL80" s="190"/>
      <c r="AM80" s="193" t="s">
        <v>202</v>
      </c>
      <c r="AN80" s="194"/>
      <c r="AO80" s="195"/>
      <c r="AP80" s="31"/>
      <c r="AQ80" s="31"/>
      <c r="AR80" s="30"/>
      <c r="AS80" s="31"/>
    </row>
    <row r="81" spans="1:45" ht="30" hidden="1" customHeight="1" x14ac:dyDescent="0.25">
      <c r="A81" s="135">
        <v>2026</v>
      </c>
      <c r="B81" s="66" t="s">
        <v>60</v>
      </c>
      <c r="C81" s="65" t="s">
        <v>344</v>
      </c>
      <c r="D81" s="144" t="s">
        <v>114</v>
      </c>
      <c r="E81" s="141"/>
      <c r="F81" s="65" t="s">
        <v>349</v>
      </c>
      <c r="G81" s="144" t="s">
        <v>121</v>
      </c>
      <c r="H81" s="66" t="s">
        <v>126</v>
      </c>
      <c r="I81" s="74"/>
      <c r="J81" s="144" t="s">
        <v>132</v>
      </c>
      <c r="K81" s="144" t="s">
        <v>3</v>
      </c>
      <c r="L81" s="66" t="s">
        <v>6</v>
      </c>
      <c r="M81" s="65" t="s">
        <v>200</v>
      </c>
      <c r="N81" s="187"/>
      <c r="O81" s="187"/>
      <c r="P81" s="187"/>
      <c r="Q81" s="144" t="s">
        <v>140</v>
      </c>
      <c r="R81" s="89"/>
      <c r="S81" s="89"/>
      <c r="T81" s="65" t="s">
        <v>350</v>
      </c>
      <c r="U81" s="144">
        <v>2026</v>
      </c>
      <c r="V81" s="99">
        <v>46387</v>
      </c>
      <c r="W81" s="89"/>
      <c r="X81" s="99">
        <v>46024</v>
      </c>
      <c r="Y81" s="188">
        <v>28000</v>
      </c>
      <c r="Z81" s="189">
        <v>0</v>
      </c>
      <c r="AA81" s="188">
        <f t="shared" si="6"/>
        <v>28000</v>
      </c>
      <c r="AB81" s="188">
        <v>0</v>
      </c>
      <c r="AC81" s="188">
        <f t="shared" si="7"/>
        <v>28000</v>
      </c>
      <c r="AD81" s="188">
        <f t="shared" si="8"/>
        <v>28000</v>
      </c>
      <c r="AE81" s="68" t="s">
        <v>102</v>
      </c>
      <c r="AF81" s="68"/>
      <c r="AG81" s="68"/>
      <c r="AH81" s="190"/>
      <c r="AI81" s="191"/>
      <c r="AJ81" s="190"/>
      <c r="AK81" s="192"/>
      <c r="AL81" s="190"/>
      <c r="AM81" s="193" t="s">
        <v>202</v>
      </c>
      <c r="AN81" s="194"/>
      <c r="AO81" s="195"/>
      <c r="AP81" s="31"/>
      <c r="AQ81" s="31"/>
      <c r="AR81" s="30"/>
      <c r="AS81" s="31"/>
    </row>
    <row r="82" spans="1:45" ht="30" hidden="1" customHeight="1" x14ac:dyDescent="0.25">
      <c r="A82" s="46">
        <v>2026</v>
      </c>
      <c r="B82" s="66" t="s">
        <v>62</v>
      </c>
      <c r="C82" s="65" t="s">
        <v>141</v>
      </c>
      <c r="D82" s="144" t="s">
        <v>114</v>
      </c>
      <c r="E82" s="141"/>
      <c r="F82" s="65" t="s">
        <v>351</v>
      </c>
      <c r="G82" s="144" t="s">
        <v>121</v>
      </c>
      <c r="H82" s="66" t="s">
        <v>126</v>
      </c>
      <c r="I82" s="74"/>
      <c r="J82" s="144" t="s">
        <v>132</v>
      </c>
      <c r="K82" s="144" t="s">
        <v>3</v>
      </c>
      <c r="L82" s="66" t="s">
        <v>6</v>
      </c>
      <c r="M82" s="65" t="s">
        <v>352</v>
      </c>
      <c r="N82" s="187"/>
      <c r="O82" s="187"/>
      <c r="P82" s="187"/>
      <c r="Q82" s="144" t="s">
        <v>141</v>
      </c>
      <c r="R82" s="89"/>
      <c r="S82" s="89"/>
      <c r="T82" s="65" t="s">
        <v>353</v>
      </c>
      <c r="U82" s="144" t="s">
        <v>354</v>
      </c>
      <c r="V82" s="99" t="s">
        <v>354</v>
      </c>
      <c r="W82" s="89"/>
      <c r="X82" s="99" t="s">
        <v>354</v>
      </c>
      <c r="Y82" s="188">
        <v>1837404</v>
      </c>
      <c r="Z82" s="189">
        <v>0</v>
      </c>
      <c r="AA82" s="188">
        <v>1837404</v>
      </c>
      <c r="AB82" s="188">
        <v>0</v>
      </c>
      <c r="AC82" s="188">
        <v>1837404</v>
      </c>
      <c r="AD82" s="188">
        <v>1837404</v>
      </c>
      <c r="AE82" s="68" t="s">
        <v>102</v>
      </c>
      <c r="AF82" s="68"/>
      <c r="AG82" s="68"/>
      <c r="AH82" s="190"/>
      <c r="AI82" s="191"/>
      <c r="AJ82" s="190"/>
      <c r="AK82" s="192"/>
      <c r="AL82" s="190"/>
      <c r="AM82" s="193"/>
      <c r="AN82" s="194"/>
      <c r="AO82" s="195"/>
      <c r="AP82" s="31"/>
      <c r="AQ82" s="31"/>
      <c r="AR82" s="30"/>
      <c r="AS82" s="31"/>
    </row>
    <row r="83" spans="1:45" ht="44.25" hidden="1" customHeight="1" x14ac:dyDescent="0.25">
      <c r="A83" s="46">
        <v>2026</v>
      </c>
      <c r="B83" s="66" t="s">
        <v>62</v>
      </c>
      <c r="C83" s="65" t="s">
        <v>355</v>
      </c>
      <c r="D83" s="144" t="s">
        <v>114</v>
      </c>
      <c r="E83" s="141"/>
      <c r="F83" s="65" t="s">
        <v>356</v>
      </c>
      <c r="G83" s="144" t="s">
        <v>121</v>
      </c>
      <c r="H83" s="66" t="s">
        <v>126</v>
      </c>
      <c r="I83" s="74"/>
      <c r="J83" s="144" t="s">
        <v>132</v>
      </c>
      <c r="K83" s="144" t="s">
        <v>3</v>
      </c>
      <c r="L83" s="66" t="s">
        <v>6</v>
      </c>
      <c r="M83" s="65" t="s">
        <v>200</v>
      </c>
      <c r="N83" s="187"/>
      <c r="O83" s="187"/>
      <c r="P83" s="187"/>
      <c r="Q83" s="144" t="s">
        <v>140</v>
      </c>
      <c r="R83" s="89"/>
      <c r="S83" s="89"/>
      <c r="T83" s="65" t="s">
        <v>357</v>
      </c>
      <c r="U83" s="144">
        <v>2026</v>
      </c>
      <c r="V83" s="99">
        <v>46387</v>
      </c>
      <c r="W83" s="89"/>
      <c r="X83" s="99">
        <v>46024</v>
      </c>
      <c r="Y83" s="188">
        <v>171428.52</v>
      </c>
      <c r="Z83" s="189">
        <v>0</v>
      </c>
      <c r="AA83" s="188">
        <f>Y83</f>
        <v>171428.52</v>
      </c>
      <c r="AB83" s="188">
        <v>0</v>
      </c>
      <c r="AC83" s="188">
        <f t="shared" ref="AC83:AC92" si="9">Y83</f>
        <v>171428.52</v>
      </c>
      <c r="AD83" s="188">
        <f t="shared" ref="AD83:AD92" si="10">Y83</f>
        <v>171428.52</v>
      </c>
      <c r="AE83" s="68" t="s">
        <v>102</v>
      </c>
      <c r="AF83" s="68"/>
      <c r="AG83" s="68"/>
      <c r="AH83" s="190"/>
      <c r="AI83" s="191"/>
      <c r="AJ83" s="190"/>
      <c r="AK83" s="192"/>
      <c r="AL83" s="190"/>
      <c r="AM83" s="193" t="s">
        <v>202</v>
      </c>
      <c r="AN83" s="194"/>
      <c r="AO83" s="195"/>
      <c r="AP83" s="31"/>
      <c r="AQ83" s="31"/>
      <c r="AR83" s="30"/>
      <c r="AS83" s="31"/>
    </row>
    <row r="84" spans="1:45" ht="30" hidden="1" customHeight="1" x14ac:dyDescent="0.25">
      <c r="A84" s="46">
        <v>2026</v>
      </c>
      <c r="B84" s="66" t="s">
        <v>62</v>
      </c>
      <c r="C84" s="65" t="s">
        <v>355</v>
      </c>
      <c r="D84" s="144" t="s">
        <v>114</v>
      </c>
      <c r="E84" s="141"/>
      <c r="F84" s="65" t="s">
        <v>358</v>
      </c>
      <c r="G84" s="144" t="s">
        <v>121</v>
      </c>
      <c r="H84" s="66" t="s">
        <v>126</v>
      </c>
      <c r="I84" s="74"/>
      <c r="J84" s="144" t="s">
        <v>132</v>
      </c>
      <c r="K84" s="144" t="s">
        <v>3</v>
      </c>
      <c r="L84" s="66" t="s">
        <v>6</v>
      </c>
      <c r="M84" s="65" t="s">
        <v>200</v>
      </c>
      <c r="N84" s="187"/>
      <c r="O84" s="187"/>
      <c r="P84" s="187"/>
      <c r="Q84" s="144" t="s">
        <v>140</v>
      </c>
      <c r="R84" s="89"/>
      <c r="S84" s="89"/>
      <c r="T84" s="65" t="s">
        <v>359</v>
      </c>
      <c r="U84" s="144">
        <v>2026</v>
      </c>
      <c r="V84" s="99">
        <v>46387</v>
      </c>
      <c r="W84" s="89"/>
      <c r="X84" s="99">
        <v>46024</v>
      </c>
      <c r="Y84" s="188">
        <v>132000</v>
      </c>
      <c r="Z84" s="189">
        <v>0</v>
      </c>
      <c r="AA84" s="188">
        <f>Y84</f>
        <v>132000</v>
      </c>
      <c r="AB84" s="188">
        <v>0</v>
      </c>
      <c r="AC84" s="188">
        <f t="shared" si="9"/>
        <v>132000</v>
      </c>
      <c r="AD84" s="188">
        <f t="shared" si="10"/>
        <v>132000</v>
      </c>
      <c r="AE84" s="68" t="s">
        <v>102</v>
      </c>
      <c r="AF84" s="68"/>
      <c r="AG84" s="68"/>
      <c r="AH84" s="190"/>
      <c r="AI84" s="191"/>
      <c r="AJ84" s="190"/>
      <c r="AK84" s="192"/>
      <c r="AL84" s="190"/>
      <c r="AM84" s="193" t="s">
        <v>202</v>
      </c>
      <c r="AN84" s="194"/>
      <c r="AO84" s="195"/>
      <c r="AP84" s="31"/>
      <c r="AQ84" s="31"/>
      <c r="AR84" s="30"/>
      <c r="AS84" s="31"/>
    </row>
    <row r="85" spans="1:45" ht="30" hidden="1" customHeight="1" x14ac:dyDescent="0.25">
      <c r="A85" s="46">
        <v>2026</v>
      </c>
      <c r="B85" s="66" t="s">
        <v>62</v>
      </c>
      <c r="C85" s="65" t="s">
        <v>355</v>
      </c>
      <c r="D85" s="144" t="s">
        <v>114</v>
      </c>
      <c r="E85" s="141"/>
      <c r="F85" s="65" t="s">
        <v>360</v>
      </c>
      <c r="G85" s="144" t="s">
        <v>121</v>
      </c>
      <c r="H85" s="66" t="s">
        <v>126</v>
      </c>
      <c r="I85" s="74"/>
      <c r="J85" s="144" t="s">
        <v>132</v>
      </c>
      <c r="K85" s="144" t="s">
        <v>3</v>
      </c>
      <c r="L85" s="66" t="s">
        <v>6</v>
      </c>
      <c r="M85" s="65" t="s">
        <v>200</v>
      </c>
      <c r="N85" s="187"/>
      <c r="O85" s="187"/>
      <c r="P85" s="187"/>
      <c r="Q85" s="144" t="s">
        <v>140</v>
      </c>
      <c r="R85" s="89"/>
      <c r="S85" s="89"/>
      <c r="T85" s="65" t="s">
        <v>361</v>
      </c>
      <c r="U85" s="144">
        <v>2026</v>
      </c>
      <c r="V85" s="99">
        <v>46387</v>
      </c>
      <c r="W85" s="89"/>
      <c r="X85" s="99">
        <v>46024</v>
      </c>
      <c r="Y85" s="188">
        <v>156000</v>
      </c>
      <c r="Z85" s="189">
        <v>0</v>
      </c>
      <c r="AA85" s="188">
        <f>Y85</f>
        <v>156000</v>
      </c>
      <c r="AB85" s="188">
        <v>0</v>
      </c>
      <c r="AC85" s="188">
        <f t="shared" si="9"/>
        <v>156000</v>
      </c>
      <c r="AD85" s="188">
        <f t="shared" si="10"/>
        <v>156000</v>
      </c>
      <c r="AE85" s="68" t="s">
        <v>102</v>
      </c>
      <c r="AF85" s="68"/>
      <c r="AG85" s="68"/>
      <c r="AH85" s="190"/>
      <c r="AI85" s="191"/>
      <c r="AJ85" s="190"/>
      <c r="AK85" s="192"/>
      <c r="AL85" s="190"/>
      <c r="AM85" s="193" t="s">
        <v>202</v>
      </c>
      <c r="AN85" s="194"/>
      <c r="AO85" s="195"/>
      <c r="AP85" s="31"/>
      <c r="AQ85" s="31"/>
      <c r="AR85" s="30"/>
      <c r="AS85" s="31"/>
    </row>
    <row r="86" spans="1:45" ht="30" hidden="1" customHeight="1" x14ac:dyDescent="0.25">
      <c r="A86" s="46">
        <v>2026</v>
      </c>
      <c r="B86" s="66" t="s">
        <v>62</v>
      </c>
      <c r="C86" s="65" t="s">
        <v>355</v>
      </c>
      <c r="D86" s="144" t="s">
        <v>114</v>
      </c>
      <c r="E86" s="141"/>
      <c r="F86" s="65" t="s">
        <v>362</v>
      </c>
      <c r="G86" s="144" t="s">
        <v>121</v>
      </c>
      <c r="H86" s="66" t="s">
        <v>126</v>
      </c>
      <c r="I86" s="74"/>
      <c r="J86" s="144" t="s">
        <v>132</v>
      </c>
      <c r="K86" s="144" t="s">
        <v>3</v>
      </c>
      <c r="L86" s="66" t="s">
        <v>6</v>
      </c>
      <c r="M86" s="65" t="s">
        <v>200</v>
      </c>
      <c r="N86" s="187"/>
      <c r="O86" s="187"/>
      <c r="P86" s="187"/>
      <c r="Q86" s="144" t="s">
        <v>140</v>
      </c>
      <c r="R86" s="89"/>
      <c r="S86" s="89"/>
      <c r="T86" s="65" t="s">
        <v>363</v>
      </c>
      <c r="U86" s="144">
        <v>2026</v>
      </c>
      <c r="V86" s="99">
        <v>46387</v>
      </c>
      <c r="W86" s="89"/>
      <c r="X86" s="99">
        <v>46024</v>
      </c>
      <c r="Y86" s="188">
        <v>132000</v>
      </c>
      <c r="Z86" s="189">
        <v>0</v>
      </c>
      <c r="AA86" s="188">
        <v>132000</v>
      </c>
      <c r="AB86" s="188">
        <v>0</v>
      </c>
      <c r="AC86" s="188">
        <f t="shared" si="9"/>
        <v>132000</v>
      </c>
      <c r="AD86" s="188">
        <f t="shared" si="10"/>
        <v>132000</v>
      </c>
      <c r="AE86" s="68" t="s">
        <v>102</v>
      </c>
      <c r="AF86" s="68"/>
      <c r="AG86" s="68"/>
      <c r="AH86" s="190"/>
      <c r="AI86" s="191"/>
      <c r="AJ86" s="190"/>
      <c r="AK86" s="192"/>
      <c r="AL86" s="190"/>
      <c r="AM86" s="193" t="s">
        <v>202</v>
      </c>
      <c r="AN86" s="194"/>
      <c r="AO86" s="195"/>
      <c r="AP86" s="31"/>
      <c r="AQ86" s="31"/>
      <c r="AR86" s="30"/>
      <c r="AS86" s="31"/>
    </row>
    <row r="87" spans="1:45" ht="30" hidden="1" customHeight="1" x14ac:dyDescent="0.25">
      <c r="A87" s="46">
        <v>2026</v>
      </c>
      <c r="B87" s="66" t="s">
        <v>62</v>
      </c>
      <c r="C87" s="65" t="s">
        <v>355</v>
      </c>
      <c r="D87" s="144" t="s">
        <v>114</v>
      </c>
      <c r="E87" s="141"/>
      <c r="F87" s="65" t="s">
        <v>364</v>
      </c>
      <c r="G87" s="144" t="s">
        <v>121</v>
      </c>
      <c r="H87" s="66" t="s">
        <v>126</v>
      </c>
      <c r="I87" s="74"/>
      <c r="J87" s="144" t="s">
        <v>132</v>
      </c>
      <c r="K87" s="144" t="s">
        <v>3</v>
      </c>
      <c r="L87" s="66" t="s">
        <v>6</v>
      </c>
      <c r="M87" s="65" t="s">
        <v>200</v>
      </c>
      <c r="N87" s="187"/>
      <c r="O87" s="187"/>
      <c r="P87" s="187"/>
      <c r="Q87" s="144" t="s">
        <v>140</v>
      </c>
      <c r="R87" s="89"/>
      <c r="S87" s="89"/>
      <c r="T87" s="65" t="s">
        <v>365</v>
      </c>
      <c r="U87" s="144">
        <v>2026</v>
      </c>
      <c r="V87" s="99">
        <v>46387</v>
      </c>
      <c r="W87" s="89"/>
      <c r="X87" s="99">
        <v>46024</v>
      </c>
      <c r="Y87" s="188">
        <v>132000</v>
      </c>
      <c r="Z87" s="189">
        <v>0</v>
      </c>
      <c r="AA87" s="188">
        <v>132000</v>
      </c>
      <c r="AB87" s="188">
        <v>0</v>
      </c>
      <c r="AC87" s="188">
        <f t="shared" si="9"/>
        <v>132000</v>
      </c>
      <c r="AD87" s="188">
        <f t="shared" si="10"/>
        <v>132000</v>
      </c>
      <c r="AE87" s="68" t="s">
        <v>102</v>
      </c>
      <c r="AF87" s="68"/>
      <c r="AG87" s="68"/>
      <c r="AH87" s="190"/>
      <c r="AI87" s="191"/>
      <c r="AJ87" s="190"/>
      <c r="AK87" s="192"/>
      <c r="AL87" s="190"/>
      <c r="AM87" s="193" t="s">
        <v>202</v>
      </c>
      <c r="AN87" s="194"/>
      <c r="AO87" s="195"/>
      <c r="AP87" s="31"/>
      <c r="AQ87" s="31"/>
      <c r="AR87" s="30"/>
      <c r="AS87" s="31"/>
    </row>
    <row r="88" spans="1:45" ht="30" hidden="1" customHeight="1" x14ac:dyDescent="0.25">
      <c r="A88" s="135">
        <v>2026</v>
      </c>
      <c r="B88" s="66" t="s">
        <v>68</v>
      </c>
      <c r="C88" s="65" t="s">
        <v>366</v>
      </c>
      <c r="D88" s="144" t="s">
        <v>114</v>
      </c>
      <c r="E88" s="141"/>
      <c r="F88" s="65" t="s">
        <v>367</v>
      </c>
      <c r="G88" s="144" t="s">
        <v>121</v>
      </c>
      <c r="H88" s="66" t="s">
        <v>126</v>
      </c>
      <c r="I88" s="74"/>
      <c r="J88" s="144" t="s">
        <v>132</v>
      </c>
      <c r="K88" s="144" t="s">
        <v>3</v>
      </c>
      <c r="L88" s="66" t="s">
        <v>6</v>
      </c>
      <c r="M88" s="65" t="s">
        <v>368</v>
      </c>
      <c r="N88" s="187"/>
      <c r="O88" s="187"/>
      <c r="P88" s="187"/>
      <c r="Q88" s="144" t="s">
        <v>140</v>
      </c>
      <c r="R88" s="89"/>
      <c r="S88" s="89"/>
      <c r="T88" s="65" t="s">
        <v>369</v>
      </c>
      <c r="U88" s="144">
        <v>2026</v>
      </c>
      <c r="V88" s="99">
        <v>46387</v>
      </c>
      <c r="W88" s="89"/>
      <c r="X88" s="99">
        <v>46024</v>
      </c>
      <c r="Y88" s="188">
        <v>96000</v>
      </c>
      <c r="Z88" s="189">
        <v>0</v>
      </c>
      <c r="AA88" s="188">
        <f>Y88</f>
        <v>96000</v>
      </c>
      <c r="AB88" s="188">
        <v>0</v>
      </c>
      <c r="AC88" s="188">
        <f t="shared" si="9"/>
        <v>96000</v>
      </c>
      <c r="AD88" s="188">
        <f t="shared" si="10"/>
        <v>96000</v>
      </c>
      <c r="AE88" s="68" t="s">
        <v>102</v>
      </c>
      <c r="AF88" s="68"/>
      <c r="AG88" s="68"/>
      <c r="AH88" s="190"/>
      <c r="AI88" s="191"/>
      <c r="AJ88" s="190"/>
      <c r="AK88" s="192"/>
      <c r="AL88" s="190"/>
      <c r="AM88" s="193" t="s">
        <v>202</v>
      </c>
      <c r="AN88" s="194"/>
      <c r="AO88" s="195"/>
      <c r="AP88" s="31"/>
      <c r="AQ88" s="31"/>
      <c r="AR88" s="30"/>
      <c r="AS88" s="31"/>
    </row>
    <row r="89" spans="1:45" ht="30" hidden="1" customHeight="1" x14ac:dyDescent="0.25">
      <c r="A89" s="135">
        <v>2026</v>
      </c>
      <c r="B89" s="66" t="s">
        <v>68</v>
      </c>
      <c r="C89" s="65" t="s">
        <v>366</v>
      </c>
      <c r="D89" s="144" t="s">
        <v>114</v>
      </c>
      <c r="E89" s="141"/>
      <c r="F89" s="65" t="s">
        <v>370</v>
      </c>
      <c r="G89" s="144" t="s">
        <v>121</v>
      </c>
      <c r="H89" s="66" t="s">
        <v>126</v>
      </c>
      <c r="I89" s="74"/>
      <c r="J89" s="144" t="s">
        <v>132</v>
      </c>
      <c r="K89" s="144" t="s">
        <v>3</v>
      </c>
      <c r="L89" s="66" t="s">
        <v>6</v>
      </c>
      <c r="M89" s="65" t="s">
        <v>368</v>
      </c>
      <c r="N89" s="187"/>
      <c r="O89" s="187"/>
      <c r="P89" s="187"/>
      <c r="Q89" s="144" t="s">
        <v>140</v>
      </c>
      <c r="R89" s="89"/>
      <c r="S89" s="89"/>
      <c r="T89" s="65" t="s">
        <v>371</v>
      </c>
      <c r="U89" s="144">
        <v>2026</v>
      </c>
      <c r="V89" s="99">
        <v>46387</v>
      </c>
      <c r="W89" s="89"/>
      <c r="X89" s="99">
        <v>46024</v>
      </c>
      <c r="Y89" s="188">
        <v>144000</v>
      </c>
      <c r="Z89" s="189">
        <v>0</v>
      </c>
      <c r="AA89" s="188">
        <f>Y89</f>
        <v>144000</v>
      </c>
      <c r="AB89" s="188">
        <v>0</v>
      </c>
      <c r="AC89" s="188">
        <f t="shared" si="9"/>
        <v>144000</v>
      </c>
      <c r="AD89" s="188">
        <f t="shared" si="10"/>
        <v>144000</v>
      </c>
      <c r="AE89" s="68" t="s">
        <v>102</v>
      </c>
      <c r="AF89" s="68"/>
      <c r="AG89" s="68"/>
      <c r="AH89" s="190"/>
      <c r="AI89" s="191"/>
      <c r="AJ89" s="190"/>
      <c r="AK89" s="192"/>
      <c r="AL89" s="190"/>
      <c r="AM89" s="193" t="s">
        <v>202</v>
      </c>
      <c r="AN89" s="194"/>
      <c r="AO89" s="195"/>
      <c r="AP89" s="31"/>
      <c r="AQ89" s="31"/>
      <c r="AR89" s="30"/>
      <c r="AS89" s="31"/>
    </row>
    <row r="90" spans="1:45" ht="30" hidden="1" customHeight="1" x14ac:dyDescent="0.25">
      <c r="A90" s="135">
        <v>2026</v>
      </c>
      <c r="B90" s="66" t="s">
        <v>68</v>
      </c>
      <c r="C90" s="65" t="s">
        <v>366</v>
      </c>
      <c r="D90" s="144" t="s">
        <v>114</v>
      </c>
      <c r="E90" s="141"/>
      <c r="F90" s="65" t="s">
        <v>372</v>
      </c>
      <c r="G90" s="144" t="s">
        <v>121</v>
      </c>
      <c r="H90" s="66" t="s">
        <v>126</v>
      </c>
      <c r="I90" s="74"/>
      <c r="J90" s="144" t="s">
        <v>132</v>
      </c>
      <c r="K90" s="144" t="s">
        <v>3</v>
      </c>
      <c r="L90" s="66" t="s">
        <v>6</v>
      </c>
      <c r="M90" s="65" t="s">
        <v>368</v>
      </c>
      <c r="N90" s="187"/>
      <c r="O90" s="187"/>
      <c r="P90" s="187"/>
      <c r="Q90" s="144" t="s">
        <v>140</v>
      </c>
      <c r="R90" s="89"/>
      <c r="S90" s="89"/>
      <c r="T90" s="65" t="s">
        <v>373</v>
      </c>
      <c r="U90" s="144">
        <v>2026</v>
      </c>
      <c r="V90" s="99">
        <v>46387</v>
      </c>
      <c r="W90" s="89"/>
      <c r="X90" s="99">
        <v>46024</v>
      </c>
      <c r="Y90" s="188">
        <v>154285.68</v>
      </c>
      <c r="Z90" s="189">
        <v>0</v>
      </c>
      <c r="AA90" s="188">
        <f>Y90</f>
        <v>154285.68</v>
      </c>
      <c r="AB90" s="188">
        <v>0</v>
      </c>
      <c r="AC90" s="188">
        <f t="shared" si="9"/>
        <v>154285.68</v>
      </c>
      <c r="AD90" s="188">
        <f t="shared" si="10"/>
        <v>154285.68</v>
      </c>
      <c r="AE90" s="68" t="s">
        <v>102</v>
      </c>
      <c r="AF90" s="68"/>
      <c r="AG90" s="68"/>
      <c r="AH90" s="190"/>
      <c r="AI90" s="191"/>
      <c r="AJ90" s="190"/>
      <c r="AK90" s="192"/>
      <c r="AL90" s="190"/>
      <c r="AM90" s="193" t="s">
        <v>202</v>
      </c>
      <c r="AN90" s="194"/>
      <c r="AO90" s="195"/>
      <c r="AP90" s="31"/>
      <c r="AQ90" s="31"/>
      <c r="AR90" s="30"/>
      <c r="AS90" s="31"/>
    </row>
    <row r="91" spans="1:45" ht="30" hidden="1" customHeight="1" x14ac:dyDescent="0.25">
      <c r="A91" s="135">
        <v>2026</v>
      </c>
      <c r="B91" s="66" t="s">
        <v>68</v>
      </c>
      <c r="C91" s="65" t="s">
        <v>366</v>
      </c>
      <c r="D91" s="144" t="s">
        <v>114</v>
      </c>
      <c r="E91" s="141"/>
      <c r="F91" s="65" t="s">
        <v>374</v>
      </c>
      <c r="G91" s="144" t="s">
        <v>121</v>
      </c>
      <c r="H91" s="66" t="s">
        <v>126</v>
      </c>
      <c r="I91" s="74"/>
      <c r="J91" s="144" t="s">
        <v>132</v>
      </c>
      <c r="K91" s="144" t="s">
        <v>3</v>
      </c>
      <c r="L91" s="66" t="s">
        <v>6</v>
      </c>
      <c r="M91" s="65" t="s">
        <v>368</v>
      </c>
      <c r="N91" s="187"/>
      <c r="O91" s="187"/>
      <c r="P91" s="187"/>
      <c r="Q91" s="144" t="s">
        <v>140</v>
      </c>
      <c r="R91" s="89"/>
      <c r="S91" s="89"/>
      <c r="T91" s="65" t="s">
        <v>375</v>
      </c>
      <c r="U91" s="144">
        <v>2026</v>
      </c>
      <c r="V91" s="99">
        <v>46387</v>
      </c>
      <c r="W91" s="89"/>
      <c r="X91" s="99">
        <v>46024</v>
      </c>
      <c r="Y91" s="188">
        <v>72000</v>
      </c>
      <c r="Z91" s="189">
        <v>0</v>
      </c>
      <c r="AA91" s="188">
        <f>Y91</f>
        <v>72000</v>
      </c>
      <c r="AB91" s="188">
        <v>0</v>
      </c>
      <c r="AC91" s="188">
        <f t="shared" si="9"/>
        <v>72000</v>
      </c>
      <c r="AD91" s="188">
        <f t="shared" si="10"/>
        <v>72000</v>
      </c>
      <c r="AE91" s="68" t="s">
        <v>102</v>
      </c>
      <c r="AF91" s="68"/>
      <c r="AG91" s="68"/>
      <c r="AH91" s="190"/>
      <c r="AI91" s="191"/>
      <c r="AJ91" s="190"/>
      <c r="AK91" s="192"/>
      <c r="AL91" s="190"/>
      <c r="AM91" s="193" t="s">
        <v>202</v>
      </c>
      <c r="AN91" s="194"/>
      <c r="AO91" s="195"/>
      <c r="AP91" s="31"/>
      <c r="AQ91" s="31"/>
      <c r="AR91" s="30"/>
      <c r="AS91" s="31"/>
    </row>
    <row r="92" spans="1:45" ht="30" hidden="1" customHeight="1" x14ac:dyDescent="0.25">
      <c r="A92" s="135">
        <v>2026</v>
      </c>
      <c r="B92" s="66" t="s">
        <v>68</v>
      </c>
      <c r="C92" s="65" t="s">
        <v>366</v>
      </c>
      <c r="D92" s="144" t="s">
        <v>114</v>
      </c>
      <c r="E92" s="141"/>
      <c r="F92" s="65" t="s">
        <v>376</v>
      </c>
      <c r="G92" s="144" t="s">
        <v>121</v>
      </c>
      <c r="H92" s="66" t="s">
        <v>126</v>
      </c>
      <c r="I92" s="74"/>
      <c r="J92" s="144" t="s">
        <v>132</v>
      </c>
      <c r="K92" s="144" t="s">
        <v>3</v>
      </c>
      <c r="L92" s="66" t="s">
        <v>6</v>
      </c>
      <c r="M92" s="65" t="s">
        <v>368</v>
      </c>
      <c r="N92" s="187"/>
      <c r="O92" s="187"/>
      <c r="P92" s="187"/>
      <c r="Q92" s="144" t="s">
        <v>140</v>
      </c>
      <c r="R92" s="89"/>
      <c r="S92" s="89"/>
      <c r="T92" s="65" t="s">
        <v>377</v>
      </c>
      <c r="U92" s="144">
        <v>2026</v>
      </c>
      <c r="V92" s="99">
        <v>46387</v>
      </c>
      <c r="W92" s="89"/>
      <c r="X92" s="99">
        <v>46024</v>
      </c>
      <c r="Y92" s="188">
        <v>120000</v>
      </c>
      <c r="Z92" s="189">
        <v>0</v>
      </c>
      <c r="AA92" s="188">
        <f>Y92</f>
        <v>120000</v>
      </c>
      <c r="AB92" s="188">
        <v>0</v>
      </c>
      <c r="AC92" s="188">
        <f t="shared" si="9"/>
        <v>120000</v>
      </c>
      <c r="AD92" s="188">
        <f t="shared" si="10"/>
        <v>120000</v>
      </c>
      <c r="AE92" s="68" t="s">
        <v>102</v>
      </c>
      <c r="AF92" s="68"/>
      <c r="AG92" s="68"/>
      <c r="AH92" s="190"/>
      <c r="AI92" s="191"/>
      <c r="AJ92" s="190"/>
      <c r="AK92" s="192"/>
      <c r="AL92" s="190"/>
      <c r="AM92" s="193" t="s">
        <v>202</v>
      </c>
      <c r="AN92" s="194"/>
      <c r="AO92" s="195"/>
      <c r="AP92" s="31"/>
      <c r="AQ92" s="31"/>
      <c r="AR92" s="30"/>
      <c r="AS92" s="31"/>
    </row>
    <row r="93" spans="1:45" ht="30" hidden="1" customHeight="1" x14ac:dyDescent="0.25">
      <c r="A93" s="135">
        <v>2026</v>
      </c>
      <c r="B93" s="66" t="s">
        <v>68</v>
      </c>
      <c r="C93" s="65" t="s">
        <v>366</v>
      </c>
      <c r="D93" s="144" t="s">
        <v>114</v>
      </c>
      <c r="E93" s="141"/>
      <c r="F93" s="65" t="s">
        <v>378</v>
      </c>
      <c r="G93" s="144" t="s">
        <v>121</v>
      </c>
      <c r="H93" s="66" t="s">
        <v>126</v>
      </c>
      <c r="I93" s="74"/>
      <c r="J93" s="144" t="s">
        <v>132</v>
      </c>
      <c r="K93" s="144" t="s">
        <v>3</v>
      </c>
      <c r="L93" s="66" t="s">
        <v>6</v>
      </c>
      <c r="M93" s="65" t="s">
        <v>368</v>
      </c>
      <c r="N93" s="187"/>
      <c r="O93" s="187"/>
      <c r="P93" s="187"/>
      <c r="Q93" s="144" t="s">
        <v>140</v>
      </c>
      <c r="R93" s="89"/>
      <c r="S93" s="89"/>
      <c r="T93" s="65" t="s">
        <v>379</v>
      </c>
      <c r="U93" s="144">
        <v>2026</v>
      </c>
      <c r="V93" s="99">
        <v>46387</v>
      </c>
      <c r="W93" s="89"/>
      <c r="X93" s="99">
        <v>46024</v>
      </c>
      <c r="Y93" s="188">
        <v>24000</v>
      </c>
      <c r="Z93" s="189">
        <v>0</v>
      </c>
      <c r="AA93" s="188">
        <v>24000</v>
      </c>
      <c r="AB93" s="188">
        <v>0</v>
      </c>
      <c r="AC93" s="188">
        <v>24000</v>
      </c>
      <c r="AD93" s="188">
        <v>24000</v>
      </c>
      <c r="AE93" s="68" t="s">
        <v>102</v>
      </c>
      <c r="AF93" s="68"/>
      <c r="AG93" s="68"/>
      <c r="AH93" s="190"/>
      <c r="AI93" s="191"/>
      <c r="AJ93" s="190"/>
      <c r="AK93" s="192"/>
      <c r="AL93" s="190"/>
      <c r="AM93" s="193" t="s">
        <v>202</v>
      </c>
      <c r="AN93" s="194"/>
      <c r="AO93" s="195"/>
      <c r="AP93" s="31"/>
      <c r="AQ93" s="31"/>
      <c r="AR93" s="30"/>
      <c r="AS93" s="31"/>
    </row>
    <row r="94" spans="1:45" ht="30" hidden="1" customHeight="1" x14ac:dyDescent="0.25">
      <c r="A94" s="135">
        <v>2026</v>
      </c>
      <c r="B94" s="66" t="s">
        <v>68</v>
      </c>
      <c r="C94" s="65" t="s">
        <v>366</v>
      </c>
      <c r="D94" s="144" t="s">
        <v>114</v>
      </c>
      <c r="E94" s="141"/>
      <c r="F94" s="65" t="s">
        <v>380</v>
      </c>
      <c r="G94" s="144" t="s">
        <v>121</v>
      </c>
      <c r="H94" s="66" t="s">
        <v>126</v>
      </c>
      <c r="I94" s="74"/>
      <c r="J94" s="144" t="s">
        <v>132</v>
      </c>
      <c r="K94" s="144" t="s">
        <v>3</v>
      </c>
      <c r="L94" s="66" t="s">
        <v>6</v>
      </c>
      <c r="M94" s="65" t="s">
        <v>368</v>
      </c>
      <c r="N94" s="187"/>
      <c r="O94" s="187"/>
      <c r="P94" s="187"/>
      <c r="Q94" s="144" t="s">
        <v>140</v>
      </c>
      <c r="R94" s="89"/>
      <c r="S94" s="89"/>
      <c r="T94" s="65" t="s">
        <v>381</v>
      </c>
      <c r="U94" s="144">
        <v>2026</v>
      </c>
      <c r="V94" s="99">
        <v>46387</v>
      </c>
      <c r="W94" s="89"/>
      <c r="X94" s="99">
        <v>46024</v>
      </c>
      <c r="Y94" s="188">
        <v>44571.360000000001</v>
      </c>
      <c r="Z94" s="189">
        <v>0</v>
      </c>
      <c r="AA94" s="188">
        <f t="shared" ref="AA94:AA101" si="11">Y94</f>
        <v>44571.360000000001</v>
      </c>
      <c r="AB94" s="188">
        <v>0</v>
      </c>
      <c r="AC94" s="188">
        <f t="shared" ref="AC94:AC106" si="12">Y94</f>
        <v>44571.360000000001</v>
      </c>
      <c r="AD94" s="188">
        <f t="shared" ref="AD94:AD101" si="13">Y94</f>
        <v>44571.360000000001</v>
      </c>
      <c r="AE94" s="68" t="s">
        <v>102</v>
      </c>
      <c r="AF94" s="68"/>
      <c r="AG94" s="68"/>
      <c r="AH94" s="190"/>
      <c r="AI94" s="191"/>
      <c r="AJ94" s="190"/>
      <c r="AK94" s="192"/>
      <c r="AL94" s="190"/>
      <c r="AM94" s="193" t="s">
        <v>202</v>
      </c>
      <c r="AN94" s="194"/>
      <c r="AO94" s="195"/>
      <c r="AP94" s="31"/>
      <c r="AQ94" s="31"/>
      <c r="AR94" s="30"/>
      <c r="AS94" s="31"/>
    </row>
    <row r="95" spans="1:45" ht="30" hidden="1" customHeight="1" x14ac:dyDescent="0.25">
      <c r="A95" s="135">
        <v>2026</v>
      </c>
      <c r="B95" s="66" t="s">
        <v>68</v>
      </c>
      <c r="C95" s="65" t="s">
        <v>366</v>
      </c>
      <c r="D95" s="144" t="s">
        <v>114</v>
      </c>
      <c r="E95" s="141"/>
      <c r="F95" s="65" t="s">
        <v>382</v>
      </c>
      <c r="G95" s="144" t="s">
        <v>121</v>
      </c>
      <c r="H95" s="66" t="s">
        <v>126</v>
      </c>
      <c r="I95" s="74"/>
      <c r="J95" s="144" t="s">
        <v>132</v>
      </c>
      <c r="K95" s="144" t="s">
        <v>3</v>
      </c>
      <c r="L95" s="66" t="s">
        <v>6</v>
      </c>
      <c r="M95" s="65" t="s">
        <v>368</v>
      </c>
      <c r="N95" s="187"/>
      <c r="O95" s="187"/>
      <c r="P95" s="187"/>
      <c r="Q95" s="144" t="s">
        <v>140</v>
      </c>
      <c r="R95" s="89"/>
      <c r="S95" s="89"/>
      <c r="T95" s="65" t="s">
        <v>383</v>
      </c>
      <c r="U95" s="144">
        <v>2026</v>
      </c>
      <c r="V95" s="99">
        <v>46387</v>
      </c>
      <c r="W95" s="89"/>
      <c r="X95" s="99">
        <v>46024</v>
      </c>
      <c r="Y95" s="188">
        <v>72000</v>
      </c>
      <c r="Z95" s="189">
        <v>0</v>
      </c>
      <c r="AA95" s="188">
        <f t="shared" si="11"/>
        <v>72000</v>
      </c>
      <c r="AB95" s="188">
        <v>0</v>
      </c>
      <c r="AC95" s="188">
        <f t="shared" si="12"/>
        <v>72000</v>
      </c>
      <c r="AD95" s="188">
        <f t="shared" si="13"/>
        <v>72000</v>
      </c>
      <c r="AE95" s="68" t="s">
        <v>102</v>
      </c>
      <c r="AF95" s="68"/>
      <c r="AG95" s="68"/>
      <c r="AH95" s="190"/>
      <c r="AI95" s="191"/>
      <c r="AJ95" s="190"/>
      <c r="AK95" s="192"/>
      <c r="AL95" s="190"/>
      <c r="AM95" s="193" t="s">
        <v>202</v>
      </c>
      <c r="AN95" s="194"/>
      <c r="AO95" s="195"/>
      <c r="AP95" s="31"/>
      <c r="AQ95" s="31"/>
      <c r="AR95" s="30"/>
      <c r="AS95" s="31"/>
    </row>
    <row r="96" spans="1:45" ht="30" hidden="1" customHeight="1" x14ac:dyDescent="0.25">
      <c r="A96" s="135">
        <v>2026</v>
      </c>
      <c r="B96" s="66" t="s">
        <v>68</v>
      </c>
      <c r="C96" s="65" t="s">
        <v>366</v>
      </c>
      <c r="D96" s="144" t="s">
        <v>114</v>
      </c>
      <c r="E96" s="141"/>
      <c r="F96" s="65" t="s">
        <v>384</v>
      </c>
      <c r="G96" s="144" t="s">
        <v>121</v>
      </c>
      <c r="H96" s="66" t="s">
        <v>126</v>
      </c>
      <c r="I96" s="74"/>
      <c r="J96" s="144" t="s">
        <v>132</v>
      </c>
      <c r="K96" s="144" t="s">
        <v>3</v>
      </c>
      <c r="L96" s="66" t="s">
        <v>6</v>
      </c>
      <c r="M96" s="65" t="s">
        <v>368</v>
      </c>
      <c r="N96" s="187"/>
      <c r="O96" s="187"/>
      <c r="P96" s="187"/>
      <c r="Q96" s="144" t="s">
        <v>140</v>
      </c>
      <c r="R96" s="89"/>
      <c r="S96" s="89"/>
      <c r="T96" s="65" t="s">
        <v>385</v>
      </c>
      <c r="U96" s="144">
        <v>2026</v>
      </c>
      <c r="V96" s="99">
        <v>46387</v>
      </c>
      <c r="W96" s="89"/>
      <c r="X96" s="99">
        <v>46024</v>
      </c>
      <c r="Y96" s="188">
        <v>72000</v>
      </c>
      <c r="Z96" s="189">
        <v>0</v>
      </c>
      <c r="AA96" s="188">
        <f t="shared" si="11"/>
        <v>72000</v>
      </c>
      <c r="AB96" s="188">
        <v>0</v>
      </c>
      <c r="AC96" s="188">
        <f t="shared" si="12"/>
        <v>72000</v>
      </c>
      <c r="AD96" s="188">
        <f t="shared" si="13"/>
        <v>72000</v>
      </c>
      <c r="AE96" s="68" t="s">
        <v>102</v>
      </c>
      <c r="AF96" s="68"/>
      <c r="AG96" s="68"/>
      <c r="AH96" s="190"/>
      <c r="AI96" s="191"/>
      <c r="AJ96" s="190"/>
      <c r="AK96" s="192"/>
      <c r="AL96" s="190"/>
      <c r="AM96" s="193" t="s">
        <v>202</v>
      </c>
      <c r="AN96" s="194"/>
      <c r="AO96" s="195"/>
      <c r="AP96" s="31"/>
      <c r="AQ96" s="31"/>
      <c r="AR96" s="30"/>
      <c r="AS96" s="31"/>
    </row>
    <row r="97" spans="1:45" ht="30" hidden="1" customHeight="1" x14ac:dyDescent="0.25">
      <c r="A97" s="135">
        <v>2026</v>
      </c>
      <c r="B97" s="66" t="s">
        <v>68</v>
      </c>
      <c r="C97" s="65" t="s">
        <v>366</v>
      </c>
      <c r="D97" s="144" t="s">
        <v>114</v>
      </c>
      <c r="E97" s="141"/>
      <c r="F97" s="65" t="s">
        <v>386</v>
      </c>
      <c r="G97" s="144" t="s">
        <v>121</v>
      </c>
      <c r="H97" s="66" t="s">
        <v>126</v>
      </c>
      <c r="I97" s="74"/>
      <c r="J97" s="144" t="s">
        <v>132</v>
      </c>
      <c r="K97" s="144" t="s">
        <v>3</v>
      </c>
      <c r="L97" s="66" t="s">
        <v>6</v>
      </c>
      <c r="M97" s="65" t="s">
        <v>368</v>
      </c>
      <c r="N97" s="187"/>
      <c r="O97" s="187"/>
      <c r="P97" s="187"/>
      <c r="Q97" s="144" t="s">
        <v>140</v>
      </c>
      <c r="R97" s="89"/>
      <c r="S97" s="89"/>
      <c r="T97" s="65" t="s">
        <v>387</v>
      </c>
      <c r="U97" s="144">
        <v>2026</v>
      </c>
      <c r="V97" s="99">
        <v>46387</v>
      </c>
      <c r="W97" s="89"/>
      <c r="X97" s="99">
        <v>46024</v>
      </c>
      <c r="Y97" s="188">
        <v>120000</v>
      </c>
      <c r="Z97" s="189">
        <v>0</v>
      </c>
      <c r="AA97" s="188">
        <f t="shared" si="11"/>
        <v>120000</v>
      </c>
      <c r="AB97" s="188">
        <v>0</v>
      </c>
      <c r="AC97" s="188">
        <f t="shared" si="12"/>
        <v>120000</v>
      </c>
      <c r="AD97" s="188">
        <f t="shared" si="13"/>
        <v>120000</v>
      </c>
      <c r="AE97" s="68" t="s">
        <v>102</v>
      </c>
      <c r="AF97" s="68"/>
      <c r="AG97" s="68"/>
      <c r="AH97" s="190"/>
      <c r="AI97" s="191"/>
      <c r="AJ97" s="190"/>
      <c r="AK97" s="192"/>
      <c r="AL97" s="190"/>
      <c r="AM97" s="193" t="s">
        <v>202</v>
      </c>
      <c r="AN97" s="194"/>
      <c r="AO97" s="195"/>
      <c r="AP97" s="31"/>
      <c r="AQ97" s="31"/>
      <c r="AR97" s="30"/>
      <c r="AS97" s="31"/>
    </row>
    <row r="98" spans="1:45" ht="30" hidden="1" customHeight="1" x14ac:dyDescent="0.25">
      <c r="A98" s="135">
        <v>2026</v>
      </c>
      <c r="B98" s="66" t="s">
        <v>68</v>
      </c>
      <c r="C98" s="65" t="s">
        <v>366</v>
      </c>
      <c r="D98" s="144" t="s">
        <v>114</v>
      </c>
      <c r="E98" s="141"/>
      <c r="F98" s="65" t="s">
        <v>388</v>
      </c>
      <c r="G98" s="144" t="s">
        <v>121</v>
      </c>
      <c r="H98" s="66" t="s">
        <v>126</v>
      </c>
      <c r="I98" s="74"/>
      <c r="J98" s="144" t="s">
        <v>132</v>
      </c>
      <c r="K98" s="144" t="s">
        <v>3</v>
      </c>
      <c r="L98" s="66" t="s">
        <v>6</v>
      </c>
      <c r="M98" s="65" t="s">
        <v>368</v>
      </c>
      <c r="N98" s="187"/>
      <c r="O98" s="187"/>
      <c r="P98" s="187"/>
      <c r="Q98" s="144" t="s">
        <v>140</v>
      </c>
      <c r="R98" s="89"/>
      <c r="S98" s="89"/>
      <c r="T98" s="65" t="s">
        <v>389</v>
      </c>
      <c r="U98" s="144">
        <v>2026</v>
      </c>
      <c r="V98" s="99">
        <v>46387</v>
      </c>
      <c r="W98" s="89"/>
      <c r="X98" s="99">
        <v>46024</v>
      </c>
      <c r="Y98" s="188">
        <v>108000</v>
      </c>
      <c r="Z98" s="189">
        <v>0</v>
      </c>
      <c r="AA98" s="188">
        <f t="shared" si="11"/>
        <v>108000</v>
      </c>
      <c r="AB98" s="188">
        <v>0</v>
      </c>
      <c r="AC98" s="188">
        <f t="shared" si="12"/>
        <v>108000</v>
      </c>
      <c r="AD98" s="188">
        <f t="shared" si="13"/>
        <v>108000</v>
      </c>
      <c r="AE98" s="68" t="s">
        <v>102</v>
      </c>
      <c r="AF98" s="68"/>
      <c r="AG98" s="68"/>
      <c r="AH98" s="190"/>
      <c r="AI98" s="191"/>
      <c r="AJ98" s="190"/>
      <c r="AK98" s="192"/>
      <c r="AL98" s="190"/>
      <c r="AM98" s="193" t="s">
        <v>202</v>
      </c>
      <c r="AN98" s="194"/>
      <c r="AO98" s="195"/>
      <c r="AP98" s="31"/>
      <c r="AQ98" s="31"/>
      <c r="AR98" s="30"/>
      <c r="AS98" s="31"/>
    </row>
    <row r="99" spans="1:45" ht="30" hidden="1" customHeight="1" x14ac:dyDescent="0.25">
      <c r="A99" s="135">
        <v>2026</v>
      </c>
      <c r="B99" s="66" t="s">
        <v>68</v>
      </c>
      <c r="C99" s="65" t="s">
        <v>366</v>
      </c>
      <c r="D99" s="144" t="s">
        <v>114</v>
      </c>
      <c r="E99" s="141"/>
      <c r="F99" s="65" t="s">
        <v>390</v>
      </c>
      <c r="G99" s="144" t="s">
        <v>121</v>
      </c>
      <c r="H99" s="66" t="s">
        <v>126</v>
      </c>
      <c r="I99" s="74"/>
      <c r="J99" s="144" t="s">
        <v>132</v>
      </c>
      <c r="K99" s="144" t="s">
        <v>3</v>
      </c>
      <c r="L99" s="66" t="s">
        <v>6</v>
      </c>
      <c r="M99" s="65" t="s">
        <v>368</v>
      </c>
      <c r="N99" s="187"/>
      <c r="O99" s="187"/>
      <c r="P99" s="187"/>
      <c r="Q99" s="144" t="s">
        <v>140</v>
      </c>
      <c r="R99" s="89"/>
      <c r="S99" s="89"/>
      <c r="T99" s="65" t="s">
        <v>391</v>
      </c>
      <c r="U99" s="144">
        <v>2026</v>
      </c>
      <c r="V99" s="99">
        <v>46387</v>
      </c>
      <c r="W99" s="89"/>
      <c r="X99" s="99">
        <v>46024</v>
      </c>
      <c r="Y99" s="188">
        <v>72000</v>
      </c>
      <c r="Z99" s="189">
        <v>0</v>
      </c>
      <c r="AA99" s="188">
        <f t="shared" si="11"/>
        <v>72000</v>
      </c>
      <c r="AB99" s="188">
        <v>0</v>
      </c>
      <c r="AC99" s="188">
        <f t="shared" si="12"/>
        <v>72000</v>
      </c>
      <c r="AD99" s="188">
        <f t="shared" si="13"/>
        <v>72000</v>
      </c>
      <c r="AE99" s="68" t="s">
        <v>102</v>
      </c>
      <c r="AF99" s="68"/>
      <c r="AG99" s="68"/>
      <c r="AH99" s="190"/>
      <c r="AI99" s="191"/>
      <c r="AJ99" s="190"/>
      <c r="AK99" s="192"/>
      <c r="AL99" s="190"/>
      <c r="AM99" s="193" t="s">
        <v>202</v>
      </c>
      <c r="AN99" s="194"/>
      <c r="AO99" s="195"/>
      <c r="AP99" s="31"/>
      <c r="AQ99" s="31"/>
      <c r="AR99" s="30"/>
      <c r="AS99" s="31"/>
    </row>
    <row r="100" spans="1:45" ht="30" hidden="1" customHeight="1" x14ac:dyDescent="0.25">
      <c r="A100" s="135">
        <v>2026</v>
      </c>
      <c r="B100" s="66" t="s">
        <v>68</v>
      </c>
      <c r="C100" s="65" t="s">
        <v>366</v>
      </c>
      <c r="D100" s="144" t="s">
        <v>114</v>
      </c>
      <c r="E100" s="141"/>
      <c r="F100" s="65" t="s">
        <v>392</v>
      </c>
      <c r="G100" s="144" t="s">
        <v>121</v>
      </c>
      <c r="H100" s="66" t="s">
        <v>126</v>
      </c>
      <c r="I100" s="74"/>
      <c r="J100" s="144" t="s">
        <v>132</v>
      </c>
      <c r="K100" s="144" t="s">
        <v>3</v>
      </c>
      <c r="L100" s="66" t="s">
        <v>6</v>
      </c>
      <c r="M100" s="65" t="s">
        <v>368</v>
      </c>
      <c r="N100" s="187"/>
      <c r="O100" s="187"/>
      <c r="P100" s="187"/>
      <c r="Q100" s="144" t="s">
        <v>140</v>
      </c>
      <c r="R100" s="89"/>
      <c r="S100" s="89"/>
      <c r="T100" s="65" t="s">
        <v>393</v>
      </c>
      <c r="U100" s="144">
        <v>2026</v>
      </c>
      <c r="V100" s="99">
        <v>46387</v>
      </c>
      <c r="W100" s="89"/>
      <c r="X100" s="99">
        <v>46024</v>
      </c>
      <c r="Y100" s="188">
        <v>240000</v>
      </c>
      <c r="Z100" s="189">
        <v>0</v>
      </c>
      <c r="AA100" s="188">
        <f t="shared" si="11"/>
        <v>240000</v>
      </c>
      <c r="AB100" s="188">
        <v>0</v>
      </c>
      <c r="AC100" s="188">
        <f t="shared" si="12"/>
        <v>240000</v>
      </c>
      <c r="AD100" s="188">
        <f t="shared" si="13"/>
        <v>240000</v>
      </c>
      <c r="AE100" s="68" t="s">
        <v>102</v>
      </c>
      <c r="AF100" s="68"/>
      <c r="AG100" s="68"/>
      <c r="AH100" s="190"/>
      <c r="AI100" s="191"/>
      <c r="AJ100" s="190"/>
      <c r="AK100" s="192"/>
      <c r="AL100" s="190"/>
      <c r="AM100" s="193" t="s">
        <v>202</v>
      </c>
      <c r="AN100" s="194"/>
      <c r="AO100" s="195"/>
      <c r="AP100" s="31"/>
      <c r="AQ100" s="31"/>
      <c r="AR100" s="30"/>
      <c r="AS100" s="31"/>
    </row>
    <row r="101" spans="1:45" ht="30" hidden="1" customHeight="1" x14ac:dyDescent="0.25">
      <c r="A101" s="135">
        <v>2026</v>
      </c>
      <c r="B101" s="66" t="s">
        <v>68</v>
      </c>
      <c r="C101" s="65" t="s">
        <v>366</v>
      </c>
      <c r="D101" s="144" t="s">
        <v>114</v>
      </c>
      <c r="E101" s="141"/>
      <c r="F101" s="65" t="s">
        <v>394</v>
      </c>
      <c r="G101" s="144" t="s">
        <v>121</v>
      </c>
      <c r="H101" s="66" t="s">
        <v>126</v>
      </c>
      <c r="I101" s="74"/>
      <c r="J101" s="144" t="s">
        <v>132</v>
      </c>
      <c r="K101" s="144" t="s">
        <v>3</v>
      </c>
      <c r="L101" s="66" t="s">
        <v>6</v>
      </c>
      <c r="M101" s="65" t="s">
        <v>368</v>
      </c>
      <c r="N101" s="187"/>
      <c r="O101" s="187"/>
      <c r="P101" s="187"/>
      <c r="Q101" s="144" t="s">
        <v>140</v>
      </c>
      <c r="R101" s="89"/>
      <c r="S101" s="89"/>
      <c r="T101" s="65" t="s">
        <v>395</v>
      </c>
      <c r="U101" s="144">
        <v>2026</v>
      </c>
      <c r="V101" s="99">
        <v>46387</v>
      </c>
      <c r="W101" s="89"/>
      <c r="X101" s="99">
        <v>46024</v>
      </c>
      <c r="Y101" s="188">
        <v>240000</v>
      </c>
      <c r="Z101" s="189">
        <v>0</v>
      </c>
      <c r="AA101" s="188">
        <f t="shared" si="11"/>
        <v>240000</v>
      </c>
      <c r="AB101" s="188">
        <v>0</v>
      </c>
      <c r="AC101" s="188">
        <f t="shared" si="12"/>
        <v>240000</v>
      </c>
      <c r="AD101" s="188">
        <f t="shared" si="13"/>
        <v>240000</v>
      </c>
      <c r="AE101" s="68" t="s">
        <v>102</v>
      </c>
      <c r="AF101" s="68"/>
      <c r="AG101" s="68"/>
      <c r="AH101" s="190"/>
      <c r="AI101" s="191"/>
      <c r="AJ101" s="190"/>
      <c r="AK101" s="192"/>
      <c r="AL101" s="190"/>
      <c r="AM101" s="193" t="s">
        <v>202</v>
      </c>
      <c r="AN101" s="194"/>
      <c r="AO101" s="195"/>
      <c r="AP101" s="31"/>
      <c r="AQ101" s="31"/>
      <c r="AR101" s="30"/>
      <c r="AS101" s="31"/>
    </row>
    <row r="102" spans="1:45" ht="30" hidden="1" customHeight="1" x14ac:dyDescent="0.25">
      <c r="A102" s="135">
        <v>2026</v>
      </c>
      <c r="B102" s="66" t="s">
        <v>68</v>
      </c>
      <c r="C102" s="65" t="s">
        <v>366</v>
      </c>
      <c r="D102" s="144" t="s">
        <v>114</v>
      </c>
      <c r="E102" s="141"/>
      <c r="F102" s="65" t="s">
        <v>396</v>
      </c>
      <c r="G102" s="144" t="s">
        <v>121</v>
      </c>
      <c r="H102" s="66" t="s">
        <v>126</v>
      </c>
      <c r="I102" s="74"/>
      <c r="J102" s="144" t="s">
        <v>132</v>
      </c>
      <c r="K102" s="144" t="s">
        <v>3</v>
      </c>
      <c r="L102" s="66" t="s">
        <v>6</v>
      </c>
      <c r="M102" s="65" t="s">
        <v>368</v>
      </c>
      <c r="N102" s="187"/>
      <c r="O102" s="187"/>
      <c r="P102" s="187"/>
      <c r="Q102" s="144" t="s">
        <v>140</v>
      </c>
      <c r="R102" s="89"/>
      <c r="S102" s="89"/>
      <c r="T102" s="65" t="s">
        <v>397</v>
      </c>
      <c r="U102" s="144">
        <v>2026</v>
      </c>
      <c r="V102" s="99">
        <v>46387</v>
      </c>
      <c r="W102" s="89"/>
      <c r="X102" s="99">
        <v>46024</v>
      </c>
      <c r="Y102" s="188">
        <v>705374.28</v>
      </c>
      <c r="Z102" s="189">
        <v>0</v>
      </c>
      <c r="AA102" s="188">
        <v>846449.14</v>
      </c>
      <c r="AB102" s="188">
        <v>0</v>
      </c>
      <c r="AC102" s="188">
        <f t="shared" si="12"/>
        <v>705374.28</v>
      </c>
      <c r="AD102" s="188">
        <f>AA102</f>
        <v>846449.14</v>
      </c>
      <c r="AE102" s="68" t="s">
        <v>102</v>
      </c>
      <c r="AF102" s="68"/>
      <c r="AG102" s="68"/>
      <c r="AH102" s="190"/>
      <c r="AI102" s="191"/>
      <c r="AJ102" s="190"/>
      <c r="AK102" s="192"/>
      <c r="AL102" s="190"/>
      <c r="AM102" s="193" t="s">
        <v>202</v>
      </c>
      <c r="AN102" s="194"/>
      <c r="AO102" s="195"/>
      <c r="AP102" s="31"/>
      <c r="AQ102" s="31"/>
      <c r="AR102" s="30"/>
      <c r="AS102" s="31"/>
    </row>
    <row r="103" spans="1:45" ht="30" hidden="1" customHeight="1" x14ac:dyDescent="0.25">
      <c r="A103" s="135">
        <v>2026</v>
      </c>
      <c r="B103" s="66" t="s">
        <v>68</v>
      </c>
      <c r="C103" s="65" t="s">
        <v>366</v>
      </c>
      <c r="D103" s="144" t="s">
        <v>114</v>
      </c>
      <c r="E103" s="141"/>
      <c r="F103" s="65" t="s">
        <v>398</v>
      </c>
      <c r="G103" s="144" t="s">
        <v>121</v>
      </c>
      <c r="H103" s="66" t="s">
        <v>126</v>
      </c>
      <c r="I103" s="74"/>
      <c r="J103" s="144" t="s">
        <v>132</v>
      </c>
      <c r="K103" s="144" t="s">
        <v>3</v>
      </c>
      <c r="L103" s="66" t="s">
        <v>6</v>
      </c>
      <c r="M103" s="65" t="s">
        <v>368</v>
      </c>
      <c r="N103" s="187"/>
      <c r="O103" s="187"/>
      <c r="P103" s="187"/>
      <c r="Q103" s="144" t="s">
        <v>140</v>
      </c>
      <c r="R103" s="89"/>
      <c r="S103" s="89"/>
      <c r="T103" s="65" t="s">
        <v>399</v>
      </c>
      <c r="U103" s="144">
        <v>2026</v>
      </c>
      <c r="V103" s="99">
        <v>46387</v>
      </c>
      <c r="W103" s="89"/>
      <c r="X103" s="99">
        <v>46024</v>
      </c>
      <c r="Y103" s="188">
        <v>214800</v>
      </c>
      <c r="Z103" s="189">
        <v>0</v>
      </c>
      <c r="AA103" s="188">
        <f t="shared" ref="AA103:AA134" si="14">Y103</f>
        <v>214800</v>
      </c>
      <c r="AB103" s="188">
        <v>0</v>
      </c>
      <c r="AC103" s="188">
        <f t="shared" si="12"/>
        <v>214800</v>
      </c>
      <c r="AD103" s="188">
        <f>AA103</f>
        <v>214800</v>
      </c>
      <c r="AE103" s="68" t="s">
        <v>102</v>
      </c>
      <c r="AF103" s="68"/>
      <c r="AG103" s="68"/>
      <c r="AH103" s="190"/>
      <c r="AI103" s="191"/>
      <c r="AJ103" s="190"/>
      <c r="AK103" s="192"/>
      <c r="AL103" s="190"/>
      <c r="AM103" s="193" t="s">
        <v>202</v>
      </c>
      <c r="AN103" s="194"/>
      <c r="AO103" s="195"/>
      <c r="AP103" s="31"/>
      <c r="AQ103" s="31"/>
      <c r="AR103" s="30"/>
      <c r="AS103" s="31"/>
    </row>
    <row r="104" spans="1:45" ht="30" hidden="1" customHeight="1" x14ac:dyDescent="0.25">
      <c r="A104" s="135">
        <v>2026</v>
      </c>
      <c r="B104" s="66" t="s">
        <v>68</v>
      </c>
      <c r="C104" s="65" t="s">
        <v>366</v>
      </c>
      <c r="D104" s="144" t="s">
        <v>114</v>
      </c>
      <c r="E104" s="141"/>
      <c r="F104" s="65" t="s">
        <v>400</v>
      </c>
      <c r="G104" s="144" t="s">
        <v>121</v>
      </c>
      <c r="H104" s="66" t="s">
        <v>126</v>
      </c>
      <c r="I104" s="74"/>
      <c r="J104" s="144" t="s">
        <v>132</v>
      </c>
      <c r="K104" s="144" t="s">
        <v>3</v>
      </c>
      <c r="L104" s="66" t="s">
        <v>6</v>
      </c>
      <c r="M104" s="65" t="s">
        <v>368</v>
      </c>
      <c r="N104" s="187"/>
      <c r="O104" s="187"/>
      <c r="P104" s="187"/>
      <c r="Q104" s="144" t="s">
        <v>140</v>
      </c>
      <c r="R104" s="89"/>
      <c r="S104" s="89"/>
      <c r="T104" s="65" t="s">
        <v>401</v>
      </c>
      <c r="U104" s="144">
        <v>2026</v>
      </c>
      <c r="V104" s="99">
        <v>46387</v>
      </c>
      <c r="W104" s="89"/>
      <c r="X104" s="99">
        <v>46024</v>
      </c>
      <c r="Y104" s="188">
        <v>145714.32</v>
      </c>
      <c r="Z104" s="189">
        <v>0</v>
      </c>
      <c r="AA104" s="188">
        <f t="shared" si="14"/>
        <v>145714.32</v>
      </c>
      <c r="AB104" s="188">
        <v>0</v>
      </c>
      <c r="AC104" s="188">
        <f t="shared" si="12"/>
        <v>145714.32</v>
      </c>
      <c r="AD104" s="188">
        <f>AA104</f>
        <v>145714.32</v>
      </c>
      <c r="AE104" s="68" t="s">
        <v>102</v>
      </c>
      <c r="AF104" s="68"/>
      <c r="AG104" s="68"/>
      <c r="AH104" s="190"/>
      <c r="AI104" s="191"/>
      <c r="AJ104" s="190"/>
      <c r="AK104" s="192"/>
      <c r="AL104" s="190"/>
      <c r="AM104" s="193" t="s">
        <v>202</v>
      </c>
      <c r="AN104" s="194"/>
      <c r="AO104" s="195"/>
      <c r="AP104" s="31"/>
      <c r="AQ104" s="31"/>
      <c r="AR104" s="30"/>
      <c r="AS104" s="31"/>
    </row>
    <row r="105" spans="1:45" ht="30" hidden="1" customHeight="1" x14ac:dyDescent="0.25">
      <c r="A105" s="135">
        <v>2026</v>
      </c>
      <c r="B105" s="66" t="s">
        <v>68</v>
      </c>
      <c r="C105" s="65" t="s">
        <v>366</v>
      </c>
      <c r="D105" s="144" t="s">
        <v>114</v>
      </c>
      <c r="E105" s="141"/>
      <c r="F105" s="65" t="s">
        <v>402</v>
      </c>
      <c r="G105" s="144" t="s">
        <v>121</v>
      </c>
      <c r="H105" s="66" t="s">
        <v>126</v>
      </c>
      <c r="I105" s="74"/>
      <c r="J105" s="144" t="s">
        <v>132</v>
      </c>
      <c r="K105" s="144" t="s">
        <v>3</v>
      </c>
      <c r="L105" s="66" t="s">
        <v>6</v>
      </c>
      <c r="M105" s="65" t="s">
        <v>368</v>
      </c>
      <c r="N105" s="187"/>
      <c r="O105" s="187"/>
      <c r="P105" s="187"/>
      <c r="Q105" s="144" t="s">
        <v>140</v>
      </c>
      <c r="R105" s="89"/>
      <c r="S105" s="89"/>
      <c r="T105" s="65" t="s">
        <v>403</v>
      </c>
      <c r="U105" s="144">
        <v>2026</v>
      </c>
      <c r="V105" s="99">
        <v>46387</v>
      </c>
      <c r="W105" s="89"/>
      <c r="X105" s="99">
        <v>46024</v>
      </c>
      <c r="Y105" s="188">
        <v>150000</v>
      </c>
      <c r="Z105" s="189">
        <v>0</v>
      </c>
      <c r="AA105" s="188">
        <f t="shared" si="14"/>
        <v>150000</v>
      </c>
      <c r="AB105" s="188">
        <v>0</v>
      </c>
      <c r="AC105" s="188">
        <f t="shared" si="12"/>
        <v>150000</v>
      </c>
      <c r="AD105" s="188">
        <f>AA105</f>
        <v>150000</v>
      </c>
      <c r="AE105" s="68" t="s">
        <v>102</v>
      </c>
      <c r="AF105" s="68"/>
      <c r="AG105" s="68"/>
      <c r="AH105" s="190"/>
      <c r="AI105" s="191"/>
      <c r="AJ105" s="190"/>
      <c r="AK105" s="192"/>
      <c r="AL105" s="190"/>
      <c r="AM105" s="193" t="s">
        <v>202</v>
      </c>
      <c r="AN105" s="194"/>
      <c r="AO105" s="195"/>
      <c r="AP105" s="31"/>
      <c r="AQ105" s="31"/>
      <c r="AR105" s="30"/>
      <c r="AS105" s="31"/>
    </row>
    <row r="106" spans="1:45" ht="30" hidden="1" customHeight="1" x14ac:dyDescent="0.25">
      <c r="A106" s="135">
        <v>2026</v>
      </c>
      <c r="B106" s="66" t="s">
        <v>68</v>
      </c>
      <c r="C106" s="65" t="s">
        <v>366</v>
      </c>
      <c r="D106" s="144" t="s">
        <v>114</v>
      </c>
      <c r="E106" s="141"/>
      <c r="F106" s="65" t="s">
        <v>404</v>
      </c>
      <c r="G106" s="144" t="s">
        <v>121</v>
      </c>
      <c r="H106" s="66" t="s">
        <v>126</v>
      </c>
      <c r="I106" s="74"/>
      <c r="J106" s="144" t="s">
        <v>132</v>
      </c>
      <c r="K106" s="144" t="s">
        <v>3</v>
      </c>
      <c r="L106" s="66" t="s">
        <v>6</v>
      </c>
      <c r="M106" s="65" t="s">
        <v>368</v>
      </c>
      <c r="N106" s="187"/>
      <c r="O106" s="187"/>
      <c r="P106" s="187"/>
      <c r="Q106" s="144" t="s">
        <v>140</v>
      </c>
      <c r="R106" s="89"/>
      <c r="S106" s="89"/>
      <c r="T106" s="65" t="s">
        <v>405</v>
      </c>
      <c r="U106" s="144">
        <v>2026</v>
      </c>
      <c r="V106" s="99">
        <v>46387</v>
      </c>
      <c r="W106" s="89"/>
      <c r="X106" s="99">
        <v>46024</v>
      </c>
      <c r="Y106" s="188">
        <v>120000</v>
      </c>
      <c r="Z106" s="189">
        <v>0</v>
      </c>
      <c r="AA106" s="188">
        <f t="shared" si="14"/>
        <v>120000</v>
      </c>
      <c r="AB106" s="188">
        <v>0</v>
      </c>
      <c r="AC106" s="188">
        <f t="shared" si="12"/>
        <v>120000</v>
      </c>
      <c r="AD106" s="188">
        <f>AA106</f>
        <v>120000</v>
      </c>
      <c r="AE106" s="68" t="s">
        <v>102</v>
      </c>
      <c r="AF106" s="68"/>
      <c r="AG106" s="68"/>
      <c r="AH106" s="190"/>
      <c r="AI106" s="191"/>
      <c r="AJ106" s="190"/>
      <c r="AK106" s="192"/>
      <c r="AL106" s="190"/>
      <c r="AM106" s="193" t="s">
        <v>202</v>
      </c>
      <c r="AN106" s="194"/>
      <c r="AO106" s="195"/>
      <c r="AP106" s="31"/>
      <c r="AQ106" s="31"/>
      <c r="AR106" s="30"/>
      <c r="AS106" s="31"/>
    </row>
    <row r="107" spans="1:45" ht="30" hidden="1" customHeight="1" x14ac:dyDescent="0.25">
      <c r="A107" s="135">
        <v>2026</v>
      </c>
      <c r="B107" s="66" t="s">
        <v>64</v>
      </c>
      <c r="C107" s="65" t="s">
        <v>406</v>
      </c>
      <c r="D107" s="144" t="s">
        <v>114</v>
      </c>
      <c r="E107" s="141"/>
      <c r="F107" s="65" t="s">
        <v>407</v>
      </c>
      <c r="G107" s="144" t="s">
        <v>121</v>
      </c>
      <c r="H107" s="66" t="s">
        <v>126</v>
      </c>
      <c r="I107" s="74"/>
      <c r="J107" s="144" t="s">
        <v>132</v>
      </c>
      <c r="K107" s="144" t="s">
        <v>3</v>
      </c>
      <c r="L107" s="66" t="s">
        <v>6</v>
      </c>
      <c r="M107" s="65" t="s">
        <v>368</v>
      </c>
      <c r="N107" s="187"/>
      <c r="O107" s="187"/>
      <c r="P107" s="187"/>
      <c r="Q107" s="144" t="s">
        <v>140</v>
      </c>
      <c r="R107" s="89"/>
      <c r="S107" s="89"/>
      <c r="T107" s="65" t="s">
        <v>408</v>
      </c>
      <c r="U107" s="144">
        <v>2026</v>
      </c>
      <c r="V107" s="99">
        <v>46387</v>
      </c>
      <c r="W107" s="89"/>
      <c r="X107" s="99">
        <v>46024</v>
      </c>
      <c r="Y107" s="188">
        <v>171428.64</v>
      </c>
      <c r="Z107" s="189">
        <v>0</v>
      </c>
      <c r="AA107" s="188">
        <f t="shared" si="14"/>
        <v>171428.64</v>
      </c>
      <c r="AB107" s="188">
        <v>0</v>
      </c>
      <c r="AC107" s="188">
        <f t="shared" ref="AC107:AC120" si="15">AA107</f>
        <v>171428.64</v>
      </c>
      <c r="AD107" s="188">
        <f t="shared" ref="AD107:AD120" si="16">AC107</f>
        <v>171428.64</v>
      </c>
      <c r="AE107" s="68" t="s">
        <v>102</v>
      </c>
      <c r="AF107" s="68"/>
      <c r="AG107" s="68"/>
      <c r="AH107" s="190"/>
      <c r="AI107" s="191"/>
      <c r="AJ107" s="190"/>
      <c r="AK107" s="192"/>
      <c r="AL107" s="190"/>
      <c r="AM107" s="193" t="s">
        <v>202</v>
      </c>
      <c r="AN107" s="194"/>
      <c r="AO107" s="195"/>
      <c r="AP107" s="31"/>
      <c r="AQ107" s="31"/>
      <c r="AR107" s="30"/>
      <c r="AS107" s="31"/>
    </row>
    <row r="108" spans="1:45" ht="30" hidden="1" customHeight="1" x14ac:dyDescent="0.25">
      <c r="A108" s="135">
        <v>2026</v>
      </c>
      <c r="B108" s="66" t="s">
        <v>64</v>
      </c>
      <c r="C108" s="65" t="s">
        <v>406</v>
      </c>
      <c r="D108" s="144" t="s">
        <v>114</v>
      </c>
      <c r="E108" s="141"/>
      <c r="F108" s="65" t="s">
        <v>409</v>
      </c>
      <c r="G108" s="144" t="s">
        <v>121</v>
      </c>
      <c r="H108" s="66" t="s">
        <v>126</v>
      </c>
      <c r="I108" s="74"/>
      <c r="J108" s="144" t="s">
        <v>132</v>
      </c>
      <c r="K108" s="144" t="s">
        <v>3</v>
      </c>
      <c r="L108" s="66" t="s">
        <v>6</v>
      </c>
      <c r="M108" s="65" t="s">
        <v>368</v>
      </c>
      <c r="N108" s="187"/>
      <c r="O108" s="187"/>
      <c r="P108" s="187"/>
      <c r="Q108" s="144" t="s">
        <v>140</v>
      </c>
      <c r="R108" s="89"/>
      <c r="S108" s="89"/>
      <c r="T108" s="65" t="s">
        <v>410</v>
      </c>
      <c r="U108" s="144">
        <v>2026</v>
      </c>
      <c r="V108" s="99">
        <v>46387</v>
      </c>
      <c r="W108" s="89"/>
      <c r="X108" s="99">
        <v>46024</v>
      </c>
      <c r="Y108" s="188">
        <v>280000</v>
      </c>
      <c r="Z108" s="189">
        <v>0</v>
      </c>
      <c r="AA108" s="188">
        <f t="shared" si="14"/>
        <v>280000</v>
      </c>
      <c r="AB108" s="188">
        <v>0</v>
      </c>
      <c r="AC108" s="188">
        <f t="shared" si="15"/>
        <v>280000</v>
      </c>
      <c r="AD108" s="188">
        <f t="shared" si="16"/>
        <v>280000</v>
      </c>
      <c r="AE108" s="68" t="s">
        <v>102</v>
      </c>
      <c r="AF108" s="68"/>
      <c r="AG108" s="68"/>
      <c r="AH108" s="190"/>
      <c r="AI108" s="191"/>
      <c r="AJ108" s="190"/>
      <c r="AK108" s="192"/>
      <c r="AL108" s="190"/>
      <c r="AM108" s="193" t="s">
        <v>202</v>
      </c>
      <c r="AN108" s="194"/>
      <c r="AO108" s="195"/>
      <c r="AP108" s="31"/>
      <c r="AQ108" s="31"/>
      <c r="AR108" s="30"/>
      <c r="AS108" s="31"/>
    </row>
    <row r="109" spans="1:45" ht="30" hidden="1" customHeight="1" x14ac:dyDescent="0.25">
      <c r="A109" s="135">
        <v>2026</v>
      </c>
      <c r="B109" s="66" t="s">
        <v>64</v>
      </c>
      <c r="C109" s="65" t="s">
        <v>406</v>
      </c>
      <c r="D109" s="144" t="s">
        <v>114</v>
      </c>
      <c r="E109" s="141"/>
      <c r="F109" s="65" t="s">
        <v>411</v>
      </c>
      <c r="G109" s="144" t="s">
        <v>121</v>
      </c>
      <c r="H109" s="66" t="s">
        <v>126</v>
      </c>
      <c r="I109" s="74"/>
      <c r="J109" s="144" t="s">
        <v>132</v>
      </c>
      <c r="K109" s="144" t="s">
        <v>3</v>
      </c>
      <c r="L109" s="66" t="s">
        <v>6</v>
      </c>
      <c r="M109" s="65" t="s">
        <v>368</v>
      </c>
      <c r="N109" s="187"/>
      <c r="O109" s="187"/>
      <c r="P109" s="187"/>
      <c r="Q109" s="144" t="s">
        <v>140</v>
      </c>
      <c r="R109" s="89"/>
      <c r="S109" s="89"/>
      <c r="T109" s="65" t="s">
        <v>412</v>
      </c>
      <c r="U109" s="144">
        <v>2026</v>
      </c>
      <c r="V109" s="99">
        <v>46387</v>
      </c>
      <c r="W109" s="89"/>
      <c r="X109" s="99">
        <v>46024</v>
      </c>
      <c r="Y109" s="188">
        <v>171429.12</v>
      </c>
      <c r="Z109" s="189">
        <v>0</v>
      </c>
      <c r="AA109" s="188">
        <f t="shared" si="14"/>
        <v>171429.12</v>
      </c>
      <c r="AB109" s="188">
        <v>0</v>
      </c>
      <c r="AC109" s="188">
        <f t="shared" si="15"/>
        <v>171429.12</v>
      </c>
      <c r="AD109" s="188">
        <f t="shared" si="16"/>
        <v>171429.12</v>
      </c>
      <c r="AE109" s="68" t="s">
        <v>102</v>
      </c>
      <c r="AF109" s="68"/>
      <c r="AG109" s="68"/>
      <c r="AH109" s="190"/>
      <c r="AI109" s="191"/>
      <c r="AJ109" s="190"/>
      <c r="AK109" s="192"/>
      <c r="AL109" s="190"/>
      <c r="AM109" s="193" t="s">
        <v>202</v>
      </c>
      <c r="AN109" s="194"/>
      <c r="AO109" s="195"/>
      <c r="AP109" s="31"/>
      <c r="AQ109" s="31"/>
      <c r="AR109" s="30"/>
      <c r="AS109" s="31"/>
    </row>
    <row r="110" spans="1:45" ht="30" hidden="1" customHeight="1" x14ac:dyDescent="0.25">
      <c r="A110" s="135">
        <v>2026</v>
      </c>
      <c r="B110" s="66" t="s">
        <v>64</v>
      </c>
      <c r="C110" s="65" t="s">
        <v>406</v>
      </c>
      <c r="D110" s="144" t="s">
        <v>114</v>
      </c>
      <c r="E110" s="141"/>
      <c r="F110" s="65" t="s">
        <v>413</v>
      </c>
      <c r="G110" s="144" t="s">
        <v>121</v>
      </c>
      <c r="H110" s="66" t="s">
        <v>126</v>
      </c>
      <c r="I110" s="74"/>
      <c r="J110" s="144" t="s">
        <v>132</v>
      </c>
      <c r="K110" s="144" t="s">
        <v>3</v>
      </c>
      <c r="L110" s="66" t="s">
        <v>6</v>
      </c>
      <c r="M110" s="65" t="s">
        <v>368</v>
      </c>
      <c r="N110" s="187"/>
      <c r="O110" s="187"/>
      <c r="P110" s="187"/>
      <c r="Q110" s="144" t="s">
        <v>140</v>
      </c>
      <c r="R110" s="89"/>
      <c r="S110" s="89"/>
      <c r="T110" s="65" t="s">
        <v>414</v>
      </c>
      <c r="U110" s="144">
        <v>2026</v>
      </c>
      <c r="V110" s="99">
        <v>46387</v>
      </c>
      <c r="W110" s="89"/>
      <c r="X110" s="99">
        <v>46024</v>
      </c>
      <c r="Y110" s="188">
        <v>257142.9</v>
      </c>
      <c r="Z110" s="189">
        <v>0</v>
      </c>
      <c r="AA110" s="188">
        <f t="shared" si="14"/>
        <v>257142.9</v>
      </c>
      <c r="AB110" s="188">
        <v>0</v>
      </c>
      <c r="AC110" s="188">
        <f t="shared" si="15"/>
        <v>257142.9</v>
      </c>
      <c r="AD110" s="188">
        <f t="shared" si="16"/>
        <v>257142.9</v>
      </c>
      <c r="AE110" s="68" t="s">
        <v>102</v>
      </c>
      <c r="AF110" s="68"/>
      <c r="AG110" s="68"/>
      <c r="AH110" s="190"/>
      <c r="AI110" s="191"/>
      <c r="AJ110" s="190"/>
      <c r="AK110" s="192"/>
      <c r="AL110" s="190"/>
      <c r="AM110" s="193" t="s">
        <v>202</v>
      </c>
      <c r="AN110" s="194"/>
      <c r="AO110" s="195"/>
      <c r="AP110" s="31"/>
      <c r="AQ110" s="31"/>
      <c r="AR110" s="30"/>
      <c r="AS110" s="31"/>
    </row>
    <row r="111" spans="1:45" ht="30" hidden="1" customHeight="1" x14ac:dyDescent="0.25">
      <c r="A111" s="135">
        <v>2026</v>
      </c>
      <c r="B111" s="66" t="s">
        <v>64</v>
      </c>
      <c r="C111" s="65" t="s">
        <v>406</v>
      </c>
      <c r="D111" s="144" t="s">
        <v>114</v>
      </c>
      <c r="E111" s="141"/>
      <c r="F111" s="65" t="s">
        <v>415</v>
      </c>
      <c r="G111" s="144" t="s">
        <v>121</v>
      </c>
      <c r="H111" s="66" t="s">
        <v>126</v>
      </c>
      <c r="I111" s="74"/>
      <c r="J111" s="144" t="s">
        <v>132</v>
      </c>
      <c r="K111" s="144" t="s">
        <v>3</v>
      </c>
      <c r="L111" s="66" t="s">
        <v>6</v>
      </c>
      <c r="M111" s="65" t="s">
        <v>368</v>
      </c>
      <c r="N111" s="187"/>
      <c r="O111" s="187"/>
      <c r="P111" s="187"/>
      <c r="Q111" s="144" t="s">
        <v>140</v>
      </c>
      <c r="R111" s="89"/>
      <c r="S111" s="89"/>
      <c r="T111" s="65" t="s">
        <v>416</v>
      </c>
      <c r="U111" s="144">
        <v>2026</v>
      </c>
      <c r="V111" s="99">
        <v>46387</v>
      </c>
      <c r="W111" s="89"/>
      <c r="X111" s="99">
        <v>46024</v>
      </c>
      <c r="Y111" s="188">
        <v>181800</v>
      </c>
      <c r="Z111" s="189">
        <v>0</v>
      </c>
      <c r="AA111" s="188">
        <f t="shared" si="14"/>
        <v>181800</v>
      </c>
      <c r="AB111" s="188">
        <v>0</v>
      </c>
      <c r="AC111" s="188">
        <f t="shared" si="15"/>
        <v>181800</v>
      </c>
      <c r="AD111" s="188">
        <f t="shared" si="16"/>
        <v>181800</v>
      </c>
      <c r="AE111" s="68" t="s">
        <v>102</v>
      </c>
      <c r="AF111" s="68"/>
      <c r="AG111" s="68"/>
      <c r="AH111" s="190"/>
      <c r="AI111" s="191"/>
      <c r="AJ111" s="190"/>
      <c r="AK111" s="192"/>
      <c r="AL111" s="190"/>
      <c r="AM111" s="193" t="s">
        <v>202</v>
      </c>
      <c r="AN111" s="194"/>
      <c r="AO111" s="195"/>
      <c r="AP111" s="31"/>
      <c r="AQ111" s="31"/>
      <c r="AR111" s="30"/>
      <c r="AS111" s="31"/>
    </row>
    <row r="112" spans="1:45" ht="30" hidden="1" customHeight="1" x14ac:dyDescent="0.25">
      <c r="A112" s="46">
        <v>2026</v>
      </c>
      <c r="B112" s="66" t="s">
        <v>65</v>
      </c>
      <c r="C112" s="65" t="s">
        <v>417</v>
      </c>
      <c r="D112" s="144" t="s">
        <v>114</v>
      </c>
      <c r="E112" s="141"/>
      <c r="F112" s="65" t="s">
        <v>418</v>
      </c>
      <c r="G112" s="144" t="s">
        <v>121</v>
      </c>
      <c r="H112" s="66" t="s">
        <v>126</v>
      </c>
      <c r="I112" s="74"/>
      <c r="J112" s="144" t="s">
        <v>132</v>
      </c>
      <c r="K112" s="144" t="s">
        <v>3</v>
      </c>
      <c r="L112" s="66" t="s">
        <v>6</v>
      </c>
      <c r="M112" s="65" t="s">
        <v>200</v>
      </c>
      <c r="N112" s="187"/>
      <c r="O112" s="187"/>
      <c r="P112" s="187"/>
      <c r="Q112" s="144" t="s">
        <v>140</v>
      </c>
      <c r="R112" s="89"/>
      <c r="S112" s="89"/>
      <c r="T112" s="65" t="s">
        <v>419</v>
      </c>
      <c r="U112" s="144">
        <v>2026</v>
      </c>
      <c r="V112" s="99">
        <v>46387</v>
      </c>
      <c r="W112" s="89"/>
      <c r="X112" s="99">
        <v>46024</v>
      </c>
      <c r="Y112" s="188">
        <v>144000</v>
      </c>
      <c r="Z112" s="189">
        <v>0</v>
      </c>
      <c r="AA112" s="188">
        <f t="shared" si="14"/>
        <v>144000</v>
      </c>
      <c r="AB112" s="188">
        <v>0</v>
      </c>
      <c r="AC112" s="188">
        <f t="shared" si="15"/>
        <v>144000</v>
      </c>
      <c r="AD112" s="188">
        <f t="shared" si="16"/>
        <v>144000</v>
      </c>
      <c r="AE112" s="68" t="s">
        <v>102</v>
      </c>
      <c r="AF112" s="68"/>
      <c r="AG112" s="68"/>
      <c r="AH112" s="190"/>
      <c r="AI112" s="191"/>
      <c r="AJ112" s="190"/>
      <c r="AK112" s="192"/>
      <c r="AL112" s="190"/>
      <c r="AM112" s="193" t="s">
        <v>202</v>
      </c>
      <c r="AN112" s="194"/>
      <c r="AO112" s="195"/>
      <c r="AP112" s="31"/>
      <c r="AQ112" s="31"/>
      <c r="AR112" s="30"/>
      <c r="AS112" s="31"/>
    </row>
    <row r="113" spans="1:45" ht="30" hidden="1" customHeight="1" x14ac:dyDescent="0.25">
      <c r="A113" s="46">
        <v>2026</v>
      </c>
      <c r="B113" s="66" t="s">
        <v>65</v>
      </c>
      <c r="C113" s="65" t="s">
        <v>417</v>
      </c>
      <c r="D113" s="144" t="s">
        <v>114</v>
      </c>
      <c r="E113" s="141"/>
      <c r="F113" s="65" t="s">
        <v>420</v>
      </c>
      <c r="G113" s="144" t="s">
        <v>121</v>
      </c>
      <c r="H113" s="66" t="s">
        <v>126</v>
      </c>
      <c r="I113" s="74"/>
      <c r="J113" s="144" t="s">
        <v>132</v>
      </c>
      <c r="K113" s="144" t="s">
        <v>3</v>
      </c>
      <c r="L113" s="66" t="s">
        <v>6</v>
      </c>
      <c r="M113" s="65" t="s">
        <v>200</v>
      </c>
      <c r="N113" s="187"/>
      <c r="O113" s="187"/>
      <c r="P113" s="187"/>
      <c r="Q113" s="144" t="s">
        <v>140</v>
      </c>
      <c r="R113" s="89"/>
      <c r="S113" s="89"/>
      <c r="T113" s="65" t="s">
        <v>421</v>
      </c>
      <c r="U113" s="144">
        <v>2026</v>
      </c>
      <c r="V113" s="99">
        <v>46387</v>
      </c>
      <c r="W113" s="89"/>
      <c r="X113" s="99">
        <v>46024</v>
      </c>
      <c r="Y113" s="188">
        <v>100800</v>
      </c>
      <c r="Z113" s="189">
        <v>0</v>
      </c>
      <c r="AA113" s="188">
        <f t="shared" si="14"/>
        <v>100800</v>
      </c>
      <c r="AB113" s="188">
        <v>0</v>
      </c>
      <c r="AC113" s="188">
        <f t="shared" si="15"/>
        <v>100800</v>
      </c>
      <c r="AD113" s="188">
        <f t="shared" si="16"/>
        <v>100800</v>
      </c>
      <c r="AE113" s="68" t="s">
        <v>102</v>
      </c>
      <c r="AF113" s="68"/>
      <c r="AG113" s="68"/>
      <c r="AH113" s="190"/>
      <c r="AI113" s="191"/>
      <c r="AJ113" s="190"/>
      <c r="AK113" s="192"/>
      <c r="AL113" s="190"/>
      <c r="AM113" s="193" t="s">
        <v>202</v>
      </c>
      <c r="AN113" s="194"/>
      <c r="AO113" s="195"/>
      <c r="AP113" s="31"/>
      <c r="AQ113" s="31"/>
      <c r="AR113" s="30"/>
      <c r="AS113" s="31"/>
    </row>
    <row r="114" spans="1:45" ht="30" hidden="1" customHeight="1" x14ac:dyDescent="0.25">
      <c r="A114" s="46">
        <v>2026</v>
      </c>
      <c r="B114" s="66" t="s">
        <v>65</v>
      </c>
      <c r="C114" s="65" t="s">
        <v>417</v>
      </c>
      <c r="D114" s="144" t="s">
        <v>114</v>
      </c>
      <c r="E114" s="141"/>
      <c r="F114" s="65" t="s">
        <v>422</v>
      </c>
      <c r="G114" s="144" t="s">
        <v>121</v>
      </c>
      <c r="H114" s="66" t="s">
        <v>126</v>
      </c>
      <c r="I114" s="74"/>
      <c r="J114" s="144" t="s">
        <v>132</v>
      </c>
      <c r="K114" s="144" t="s">
        <v>3</v>
      </c>
      <c r="L114" s="66" t="s">
        <v>6</v>
      </c>
      <c r="M114" s="65" t="s">
        <v>200</v>
      </c>
      <c r="N114" s="187"/>
      <c r="O114" s="187"/>
      <c r="P114" s="187"/>
      <c r="Q114" s="144" t="s">
        <v>140</v>
      </c>
      <c r="R114" s="89"/>
      <c r="S114" s="89"/>
      <c r="T114" s="65" t="s">
        <v>423</v>
      </c>
      <c r="U114" s="144">
        <v>2026</v>
      </c>
      <c r="V114" s="99">
        <v>46387</v>
      </c>
      <c r="W114" s="89"/>
      <c r="X114" s="99">
        <v>46024</v>
      </c>
      <c r="Y114" s="188">
        <v>100800</v>
      </c>
      <c r="Z114" s="189">
        <v>0</v>
      </c>
      <c r="AA114" s="188">
        <f t="shared" si="14"/>
        <v>100800</v>
      </c>
      <c r="AB114" s="188">
        <v>0</v>
      </c>
      <c r="AC114" s="188">
        <f t="shared" si="15"/>
        <v>100800</v>
      </c>
      <c r="AD114" s="188">
        <f t="shared" si="16"/>
        <v>100800</v>
      </c>
      <c r="AE114" s="68" t="s">
        <v>102</v>
      </c>
      <c r="AF114" s="68"/>
      <c r="AG114" s="68"/>
      <c r="AH114" s="190"/>
      <c r="AI114" s="191"/>
      <c r="AJ114" s="190"/>
      <c r="AK114" s="192"/>
      <c r="AL114" s="190"/>
      <c r="AM114" s="193" t="s">
        <v>202</v>
      </c>
      <c r="AN114" s="194"/>
      <c r="AO114" s="195"/>
      <c r="AP114" s="31"/>
      <c r="AQ114" s="31"/>
      <c r="AR114" s="30"/>
      <c r="AS114" s="31"/>
    </row>
    <row r="115" spans="1:45" ht="30" hidden="1" customHeight="1" x14ac:dyDescent="0.25">
      <c r="A115" s="46">
        <v>2026</v>
      </c>
      <c r="B115" s="66" t="s">
        <v>65</v>
      </c>
      <c r="C115" s="65" t="s">
        <v>417</v>
      </c>
      <c r="D115" s="144" t="s">
        <v>114</v>
      </c>
      <c r="E115" s="141"/>
      <c r="F115" s="65" t="s">
        <v>424</v>
      </c>
      <c r="G115" s="144" t="s">
        <v>121</v>
      </c>
      <c r="H115" s="66" t="s">
        <v>126</v>
      </c>
      <c r="I115" s="74"/>
      <c r="J115" s="144" t="s">
        <v>132</v>
      </c>
      <c r="K115" s="144" t="s">
        <v>3</v>
      </c>
      <c r="L115" s="66" t="s">
        <v>6</v>
      </c>
      <c r="M115" s="65" t="s">
        <v>200</v>
      </c>
      <c r="N115" s="187"/>
      <c r="O115" s="187"/>
      <c r="P115" s="187"/>
      <c r="Q115" s="144" t="s">
        <v>140</v>
      </c>
      <c r="R115" s="89"/>
      <c r="S115" s="89"/>
      <c r="T115" s="65" t="s">
        <v>425</v>
      </c>
      <c r="U115" s="144">
        <v>2026</v>
      </c>
      <c r="V115" s="99">
        <v>46387</v>
      </c>
      <c r="W115" s="89"/>
      <c r="X115" s="99">
        <v>46024</v>
      </c>
      <c r="Y115" s="188">
        <v>144000</v>
      </c>
      <c r="Z115" s="189">
        <v>0</v>
      </c>
      <c r="AA115" s="188">
        <f t="shared" si="14"/>
        <v>144000</v>
      </c>
      <c r="AB115" s="188">
        <v>0</v>
      </c>
      <c r="AC115" s="188">
        <f t="shared" si="15"/>
        <v>144000</v>
      </c>
      <c r="AD115" s="188">
        <f t="shared" si="16"/>
        <v>144000</v>
      </c>
      <c r="AE115" s="68" t="s">
        <v>102</v>
      </c>
      <c r="AF115" s="68"/>
      <c r="AG115" s="68"/>
      <c r="AH115" s="190"/>
      <c r="AI115" s="191"/>
      <c r="AJ115" s="190"/>
      <c r="AK115" s="192"/>
      <c r="AL115" s="190"/>
      <c r="AM115" s="193" t="s">
        <v>202</v>
      </c>
      <c r="AN115" s="194"/>
      <c r="AO115" s="195"/>
      <c r="AP115" s="31"/>
      <c r="AQ115" s="31"/>
      <c r="AR115" s="30"/>
      <c r="AS115" s="31"/>
    </row>
    <row r="116" spans="1:45" ht="30" hidden="1" customHeight="1" x14ac:dyDescent="0.25">
      <c r="A116" s="46">
        <v>2026</v>
      </c>
      <c r="B116" s="66" t="s">
        <v>65</v>
      </c>
      <c r="C116" s="65" t="s">
        <v>417</v>
      </c>
      <c r="D116" s="144" t="s">
        <v>114</v>
      </c>
      <c r="E116" s="141"/>
      <c r="F116" s="65" t="s">
        <v>426</v>
      </c>
      <c r="G116" s="144" t="s">
        <v>121</v>
      </c>
      <c r="H116" s="66" t="s">
        <v>126</v>
      </c>
      <c r="I116" s="74"/>
      <c r="J116" s="144" t="s">
        <v>132</v>
      </c>
      <c r="K116" s="144" t="s">
        <v>3</v>
      </c>
      <c r="L116" s="66" t="s">
        <v>6</v>
      </c>
      <c r="M116" s="65" t="s">
        <v>200</v>
      </c>
      <c r="N116" s="187"/>
      <c r="O116" s="187"/>
      <c r="P116" s="187"/>
      <c r="Q116" s="144" t="s">
        <v>140</v>
      </c>
      <c r="R116" s="89"/>
      <c r="S116" s="89"/>
      <c r="T116" s="65" t="s">
        <v>427</v>
      </c>
      <c r="U116" s="144">
        <v>2026</v>
      </c>
      <c r="V116" s="99">
        <v>46387</v>
      </c>
      <c r="W116" s="89"/>
      <c r="X116" s="99">
        <v>46024</v>
      </c>
      <c r="Y116" s="188">
        <v>144000</v>
      </c>
      <c r="Z116" s="189">
        <v>0</v>
      </c>
      <c r="AA116" s="188">
        <f t="shared" si="14"/>
        <v>144000</v>
      </c>
      <c r="AB116" s="188">
        <v>0</v>
      </c>
      <c r="AC116" s="188">
        <f t="shared" si="15"/>
        <v>144000</v>
      </c>
      <c r="AD116" s="188">
        <f t="shared" si="16"/>
        <v>144000</v>
      </c>
      <c r="AE116" s="68" t="s">
        <v>102</v>
      </c>
      <c r="AF116" s="68"/>
      <c r="AG116" s="68"/>
      <c r="AH116" s="190"/>
      <c r="AI116" s="191"/>
      <c r="AJ116" s="190"/>
      <c r="AK116" s="192"/>
      <c r="AL116" s="190"/>
      <c r="AM116" s="193" t="s">
        <v>202</v>
      </c>
      <c r="AN116" s="194"/>
      <c r="AO116" s="195"/>
      <c r="AP116" s="31"/>
      <c r="AQ116" s="31"/>
      <c r="AR116" s="30"/>
      <c r="AS116" s="31"/>
    </row>
    <row r="117" spans="1:45" ht="30" hidden="1" customHeight="1" x14ac:dyDescent="0.25">
      <c r="A117" s="46">
        <v>2026</v>
      </c>
      <c r="B117" s="66" t="s">
        <v>65</v>
      </c>
      <c r="C117" s="65" t="s">
        <v>417</v>
      </c>
      <c r="D117" s="144" t="s">
        <v>114</v>
      </c>
      <c r="E117" s="141"/>
      <c r="F117" s="65" t="s">
        <v>428</v>
      </c>
      <c r="G117" s="144" t="s">
        <v>121</v>
      </c>
      <c r="H117" s="66" t="s">
        <v>126</v>
      </c>
      <c r="I117" s="74"/>
      <c r="J117" s="144" t="s">
        <v>132</v>
      </c>
      <c r="K117" s="144" t="s">
        <v>3</v>
      </c>
      <c r="L117" s="66" t="s">
        <v>6</v>
      </c>
      <c r="M117" s="65" t="s">
        <v>200</v>
      </c>
      <c r="N117" s="187"/>
      <c r="O117" s="187"/>
      <c r="P117" s="187"/>
      <c r="Q117" s="144" t="s">
        <v>140</v>
      </c>
      <c r="R117" s="89"/>
      <c r="S117" s="89"/>
      <c r="T117" s="65" t="s">
        <v>429</v>
      </c>
      <c r="U117" s="144">
        <v>2026</v>
      </c>
      <c r="V117" s="99">
        <v>46387</v>
      </c>
      <c r="W117" s="89"/>
      <c r="X117" s="99">
        <v>46024</v>
      </c>
      <c r="Y117" s="188">
        <v>100800</v>
      </c>
      <c r="Z117" s="189">
        <v>0</v>
      </c>
      <c r="AA117" s="188">
        <f t="shared" si="14"/>
        <v>100800</v>
      </c>
      <c r="AB117" s="188">
        <v>0</v>
      </c>
      <c r="AC117" s="188">
        <f t="shared" si="15"/>
        <v>100800</v>
      </c>
      <c r="AD117" s="188">
        <f t="shared" si="16"/>
        <v>100800</v>
      </c>
      <c r="AE117" s="68" t="s">
        <v>102</v>
      </c>
      <c r="AF117" s="68"/>
      <c r="AG117" s="68"/>
      <c r="AH117" s="190"/>
      <c r="AI117" s="191"/>
      <c r="AJ117" s="190"/>
      <c r="AK117" s="192"/>
      <c r="AL117" s="190"/>
      <c r="AM117" s="193" t="s">
        <v>202</v>
      </c>
      <c r="AN117" s="194"/>
      <c r="AO117" s="195"/>
      <c r="AP117" s="31"/>
      <c r="AQ117" s="31"/>
      <c r="AR117" s="30"/>
      <c r="AS117" s="31"/>
    </row>
    <row r="118" spans="1:45" ht="30" hidden="1" customHeight="1" x14ac:dyDescent="0.25">
      <c r="A118" s="46">
        <v>2026</v>
      </c>
      <c r="B118" s="66" t="s">
        <v>65</v>
      </c>
      <c r="C118" s="65" t="s">
        <v>417</v>
      </c>
      <c r="D118" s="144" t="s">
        <v>114</v>
      </c>
      <c r="E118" s="141"/>
      <c r="F118" s="65" t="s">
        <v>430</v>
      </c>
      <c r="G118" s="144" t="s">
        <v>121</v>
      </c>
      <c r="H118" s="66" t="s">
        <v>126</v>
      </c>
      <c r="I118" s="74"/>
      <c r="J118" s="144" t="s">
        <v>132</v>
      </c>
      <c r="K118" s="144" t="s">
        <v>3</v>
      </c>
      <c r="L118" s="66" t="s">
        <v>6</v>
      </c>
      <c r="M118" s="65" t="s">
        <v>200</v>
      </c>
      <c r="N118" s="187"/>
      <c r="O118" s="187"/>
      <c r="P118" s="187"/>
      <c r="Q118" s="144" t="s">
        <v>140</v>
      </c>
      <c r="R118" s="89"/>
      <c r="S118" s="89"/>
      <c r="T118" s="65" t="s">
        <v>431</v>
      </c>
      <c r="U118" s="144">
        <v>2026</v>
      </c>
      <c r="V118" s="99">
        <v>46387</v>
      </c>
      <c r="W118" s="89"/>
      <c r="X118" s="99">
        <v>46024</v>
      </c>
      <c r="Y118" s="188">
        <v>100800</v>
      </c>
      <c r="Z118" s="189">
        <v>0</v>
      </c>
      <c r="AA118" s="188">
        <f t="shared" si="14"/>
        <v>100800</v>
      </c>
      <c r="AB118" s="188">
        <v>0</v>
      </c>
      <c r="AC118" s="188">
        <f t="shared" si="15"/>
        <v>100800</v>
      </c>
      <c r="AD118" s="188">
        <f t="shared" si="16"/>
        <v>100800</v>
      </c>
      <c r="AE118" s="68" t="s">
        <v>102</v>
      </c>
      <c r="AF118" s="68"/>
      <c r="AG118" s="68"/>
      <c r="AH118" s="190"/>
      <c r="AI118" s="191"/>
      <c r="AJ118" s="190"/>
      <c r="AK118" s="192"/>
      <c r="AL118" s="190"/>
      <c r="AM118" s="193" t="s">
        <v>202</v>
      </c>
      <c r="AN118" s="194"/>
      <c r="AO118" s="195"/>
      <c r="AP118" s="31"/>
      <c r="AQ118" s="31"/>
      <c r="AR118" s="30"/>
      <c r="AS118" s="31"/>
    </row>
    <row r="119" spans="1:45" ht="30" hidden="1" customHeight="1" x14ac:dyDescent="0.25">
      <c r="A119" s="46">
        <v>2026</v>
      </c>
      <c r="B119" s="66" t="s">
        <v>65</v>
      </c>
      <c r="C119" s="65" t="s">
        <v>417</v>
      </c>
      <c r="D119" s="144" t="s">
        <v>114</v>
      </c>
      <c r="E119" s="141"/>
      <c r="F119" s="65" t="s">
        <v>432</v>
      </c>
      <c r="G119" s="144" t="s">
        <v>121</v>
      </c>
      <c r="H119" s="66" t="s">
        <v>126</v>
      </c>
      <c r="I119" s="74"/>
      <c r="J119" s="144" t="s">
        <v>132</v>
      </c>
      <c r="K119" s="144" t="s">
        <v>3</v>
      </c>
      <c r="L119" s="66" t="s">
        <v>6</v>
      </c>
      <c r="M119" s="65" t="s">
        <v>200</v>
      </c>
      <c r="N119" s="187"/>
      <c r="O119" s="187"/>
      <c r="P119" s="187"/>
      <c r="Q119" s="144" t="s">
        <v>140</v>
      </c>
      <c r="R119" s="89"/>
      <c r="S119" s="89"/>
      <c r="T119" s="65" t="s">
        <v>433</v>
      </c>
      <c r="U119" s="144">
        <v>2026</v>
      </c>
      <c r="V119" s="99">
        <v>46387</v>
      </c>
      <c r="W119" s="89"/>
      <c r="X119" s="99">
        <v>46024</v>
      </c>
      <c r="Y119" s="188">
        <v>144000</v>
      </c>
      <c r="Z119" s="189">
        <v>0</v>
      </c>
      <c r="AA119" s="188">
        <f t="shared" si="14"/>
        <v>144000</v>
      </c>
      <c r="AB119" s="188">
        <v>0</v>
      </c>
      <c r="AC119" s="188">
        <f t="shared" si="15"/>
        <v>144000</v>
      </c>
      <c r="AD119" s="188">
        <f t="shared" si="16"/>
        <v>144000</v>
      </c>
      <c r="AE119" s="68" t="s">
        <v>102</v>
      </c>
      <c r="AF119" s="68"/>
      <c r="AG119" s="68"/>
      <c r="AH119" s="190"/>
      <c r="AI119" s="191"/>
      <c r="AJ119" s="190"/>
      <c r="AK119" s="192"/>
      <c r="AL119" s="190"/>
      <c r="AM119" s="193" t="s">
        <v>202</v>
      </c>
      <c r="AN119" s="194"/>
      <c r="AO119" s="195"/>
      <c r="AP119" s="31"/>
      <c r="AQ119" s="31"/>
      <c r="AR119" s="30"/>
      <c r="AS119" s="31"/>
    </row>
    <row r="120" spans="1:45" ht="30" hidden="1" customHeight="1" x14ac:dyDescent="0.25">
      <c r="A120" s="46">
        <v>2026</v>
      </c>
      <c r="B120" s="66" t="s">
        <v>65</v>
      </c>
      <c r="C120" s="65" t="s">
        <v>417</v>
      </c>
      <c r="D120" s="144" t="s">
        <v>114</v>
      </c>
      <c r="E120" s="141"/>
      <c r="F120" s="65" t="s">
        <v>434</v>
      </c>
      <c r="G120" s="144" t="s">
        <v>121</v>
      </c>
      <c r="H120" s="66" t="s">
        <v>126</v>
      </c>
      <c r="I120" s="74"/>
      <c r="J120" s="144" t="s">
        <v>132</v>
      </c>
      <c r="K120" s="144" t="s">
        <v>3</v>
      </c>
      <c r="L120" s="66" t="s">
        <v>6</v>
      </c>
      <c r="M120" s="65" t="s">
        <v>200</v>
      </c>
      <c r="N120" s="187"/>
      <c r="O120" s="187"/>
      <c r="P120" s="187"/>
      <c r="Q120" s="144" t="s">
        <v>140</v>
      </c>
      <c r="R120" s="89"/>
      <c r="S120" s="89"/>
      <c r="T120" s="65" t="s">
        <v>435</v>
      </c>
      <c r="U120" s="144">
        <v>2026</v>
      </c>
      <c r="V120" s="99">
        <v>46387</v>
      </c>
      <c r="W120" s="89"/>
      <c r="X120" s="99">
        <v>46024</v>
      </c>
      <c r="Y120" s="188">
        <v>72000</v>
      </c>
      <c r="Z120" s="189">
        <v>0</v>
      </c>
      <c r="AA120" s="188">
        <f t="shared" si="14"/>
        <v>72000</v>
      </c>
      <c r="AB120" s="188">
        <v>0</v>
      </c>
      <c r="AC120" s="188">
        <f t="shared" si="15"/>
        <v>72000</v>
      </c>
      <c r="AD120" s="188">
        <f t="shared" si="16"/>
        <v>72000</v>
      </c>
      <c r="AE120" s="68" t="s">
        <v>102</v>
      </c>
      <c r="AF120" s="68"/>
      <c r="AG120" s="68"/>
      <c r="AH120" s="190"/>
      <c r="AI120" s="191"/>
      <c r="AJ120" s="190"/>
      <c r="AK120" s="192"/>
      <c r="AL120" s="190"/>
      <c r="AM120" s="193" t="s">
        <v>202</v>
      </c>
      <c r="AN120" s="194"/>
      <c r="AO120" s="195"/>
      <c r="AP120" s="31"/>
      <c r="AQ120" s="31"/>
      <c r="AR120" s="30"/>
      <c r="AS120" s="31"/>
    </row>
    <row r="121" spans="1:45" ht="30" hidden="1" customHeight="1" x14ac:dyDescent="0.25">
      <c r="A121" s="135">
        <v>2026</v>
      </c>
      <c r="B121" s="66" t="s">
        <v>66</v>
      </c>
      <c r="C121" s="65" t="s">
        <v>436</v>
      </c>
      <c r="D121" s="144" t="s">
        <v>114</v>
      </c>
      <c r="E121" s="141"/>
      <c r="F121" s="65" t="s">
        <v>437</v>
      </c>
      <c r="G121" s="144" t="s">
        <v>121</v>
      </c>
      <c r="H121" s="66" t="s">
        <v>126</v>
      </c>
      <c r="I121" s="74"/>
      <c r="J121" s="144" t="s">
        <v>132</v>
      </c>
      <c r="K121" s="144" t="s">
        <v>3</v>
      </c>
      <c r="L121" s="66" t="s">
        <v>6</v>
      </c>
      <c r="M121" s="65" t="s">
        <v>200</v>
      </c>
      <c r="N121" s="187"/>
      <c r="O121" s="187"/>
      <c r="P121" s="187"/>
      <c r="Q121" s="144" t="s">
        <v>140</v>
      </c>
      <c r="R121" s="89"/>
      <c r="S121" s="89"/>
      <c r="T121" s="65" t="s">
        <v>438</v>
      </c>
      <c r="U121" s="144">
        <v>2026</v>
      </c>
      <c r="V121" s="99">
        <v>46387</v>
      </c>
      <c r="W121" s="89"/>
      <c r="X121" s="99">
        <v>46024</v>
      </c>
      <c r="Y121" s="188">
        <v>257142.84</v>
      </c>
      <c r="Z121" s="189"/>
      <c r="AA121" s="188">
        <f t="shared" si="14"/>
        <v>257142.84</v>
      </c>
      <c r="AB121" s="188"/>
      <c r="AC121" s="188">
        <f t="shared" ref="AC121:AC152" si="17">Y121</f>
        <v>257142.84</v>
      </c>
      <c r="AD121" s="188">
        <f t="shared" ref="AD121:AD152" si="18">AA121</f>
        <v>257142.84</v>
      </c>
      <c r="AE121" s="68" t="s">
        <v>102</v>
      </c>
      <c r="AF121" s="68"/>
      <c r="AG121" s="68"/>
      <c r="AH121" s="190"/>
      <c r="AI121" s="191"/>
      <c r="AJ121" s="190"/>
      <c r="AK121" s="192"/>
      <c r="AL121" s="190"/>
      <c r="AM121" s="193" t="s">
        <v>202</v>
      </c>
      <c r="AN121" s="194"/>
      <c r="AO121" s="195"/>
      <c r="AP121" s="31"/>
      <c r="AQ121" s="31"/>
      <c r="AR121" s="30"/>
      <c r="AS121" s="31"/>
    </row>
    <row r="122" spans="1:45" ht="30" hidden="1" customHeight="1" x14ac:dyDescent="0.25">
      <c r="A122" s="135">
        <v>2026</v>
      </c>
      <c r="B122" s="66" t="s">
        <v>66</v>
      </c>
      <c r="C122" s="65" t="s">
        <v>436</v>
      </c>
      <c r="D122" s="144" t="s">
        <v>114</v>
      </c>
      <c r="E122" s="141"/>
      <c r="F122" s="65" t="s">
        <v>439</v>
      </c>
      <c r="G122" s="144" t="s">
        <v>121</v>
      </c>
      <c r="H122" s="66" t="s">
        <v>126</v>
      </c>
      <c r="I122" s="74"/>
      <c r="J122" s="144" t="s">
        <v>132</v>
      </c>
      <c r="K122" s="144" t="s">
        <v>3</v>
      </c>
      <c r="L122" s="66" t="s">
        <v>6</v>
      </c>
      <c r="M122" s="65" t="s">
        <v>200</v>
      </c>
      <c r="N122" s="187"/>
      <c r="O122" s="187"/>
      <c r="P122" s="187"/>
      <c r="Q122" s="144" t="s">
        <v>140</v>
      </c>
      <c r="R122" s="89"/>
      <c r="S122" s="89"/>
      <c r="T122" s="65" t="s">
        <v>440</v>
      </c>
      <c r="U122" s="144">
        <v>2026</v>
      </c>
      <c r="V122" s="99">
        <v>46387</v>
      </c>
      <c r="W122" s="89"/>
      <c r="X122" s="99">
        <v>46024</v>
      </c>
      <c r="Y122" s="188">
        <v>84000</v>
      </c>
      <c r="Z122" s="189"/>
      <c r="AA122" s="188">
        <f t="shared" si="14"/>
        <v>84000</v>
      </c>
      <c r="AB122" s="188"/>
      <c r="AC122" s="188">
        <f t="shared" si="17"/>
        <v>84000</v>
      </c>
      <c r="AD122" s="188">
        <f t="shared" si="18"/>
        <v>84000</v>
      </c>
      <c r="AE122" s="68" t="s">
        <v>102</v>
      </c>
      <c r="AF122" s="68"/>
      <c r="AG122" s="68"/>
      <c r="AH122" s="190"/>
      <c r="AI122" s="191"/>
      <c r="AJ122" s="190"/>
      <c r="AK122" s="192"/>
      <c r="AL122" s="190"/>
      <c r="AM122" s="193" t="s">
        <v>202</v>
      </c>
      <c r="AN122" s="194"/>
      <c r="AO122" s="195"/>
      <c r="AP122" s="31"/>
      <c r="AQ122" s="31"/>
      <c r="AR122" s="30"/>
      <c r="AS122" s="31"/>
    </row>
    <row r="123" spans="1:45" ht="30" hidden="1" customHeight="1" x14ac:dyDescent="0.25">
      <c r="A123" s="135">
        <v>2026</v>
      </c>
      <c r="B123" s="66" t="s">
        <v>66</v>
      </c>
      <c r="C123" s="65" t="s">
        <v>436</v>
      </c>
      <c r="D123" s="144" t="s">
        <v>114</v>
      </c>
      <c r="E123" s="141"/>
      <c r="F123" s="65" t="s">
        <v>441</v>
      </c>
      <c r="G123" s="144" t="s">
        <v>121</v>
      </c>
      <c r="H123" s="66" t="s">
        <v>126</v>
      </c>
      <c r="I123" s="74"/>
      <c r="J123" s="144" t="s">
        <v>132</v>
      </c>
      <c r="K123" s="144" t="s">
        <v>3</v>
      </c>
      <c r="L123" s="66" t="s">
        <v>6</v>
      </c>
      <c r="M123" s="65" t="s">
        <v>200</v>
      </c>
      <c r="N123" s="187"/>
      <c r="O123" s="187"/>
      <c r="P123" s="187"/>
      <c r="Q123" s="144" t="s">
        <v>140</v>
      </c>
      <c r="R123" s="89"/>
      <c r="S123" s="89"/>
      <c r="T123" s="65" t="s">
        <v>442</v>
      </c>
      <c r="U123" s="144">
        <v>2026</v>
      </c>
      <c r="V123" s="99">
        <v>46387</v>
      </c>
      <c r="W123" s="89"/>
      <c r="X123" s="99">
        <v>46024</v>
      </c>
      <c r="Y123" s="188">
        <v>120000</v>
      </c>
      <c r="Z123" s="189"/>
      <c r="AA123" s="188">
        <f t="shared" si="14"/>
        <v>120000</v>
      </c>
      <c r="AB123" s="188"/>
      <c r="AC123" s="188">
        <f t="shared" si="17"/>
        <v>120000</v>
      </c>
      <c r="AD123" s="188">
        <f t="shared" si="18"/>
        <v>120000</v>
      </c>
      <c r="AE123" s="68" t="s">
        <v>102</v>
      </c>
      <c r="AF123" s="68"/>
      <c r="AG123" s="68"/>
      <c r="AH123" s="190"/>
      <c r="AI123" s="191"/>
      <c r="AJ123" s="190"/>
      <c r="AK123" s="192"/>
      <c r="AL123" s="190"/>
      <c r="AM123" s="193" t="s">
        <v>202</v>
      </c>
      <c r="AN123" s="194"/>
      <c r="AO123" s="195"/>
      <c r="AP123" s="31"/>
      <c r="AQ123" s="31"/>
      <c r="AR123" s="30"/>
      <c r="AS123" s="31"/>
    </row>
    <row r="124" spans="1:45" ht="30" hidden="1" customHeight="1" x14ac:dyDescent="0.25">
      <c r="A124" s="135">
        <v>2026</v>
      </c>
      <c r="B124" s="66" t="s">
        <v>66</v>
      </c>
      <c r="C124" s="65" t="s">
        <v>436</v>
      </c>
      <c r="D124" s="144" t="s">
        <v>114</v>
      </c>
      <c r="E124" s="141"/>
      <c r="F124" s="65" t="s">
        <v>443</v>
      </c>
      <c r="G124" s="144" t="s">
        <v>121</v>
      </c>
      <c r="H124" s="66" t="s">
        <v>126</v>
      </c>
      <c r="I124" s="74"/>
      <c r="J124" s="144" t="s">
        <v>132</v>
      </c>
      <c r="K124" s="144" t="s">
        <v>3</v>
      </c>
      <c r="L124" s="66" t="s">
        <v>6</v>
      </c>
      <c r="M124" s="65" t="s">
        <v>200</v>
      </c>
      <c r="N124" s="187"/>
      <c r="O124" s="187"/>
      <c r="P124" s="187"/>
      <c r="Q124" s="144" t="s">
        <v>140</v>
      </c>
      <c r="R124" s="89"/>
      <c r="S124" s="89"/>
      <c r="T124" s="65" t="s">
        <v>444</v>
      </c>
      <c r="U124" s="144">
        <v>2026</v>
      </c>
      <c r="V124" s="99">
        <v>46387</v>
      </c>
      <c r="W124" s="89"/>
      <c r="X124" s="99">
        <v>46024</v>
      </c>
      <c r="Y124" s="188">
        <v>264000</v>
      </c>
      <c r="Z124" s="189"/>
      <c r="AA124" s="188">
        <f t="shared" si="14"/>
        <v>264000</v>
      </c>
      <c r="AB124" s="188"/>
      <c r="AC124" s="188">
        <f t="shared" si="17"/>
        <v>264000</v>
      </c>
      <c r="AD124" s="188">
        <f t="shared" si="18"/>
        <v>264000</v>
      </c>
      <c r="AE124" s="68" t="s">
        <v>102</v>
      </c>
      <c r="AF124" s="68"/>
      <c r="AG124" s="68"/>
      <c r="AH124" s="190"/>
      <c r="AI124" s="191"/>
      <c r="AJ124" s="190"/>
      <c r="AK124" s="192"/>
      <c r="AL124" s="190"/>
      <c r="AM124" s="193" t="s">
        <v>202</v>
      </c>
      <c r="AN124" s="194"/>
      <c r="AO124" s="195"/>
      <c r="AP124" s="31"/>
      <c r="AQ124" s="31"/>
      <c r="AR124" s="30"/>
      <c r="AS124" s="31"/>
    </row>
    <row r="125" spans="1:45" ht="30" hidden="1" customHeight="1" x14ac:dyDescent="0.25">
      <c r="A125" s="135">
        <v>2026</v>
      </c>
      <c r="B125" s="66" t="s">
        <v>66</v>
      </c>
      <c r="C125" s="65" t="s">
        <v>436</v>
      </c>
      <c r="D125" s="144" t="s">
        <v>114</v>
      </c>
      <c r="E125" s="141"/>
      <c r="F125" s="65" t="s">
        <v>445</v>
      </c>
      <c r="G125" s="144" t="s">
        <v>121</v>
      </c>
      <c r="H125" s="66" t="s">
        <v>126</v>
      </c>
      <c r="I125" s="74"/>
      <c r="J125" s="144" t="s">
        <v>132</v>
      </c>
      <c r="K125" s="144" t="s">
        <v>3</v>
      </c>
      <c r="L125" s="66" t="s">
        <v>6</v>
      </c>
      <c r="M125" s="65" t="s">
        <v>200</v>
      </c>
      <c r="N125" s="187"/>
      <c r="O125" s="187"/>
      <c r="P125" s="187"/>
      <c r="Q125" s="144" t="s">
        <v>140</v>
      </c>
      <c r="R125" s="89"/>
      <c r="S125" s="89"/>
      <c r="T125" s="65" t="s">
        <v>446</v>
      </c>
      <c r="U125" s="144">
        <v>2026</v>
      </c>
      <c r="V125" s="99">
        <v>46387</v>
      </c>
      <c r="W125" s="89"/>
      <c r="X125" s="99">
        <v>46024</v>
      </c>
      <c r="Y125" s="188">
        <v>216000</v>
      </c>
      <c r="Z125" s="189"/>
      <c r="AA125" s="188">
        <f t="shared" si="14"/>
        <v>216000</v>
      </c>
      <c r="AB125" s="188"/>
      <c r="AC125" s="188">
        <f t="shared" si="17"/>
        <v>216000</v>
      </c>
      <c r="AD125" s="188">
        <f t="shared" si="18"/>
        <v>216000</v>
      </c>
      <c r="AE125" s="68" t="s">
        <v>102</v>
      </c>
      <c r="AF125" s="68"/>
      <c r="AG125" s="68"/>
      <c r="AH125" s="190"/>
      <c r="AI125" s="191"/>
      <c r="AJ125" s="190"/>
      <c r="AK125" s="192"/>
      <c r="AL125" s="190"/>
      <c r="AM125" s="193" t="s">
        <v>202</v>
      </c>
      <c r="AN125" s="194"/>
      <c r="AO125" s="195"/>
      <c r="AP125" s="31"/>
      <c r="AQ125" s="31"/>
      <c r="AR125" s="30"/>
      <c r="AS125" s="31"/>
    </row>
    <row r="126" spans="1:45" ht="30" hidden="1" customHeight="1" x14ac:dyDescent="0.25">
      <c r="A126" s="135">
        <v>2026</v>
      </c>
      <c r="B126" s="66" t="s">
        <v>66</v>
      </c>
      <c r="C126" s="65" t="s">
        <v>436</v>
      </c>
      <c r="D126" s="144" t="s">
        <v>114</v>
      </c>
      <c r="E126" s="141"/>
      <c r="F126" s="65" t="s">
        <v>447</v>
      </c>
      <c r="G126" s="144" t="s">
        <v>121</v>
      </c>
      <c r="H126" s="66" t="s">
        <v>126</v>
      </c>
      <c r="I126" s="74"/>
      <c r="J126" s="144" t="s">
        <v>132</v>
      </c>
      <c r="K126" s="144" t="s">
        <v>3</v>
      </c>
      <c r="L126" s="66" t="s">
        <v>6</v>
      </c>
      <c r="M126" s="65" t="s">
        <v>200</v>
      </c>
      <c r="N126" s="187"/>
      <c r="O126" s="187"/>
      <c r="P126" s="187"/>
      <c r="Q126" s="144" t="s">
        <v>140</v>
      </c>
      <c r="R126" s="89"/>
      <c r="S126" s="89"/>
      <c r="T126" s="65" t="s">
        <v>448</v>
      </c>
      <c r="U126" s="144">
        <v>2026</v>
      </c>
      <c r="V126" s="99">
        <v>46387</v>
      </c>
      <c r="W126" s="89"/>
      <c r="X126" s="99">
        <v>46024</v>
      </c>
      <c r="Y126" s="188">
        <v>144000</v>
      </c>
      <c r="Z126" s="189"/>
      <c r="AA126" s="188">
        <f t="shared" si="14"/>
        <v>144000</v>
      </c>
      <c r="AB126" s="188"/>
      <c r="AC126" s="188">
        <f t="shared" si="17"/>
        <v>144000</v>
      </c>
      <c r="AD126" s="188">
        <f t="shared" si="18"/>
        <v>144000</v>
      </c>
      <c r="AE126" s="68" t="s">
        <v>102</v>
      </c>
      <c r="AF126" s="68"/>
      <c r="AG126" s="68"/>
      <c r="AH126" s="190"/>
      <c r="AI126" s="191"/>
      <c r="AJ126" s="190"/>
      <c r="AK126" s="192"/>
      <c r="AL126" s="190"/>
      <c r="AM126" s="193" t="s">
        <v>202</v>
      </c>
      <c r="AN126" s="194"/>
      <c r="AO126" s="195"/>
      <c r="AP126" s="31"/>
      <c r="AQ126" s="31"/>
      <c r="AR126" s="30"/>
      <c r="AS126" s="31"/>
    </row>
    <row r="127" spans="1:45" ht="30" hidden="1" customHeight="1" x14ac:dyDescent="0.25">
      <c r="A127" s="135">
        <v>2026</v>
      </c>
      <c r="B127" s="66" t="s">
        <v>66</v>
      </c>
      <c r="C127" s="65" t="s">
        <v>436</v>
      </c>
      <c r="D127" s="144" t="s">
        <v>114</v>
      </c>
      <c r="E127" s="141"/>
      <c r="F127" s="65" t="s">
        <v>449</v>
      </c>
      <c r="G127" s="144" t="s">
        <v>121</v>
      </c>
      <c r="H127" s="66" t="s">
        <v>126</v>
      </c>
      <c r="I127" s="74"/>
      <c r="J127" s="144" t="s">
        <v>132</v>
      </c>
      <c r="K127" s="144" t="s">
        <v>3</v>
      </c>
      <c r="L127" s="66" t="s">
        <v>6</v>
      </c>
      <c r="M127" s="65" t="s">
        <v>200</v>
      </c>
      <c r="N127" s="187"/>
      <c r="O127" s="187"/>
      <c r="P127" s="187"/>
      <c r="Q127" s="144" t="s">
        <v>140</v>
      </c>
      <c r="R127" s="89"/>
      <c r="S127" s="89"/>
      <c r="T127" s="65" t="s">
        <v>450</v>
      </c>
      <c r="U127" s="144">
        <v>2026</v>
      </c>
      <c r="V127" s="99">
        <v>46387</v>
      </c>
      <c r="W127" s="89"/>
      <c r="X127" s="99">
        <v>46024</v>
      </c>
      <c r="Y127" s="188">
        <v>132000</v>
      </c>
      <c r="Z127" s="189"/>
      <c r="AA127" s="188">
        <f t="shared" si="14"/>
        <v>132000</v>
      </c>
      <c r="AB127" s="188"/>
      <c r="AC127" s="188">
        <f t="shared" si="17"/>
        <v>132000</v>
      </c>
      <c r="AD127" s="188">
        <f t="shared" si="18"/>
        <v>132000</v>
      </c>
      <c r="AE127" s="68" t="s">
        <v>102</v>
      </c>
      <c r="AF127" s="68"/>
      <c r="AG127" s="68"/>
      <c r="AH127" s="190"/>
      <c r="AI127" s="191"/>
      <c r="AJ127" s="190"/>
      <c r="AK127" s="192"/>
      <c r="AL127" s="190"/>
      <c r="AM127" s="193" t="s">
        <v>202</v>
      </c>
      <c r="AN127" s="194"/>
      <c r="AO127" s="195"/>
      <c r="AP127" s="31"/>
      <c r="AQ127" s="31"/>
      <c r="AR127" s="30"/>
      <c r="AS127" s="31"/>
    </row>
    <row r="128" spans="1:45" ht="30" hidden="1" customHeight="1" x14ac:dyDescent="0.25">
      <c r="A128" s="135">
        <v>2026</v>
      </c>
      <c r="B128" s="66" t="s">
        <v>66</v>
      </c>
      <c r="C128" s="65" t="s">
        <v>436</v>
      </c>
      <c r="D128" s="144" t="s">
        <v>114</v>
      </c>
      <c r="E128" s="141"/>
      <c r="F128" s="65" t="s">
        <v>451</v>
      </c>
      <c r="G128" s="144" t="s">
        <v>121</v>
      </c>
      <c r="H128" s="66" t="s">
        <v>126</v>
      </c>
      <c r="I128" s="74"/>
      <c r="J128" s="144" t="s">
        <v>132</v>
      </c>
      <c r="K128" s="144" t="s">
        <v>3</v>
      </c>
      <c r="L128" s="66" t="s">
        <v>6</v>
      </c>
      <c r="M128" s="65" t="s">
        <v>200</v>
      </c>
      <c r="N128" s="187"/>
      <c r="O128" s="187"/>
      <c r="P128" s="187"/>
      <c r="Q128" s="144" t="s">
        <v>140</v>
      </c>
      <c r="R128" s="89"/>
      <c r="S128" s="89"/>
      <c r="T128" s="65" t="s">
        <v>452</v>
      </c>
      <c r="U128" s="144">
        <v>2026</v>
      </c>
      <c r="V128" s="99">
        <v>46387</v>
      </c>
      <c r="W128" s="89"/>
      <c r="X128" s="99">
        <v>46024</v>
      </c>
      <c r="Y128" s="188">
        <v>252000</v>
      </c>
      <c r="Z128" s="189"/>
      <c r="AA128" s="188">
        <f t="shared" si="14"/>
        <v>252000</v>
      </c>
      <c r="AB128" s="188"/>
      <c r="AC128" s="188">
        <f t="shared" si="17"/>
        <v>252000</v>
      </c>
      <c r="AD128" s="188">
        <f t="shared" si="18"/>
        <v>252000</v>
      </c>
      <c r="AE128" s="68" t="s">
        <v>102</v>
      </c>
      <c r="AF128" s="68"/>
      <c r="AG128" s="68"/>
      <c r="AH128" s="190"/>
      <c r="AI128" s="191"/>
      <c r="AJ128" s="190"/>
      <c r="AK128" s="192"/>
      <c r="AL128" s="190"/>
      <c r="AM128" s="193" t="s">
        <v>202</v>
      </c>
      <c r="AN128" s="194"/>
      <c r="AO128" s="195"/>
      <c r="AP128" s="31"/>
      <c r="AQ128" s="31"/>
      <c r="AR128" s="30"/>
      <c r="AS128" s="31"/>
    </row>
    <row r="129" spans="1:45" ht="30" hidden="1" customHeight="1" x14ac:dyDescent="0.25">
      <c r="A129" s="135">
        <v>2026</v>
      </c>
      <c r="B129" s="66" t="s">
        <v>66</v>
      </c>
      <c r="C129" s="65" t="s">
        <v>436</v>
      </c>
      <c r="D129" s="144" t="s">
        <v>114</v>
      </c>
      <c r="E129" s="141"/>
      <c r="F129" s="65" t="s">
        <v>453</v>
      </c>
      <c r="G129" s="144" t="s">
        <v>121</v>
      </c>
      <c r="H129" s="66" t="s">
        <v>126</v>
      </c>
      <c r="I129" s="74"/>
      <c r="J129" s="144" t="s">
        <v>132</v>
      </c>
      <c r="K129" s="144" t="s">
        <v>3</v>
      </c>
      <c r="L129" s="66" t="s">
        <v>6</v>
      </c>
      <c r="M129" s="65" t="s">
        <v>200</v>
      </c>
      <c r="N129" s="187"/>
      <c r="O129" s="187"/>
      <c r="P129" s="187"/>
      <c r="Q129" s="144" t="s">
        <v>140</v>
      </c>
      <c r="R129" s="89"/>
      <c r="S129" s="89"/>
      <c r="T129" s="65" t="s">
        <v>454</v>
      </c>
      <c r="U129" s="144">
        <v>2026</v>
      </c>
      <c r="V129" s="99">
        <v>46387</v>
      </c>
      <c r="W129" s="89"/>
      <c r="X129" s="99">
        <v>46024</v>
      </c>
      <c r="Y129" s="188">
        <v>84000</v>
      </c>
      <c r="Z129" s="189"/>
      <c r="AA129" s="188">
        <f t="shared" si="14"/>
        <v>84000</v>
      </c>
      <c r="AB129" s="188"/>
      <c r="AC129" s="188">
        <f t="shared" si="17"/>
        <v>84000</v>
      </c>
      <c r="AD129" s="188">
        <f t="shared" si="18"/>
        <v>84000</v>
      </c>
      <c r="AE129" s="68" t="s">
        <v>102</v>
      </c>
      <c r="AF129" s="68"/>
      <c r="AG129" s="68"/>
      <c r="AH129" s="190"/>
      <c r="AI129" s="191"/>
      <c r="AJ129" s="190"/>
      <c r="AK129" s="192"/>
      <c r="AL129" s="190"/>
      <c r="AM129" s="193" t="s">
        <v>202</v>
      </c>
      <c r="AN129" s="194"/>
      <c r="AO129" s="195"/>
      <c r="AP129" s="31"/>
      <c r="AQ129" s="31"/>
      <c r="AR129" s="30"/>
      <c r="AS129" s="31"/>
    </row>
    <row r="130" spans="1:45" ht="30" hidden="1" customHeight="1" x14ac:dyDescent="0.25">
      <c r="A130" s="135">
        <v>2026</v>
      </c>
      <c r="B130" s="66" t="s">
        <v>66</v>
      </c>
      <c r="C130" s="65" t="s">
        <v>436</v>
      </c>
      <c r="D130" s="144" t="s">
        <v>114</v>
      </c>
      <c r="E130" s="141"/>
      <c r="F130" s="65" t="s">
        <v>455</v>
      </c>
      <c r="G130" s="144" t="s">
        <v>121</v>
      </c>
      <c r="H130" s="66" t="s">
        <v>126</v>
      </c>
      <c r="I130" s="74"/>
      <c r="J130" s="144" t="s">
        <v>132</v>
      </c>
      <c r="K130" s="144" t="s">
        <v>3</v>
      </c>
      <c r="L130" s="66" t="s">
        <v>6</v>
      </c>
      <c r="M130" s="65" t="s">
        <v>200</v>
      </c>
      <c r="N130" s="187"/>
      <c r="O130" s="187"/>
      <c r="P130" s="187"/>
      <c r="Q130" s="144" t="s">
        <v>140</v>
      </c>
      <c r="R130" s="89"/>
      <c r="S130" s="89"/>
      <c r="T130" s="65" t="s">
        <v>456</v>
      </c>
      <c r="U130" s="144">
        <v>2026</v>
      </c>
      <c r="V130" s="99">
        <v>46387</v>
      </c>
      <c r="W130" s="89"/>
      <c r="X130" s="99">
        <v>46024</v>
      </c>
      <c r="Y130" s="188">
        <v>84000</v>
      </c>
      <c r="Z130" s="189"/>
      <c r="AA130" s="188">
        <f t="shared" si="14"/>
        <v>84000</v>
      </c>
      <c r="AB130" s="188"/>
      <c r="AC130" s="188">
        <f t="shared" si="17"/>
        <v>84000</v>
      </c>
      <c r="AD130" s="188">
        <f t="shared" si="18"/>
        <v>84000</v>
      </c>
      <c r="AE130" s="68" t="s">
        <v>102</v>
      </c>
      <c r="AF130" s="68"/>
      <c r="AG130" s="68"/>
      <c r="AH130" s="190"/>
      <c r="AI130" s="191"/>
      <c r="AJ130" s="190"/>
      <c r="AK130" s="192"/>
      <c r="AL130" s="190"/>
      <c r="AM130" s="193" t="s">
        <v>202</v>
      </c>
      <c r="AN130" s="194"/>
      <c r="AO130" s="195"/>
      <c r="AP130" s="31"/>
      <c r="AQ130" s="31"/>
      <c r="AR130" s="30"/>
      <c r="AS130" s="31"/>
    </row>
    <row r="131" spans="1:45" ht="30" hidden="1" customHeight="1" x14ac:dyDescent="0.25">
      <c r="A131" s="135">
        <v>2026</v>
      </c>
      <c r="B131" s="66" t="s">
        <v>66</v>
      </c>
      <c r="C131" s="65" t="s">
        <v>436</v>
      </c>
      <c r="D131" s="144" t="s">
        <v>114</v>
      </c>
      <c r="E131" s="141"/>
      <c r="F131" s="65" t="s">
        <v>457</v>
      </c>
      <c r="G131" s="144" t="s">
        <v>121</v>
      </c>
      <c r="H131" s="66" t="s">
        <v>126</v>
      </c>
      <c r="I131" s="74"/>
      <c r="J131" s="144" t="s">
        <v>132</v>
      </c>
      <c r="K131" s="144" t="s">
        <v>3</v>
      </c>
      <c r="L131" s="66" t="s">
        <v>6</v>
      </c>
      <c r="M131" s="65" t="s">
        <v>200</v>
      </c>
      <c r="N131" s="187"/>
      <c r="O131" s="187"/>
      <c r="P131" s="187"/>
      <c r="Q131" s="144" t="s">
        <v>140</v>
      </c>
      <c r="R131" s="89"/>
      <c r="S131" s="89"/>
      <c r="T131" s="65" t="s">
        <v>458</v>
      </c>
      <c r="U131" s="144">
        <v>2026</v>
      </c>
      <c r="V131" s="99">
        <v>46387</v>
      </c>
      <c r="W131" s="89"/>
      <c r="X131" s="99">
        <v>46024</v>
      </c>
      <c r="Y131" s="188">
        <v>276000</v>
      </c>
      <c r="Z131" s="189"/>
      <c r="AA131" s="188">
        <f t="shared" si="14"/>
        <v>276000</v>
      </c>
      <c r="AB131" s="188"/>
      <c r="AC131" s="188">
        <f t="shared" si="17"/>
        <v>276000</v>
      </c>
      <c r="AD131" s="188">
        <f t="shared" si="18"/>
        <v>276000</v>
      </c>
      <c r="AE131" s="68" t="s">
        <v>102</v>
      </c>
      <c r="AF131" s="68"/>
      <c r="AG131" s="68"/>
      <c r="AH131" s="190"/>
      <c r="AI131" s="191"/>
      <c r="AJ131" s="190"/>
      <c r="AK131" s="192"/>
      <c r="AL131" s="190"/>
      <c r="AM131" s="193" t="s">
        <v>202</v>
      </c>
      <c r="AN131" s="194"/>
      <c r="AO131" s="195"/>
      <c r="AP131" s="31"/>
      <c r="AQ131" s="31"/>
      <c r="AR131" s="30"/>
      <c r="AS131" s="31"/>
    </row>
    <row r="132" spans="1:45" ht="30" hidden="1" customHeight="1" x14ac:dyDescent="0.25">
      <c r="A132" s="135">
        <v>2026</v>
      </c>
      <c r="B132" s="66" t="s">
        <v>66</v>
      </c>
      <c r="C132" s="65" t="s">
        <v>436</v>
      </c>
      <c r="D132" s="144" t="s">
        <v>114</v>
      </c>
      <c r="E132" s="141"/>
      <c r="F132" s="65" t="s">
        <v>459</v>
      </c>
      <c r="G132" s="144" t="s">
        <v>121</v>
      </c>
      <c r="H132" s="66" t="s">
        <v>126</v>
      </c>
      <c r="I132" s="74"/>
      <c r="J132" s="144" t="s">
        <v>132</v>
      </c>
      <c r="K132" s="144" t="s">
        <v>3</v>
      </c>
      <c r="L132" s="66" t="s">
        <v>6</v>
      </c>
      <c r="M132" s="65" t="s">
        <v>200</v>
      </c>
      <c r="N132" s="187"/>
      <c r="O132" s="187"/>
      <c r="P132" s="187"/>
      <c r="Q132" s="144" t="s">
        <v>140</v>
      </c>
      <c r="R132" s="89"/>
      <c r="S132" s="89"/>
      <c r="T132" s="65" t="s">
        <v>460</v>
      </c>
      <c r="U132" s="144">
        <v>2026</v>
      </c>
      <c r="V132" s="99">
        <v>46387</v>
      </c>
      <c r="W132" s="89"/>
      <c r="X132" s="99">
        <v>46024</v>
      </c>
      <c r="Y132" s="188">
        <v>144000</v>
      </c>
      <c r="Z132" s="189"/>
      <c r="AA132" s="188">
        <f t="shared" si="14"/>
        <v>144000</v>
      </c>
      <c r="AB132" s="188"/>
      <c r="AC132" s="188">
        <f t="shared" si="17"/>
        <v>144000</v>
      </c>
      <c r="AD132" s="188">
        <f t="shared" si="18"/>
        <v>144000</v>
      </c>
      <c r="AE132" s="68" t="s">
        <v>102</v>
      </c>
      <c r="AF132" s="68"/>
      <c r="AG132" s="68"/>
      <c r="AH132" s="190"/>
      <c r="AI132" s="191"/>
      <c r="AJ132" s="190"/>
      <c r="AK132" s="192"/>
      <c r="AL132" s="190"/>
      <c r="AM132" s="193" t="s">
        <v>202</v>
      </c>
      <c r="AN132" s="194"/>
      <c r="AO132" s="195"/>
      <c r="AP132" s="31"/>
      <c r="AQ132" s="31"/>
      <c r="AR132" s="30"/>
      <c r="AS132" s="31"/>
    </row>
    <row r="133" spans="1:45" ht="30" hidden="1" customHeight="1" x14ac:dyDescent="0.25">
      <c r="A133" s="135">
        <v>2026</v>
      </c>
      <c r="B133" s="66" t="s">
        <v>66</v>
      </c>
      <c r="C133" s="65" t="s">
        <v>436</v>
      </c>
      <c r="D133" s="144" t="s">
        <v>114</v>
      </c>
      <c r="E133" s="141"/>
      <c r="F133" s="65" t="s">
        <v>461</v>
      </c>
      <c r="G133" s="144" t="s">
        <v>121</v>
      </c>
      <c r="H133" s="66" t="s">
        <v>126</v>
      </c>
      <c r="I133" s="74"/>
      <c r="J133" s="144" t="s">
        <v>132</v>
      </c>
      <c r="K133" s="144" t="s">
        <v>3</v>
      </c>
      <c r="L133" s="66" t="s">
        <v>6</v>
      </c>
      <c r="M133" s="65" t="s">
        <v>200</v>
      </c>
      <c r="N133" s="187"/>
      <c r="O133" s="187"/>
      <c r="P133" s="187"/>
      <c r="Q133" s="144" t="s">
        <v>140</v>
      </c>
      <c r="R133" s="89"/>
      <c r="S133" s="89"/>
      <c r="T133" s="65" t="s">
        <v>462</v>
      </c>
      <c r="U133" s="144">
        <v>2026</v>
      </c>
      <c r="V133" s="99">
        <v>46387</v>
      </c>
      <c r="W133" s="89"/>
      <c r="X133" s="99">
        <v>46024</v>
      </c>
      <c r="Y133" s="188">
        <v>108000</v>
      </c>
      <c r="Z133" s="189"/>
      <c r="AA133" s="188">
        <f t="shared" si="14"/>
        <v>108000</v>
      </c>
      <c r="AB133" s="188"/>
      <c r="AC133" s="188">
        <f t="shared" si="17"/>
        <v>108000</v>
      </c>
      <c r="AD133" s="188">
        <f t="shared" si="18"/>
        <v>108000</v>
      </c>
      <c r="AE133" s="68" t="s">
        <v>102</v>
      </c>
      <c r="AF133" s="68"/>
      <c r="AG133" s="68"/>
      <c r="AH133" s="190"/>
      <c r="AI133" s="191"/>
      <c r="AJ133" s="190"/>
      <c r="AK133" s="192"/>
      <c r="AL133" s="190"/>
      <c r="AM133" s="193" t="s">
        <v>202</v>
      </c>
      <c r="AN133" s="194"/>
      <c r="AO133" s="195"/>
      <c r="AP133" s="31"/>
      <c r="AQ133" s="31"/>
      <c r="AR133" s="30"/>
      <c r="AS133" s="31"/>
    </row>
    <row r="134" spans="1:45" ht="30" hidden="1" customHeight="1" x14ac:dyDescent="0.25">
      <c r="A134" s="135">
        <v>2026</v>
      </c>
      <c r="B134" s="66" t="s">
        <v>66</v>
      </c>
      <c r="C134" s="65" t="s">
        <v>436</v>
      </c>
      <c r="D134" s="144" t="s">
        <v>114</v>
      </c>
      <c r="E134" s="141"/>
      <c r="F134" s="65" t="s">
        <v>463</v>
      </c>
      <c r="G134" s="144" t="s">
        <v>121</v>
      </c>
      <c r="H134" s="66" t="s">
        <v>126</v>
      </c>
      <c r="I134" s="74"/>
      <c r="J134" s="144" t="s">
        <v>132</v>
      </c>
      <c r="K134" s="144" t="s">
        <v>3</v>
      </c>
      <c r="L134" s="66" t="s">
        <v>6</v>
      </c>
      <c r="M134" s="65" t="s">
        <v>200</v>
      </c>
      <c r="N134" s="187"/>
      <c r="O134" s="187"/>
      <c r="P134" s="187"/>
      <c r="Q134" s="144" t="s">
        <v>140</v>
      </c>
      <c r="R134" s="89"/>
      <c r="S134" s="89"/>
      <c r="T134" s="65" t="s">
        <v>464</v>
      </c>
      <c r="U134" s="144">
        <v>2026</v>
      </c>
      <c r="V134" s="99">
        <v>46387</v>
      </c>
      <c r="W134" s="89"/>
      <c r="X134" s="99">
        <v>46024</v>
      </c>
      <c r="Y134" s="188">
        <v>240000</v>
      </c>
      <c r="Z134" s="189"/>
      <c r="AA134" s="188">
        <f t="shared" si="14"/>
        <v>240000</v>
      </c>
      <c r="AB134" s="188"/>
      <c r="AC134" s="188">
        <f t="shared" si="17"/>
        <v>240000</v>
      </c>
      <c r="AD134" s="188">
        <f t="shared" si="18"/>
        <v>240000</v>
      </c>
      <c r="AE134" s="68" t="s">
        <v>102</v>
      </c>
      <c r="AF134" s="68"/>
      <c r="AG134" s="68"/>
      <c r="AH134" s="190"/>
      <c r="AI134" s="191"/>
      <c r="AJ134" s="190"/>
      <c r="AK134" s="192"/>
      <c r="AL134" s="190"/>
      <c r="AM134" s="193" t="s">
        <v>202</v>
      </c>
      <c r="AN134" s="194"/>
      <c r="AO134" s="195"/>
      <c r="AP134" s="31"/>
      <c r="AQ134" s="31"/>
      <c r="AR134" s="30"/>
      <c r="AS134" s="31"/>
    </row>
    <row r="135" spans="1:45" ht="30" hidden="1" customHeight="1" x14ac:dyDescent="0.25">
      <c r="A135" s="46">
        <v>2026</v>
      </c>
      <c r="B135" s="66" t="s">
        <v>79</v>
      </c>
      <c r="C135" s="65" t="s">
        <v>465</v>
      </c>
      <c r="D135" s="144" t="s">
        <v>114</v>
      </c>
      <c r="E135" s="141"/>
      <c r="F135" s="65" t="s">
        <v>466</v>
      </c>
      <c r="G135" s="144" t="s">
        <v>121</v>
      </c>
      <c r="H135" s="66" t="s">
        <v>126</v>
      </c>
      <c r="I135" s="74"/>
      <c r="J135" s="144" t="s">
        <v>132</v>
      </c>
      <c r="K135" s="144" t="s">
        <v>3</v>
      </c>
      <c r="L135" s="66" t="s">
        <v>6</v>
      </c>
      <c r="M135" s="65" t="s">
        <v>200</v>
      </c>
      <c r="N135" s="187"/>
      <c r="O135" s="187"/>
      <c r="P135" s="187"/>
      <c r="Q135" s="144" t="s">
        <v>140</v>
      </c>
      <c r="R135" s="89"/>
      <c r="S135" s="89"/>
      <c r="T135" s="65" t="s">
        <v>467</v>
      </c>
      <c r="U135" s="144">
        <v>2026</v>
      </c>
      <c r="V135" s="99">
        <v>46387</v>
      </c>
      <c r="W135" s="89"/>
      <c r="X135" s="99">
        <v>46024</v>
      </c>
      <c r="Y135" s="188">
        <v>84000</v>
      </c>
      <c r="Z135" s="189"/>
      <c r="AA135" s="188">
        <f t="shared" ref="AA135:AA166" si="19">Y135</f>
        <v>84000</v>
      </c>
      <c r="AB135" s="188"/>
      <c r="AC135" s="188">
        <f t="shared" si="17"/>
        <v>84000</v>
      </c>
      <c r="AD135" s="188">
        <f t="shared" si="18"/>
        <v>84000</v>
      </c>
      <c r="AE135" s="68" t="s">
        <v>102</v>
      </c>
      <c r="AF135" s="68"/>
      <c r="AG135" s="68"/>
      <c r="AH135" s="190"/>
      <c r="AI135" s="191"/>
      <c r="AJ135" s="190"/>
      <c r="AK135" s="192"/>
      <c r="AL135" s="190"/>
      <c r="AM135" s="193" t="s">
        <v>202</v>
      </c>
      <c r="AN135" s="194"/>
      <c r="AO135" s="195"/>
      <c r="AP135" s="31"/>
      <c r="AQ135" s="31"/>
      <c r="AR135" s="30"/>
      <c r="AS135" s="31"/>
    </row>
    <row r="136" spans="1:45" ht="30" hidden="1" customHeight="1" x14ac:dyDescent="0.25">
      <c r="A136" s="46">
        <v>2026</v>
      </c>
      <c r="B136" s="66" t="s">
        <v>79</v>
      </c>
      <c r="C136" s="65" t="s">
        <v>465</v>
      </c>
      <c r="D136" s="144" t="s">
        <v>114</v>
      </c>
      <c r="E136" s="141"/>
      <c r="F136" s="65" t="s">
        <v>468</v>
      </c>
      <c r="G136" s="144" t="s">
        <v>121</v>
      </c>
      <c r="H136" s="66" t="s">
        <v>126</v>
      </c>
      <c r="I136" s="74"/>
      <c r="J136" s="144" t="s">
        <v>132</v>
      </c>
      <c r="K136" s="144" t="s">
        <v>3</v>
      </c>
      <c r="L136" s="66" t="s">
        <v>6</v>
      </c>
      <c r="M136" s="65" t="s">
        <v>200</v>
      </c>
      <c r="N136" s="187"/>
      <c r="O136" s="187"/>
      <c r="P136" s="187"/>
      <c r="Q136" s="144" t="s">
        <v>140</v>
      </c>
      <c r="R136" s="89"/>
      <c r="S136" s="89"/>
      <c r="T136" s="65" t="s">
        <v>469</v>
      </c>
      <c r="U136" s="144">
        <v>2026</v>
      </c>
      <c r="V136" s="99">
        <v>46387</v>
      </c>
      <c r="W136" s="89"/>
      <c r="X136" s="99">
        <v>46024</v>
      </c>
      <c r="Y136" s="188">
        <v>120000</v>
      </c>
      <c r="Z136" s="189"/>
      <c r="AA136" s="188">
        <f t="shared" si="19"/>
        <v>120000</v>
      </c>
      <c r="AB136" s="188"/>
      <c r="AC136" s="188">
        <f t="shared" si="17"/>
        <v>120000</v>
      </c>
      <c r="AD136" s="188">
        <f t="shared" si="18"/>
        <v>120000</v>
      </c>
      <c r="AE136" s="68" t="s">
        <v>102</v>
      </c>
      <c r="AF136" s="68"/>
      <c r="AG136" s="68"/>
      <c r="AH136" s="190"/>
      <c r="AI136" s="191"/>
      <c r="AJ136" s="190"/>
      <c r="AK136" s="192"/>
      <c r="AL136" s="190"/>
      <c r="AM136" s="193" t="s">
        <v>202</v>
      </c>
      <c r="AN136" s="194"/>
      <c r="AO136" s="195"/>
      <c r="AP136" s="31"/>
      <c r="AQ136" s="31"/>
      <c r="AR136" s="30"/>
      <c r="AS136" s="31"/>
    </row>
    <row r="137" spans="1:45" ht="30" hidden="1" customHeight="1" x14ac:dyDescent="0.25">
      <c r="A137" s="46">
        <v>2026</v>
      </c>
      <c r="B137" s="66" t="s">
        <v>79</v>
      </c>
      <c r="C137" s="65" t="s">
        <v>465</v>
      </c>
      <c r="D137" s="144" t="s">
        <v>114</v>
      </c>
      <c r="E137" s="141"/>
      <c r="F137" s="65" t="s">
        <v>470</v>
      </c>
      <c r="G137" s="144" t="s">
        <v>121</v>
      </c>
      <c r="H137" s="66" t="s">
        <v>126</v>
      </c>
      <c r="I137" s="74"/>
      <c r="J137" s="144" t="s">
        <v>132</v>
      </c>
      <c r="K137" s="144" t="s">
        <v>3</v>
      </c>
      <c r="L137" s="66" t="s">
        <v>6</v>
      </c>
      <c r="M137" s="65" t="s">
        <v>200</v>
      </c>
      <c r="N137" s="187"/>
      <c r="O137" s="187"/>
      <c r="P137" s="187"/>
      <c r="Q137" s="144" t="s">
        <v>140</v>
      </c>
      <c r="R137" s="89"/>
      <c r="S137" s="89"/>
      <c r="T137" s="65" t="s">
        <v>471</v>
      </c>
      <c r="U137" s="144">
        <v>2026</v>
      </c>
      <c r="V137" s="99">
        <v>46387</v>
      </c>
      <c r="W137" s="89"/>
      <c r="X137" s="99">
        <v>46024</v>
      </c>
      <c r="Y137" s="188">
        <v>180000</v>
      </c>
      <c r="Z137" s="189"/>
      <c r="AA137" s="188">
        <f t="shared" si="19"/>
        <v>180000</v>
      </c>
      <c r="AB137" s="188"/>
      <c r="AC137" s="188">
        <f t="shared" si="17"/>
        <v>180000</v>
      </c>
      <c r="AD137" s="188">
        <f t="shared" si="18"/>
        <v>180000</v>
      </c>
      <c r="AE137" s="68" t="s">
        <v>102</v>
      </c>
      <c r="AF137" s="68"/>
      <c r="AG137" s="68"/>
      <c r="AH137" s="190"/>
      <c r="AI137" s="191"/>
      <c r="AJ137" s="190"/>
      <c r="AK137" s="192"/>
      <c r="AL137" s="190"/>
      <c r="AM137" s="193" t="s">
        <v>202</v>
      </c>
      <c r="AN137" s="194"/>
      <c r="AO137" s="195"/>
      <c r="AP137" s="31"/>
      <c r="AQ137" s="31"/>
      <c r="AR137" s="30"/>
      <c r="AS137" s="31"/>
    </row>
    <row r="138" spans="1:45" ht="30" hidden="1" customHeight="1" x14ac:dyDescent="0.25">
      <c r="A138" s="46">
        <v>2026</v>
      </c>
      <c r="B138" s="66" t="s">
        <v>79</v>
      </c>
      <c r="C138" s="65" t="s">
        <v>465</v>
      </c>
      <c r="D138" s="144" t="s">
        <v>114</v>
      </c>
      <c r="E138" s="141"/>
      <c r="F138" s="65" t="s">
        <v>472</v>
      </c>
      <c r="G138" s="144" t="s">
        <v>121</v>
      </c>
      <c r="H138" s="66" t="s">
        <v>126</v>
      </c>
      <c r="I138" s="74"/>
      <c r="J138" s="144" t="s">
        <v>132</v>
      </c>
      <c r="K138" s="144" t="s">
        <v>3</v>
      </c>
      <c r="L138" s="66" t="s">
        <v>6</v>
      </c>
      <c r="M138" s="65" t="s">
        <v>200</v>
      </c>
      <c r="N138" s="187"/>
      <c r="O138" s="187"/>
      <c r="P138" s="187"/>
      <c r="Q138" s="144" t="s">
        <v>140</v>
      </c>
      <c r="R138" s="89"/>
      <c r="S138" s="89"/>
      <c r="T138" s="65" t="s">
        <v>473</v>
      </c>
      <c r="U138" s="144">
        <v>2026</v>
      </c>
      <c r="V138" s="99">
        <v>46387</v>
      </c>
      <c r="W138" s="89"/>
      <c r="X138" s="99">
        <v>46024</v>
      </c>
      <c r="Y138" s="188">
        <v>120000</v>
      </c>
      <c r="Z138" s="189"/>
      <c r="AA138" s="188">
        <f t="shared" si="19"/>
        <v>120000</v>
      </c>
      <c r="AB138" s="188"/>
      <c r="AC138" s="188">
        <f t="shared" si="17"/>
        <v>120000</v>
      </c>
      <c r="AD138" s="188">
        <f t="shared" si="18"/>
        <v>120000</v>
      </c>
      <c r="AE138" s="68" t="s">
        <v>102</v>
      </c>
      <c r="AF138" s="68"/>
      <c r="AG138" s="68"/>
      <c r="AH138" s="190"/>
      <c r="AI138" s="191"/>
      <c r="AJ138" s="190"/>
      <c r="AK138" s="192"/>
      <c r="AL138" s="190"/>
      <c r="AM138" s="193" t="s">
        <v>202</v>
      </c>
      <c r="AN138" s="194"/>
      <c r="AO138" s="195"/>
      <c r="AP138" s="31"/>
      <c r="AQ138" s="31"/>
      <c r="AR138" s="30"/>
      <c r="AS138" s="31"/>
    </row>
    <row r="139" spans="1:45" ht="30" hidden="1" customHeight="1" x14ac:dyDescent="0.25">
      <c r="A139" s="46">
        <v>2026</v>
      </c>
      <c r="B139" s="66" t="s">
        <v>79</v>
      </c>
      <c r="C139" s="65" t="s">
        <v>465</v>
      </c>
      <c r="D139" s="144" t="s">
        <v>114</v>
      </c>
      <c r="E139" s="141"/>
      <c r="F139" s="65" t="s">
        <v>474</v>
      </c>
      <c r="G139" s="144" t="s">
        <v>121</v>
      </c>
      <c r="H139" s="66" t="s">
        <v>126</v>
      </c>
      <c r="I139" s="74"/>
      <c r="J139" s="144" t="s">
        <v>132</v>
      </c>
      <c r="K139" s="144" t="s">
        <v>3</v>
      </c>
      <c r="L139" s="66" t="s">
        <v>6</v>
      </c>
      <c r="M139" s="65" t="s">
        <v>200</v>
      </c>
      <c r="N139" s="187"/>
      <c r="O139" s="187"/>
      <c r="P139" s="187"/>
      <c r="Q139" s="144" t="s">
        <v>140</v>
      </c>
      <c r="R139" s="89"/>
      <c r="S139" s="89"/>
      <c r="T139" s="65" t="s">
        <v>475</v>
      </c>
      <c r="U139" s="144">
        <v>2026</v>
      </c>
      <c r="V139" s="99">
        <v>46387</v>
      </c>
      <c r="W139" s="89"/>
      <c r="X139" s="99">
        <v>46024</v>
      </c>
      <c r="Y139" s="188">
        <v>216000</v>
      </c>
      <c r="Z139" s="189"/>
      <c r="AA139" s="188">
        <f t="shared" si="19"/>
        <v>216000</v>
      </c>
      <c r="AB139" s="188"/>
      <c r="AC139" s="188">
        <f t="shared" si="17"/>
        <v>216000</v>
      </c>
      <c r="AD139" s="188">
        <f t="shared" si="18"/>
        <v>216000</v>
      </c>
      <c r="AE139" s="68" t="s">
        <v>102</v>
      </c>
      <c r="AF139" s="68"/>
      <c r="AG139" s="68"/>
      <c r="AH139" s="190"/>
      <c r="AI139" s="191"/>
      <c r="AJ139" s="190"/>
      <c r="AK139" s="192"/>
      <c r="AL139" s="190"/>
      <c r="AM139" s="193" t="s">
        <v>202</v>
      </c>
      <c r="AN139" s="194"/>
      <c r="AO139" s="195"/>
      <c r="AP139" s="31"/>
      <c r="AQ139" s="31"/>
      <c r="AR139" s="30"/>
      <c r="AS139" s="31"/>
    </row>
    <row r="140" spans="1:45" ht="30" hidden="1" customHeight="1" x14ac:dyDescent="0.25">
      <c r="A140" s="46">
        <v>2026</v>
      </c>
      <c r="B140" s="66" t="s">
        <v>79</v>
      </c>
      <c r="C140" s="65" t="s">
        <v>465</v>
      </c>
      <c r="D140" s="144" t="s">
        <v>114</v>
      </c>
      <c r="E140" s="141"/>
      <c r="F140" s="65" t="s">
        <v>476</v>
      </c>
      <c r="G140" s="144" t="s">
        <v>121</v>
      </c>
      <c r="H140" s="66" t="s">
        <v>126</v>
      </c>
      <c r="I140" s="74"/>
      <c r="J140" s="144" t="s">
        <v>132</v>
      </c>
      <c r="K140" s="144" t="s">
        <v>3</v>
      </c>
      <c r="L140" s="66" t="s">
        <v>6</v>
      </c>
      <c r="M140" s="65" t="s">
        <v>200</v>
      </c>
      <c r="N140" s="187"/>
      <c r="O140" s="187"/>
      <c r="P140" s="187"/>
      <c r="Q140" s="144" t="s">
        <v>140</v>
      </c>
      <c r="R140" s="89"/>
      <c r="S140" s="89"/>
      <c r="T140" s="65" t="s">
        <v>477</v>
      </c>
      <c r="U140" s="144">
        <v>2026</v>
      </c>
      <c r="V140" s="99">
        <v>46387</v>
      </c>
      <c r="W140" s="89"/>
      <c r="X140" s="99">
        <v>46024</v>
      </c>
      <c r="Y140" s="188">
        <v>240000</v>
      </c>
      <c r="Z140" s="189"/>
      <c r="AA140" s="188">
        <f t="shared" si="19"/>
        <v>240000</v>
      </c>
      <c r="AB140" s="188"/>
      <c r="AC140" s="188">
        <f t="shared" si="17"/>
        <v>240000</v>
      </c>
      <c r="AD140" s="188">
        <f t="shared" si="18"/>
        <v>240000</v>
      </c>
      <c r="AE140" s="68" t="s">
        <v>102</v>
      </c>
      <c r="AF140" s="68"/>
      <c r="AG140" s="68"/>
      <c r="AH140" s="190"/>
      <c r="AI140" s="191"/>
      <c r="AJ140" s="190"/>
      <c r="AK140" s="192"/>
      <c r="AL140" s="190"/>
      <c r="AM140" s="193" t="s">
        <v>202</v>
      </c>
      <c r="AN140" s="194"/>
      <c r="AO140" s="195"/>
      <c r="AP140" s="31"/>
      <c r="AQ140" s="31"/>
      <c r="AR140" s="30"/>
      <c r="AS140" s="31"/>
    </row>
    <row r="141" spans="1:45" ht="30" hidden="1" customHeight="1" x14ac:dyDescent="0.25">
      <c r="A141" s="46">
        <v>2026</v>
      </c>
      <c r="B141" s="66" t="s">
        <v>79</v>
      </c>
      <c r="C141" s="65" t="s">
        <v>465</v>
      </c>
      <c r="D141" s="144" t="s">
        <v>114</v>
      </c>
      <c r="E141" s="141"/>
      <c r="F141" s="65" t="s">
        <v>478</v>
      </c>
      <c r="G141" s="144" t="s">
        <v>121</v>
      </c>
      <c r="H141" s="66" t="s">
        <v>126</v>
      </c>
      <c r="I141" s="74"/>
      <c r="J141" s="144" t="s">
        <v>132</v>
      </c>
      <c r="K141" s="144" t="s">
        <v>3</v>
      </c>
      <c r="L141" s="66" t="s">
        <v>6</v>
      </c>
      <c r="M141" s="65" t="s">
        <v>200</v>
      </c>
      <c r="N141" s="187"/>
      <c r="O141" s="187"/>
      <c r="P141" s="187"/>
      <c r="Q141" s="144" t="s">
        <v>140</v>
      </c>
      <c r="R141" s="89"/>
      <c r="S141" s="89"/>
      <c r="T141" s="65" t="s">
        <v>479</v>
      </c>
      <c r="U141" s="144">
        <v>2026</v>
      </c>
      <c r="V141" s="99">
        <v>46387</v>
      </c>
      <c r="W141" s="89"/>
      <c r="X141" s="99">
        <v>46024</v>
      </c>
      <c r="Y141" s="188">
        <v>156000</v>
      </c>
      <c r="Z141" s="189"/>
      <c r="AA141" s="188">
        <f t="shared" si="19"/>
        <v>156000</v>
      </c>
      <c r="AB141" s="188"/>
      <c r="AC141" s="188">
        <f t="shared" si="17"/>
        <v>156000</v>
      </c>
      <c r="AD141" s="188">
        <f t="shared" si="18"/>
        <v>156000</v>
      </c>
      <c r="AE141" s="68" t="s">
        <v>102</v>
      </c>
      <c r="AF141" s="68"/>
      <c r="AG141" s="68"/>
      <c r="AH141" s="190"/>
      <c r="AI141" s="191"/>
      <c r="AJ141" s="190"/>
      <c r="AK141" s="192"/>
      <c r="AL141" s="190"/>
      <c r="AM141" s="193" t="s">
        <v>202</v>
      </c>
      <c r="AN141" s="194"/>
      <c r="AO141" s="195"/>
      <c r="AP141" s="31"/>
      <c r="AQ141" s="31"/>
      <c r="AR141" s="30"/>
      <c r="AS141" s="31"/>
    </row>
    <row r="142" spans="1:45" ht="30" hidden="1" customHeight="1" x14ac:dyDescent="0.25">
      <c r="A142" s="46">
        <v>2026</v>
      </c>
      <c r="B142" s="66" t="s">
        <v>79</v>
      </c>
      <c r="C142" s="65" t="s">
        <v>465</v>
      </c>
      <c r="D142" s="144" t="s">
        <v>114</v>
      </c>
      <c r="E142" s="141"/>
      <c r="F142" s="65" t="s">
        <v>480</v>
      </c>
      <c r="G142" s="144" t="s">
        <v>121</v>
      </c>
      <c r="H142" s="66" t="s">
        <v>126</v>
      </c>
      <c r="I142" s="74"/>
      <c r="J142" s="144" t="s">
        <v>132</v>
      </c>
      <c r="K142" s="144" t="s">
        <v>3</v>
      </c>
      <c r="L142" s="66" t="s">
        <v>6</v>
      </c>
      <c r="M142" s="65" t="s">
        <v>200</v>
      </c>
      <c r="N142" s="187"/>
      <c r="O142" s="187"/>
      <c r="P142" s="187"/>
      <c r="Q142" s="144" t="s">
        <v>140</v>
      </c>
      <c r="R142" s="89"/>
      <c r="S142" s="89"/>
      <c r="T142" s="65" t="s">
        <v>481</v>
      </c>
      <c r="U142" s="144">
        <v>2026</v>
      </c>
      <c r="V142" s="99">
        <v>46387</v>
      </c>
      <c r="W142" s="89"/>
      <c r="X142" s="99">
        <v>46024</v>
      </c>
      <c r="Y142" s="188">
        <v>96000</v>
      </c>
      <c r="Z142" s="189"/>
      <c r="AA142" s="188">
        <f t="shared" si="19"/>
        <v>96000</v>
      </c>
      <c r="AB142" s="188"/>
      <c r="AC142" s="188">
        <f t="shared" si="17"/>
        <v>96000</v>
      </c>
      <c r="AD142" s="188">
        <f t="shared" si="18"/>
        <v>96000</v>
      </c>
      <c r="AE142" s="68" t="s">
        <v>102</v>
      </c>
      <c r="AF142" s="68"/>
      <c r="AG142" s="68"/>
      <c r="AH142" s="190"/>
      <c r="AI142" s="191"/>
      <c r="AJ142" s="190"/>
      <c r="AK142" s="192"/>
      <c r="AL142" s="190"/>
      <c r="AM142" s="193" t="s">
        <v>202</v>
      </c>
      <c r="AN142" s="194"/>
      <c r="AO142" s="195"/>
      <c r="AP142" s="31"/>
      <c r="AQ142" s="31"/>
      <c r="AR142" s="30"/>
      <c r="AS142" s="31"/>
    </row>
    <row r="143" spans="1:45" ht="30" hidden="1" customHeight="1" x14ac:dyDescent="0.25">
      <c r="A143" s="46">
        <v>2026</v>
      </c>
      <c r="B143" s="66" t="s">
        <v>79</v>
      </c>
      <c r="C143" s="65" t="s">
        <v>465</v>
      </c>
      <c r="D143" s="144" t="s">
        <v>114</v>
      </c>
      <c r="E143" s="141"/>
      <c r="F143" s="65" t="s">
        <v>482</v>
      </c>
      <c r="G143" s="144" t="s">
        <v>121</v>
      </c>
      <c r="H143" s="66" t="s">
        <v>126</v>
      </c>
      <c r="I143" s="74"/>
      <c r="J143" s="144" t="s">
        <v>132</v>
      </c>
      <c r="K143" s="144" t="s">
        <v>3</v>
      </c>
      <c r="L143" s="66" t="s">
        <v>6</v>
      </c>
      <c r="M143" s="65" t="s">
        <v>200</v>
      </c>
      <c r="N143" s="187"/>
      <c r="O143" s="187"/>
      <c r="P143" s="187"/>
      <c r="Q143" s="144" t="s">
        <v>140</v>
      </c>
      <c r="R143" s="89"/>
      <c r="S143" s="89"/>
      <c r="T143" s="65" t="s">
        <v>483</v>
      </c>
      <c r="U143" s="144">
        <v>2026</v>
      </c>
      <c r="V143" s="99">
        <v>46387</v>
      </c>
      <c r="W143" s="89"/>
      <c r="X143" s="99">
        <v>46024</v>
      </c>
      <c r="Y143" s="188">
        <v>24000</v>
      </c>
      <c r="Z143" s="189"/>
      <c r="AA143" s="188">
        <f t="shared" si="19"/>
        <v>24000</v>
      </c>
      <c r="AB143" s="188"/>
      <c r="AC143" s="188">
        <f t="shared" si="17"/>
        <v>24000</v>
      </c>
      <c r="AD143" s="188">
        <f t="shared" si="18"/>
        <v>24000</v>
      </c>
      <c r="AE143" s="68" t="s">
        <v>102</v>
      </c>
      <c r="AF143" s="68"/>
      <c r="AG143" s="68"/>
      <c r="AH143" s="190"/>
      <c r="AI143" s="191"/>
      <c r="AJ143" s="190"/>
      <c r="AK143" s="192"/>
      <c r="AL143" s="190"/>
      <c r="AM143" s="193" t="s">
        <v>202</v>
      </c>
      <c r="AN143" s="194"/>
      <c r="AO143" s="195"/>
      <c r="AP143" s="31"/>
      <c r="AQ143" s="31"/>
      <c r="AR143" s="30"/>
      <c r="AS143" s="31"/>
    </row>
    <row r="144" spans="1:45" ht="30" hidden="1" customHeight="1" x14ac:dyDescent="0.25">
      <c r="A144" s="46">
        <v>2026</v>
      </c>
      <c r="B144" s="66" t="s">
        <v>79</v>
      </c>
      <c r="C144" s="65" t="s">
        <v>465</v>
      </c>
      <c r="D144" s="144" t="s">
        <v>114</v>
      </c>
      <c r="E144" s="141"/>
      <c r="F144" s="65" t="s">
        <v>484</v>
      </c>
      <c r="G144" s="144" t="s">
        <v>121</v>
      </c>
      <c r="H144" s="66" t="s">
        <v>126</v>
      </c>
      <c r="I144" s="74"/>
      <c r="J144" s="144" t="s">
        <v>132</v>
      </c>
      <c r="K144" s="144" t="s">
        <v>3</v>
      </c>
      <c r="L144" s="66" t="s">
        <v>6</v>
      </c>
      <c r="M144" s="65" t="s">
        <v>200</v>
      </c>
      <c r="N144" s="187"/>
      <c r="O144" s="187"/>
      <c r="P144" s="187"/>
      <c r="Q144" s="144" t="s">
        <v>140</v>
      </c>
      <c r="R144" s="89"/>
      <c r="S144" s="89"/>
      <c r="T144" s="65" t="s">
        <v>485</v>
      </c>
      <c r="U144" s="144">
        <v>2026</v>
      </c>
      <c r="V144" s="99">
        <v>46387</v>
      </c>
      <c r="W144" s="89"/>
      <c r="X144" s="99">
        <v>46024</v>
      </c>
      <c r="Y144" s="188">
        <v>96000</v>
      </c>
      <c r="Z144" s="189"/>
      <c r="AA144" s="188">
        <f t="shared" si="19"/>
        <v>96000</v>
      </c>
      <c r="AB144" s="188"/>
      <c r="AC144" s="188">
        <f t="shared" si="17"/>
        <v>96000</v>
      </c>
      <c r="AD144" s="188">
        <f t="shared" si="18"/>
        <v>96000</v>
      </c>
      <c r="AE144" s="68" t="s">
        <v>102</v>
      </c>
      <c r="AF144" s="68"/>
      <c r="AG144" s="68"/>
      <c r="AH144" s="190"/>
      <c r="AI144" s="191"/>
      <c r="AJ144" s="190"/>
      <c r="AK144" s="192"/>
      <c r="AL144" s="190"/>
      <c r="AM144" s="193" t="s">
        <v>202</v>
      </c>
      <c r="AN144" s="194"/>
      <c r="AO144" s="195"/>
      <c r="AP144" s="31"/>
      <c r="AQ144" s="31"/>
      <c r="AR144" s="30"/>
      <c r="AS144" s="31"/>
    </row>
    <row r="145" spans="1:45" ht="30" hidden="1" customHeight="1" x14ac:dyDescent="0.25">
      <c r="A145" s="46">
        <v>2026</v>
      </c>
      <c r="B145" s="66" t="s">
        <v>79</v>
      </c>
      <c r="C145" s="65" t="s">
        <v>465</v>
      </c>
      <c r="D145" s="144" t="s">
        <v>114</v>
      </c>
      <c r="E145" s="141"/>
      <c r="F145" s="65" t="s">
        <v>486</v>
      </c>
      <c r="G145" s="144" t="s">
        <v>121</v>
      </c>
      <c r="H145" s="66" t="s">
        <v>126</v>
      </c>
      <c r="I145" s="74"/>
      <c r="J145" s="144" t="s">
        <v>132</v>
      </c>
      <c r="K145" s="144" t="s">
        <v>3</v>
      </c>
      <c r="L145" s="66" t="s">
        <v>6</v>
      </c>
      <c r="M145" s="65" t="s">
        <v>200</v>
      </c>
      <c r="N145" s="187"/>
      <c r="O145" s="187"/>
      <c r="P145" s="187"/>
      <c r="Q145" s="144" t="s">
        <v>140</v>
      </c>
      <c r="R145" s="89"/>
      <c r="S145" s="89"/>
      <c r="T145" s="65" t="s">
        <v>487</v>
      </c>
      <c r="U145" s="144">
        <v>2026</v>
      </c>
      <c r="V145" s="99">
        <v>46387</v>
      </c>
      <c r="W145" s="89"/>
      <c r="X145" s="99">
        <v>46024</v>
      </c>
      <c r="Y145" s="188">
        <v>96000</v>
      </c>
      <c r="Z145" s="189"/>
      <c r="AA145" s="188">
        <f t="shared" si="19"/>
        <v>96000</v>
      </c>
      <c r="AB145" s="188"/>
      <c r="AC145" s="188">
        <f t="shared" si="17"/>
        <v>96000</v>
      </c>
      <c r="AD145" s="188">
        <f t="shared" si="18"/>
        <v>96000</v>
      </c>
      <c r="AE145" s="68" t="s">
        <v>102</v>
      </c>
      <c r="AF145" s="68"/>
      <c r="AG145" s="68"/>
      <c r="AH145" s="190"/>
      <c r="AI145" s="191"/>
      <c r="AJ145" s="190"/>
      <c r="AK145" s="192"/>
      <c r="AL145" s="190"/>
      <c r="AM145" s="193" t="s">
        <v>202</v>
      </c>
      <c r="AN145" s="194"/>
      <c r="AO145" s="195"/>
      <c r="AP145" s="31"/>
      <c r="AQ145" s="31"/>
      <c r="AR145" s="30"/>
      <c r="AS145" s="31"/>
    </row>
    <row r="146" spans="1:45" ht="30" hidden="1" customHeight="1" x14ac:dyDescent="0.25">
      <c r="A146" s="46">
        <v>2026</v>
      </c>
      <c r="B146" s="66" t="s">
        <v>79</v>
      </c>
      <c r="C146" s="65" t="s">
        <v>465</v>
      </c>
      <c r="D146" s="144" t="s">
        <v>114</v>
      </c>
      <c r="E146" s="141"/>
      <c r="F146" s="65" t="s">
        <v>488</v>
      </c>
      <c r="G146" s="144" t="s">
        <v>121</v>
      </c>
      <c r="H146" s="66" t="s">
        <v>126</v>
      </c>
      <c r="I146" s="74"/>
      <c r="J146" s="144" t="s">
        <v>132</v>
      </c>
      <c r="K146" s="144" t="s">
        <v>3</v>
      </c>
      <c r="L146" s="66" t="s">
        <v>6</v>
      </c>
      <c r="M146" s="65" t="s">
        <v>200</v>
      </c>
      <c r="N146" s="187"/>
      <c r="O146" s="187"/>
      <c r="P146" s="187"/>
      <c r="Q146" s="144" t="s">
        <v>140</v>
      </c>
      <c r="R146" s="89"/>
      <c r="S146" s="89"/>
      <c r="T146" s="65" t="s">
        <v>489</v>
      </c>
      <c r="U146" s="144">
        <v>2026</v>
      </c>
      <c r="V146" s="99">
        <v>46387</v>
      </c>
      <c r="W146" s="89"/>
      <c r="X146" s="99">
        <v>46024</v>
      </c>
      <c r="Y146" s="188">
        <v>60000</v>
      </c>
      <c r="Z146" s="189"/>
      <c r="AA146" s="188">
        <f t="shared" si="19"/>
        <v>60000</v>
      </c>
      <c r="AB146" s="188"/>
      <c r="AC146" s="188">
        <f t="shared" si="17"/>
        <v>60000</v>
      </c>
      <c r="AD146" s="188">
        <f t="shared" si="18"/>
        <v>60000</v>
      </c>
      <c r="AE146" s="68" t="s">
        <v>102</v>
      </c>
      <c r="AF146" s="68"/>
      <c r="AG146" s="68"/>
      <c r="AH146" s="190"/>
      <c r="AI146" s="191"/>
      <c r="AJ146" s="190"/>
      <c r="AK146" s="192"/>
      <c r="AL146" s="190"/>
      <c r="AM146" s="193" t="s">
        <v>202</v>
      </c>
      <c r="AN146" s="194"/>
      <c r="AO146" s="195"/>
      <c r="AP146" s="31"/>
      <c r="AQ146" s="31"/>
      <c r="AR146" s="30"/>
      <c r="AS146" s="31"/>
    </row>
    <row r="147" spans="1:45" ht="30" hidden="1" customHeight="1" x14ac:dyDescent="0.25">
      <c r="A147" s="46">
        <v>2026</v>
      </c>
      <c r="B147" s="66" t="s">
        <v>79</v>
      </c>
      <c r="C147" s="65" t="s">
        <v>465</v>
      </c>
      <c r="D147" s="144" t="s">
        <v>114</v>
      </c>
      <c r="E147" s="141"/>
      <c r="F147" s="65" t="s">
        <v>490</v>
      </c>
      <c r="G147" s="144" t="s">
        <v>121</v>
      </c>
      <c r="H147" s="66" t="s">
        <v>126</v>
      </c>
      <c r="I147" s="74"/>
      <c r="J147" s="144" t="s">
        <v>132</v>
      </c>
      <c r="K147" s="144" t="s">
        <v>3</v>
      </c>
      <c r="L147" s="66" t="s">
        <v>6</v>
      </c>
      <c r="M147" s="65" t="s">
        <v>200</v>
      </c>
      <c r="N147" s="187"/>
      <c r="O147" s="187"/>
      <c r="P147" s="187"/>
      <c r="Q147" s="144" t="s">
        <v>140</v>
      </c>
      <c r="R147" s="89"/>
      <c r="S147" s="89"/>
      <c r="T147" s="65" t="s">
        <v>491</v>
      </c>
      <c r="U147" s="144">
        <v>2026</v>
      </c>
      <c r="V147" s="99">
        <v>46387</v>
      </c>
      <c r="W147" s="89"/>
      <c r="X147" s="99">
        <v>46024</v>
      </c>
      <c r="Y147" s="188">
        <v>96000</v>
      </c>
      <c r="Z147" s="189"/>
      <c r="AA147" s="188">
        <f t="shared" si="19"/>
        <v>96000</v>
      </c>
      <c r="AB147" s="188"/>
      <c r="AC147" s="188">
        <f t="shared" si="17"/>
        <v>96000</v>
      </c>
      <c r="AD147" s="188">
        <f t="shared" si="18"/>
        <v>96000</v>
      </c>
      <c r="AE147" s="68" t="s">
        <v>102</v>
      </c>
      <c r="AF147" s="68"/>
      <c r="AG147" s="68"/>
      <c r="AH147" s="190"/>
      <c r="AI147" s="191"/>
      <c r="AJ147" s="190"/>
      <c r="AK147" s="192"/>
      <c r="AL147" s="190"/>
      <c r="AM147" s="193" t="s">
        <v>202</v>
      </c>
      <c r="AN147" s="194"/>
      <c r="AO147" s="195"/>
      <c r="AP147" s="31"/>
      <c r="AQ147" s="31"/>
      <c r="AR147" s="30"/>
      <c r="AS147" s="31"/>
    </row>
    <row r="148" spans="1:45" ht="30" hidden="1" customHeight="1" x14ac:dyDescent="0.25">
      <c r="A148" s="46">
        <v>2026</v>
      </c>
      <c r="B148" s="66" t="s">
        <v>79</v>
      </c>
      <c r="C148" s="65" t="s">
        <v>465</v>
      </c>
      <c r="D148" s="144" t="s">
        <v>114</v>
      </c>
      <c r="E148" s="141"/>
      <c r="F148" s="65" t="s">
        <v>492</v>
      </c>
      <c r="G148" s="144" t="s">
        <v>121</v>
      </c>
      <c r="H148" s="66" t="s">
        <v>126</v>
      </c>
      <c r="I148" s="74"/>
      <c r="J148" s="144" t="s">
        <v>132</v>
      </c>
      <c r="K148" s="144" t="s">
        <v>3</v>
      </c>
      <c r="L148" s="66" t="s">
        <v>6</v>
      </c>
      <c r="M148" s="65" t="s">
        <v>200</v>
      </c>
      <c r="N148" s="187"/>
      <c r="O148" s="187"/>
      <c r="P148" s="187"/>
      <c r="Q148" s="144" t="s">
        <v>140</v>
      </c>
      <c r="R148" s="89"/>
      <c r="S148" s="89"/>
      <c r="T148" s="65" t="s">
        <v>493</v>
      </c>
      <c r="U148" s="144">
        <v>2026</v>
      </c>
      <c r="V148" s="99">
        <v>46387</v>
      </c>
      <c r="W148" s="89"/>
      <c r="X148" s="99">
        <v>46024</v>
      </c>
      <c r="Y148" s="188">
        <v>84000</v>
      </c>
      <c r="Z148" s="189"/>
      <c r="AA148" s="188">
        <f t="shared" si="19"/>
        <v>84000</v>
      </c>
      <c r="AB148" s="188"/>
      <c r="AC148" s="188">
        <f t="shared" si="17"/>
        <v>84000</v>
      </c>
      <c r="AD148" s="188">
        <f t="shared" si="18"/>
        <v>84000</v>
      </c>
      <c r="AE148" s="68" t="s">
        <v>102</v>
      </c>
      <c r="AF148" s="68"/>
      <c r="AG148" s="68"/>
      <c r="AH148" s="190"/>
      <c r="AI148" s="191"/>
      <c r="AJ148" s="190"/>
      <c r="AK148" s="192"/>
      <c r="AL148" s="190"/>
      <c r="AM148" s="193" t="s">
        <v>202</v>
      </c>
      <c r="AN148" s="194"/>
      <c r="AO148" s="195"/>
      <c r="AP148" s="31"/>
      <c r="AQ148" s="31"/>
      <c r="AR148" s="30"/>
      <c r="AS148" s="31"/>
    </row>
    <row r="149" spans="1:45" ht="30" hidden="1" customHeight="1" x14ac:dyDescent="0.25">
      <c r="A149" s="46">
        <v>2026</v>
      </c>
      <c r="B149" s="66" t="s">
        <v>79</v>
      </c>
      <c r="C149" s="65" t="s">
        <v>465</v>
      </c>
      <c r="D149" s="144" t="s">
        <v>114</v>
      </c>
      <c r="E149" s="141"/>
      <c r="F149" s="65" t="s">
        <v>494</v>
      </c>
      <c r="G149" s="144" t="s">
        <v>121</v>
      </c>
      <c r="H149" s="66" t="s">
        <v>126</v>
      </c>
      <c r="I149" s="74"/>
      <c r="J149" s="144" t="s">
        <v>132</v>
      </c>
      <c r="K149" s="144" t="s">
        <v>3</v>
      </c>
      <c r="L149" s="66" t="s">
        <v>6</v>
      </c>
      <c r="M149" s="65" t="s">
        <v>200</v>
      </c>
      <c r="N149" s="187"/>
      <c r="O149" s="187"/>
      <c r="P149" s="187"/>
      <c r="Q149" s="144" t="s">
        <v>140</v>
      </c>
      <c r="R149" s="89"/>
      <c r="S149" s="89"/>
      <c r="T149" s="65" t="s">
        <v>495</v>
      </c>
      <c r="U149" s="144">
        <v>2026</v>
      </c>
      <c r="V149" s="99">
        <v>46387</v>
      </c>
      <c r="W149" s="89"/>
      <c r="X149" s="99">
        <v>46024</v>
      </c>
      <c r="Y149" s="188">
        <v>78000</v>
      </c>
      <c r="Z149" s="189"/>
      <c r="AA149" s="188">
        <f t="shared" si="19"/>
        <v>78000</v>
      </c>
      <c r="AB149" s="188"/>
      <c r="AC149" s="188">
        <f t="shared" si="17"/>
        <v>78000</v>
      </c>
      <c r="AD149" s="188">
        <f t="shared" si="18"/>
        <v>78000</v>
      </c>
      <c r="AE149" s="68" t="s">
        <v>102</v>
      </c>
      <c r="AF149" s="68"/>
      <c r="AG149" s="68"/>
      <c r="AH149" s="190"/>
      <c r="AI149" s="191"/>
      <c r="AJ149" s="190"/>
      <c r="AK149" s="192"/>
      <c r="AL149" s="190"/>
      <c r="AM149" s="193" t="s">
        <v>202</v>
      </c>
      <c r="AN149" s="194"/>
      <c r="AO149" s="195"/>
      <c r="AP149" s="31"/>
      <c r="AQ149" s="31"/>
      <c r="AR149" s="30"/>
      <c r="AS149" s="31"/>
    </row>
    <row r="150" spans="1:45" ht="30" hidden="1" customHeight="1" x14ac:dyDescent="0.25">
      <c r="A150" s="46">
        <v>2026</v>
      </c>
      <c r="B150" s="66" t="s">
        <v>79</v>
      </c>
      <c r="C150" s="65" t="s">
        <v>465</v>
      </c>
      <c r="D150" s="144" t="s">
        <v>114</v>
      </c>
      <c r="E150" s="141"/>
      <c r="F150" s="65" t="s">
        <v>496</v>
      </c>
      <c r="G150" s="144" t="s">
        <v>121</v>
      </c>
      <c r="H150" s="66" t="s">
        <v>126</v>
      </c>
      <c r="I150" s="74"/>
      <c r="J150" s="144" t="s">
        <v>132</v>
      </c>
      <c r="K150" s="144" t="s">
        <v>3</v>
      </c>
      <c r="L150" s="66" t="s">
        <v>6</v>
      </c>
      <c r="M150" s="65" t="s">
        <v>200</v>
      </c>
      <c r="N150" s="187"/>
      <c r="O150" s="187"/>
      <c r="P150" s="187"/>
      <c r="Q150" s="144" t="s">
        <v>140</v>
      </c>
      <c r="R150" s="89"/>
      <c r="S150" s="89"/>
      <c r="T150" s="65" t="s">
        <v>497</v>
      </c>
      <c r="U150" s="144">
        <v>2026</v>
      </c>
      <c r="V150" s="99">
        <v>46387</v>
      </c>
      <c r="W150" s="89"/>
      <c r="X150" s="99">
        <v>46024</v>
      </c>
      <c r="Y150" s="188">
        <v>78000</v>
      </c>
      <c r="Z150" s="189"/>
      <c r="AA150" s="188">
        <f t="shared" si="19"/>
        <v>78000</v>
      </c>
      <c r="AB150" s="188"/>
      <c r="AC150" s="188">
        <f t="shared" si="17"/>
        <v>78000</v>
      </c>
      <c r="AD150" s="188">
        <f t="shared" si="18"/>
        <v>78000</v>
      </c>
      <c r="AE150" s="68" t="s">
        <v>102</v>
      </c>
      <c r="AF150" s="68"/>
      <c r="AG150" s="68"/>
      <c r="AH150" s="190"/>
      <c r="AI150" s="191"/>
      <c r="AJ150" s="190"/>
      <c r="AK150" s="192"/>
      <c r="AL150" s="190"/>
      <c r="AM150" s="193" t="s">
        <v>202</v>
      </c>
      <c r="AN150" s="194"/>
      <c r="AO150" s="195"/>
      <c r="AP150" s="31"/>
      <c r="AQ150" s="31"/>
      <c r="AR150" s="30"/>
      <c r="AS150" s="31"/>
    </row>
    <row r="151" spans="1:45" ht="30" hidden="1" customHeight="1" x14ac:dyDescent="0.25">
      <c r="A151" s="46">
        <v>2026</v>
      </c>
      <c r="B151" s="66" t="s">
        <v>79</v>
      </c>
      <c r="C151" s="65" t="s">
        <v>465</v>
      </c>
      <c r="D151" s="144" t="s">
        <v>114</v>
      </c>
      <c r="E151" s="141"/>
      <c r="F151" s="65" t="s">
        <v>498</v>
      </c>
      <c r="G151" s="144" t="s">
        <v>121</v>
      </c>
      <c r="H151" s="66" t="s">
        <v>126</v>
      </c>
      <c r="I151" s="74"/>
      <c r="J151" s="144" t="s">
        <v>132</v>
      </c>
      <c r="K151" s="144" t="s">
        <v>3</v>
      </c>
      <c r="L151" s="66" t="s">
        <v>6</v>
      </c>
      <c r="M151" s="65" t="s">
        <v>200</v>
      </c>
      <c r="N151" s="187"/>
      <c r="O151" s="187"/>
      <c r="P151" s="187"/>
      <c r="Q151" s="144" t="s">
        <v>140</v>
      </c>
      <c r="R151" s="89"/>
      <c r="S151" s="89"/>
      <c r="T151" s="65" t="s">
        <v>499</v>
      </c>
      <c r="U151" s="144">
        <v>2026</v>
      </c>
      <c r="V151" s="99">
        <v>46387</v>
      </c>
      <c r="W151" s="89"/>
      <c r="X151" s="99">
        <v>46024</v>
      </c>
      <c r="Y151" s="188">
        <v>96000</v>
      </c>
      <c r="Z151" s="189"/>
      <c r="AA151" s="188">
        <f t="shared" si="19"/>
        <v>96000</v>
      </c>
      <c r="AB151" s="188"/>
      <c r="AC151" s="188">
        <f t="shared" si="17"/>
        <v>96000</v>
      </c>
      <c r="AD151" s="188">
        <f t="shared" si="18"/>
        <v>96000</v>
      </c>
      <c r="AE151" s="68" t="s">
        <v>102</v>
      </c>
      <c r="AF151" s="68"/>
      <c r="AG151" s="68"/>
      <c r="AH151" s="190"/>
      <c r="AI151" s="191"/>
      <c r="AJ151" s="190"/>
      <c r="AK151" s="192"/>
      <c r="AL151" s="190"/>
      <c r="AM151" s="193" t="s">
        <v>202</v>
      </c>
      <c r="AN151" s="194"/>
      <c r="AO151" s="195"/>
      <c r="AP151" s="31"/>
      <c r="AQ151" s="31"/>
      <c r="AR151" s="30"/>
      <c r="AS151" s="31"/>
    </row>
    <row r="152" spans="1:45" ht="30" hidden="1" customHeight="1" x14ac:dyDescent="0.25">
      <c r="A152" s="46">
        <v>2026</v>
      </c>
      <c r="B152" s="66" t="s">
        <v>79</v>
      </c>
      <c r="C152" s="65" t="s">
        <v>465</v>
      </c>
      <c r="D152" s="144" t="s">
        <v>114</v>
      </c>
      <c r="E152" s="141"/>
      <c r="F152" s="65" t="s">
        <v>500</v>
      </c>
      <c r="G152" s="144" t="s">
        <v>121</v>
      </c>
      <c r="H152" s="66" t="s">
        <v>126</v>
      </c>
      <c r="I152" s="74"/>
      <c r="J152" s="144" t="s">
        <v>132</v>
      </c>
      <c r="K152" s="144" t="s">
        <v>3</v>
      </c>
      <c r="L152" s="66" t="s">
        <v>6</v>
      </c>
      <c r="M152" s="65" t="s">
        <v>200</v>
      </c>
      <c r="N152" s="187"/>
      <c r="O152" s="187"/>
      <c r="P152" s="187"/>
      <c r="Q152" s="144" t="s">
        <v>140</v>
      </c>
      <c r="R152" s="89"/>
      <c r="S152" s="89"/>
      <c r="T152" s="65" t="s">
        <v>501</v>
      </c>
      <c r="U152" s="144">
        <v>2026</v>
      </c>
      <c r="V152" s="99">
        <v>46387</v>
      </c>
      <c r="W152" s="89"/>
      <c r="X152" s="99">
        <v>46024</v>
      </c>
      <c r="Y152" s="188">
        <v>96000</v>
      </c>
      <c r="Z152" s="189"/>
      <c r="AA152" s="188">
        <f t="shared" si="19"/>
        <v>96000</v>
      </c>
      <c r="AB152" s="188"/>
      <c r="AC152" s="188">
        <f t="shared" si="17"/>
        <v>96000</v>
      </c>
      <c r="AD152" s="188">
        <f t="shared" si="18"/>
        <v>96000</v>
      </c>
      <c r="AE152" s="68" t="s">
        <v>102</v>
      </c>
      <c r="AF152" s="68"/>
      <c r="AG152" s="68"/>
      <c r="AH152" s="190"/>
      <c r="AI152" s="191"/>
      <c r="AJ152" s="190"/>
      <c r="AK152" s="192"/>
      <c r="AL152" s="190"/>
      <c r="AM152" s="193" t="s">
        <v>202</v>
      </c>
      <c r="AN152" s="194"/>
      <c r="AO152" s="195"/>
      <c r="AP152" s="31"/>
      <c r="AQ152" s="31"/>
      <c r="AR152" s="30"/>
      <c r="AS152" s="31"/>
    </row>
    <row r="153" spans="1:45" ht="30" hidden="1" customHeight="1" x14ac:dyDescent="0.25">
      <c r="A153" s="46">
        <v>2026</v>
      </c>
      <c r="B153" s="66" t="s">
        <v>79</v>
      </c>
      <c r="C153" s="65" t="s">
        <v>465</v>
      </c>
      <c r="D153" s="144" t="s">
        <v>114</v>
      </c>
      <c r="E153" s="141"/>
      <c r="F153" s="65" t="s">
        <v>502</v>
      </c>
      <c r="G153" s="144" t="s">
        <v>121</v>
      </c>
      <c r="H153" s="66" t="s">
        <v>126</v>
      </c>
      <c r="I153" s="74"/>
      <c r="J153" s="144" t="s">
        <v>132</v>
      </c>
      <c r="K153" s="144" t="s">
        <v>3</v>
      </c>
      <c r="L153" s="66" t="s">
        <v>6</v>
      </c>
      <c r="M153" s="65" t="s">
        <v>200</v>
      </c>
      <c r="N153" s="187"/>
      <c r="O153" s="187"/>
      <c r="P153" s="187"/>
      <c r="Q153" s="144" t="s">
        <v>140</v>
      </c>
      <c r="R153" s="89"/>
      <c r="S153" s="89"/>
      <c r="T153" s="65" t="s">
        <v>503</v>
      </c>
      <c r="U153" s="144">
        <v>2026</v>
      </c>
      <c r="V153" s="99">
        <v>46387</v>
      </c>
      <c r="W153" s="89"/>
      <c r="X153" s="99">
        <v>46024</v>
      </c>
      <c r="Y153" s="188">
        <v>96000</v>
      </c>
      <c r="Z153" s="189"/>
      <c r="AA153" s="188">
        <f t="shared" si="19"/>
        <v>96000</v>
      </c>
      <c r="AB153" s="188"/>
      <c r="AC153" s="188">
        <f t="shared" ref="AC153:AC184" si="20">Y153</f>
        <v>96000</v>
      </c>
      <c r="AD153" s="188">
        <f t="shared" ref="AD153:AD184" si="21">AA153</f>
        <v>96000</v>
      </c>
      <c r="AE153" s="68" t="s">
        <v>102</v>
      </c>
      <c r="AF153" s="68"/>
      <c r="AG153" s="68"/>
      <c r="AH153" s="190"/>
      <c r="AI153" s="191"/>
      <c r="AJ153" s="190"/>
      <c r="AK153" s="192"/>
      <c r="AL153" s="190"/>
      <c r="AM153" s="193" t="s">
        <v>202</v>
      </c>
      <c r="AN153" s="194"/>
      <c r="AO153" s="195"/>
      <c r="AP153" s="31"/>
      <c r="AQ153" s="31"/>
      <c r="AR153" s="30"/>
      <c r="AS153" s="31"/>
    </row>
    <row r="154" spans="1:45" ht="30" hidden="1" customHeight="1" x14ac:dyDescent="0.25">
      <c r="A154" s="46">
        <v>2026</v>
      </c>
      <c r="B154" s="66" t="s">
        <v>79</v>
      </c>
      <c r="C154" s="65" t="s">
        <v>465</v>
      </c>
      <c r="D154" s="144" t="s">
        <v>114</v>
      </c>
      <c r="E154" s="141"/>
      <c r="F154" s="65" t="s">
        <v>504</v>
      </c>
      <c r="G154" s="144" t="s">
        <v>121</v>
      </c>
      <c r="H154" s="66" t="s">
        <v>126</v>
      </c>
      <c r="I154" s="74"/>
      <c r="J154" s="144" t="s">
        <v>132</v>
      </c>
      <c r="K154" s="144" t="s">
        <v>3</v>
      </c>
      <c r="L154" s="66" t="s">
        <v>6</v>
      </c>
      <c r="M154" s="65" t="s">
        <v>200</v>
      </c>
      <c r="N154" s="187"/>
      <c r="O154" s="187"/>
      <c r="P154" s="187"/>
      <c r="Q154" s="144" t="s">
        <v>140</v>
      </c>
      <c r="R154" s="89"/>
      <c r="S154" s="89"/>
      <c r="T154" s="65" t="s">
        <v>505</v>
      </c>
      <c r="U154" s="144">
        <v>2026</v>
      </c>
      <c r="V154" s="99">
        <v>46387</v>
      </c>
      <c r="W154" s="89"/>
      <c r="X154" s="99">
        <v>46024</v>
      </c>
      <c r="Y154" s="188">
        <v>48000</v>
      </c>
      <c r="Z154" s="189"/>
      <c r="AA154" s="188">
        <f t="shared" si="19"/>
        <v>48000</v>
      </c>
      <c r="AB154" s="188"/>
      <c r="AC154" s="188">
        <f t="shared" si="20"/>
        <v>48000</v>
      </c>
      <c r="AD154" s="188">
        <f t="shared" si="21"/>
        <v>48000</v>
      </c>
      <c r="AE154" s="68" t="s">
        <v>102</v>
      </c>
      <c r="AF154" s="68"/>
      <c r="AG154" s="68"/>
      <c r="AH154" s="190"/>
      <c r="AI154" s="191"/>
      <c r="AJ154" s="190"/>
      <c r="AK154" s="192"/>
      <c r="AL154" s="190"/>
      <c r="AM154" s="193" t="s">
        <v>202</v>
      </c>
      <c r="AN154" s="194"/>
      <c r="AO154" s="195"/>
      <c r="AP154" s="31"/>
      <c r="AQ154" s="31"/>
      <c r="AR154" s="30"/>
      <c r="AS154" s="31"/>
    </row>
    <row r="155" spans="1:45" ht="30" hidden="1" customHeight="1" x14ac:dyDescent="0.25">
      <c r="A155" s="46">
        <v>2026</v>
      </c>
      <c r="B155" s="66" t="s">
        <v>79</v>
      </c>
      <c r="C155" s="65" t="s">
        <v>465</v>
      </c>
      <c r="D155" s="144" t="s">
        <v>114</v>
      </c>
      <c r="E155" s="141"/>
      <c r="F155" s="65" t="s">
        <v>506</v>
      </c>
      <c r="G155" s="144" t="s">
        <v>121</v>
      </c>
      <c r="H155" s="66" t="s">
        <v>126</v>
      </c>
      <c r="I155" s="74"/>
      <c r="J155" s="144" t="s">
        <v>132</v>
      </c>
      <c r="K155" s="144" t="s">
        <v>3</v>
      </c>
      <c r="L155" s="66" t="s">
        <v>6</v>
      </c>
      <c r="M155" s="65" t="s">
        <v>200</v>
      </c>
      <c r="N155" s="187"/>
      <c r="O155" s="187"/>
      <c r="P155" s="187"/>
      <c r="Q155" s="144" t="s">
        <v>140</v>
      </c>
      <c r="R155" s="89"/>
      <c r="S155" s="89"/>
      <c r="T155" s="65" t="s">
        <v>507</v>
      </c>
      <c r="U155" s="144">
        <v>2026</v>
      </c>
      <c r="V155" s="99">
        <v>46387</v>
      </c>
      <c r="W155" s="89"/>
      <c r="X155" s="99">
        <v>46024</v>
      </c>
      <c r="Y155" s="188">
        <v>72000</v>
      </c>
      <c r="Z155" s="189"/>
      <c r="AA155" s="188">
        <f t="shared" si="19"/>
        <v>72000</v>
      </c>
      <c r="AB155" s="188"/>
      <c r="AC155" s="188">
        <f t="shared" si="20"/>
        <v>72000</v>
      </c>
      <c r="AD155" s="188">
        <f t="shared" si="21"/>
        <v>72000</v>
      </c>
      <c r="AE155" s="68" t="s">
        <v>102</v>
      </c>
      <c r="AF155" s="68"/>
      <c r="AG155" s="68"/>
      <c r="AH155" s="190"/>
      <c r="AI155" s="191"/>
      <c r="AJ155" s="190"/>
      <c r="AK155" s="192"/>
      <c r="AL155" s="190"/>
      <c r="AM155" s="193" t="s">
        <v>202</v>
      </c>
      <c r="AN155" s="194"/>
      <c r="AO155" s="195"/>
      <c r="AP155" s="31"/>
      <c r="AQ155" s="31"/>
      <c r="AR155" s="30"/>
      <c r="AS155" s="31"/>
    </row>
    <row r="156" spans="1:45" ht="30" hidden="1" customHeight="1" x14ac:dyDescent="0.25">
      <c r="A156" s="46">
        <v>2026</v>
      </c>
      <c r="B156" s="66" t="s">
        <v>79</v>
      </c>
      <c r="C156" s="65" t="s">
        <v>465</v>
      </c>
      <c r="D156" s="144" t="s">
        <v>114</v>
      </c>
      <c r="E156" s="141"/>
      <c r="F156" s="65" t="s">
        <v>508</v>
      </c>
      <c r="G156" s="144" t="s">
        <v>121</v>
      </c>
      <c r="H156" s="66" t="s">
        <v>126</v>
      </c>
      <c r="I156" s="74"/>
      <c r="J156" s="144" t="s">
        <v>132</v>
      </c>
      <c r="K156" s="144" t="s">
        <v>3</v>
      </c>
      <c r="L156" s="66" t="s">
        <v>6</v>
      </c>
      <c r="M156" s="65" t="s">
        <v>200</v>
      </c>
      <c r="N156" s="187"/>
      <c r="O156" s="187"/>
      <c r="P156" s="187"/>
      <c r="Q156" s="144" t="s">
        <v>140</v>
      </c>
      <c r="R156" s="89"/>
      <c r="S156" s="89"/>
      <c r="T156" s="65" t="s">
        <v>509</v>
      </c>
      <c r="U156" s="144">
        <v>2026</v>
      </c>
      <c r="V156" s="99">
        <v>46387</v>
      </c>
      <c r="W156" s="89"/>
      <c r="X156" s="99">
        <v>46024</v>
      </c>
      <c r="Y156" s="188">
        <v>72000</v>
      </c>
      <c r="Z156" s="189"/>
      <c r="AA156" s="188">
        <f t="shared" si="19"/>
        <v>72000</v>
      </c>
      <c r="AB156" s="188"/>
      <c r="AC156" s="188">
        <f t="shared" si="20"/>
        <v>72000</v>
      </c>
      <c r="AD156" s="188">
        <f t="shared" si="21"/>
        <v>72000</v>
      </c>
      <c r="AE156" s="68" t="s">
        <v>102</v>
      </c>
      <c r="AF156" s="68"/>
      <c r="AG156" s="68"/>
      <c r="AH156" s="190"/>
      <c r="AI156" s="191"/>
      <c r="AJ156" s="190"/>
      <c r="AK156" s="192"/>
      <c r="AL156" s="190"/>
      <c r="AM156" s="193" t="s">
        <v>202</v>
      </c>
      <c r="AN156" s="194"/>
      <c r="AO156" s="195"/>
      <c r="AP156" s="31"/>
      <c r="AQ156" s="31"/>
      <c r="AR156" s="30"/>
      <c r="AS156" s="31"/>
    </row>
    <row r="157" spans="1:45" ht="30" hidden="1" customHeight="1" x14ac:dyDescent="0.25">
      <c r="A157" s="46">
        <v>2026</v>
      </c>
      <c r="B157" s="66" t="s">
        <v>79</v>
      </c>
      <c r="C157" s="65" t="s">
        <v>465</v>
      </c>
      <c r="D157" s="144" t="s">
        <v>114</v>
      </c>
      <c r="E157" s="141"/>
      <c r="F157" s="65" t="s">
        <v>510</v>
      </c>
      <c r="G157" s="144" t="s">
        <v>121</v>
      </c>
      <c r="H157" s="66" t="s">
        <v>126</v>
      </c>
      <c r="I157" s="74"/>
      <c r="J157" s="144" t="s">
        <v>132</v>
      </c>
      <c r="K157" s="144" t="s">
        <v>3</v>
      </c>
      <c r="L157" s="66" t="s">
        <v>6</v>
      </c>
      <c r="M157" s="65" t="s">
        <v>200</v>
      </c>
      <c r="N157" s="187"/>
      <c r="O157" s="187"/>
      <c r="P157" s="187"/>
      <c r="Q157" s="144" t="s">
        <v>140</v>
      </c>
      <c r="R157" s="89"/>
      <c r="S157" s="89"/>
      <c r="T157" s="65" t="s">
        <v>511</v>
      </c>
      <c r="U157" s="144">
        <v>2026</v>
      </c>
      <c r="V157" s="99">
        <v>46387</v>
      </c>
      <c r="W157" s="89"/>
      <c r="X157" s="99">
        <v>46024</v>
      </c>
      <c r="Y157" s="188">
        <v>96000</v>
      </c>
      <c r="Z157" s="189"/>
      <c r="AA157" s="188">
        <f t="shared" si="19"/>
        <v>96000</v>
      </c>
      <c r="AB157" s="188"/>
      <c r="AC157" s="188">
        <f t="shared" si="20"/>
        <v>96000</v>
      </c>
      <c r="AD157" s="188">
        <f t="shared" si="21"/>
        <v>96000</v>
      </c>
      <c r="AE157" s="68" t="s">
        <v>102</v>
      </c>
      <c r="AF157" s="68"/>
      <c r="AG157" s="68"/>
      <c r="AH157" s="190"/>
      <c r="AI157" s="191"/>
      <c r="AJ157" s="190"/>
      <c r="AK157" s="192"/>
      <c r="AL157" s="190"/>
      <c r="AM157" s="193" t="s">
        <v>202</v>
      </c>
      <c r="AN157" s="194"/>
      <c r="AO157" s="195"/>
      <c r="AP157" s="31"/>
      <c r="AQ157" s="31"/>
      <c r="AR157" s="30"/>
      <c r="AS157" s="31"/>
    </row>
    <row r="158" spans="1:45" ht="30" hidden="1" customHeight="1" x14ac:dyDescent="0.25">
      <c r="A158" s="46">
        <v>2026</v>
      </c>
      <c r="B158" s="66" t="s">
        <v>79</v>
      </c>
      <c r="C158" s="65" t="s">
        <v>465</v>
      </c>
      <c r="D158" s="144" t="s">
        <v>114</v>
      </c>
      <c r="E158" s="141"/>
      <c r="F158" s="65" t="s">
        <v>512</v>
      </c>
      <c r="G158" s="144" t="s">
        <v>121</v>
      </c>
      <c r="H158" s="66" t="s">
        <v>126</v>
      </c>
      <c r="I158" s="74"/>
      <c r="J158" s="144" t="s">
        <v>132</v>
      </c>
      <c r="K158" s="144" t="s">
        <v>3</v>
      </c>
      <c r="L158" s="66" t="s">
        <v>6</v>
      </c>
      <c r="M158" s="65" t="s">
        <v>200</v>
      </c>
      <c r="N158" s="187"/>
      <c r="O158" s="187"/>
      <c r="P158" s="187"/>
      <c r="Q158" s="144" t="s">
        <v>140</v>
      </c>
      <c r="R158" s="89"/>
      <c r="S158" s="89"/>
      <c r="T158" s="65" t="s">
        <v>513</v>
      </c>
      <c r="U158" s="144">
        <v>2026</v>
      </c>
      <c r="V158" s="99">
        <v>46387</v>
      </c>
      <c r="W158" s="89"/>
      <c r="X158" s="99">
        <v>46024</v>
      </c>
      <c r="Y158" s="188">
        <v>180000</v>
      </c>
      <c r="Z158" s="189"/>
      <c r="AA158" s="188">
        <f t="shared" si="19"/>
        <v>180000</v>
      </c>
      <c r="AB158" s="188"/>
      <c r="AC158" s="188">
        <f t="shared" si="20"/>
        <v>180000</v>
      </c>
      <c r="AD158" s="188">
        <f t="shared" si="21"/>
        <v>180000</v>
      </c>
      <c r="AE158" s="68" t="s">
        <v>102</v>
      </c>
      <c r="AF158" s="68"/>
      <c r="AG158" s="68"/>
      <c r="AH158" s="190"/>
      <c r="AI158" s="191"/>
      <c r="AJ158" s="190"/>
      <c r="AK158" s="192"/>
      <c r="AL158" s="190"/>
      <c r="AM158" s="193" t="s">
        <v>202</v>
      </c>
      <c r="AN158" s="194"/>
      <c r="AO158" s="195"/>
      <c r="AP158" s="31"/>
      <c r="AQ158" s="31"/>
      <c r="AR158" s="30"/>
      <c r="AS158" s="31"/>
    </row>
    <row r="159" spans="1:45" ht="30" hidden="1" customHeight="1" x14ac:dyDescent="0.25">
      <c r="A159" s="46">
        <v>2026</v>
      </c>
      <c r="B159" s="66" t="s">
        <v>79</v>
      </c>
      <c r="C159" s="65" t="s">
        <v>465</v>
      </c>
      <c r="D159" s="144" t="s">
        <v>114</v>
      </c>
      <c r="E159" s="141"/>
      <c r="F159" s="65" t="s">
        <v>514</v>
      </c>
      <c r="G159" s="144" t="s">
        <v>121</v>
      </c>
      <c r="H159" s="66" t="s">
        <v>126</v>
      </c>
      <c r="I159" s="74"/>
      <c r="J159" s="144" t="s">
        <v>132</v>
      </c>
      <c r="K159" s="144" t="s">
        <v>3</v>
      </c>
      <c r="L159" s="66" t="s">
        <v>6</v>
      </c>
      <c r="M159" s="65" t="s">
        <v>200</v>
      </c>
      <c r="N159" s="187"/>
      <c r="O159" s="187"/>
      <c r="P159" s="187"/>
      <c r="Q159" s="144" t="s">
        <v>140</v>
      </c>
      <c r="R159" s="89"/>
      <c r="S159" s="89"/>
      <c r="T159" s="65" t="s">
        <v>515</v>
      </c>
      <c r="U159" s="144">
        <v>2026</v>
      </c>
      <c r="V159" s="99">
        <v>46387</v>
      </c>
      <c r="W159" s="89"/>
      <c r="X159" s="99">
        <v>46024</v>
      </c>
      <c r="Y159" s="188">
        <v>96000</v>
      </c>
      <c r="Z159" s="189"/>
      <c r="AA159" s="188">
        <f t="shared" si="19"/>
        <v>96000</v>
      </c>
      <c r="AB159" s="188"/>
      <c r="AC159" s="188">
        <f t="shared" si="20"/>
        <v>96000</v>
      </c>
      <c r="AD159" s="188">
        <f t="shared" si="21"/>
        <v>96000</v>
      </c>
      <c r="AE159" s="68" t="s">
        <v>102</v>
      </c>
      <c r="AF159" s="68"/>
      <c r="AG159" s="68"/>
      <c r="AH159" s="190"/>
      <c r="AI159" s="191"/>
      <c r="AJ159" s="190"/>
      <c r="AK159" s="192"/>
      <c r="AL159" s="190"/>
      <c r="AM159" s="193" t="s">
        <v>202</v>
      </c>
      <c r="AN159" s="194"/>
      <c r="AO159" s="195"/>
      <c r="AP159" s="31"/>
      <c r="AQ159" s="31"/>
      <c r="AR159" s="30"/>
      <c r="AS159" s="31"/>
    </row>
    <row r="160" spans="1:45" ht="30" hidden="1" customHeight="1" x14ac:dyDescent="0.25">
      <c r="A160" s="46">
        <v>2026</v>
      </c>
      <c r="B160" s="66" t="s">
        <v>79</v>
      </c>
      <c r="C160" s="65" t="s">
        <v>465</v>
      </c>
      <c r="D160" s="144" t="s">
        <v>114</v>
      </c>
      <c r="E160" s="141"/>
      <c r="F160" s="65" t="s">
        <v>516</v>
      </c>
      <c r="G160" s="144" t="s">
        <v>121</v>
      </c>
      <c r="H160" s="66" t="s">
        <v>126</v>
      </c>
      <c r="I160" s="74"/>
      <c r="J160" s="144" t="s">
        <v>132</v>
      </c>
      <c r="K160" s="144" t="s">
        <v>3</v>
      </c>
      <c r="L160" s="66" t="s">
        <v>6</v>
      </c>
      <c r="M160" s="65" t="s">
        <v>200</v>
      </c>
      <c r="N160" s="187"/>
      <c r="O160" s="187"/>
      <c r="P160" s="187"/>
      <c r="Q160" s="144" t="s">
        <v>140</v>
      </c>
      <c r="R160" s="89"/>
      <c r="S160" s="89"/>
      <c r="T160" s="65" t="s">
        <v>517</v>
      </c>
      <c r="U160" s="144">
        <v>2026</v>
      </c>
      <c r="V160" s="99">
        <v>46387</v>
      </c>
      <c r="W160" s="89"/>
      <c r="X160" s="99">
        <v>46024</v>
      </c>
      <c r="Y160" s="188">
        <v>96000</v>
      </c>
      <c r="Z160" s="189"/>
      <c r="AA160" s="188">
        <f t="shared" si="19"/>
        <v>96000</v>
      </c>
      <c r="AB160" s="188"/>
      <c r="AC160" s="188">
        <f t="shared" si="20"/>
        <v>96000</v>
      </c>
      <c r="AD160" s="188">
        <f t="shared" si="21"/>
        <v>96000</v>
      </c>
      <c r="AE160" s="68" t="s">
        <v>102</v>
      </c>
      <c r="AF160" s="68"/>
      <c r="AG160" s="68"/>
      <c r="AH160" s="190"/>
      <c r="AI160" s="191"/>
      <c r="AJ160" s="190"/>
      <c r="AK160" s="192"/>
      <c r="AL160" s="190"/>
      <c r="AM160" s="193" t="s">
        <v>202</v>
      </c>
      <c r="AN160" s="194"/>
      <c r="AO160" s="195"/>
      <c r="AP160" s="31"/>
      <c r="AQ160" s="31"/>
      <c r="AR160" s="30"/>
      <c r="AS160" s="31"/>
    </row>
    <row r="161" spans="1:45" ht="30" hidden="1" customHeight="1" x14ac:dyDescent="0.25">
      <c r="A161" s="46">
        <v>2026</v>
      </c>
      <c r="B161" s="66" t="s">
        <v>79</v>
      </c>
      <c r="C161" s="65" t="s">
        <v>465</v>
      </c>
      <c r="D161" s="144" t="s">
        <v>114</v>
      </c>
      <c r="E161" s="141"/>
      <c r="F161" s="65" t="s">
        <v>518</v>
      </c>
      <c r="G161" s="144" t="s">
        <v>121</v>
      </c>
      <c r="H161" s="66" t="s">
        <v>126</v>
      </c>
      <c r="I161" s="74"/>
      <c r="J161" s="144" t="s">
        <v>132</v>
      </c>
      <c r="K161" s="144" t="s">
        <v>3</v>
      </c>
      <c r="L161" s="66" t="s">
        <v>6</v>
      </c>
      <c r="M161" s="65" t="s">
        <v>200</v>
      </c>
      <c r="N161" s="187"/>
      <c r="O161" s="187"/>
      <c r="P161" s="187"/>
      <c r="Q161" s="144" t="s">
        <v>140</v>
      </c>
      <c r="R161" s="89"/>
      <c r="S161" s="89"/>
      <c r="T161" s="65" t="s">
        <v>519</v>
      </c>
      <c r="U161" s="144">
        <v>2026</v>
      </c>
      <c r="V161" s="99">
        <v>46387</v>
      </c>
      <c r="W161" s="89"/>
      <c r="X161" s="99">
        <v>46024</v>
      </c>
      <c r="Y161" s="188">
        <v>96000</v>
      </c>
      <c r="Z161" s="189"/>
      <c r="AA161" s="188">
        <f t="shared" si="19"/>
        <v>96000</v>
      </c>
      <c r="AB161" s="188"/>
      <c r="AC161" s="188">
        <f t="shared" si="20"/>
        <v>96000</v>
      </c>
      <c r="AD161" s="188">
        <f t="shared" si="21"/>
        <v>96000</v>
      </c>
      <c r="AE161" s="68" t="s">
        <v>102</v>
      </c>
      <c r="AF161" s="68"/>
      <c r="AG161" s="68"/>
      <c r="AH161" s="190"/>
      <c r="AI161" s="191"/>
      <c r="AJ161" s="190"/>
      <c r="AK161" s="192"/>
      <c r="AL161" s="190"/>
      <c r="AM161" s="193" t="s">
        <v>202</v>
      </c>
      <c r="AN161" s="194"/>
      <c r="AO161" s="195"/>
      <c r="AP161" s="31"/>
      <c r="AQ161" s="31"/>
      <c r="AR161" s="30"/>
      <c r="AS161" s="31"/>
    </row>
    <row r="162" spans="1:45" ht="30" hidden="1" customHeight="1" x14ac:dyDescent="0.25">
      <c r="A162" s="46">
        <v>2026</v>
      </c>
      <c r="B162" s="66" t="s">
        <v>79</v>
      </c>
      <c r="C162" s="65" t="s">
        <v>465</v>
      </c>
      <c r="D162" s="144" t="s">
        <v>114</v>
      </c>
      <c r="E162" s="141"/>
      <c r="F162" s="65" t="s">
        <v>520</v>
      </c>
      <c r="G162" s="144" t="s">
        <v>121</v>
      </c>
      <c r="H162" s="66" t="s">
        <v>126</v>
      </c>
      <c r="I162" s="74"/>
      <c r="J162" s="144" t="s">
        <v>132</v>
      </c>
      <c r="K162" s="144" t="s">
        <v>3</v>
      </c>
      <c r="L162" s="66" t="s">
        <v>6</v>
      </c>
      <c r="M162" s="65" t="s">
        <v>200</v>
      </c>
      <c r="N162" s="187"/>
      <c r="O162" s="187"/>
      <c r="P162" s="187"/>
      <c r="Q162" s="144" t="s">
        <v>140</v>
      </c>
      <c r="R162" s="89"/>
      <c r="S162" s="89"/>
      <c r="T162" s="65" t="s">
        <v>521</v>
      </c>
      <c r="U162" s="144">
        <v>2026</v>
      </c>
      <c r="V162" s="99">
        <v>46387</v>
      </c>
      <c r="W162" s="89"/>
      <c r="X162" s="99">
        <v>46024</v>
      </c>
      <c r="Y162" s="188">
        <v>96000</v>
      </c>
      <c r="Z162" s="189"/>
      <c r="AA162" s="188">
        <f t="shared" si="19"/>
        <v>96000</v>
      </c>
      <c r="AB162" s="188"/>
      <c r="AC162" s="188">
        <f t="shared" si="20"/>
        <v>96000</v>
      </c>
      <c r="AD162" s="188">
        <f t="shared" si="21"/>
        <v>96000</v>
      </c>
      <c r="AE162" s="68" t="s">
        <v>102</v>
      </c>
      <c r="AF162" s="68"/>
      <c r="AG162" s="68"/>
      <c r="AH162" s="190"/>
      <c r="AI162" s="191"/>
      <c r="AJ162" s="190"/>
      <c r="AK162" s="192"/>
      <c r="AL162" s="190"/>
      <c r="AM162" s="193" t="s">
        <v>202</v>
      </c>
      <c r="AN162" s="194"/>
      <c r="AO162" s="195"/>
      <c r="AP162" s="31"/>
      <c r="AQ162" s="31"/>
      <c r="AR162" s="30"/>
      <c r="AS162" s="31"/>
    </row>
    <row r="163" spans="1:45" ht="30" hidden="1" customHeight="1" x14ac:dyDescent="0.25">
      <c r="A163" s="46">
        <v>2026</v>
      </c>
      <c r="B163" s="66" t="s">
        <v>79</v>
      </c>
      <c r="C163" s="65" t="s">
        <v>465</v>
      </c>
      <c r="D163" s="144" t="s">
        <v>114</v>
      </c>
      <c r="E163" s="141"/>
      <c r="F163" s="65" t="s">
        <v>522</v>
      </c>
      <c r="G163" s="144" t="s">
        <v>121</v>
      </c>
      <c r="H163" s="66" t="s">
        <v>126</v>
      </c>
      <c r="I163" s="74"/>
      <c r="J163" s="144" t="s">
        <v>132</v>
      </c>
      <c r="K163" s="144" t="s">
        <v>3</v>
      </c>
      <c r="L163" s="66" t="s">
        <v>6</v>
      </c>
      <c r="M163" s="65" t="s">
        <v>200</v>
      </c>
      <c r="N163" s="187"/>
      <c r="O163" s="187"/>
      <c r="P163" s="187"/>
      <c r="Q163" s="144" t="s">
        <v>140</v>
      </c>
      <c r="R163" s="89"/>
      <c r="S163" s="89"/>
      <c r="T163" s="65" t="s">
        <v>523</v>
      </c>
      <c r="U163" s="144">
        <v>2026</v>
      </c>
      <c r="V163" s="99">
        <v>46387</v>
      </c>
      <c r="W163" s="89"/>
      <c r="X163" s="99">
        <v>46024</v>
      </c>
      <c r="Y163" s="188">
        <v>96000</v>
      </c>
      <c r="Z163" s="189"/>
      <c r="AA163" s="188">
        <f t="shared" si="19"/>
        <v>96000</v>
      </c>
      <c r="AB163" s="188"/>
      <c r="AC163" s="188">
        <f t="shared" si="20"/>
        <v>96000</v>
      </c>
      <c r="AD163" s="188">
        <f t="shared" si="21"/>
        <v>96000</v>
      </c>
      <c r="AE163" s="68" t="s">
        <v>102</v>
      </c>
      <c r="AF163" s="68"/>
      <c r="AG163" s="68"/>
      <c r="AH163" s="190"/>
      <c r="AI163" s="191"/>
      <c r="AJ163" s="190"/>
      <c r="AK163" s="192"/>
      <c r="AL163" s="190"/>
      <c r="AM163" s="193" t="s">
        <v>202</v>
      </c>
      <c r="AN163" s="194"/>
      <c r="AO163" s="195"/>
      <c r="AP163" s="31"/>
      <c r="AQ163" s="31"/>
      <c r="AR163" s="30"/>
      <c r="AS163" s="31"/>
    </row>
    <row r="164" spans="1:45" ht="30" hidden="1" customHeight="1" x14ac:dyDescent="0.25">
      <c r="A164" s="46">
        <v>2026</v>
      </c>
      <c r="B164" s="66" t="s">
        <v>79</v>
      </c>
      <c r="C164" s="65" t="s">
        <v>465</v>
      </c>
      <c r="D164" s="144" t="s">
        <v>114</v>
      </c>
      <c r="E164" s="141"/>
      <c r="F164" s="65" t="s">
        <v>524</v>
      </c>
      <c r="G164" s="144" t="s">
        <v>121</v>
      </c>
      <c r="H164" s="66" t="s">
        <v>126</v>
      </c>
      <c r="I164" s="74"/>
      <c r="J164" s="144" t="s">
        <v>132</v>
      </c>
      <c r="K164" s="144" t="s">
        <v>3</v>
      </c>
      <c r="L164" s="66" t="s">
        <v>6</v>
      </c>
      <c r="M164" s="65" t="s">
        <v>200</v>
      </c>
      <c r="N164" s="187"/>
      <c r="O164" s="187"/>
      <c r="P164" s="187"/>
      <c r="Q164" s="144" t="s">
        <v>140</v>
      </c>
      <c r="R164" s="89"/>
      <c r="S164" s="89"/>
      <c r="T164" s="65" t="s">
        <v>525</v>
      </c>
      <c r="U164" s="144">
        <v>2026</v>
      </c>
      <c r="V164" s="99">
        <v>46387</v>
      </c>
      <c r="W164" s="89"/>
      <c r="X164" s="99">
        <v>46024</v>
      </c>
      <c r="Y164" s="188">
        <v>96000</v>
      </c>
      <c r="Z164" s="189"/>
      <c r="AA164" s="188">
        <f t="shared" si="19"/>
        <v>96000</v>
      </c>
      <c r="AB164" s="188"/>
      <c r="AC164" s="188">
        <f t="shared" si="20"/>
        <v>96000</v>
      </c>
      <c r="AD164" s="188">
        <f t="shared" si="21"/>
        <v>96000</v>
      </c>
      <c r="AE164" s="68" t="s">
        <v>102</v>
      </c>
      <c r="AF164" s="68"/>
      <c r="AG164" s="68"/>
      <c r="AH164" s="190"/>
      <c r="AI164" s="191"/>
      <c r="AJ164" s="190"/>
      <c r="AK164" s="192"/>
      <c r="AL164" s="190"/>
      <c r="AM164" s="193" t="s">
        <v>202</v>
      </c>
      <c r="AN164" s="194"/>
      <c r="AO164" s="195"/>
      <c r="AP164" s="31"/>
      <c r="AQ164" s="31"/>
      <c r="AR164" s="30"/>
      <c r="AS164" s="31"/>
    </row>
    <row r="165" spans="1:45" ht="30" hidden="1" customHeight="1" x14ac:dyDescent="0.25">
      <c r="A165" s="46">
        <v>2026</v>
      </c>
      <c r="B165" s="66" t="s">
        <v>79</v>
      </c>
      <c r="C165" s="65" t="s">
        <v>465</v>
      </c>
      <c r="D165" s="144" t="s">
        <v>114</v>
      </c>
      <c r="E165" s="141"/>
      <c r="F165" s="65" t="s">
        <v>526</v>
      </c>
      <c r="G165" s="144" t="s">
        <v>121</v>
      </c>
      <c r="H165" s="66" t="s">
        <v>126</v>
      </c>
      <c r="I165" s="74"/>
      <c r="J165" s="144" t="s">
        <v>132</v>
      </c>
      <c r="K165" s="144" t="s">
        <v>3</v>
      </c>
      <c r="L165" s="66" t="s">
        <v>6</v>
      </c>
      <c r="M165" s="65" t="s">
        <v>200</v>
      </c>
      <c r="N165" s="187"/>
      <c r="O165" s="187"/>
      <c r="P165" s="187"/>
      <c r="Q165" s="144" t="s">
        <v>140</v>
      </c>
      <c r="R165" s="89"/>
      <c r="S165" s="89"/>
      <c r="T165" s="65" t="s">
        <v>527</v>
      </c>
      <c r="U165" s="144">
        <v>2026</v>
      </c>
      <c r="V165" s="99">
        <v>46387</v>
      </c>
      <c r="W165" s="89"/>
      <c r="X165" s="99">
        <v>46024</v>
      </c>
      <c r="Y165" s="188">
        <v>72000</v>
      </c>
      <c r="Z165" s="189"/>
      <c r="AA165" s="188">
        <f t="shared" si="19"/>
        <v>72000</v>
      </c>
      <c r="AB165" s="188"/>
      <c r="AC165" s="188">
        <f t="shared" si="20"/>
        <v>72000</v>
      </c>
      <c r="AD165" s="188">
        <f t="shared" si="21"/>
        <v>72000</v>
      </c>
      <c r="AE165" s="68" t="s">
        <v>102</v>
      </c>
      <c r="AF165" s="68"/>
      <c r="AG165" s="68"/>
      <c r="AH165" s="190"/>
      <c r="AI165" s="191"/>
      <c r="AJ165" s="190"/>
      <c r="AK165" s="192"/>
      <c r="AL165" s="190"/>
      <c r="AM165" s="193" t="s">
        <v>202</v>
      </c>
      <c r="AN165" s="194"/>
      <c r="AO165" s="195"/>
      <c r="AP165" s="31"/>
      <c r="AQ165" s="31"/>
      <c r="AR165" s="30"/>
      <c r="AS165" s="31"/>
    </row>
    <row r="166" spans="1:45" ht="30" hidden="1" customHeight="1" x14ac:dyDescent="0.25">
      <c r="A166" s="46">
        <v>2026</v>
      </c>
      <c r="B166" s="66" t="s">
        <v>79</v>
      </c>
      <c r="C166" s="65" t="s">
        <v>465</v>
      </c>
      <c r="D166" s="144" t="s">
        <v>114</v>
      </c>
      <c r="E166" s="141"/>
      <c r="F166" s="65" t="s">
        <v>528</v>
      </c>
      <c r="G166" s="144" t="s">
        <v>121</v>
      </c>
      <c r="H166" s="66" t="s">
        <v>126</v>
      </c>
      <c r="I166" s="74"/>
      <c r="J166" s="144" t="s">
        <v>132</v>
      </c>
      <c r="K166" s="144" t="s">
        <v>3</v>
      </c>
      <c r="L166" s="66" t="s">
        <v>6</v>
      </c>
      <c r="M166" s="65" t="s">
        <v>200</v>
      </c>
      <c r="N166" s="187"/>
      <c r="O166" s="187"/>
      <c r="P166" s="187"/>
      <c r="Q166" s="144" t="s">
        <v>140</v>
      </c>
      <c r="R166" s="89"/>
      <c r="S166" s="89"/>
      <c r="T166" s="65" t="s">
        <v>529</v>
      </c>
      <c r="U166" s="144">
        <v>2026</v>
      </c>
      <c r="V166" s="99">
        <v>46387</v>
      </c>
      <c r="W166" s="89"/>
      <c r="X166" s="99">
        <v>46024</v>
      </c>
      <c r="Y166" s="188">
        <v>120000</v>
      </c>
      <c r="Z166" s="189"/>
      <c r="AA166" s="188">
        <f t="shared" si="19"/>
        <v>120000</v>
      </c>
      <c r="AB166" s="188"/>
      <c r="AC166" s="188">
        <f t="shared" si="20"/>
        <v>120000</v>
      </c>
      <c r="AD166" s="188">
        <f t="shared" si="21"/>
        <v>120000</v>
      </c>
      <c r="AE166" s="68" t="s">
        <v>102</v>
      </c>
      <c r="AF166" s="68"/>
      <c r="AG166" s="68"/>
      <c r="AH166" s="190"/>
      <c r="AI166" s="191"/>
      <c r="AJ166" s="190"/>
      <c r="AK166" s="192"/>
      <c r="AL166" s="190"/>
      <c r="AM166" s="193" t="s">
        <v>202</v>
      </c>
      <c r="AN166" s="194"/>
      <c r="AO166" s="195"/>
      <c r="AP166" s="31"/>
      <c r="AQ166" s="31"/>
      <c r="AR166" s="30"/>
      <c r="AS166" s="31"/>
    </row>
    <row r="167" spans="1:45" ht="30" hidden="1" customHeight="1" x14ac:dyDescent="0.25">
      <c r="A167" s="46">
        <v>2026</v>
      </c>
      <c r="B167" s="66" t="s">
        <v>79</v>
      </c>
      <c r="C167" s="65" t="s">
        <v>465</v>
      </c>
      <c r="D167" s="144" t="s">
        <v>114</v>
      </c>
      <c r="E167" s="141"/>
      <c r="F167" s="65" t="s">
        <v>530</v>
      </c>
      <c r="G167" s="144" t="s">
        <v>121</v>
      </c>
      <c r="H167" s="66" t="s">
        <v>126</v>
      </c>
      <c r="I167" s="74"/>
      <c r="J167" s="144" t="s">
        <v>132</v>
      </c>
      <c r="K167" s="144" t="s">
        <v>3</v>
      </c>
      <c r="L167" s="66" t="s">
        <v>6</v>
      </c>
      <c r="M167" s="65" t="s">
        <v>200</v>
      </c>
      <c r="N167" s="187"/>
      <c r="O167" s="187"/>
      <c r="P167" s="187"/>
      <c r="Q167" s="144" t="s">
        <v>140</v>
      </c>
      <c r="R167" s="89"/>
      <c r="S167" s="89"/>
      <c r="T167" s="65" t="s">
        <v>531</v>
      </c>
      <c r="U167" s="144">
        <v>2026</v>
      </c>
      <c r="V167" s="99">
        <v>46387</v>
      </c>
      <c r="W167" s="89"/>
      <c r="X167" s="99">
        <v>46024</v>
      </c>
      <c r="Y167" s="188">
        <v>120000</v>
      </c>
      <c r="Z167" s="189"/>
      <c r="AA167" s="188">
        <f t="shared" ref="AA167:AA198" si="22">Y167</f>
        <v>120000</v>
      </c>
      <c r="AB167" s="188"/>
      <c r="AC167" s="188">
        <f t="shared" si="20"/>
        <v>120000</v>
      </c>
      <c r="AD167" s="188">
        <f t="shared" si="21"/>
        <v>120000</v>
      </c>
      <c r="AE167" s="68" t="s">
        <v>102</v>
      </c>
      <c r="AF167" s="68"/>
      <c r="AG167" s="68"/>
      <c r="AH167" s="190"/>
      <c r="AI167" s="191"/>
      <c r="AJ167" s="190"/>
      <c r="AK167" s="192"/>
      <c r="AL167" s="190"/>
      <c r="AM167" s="193" t="s">
        <v>202</v>
      </c>
      <c r="AN167" s="194"/>
      <c r="AO167" s="195"/>
      <c r="AP167" s="31"/>
      <c r="AQ167" s="31"/>
      <c r="AR167" s="30"/>
      <c r="AS167" s="31"/>
    </row>
    <row r="168" spans="1:45" ht="30" hidden="1" customHeight="1" x14ac:dyDescent="0.25">
      <c r="A168" s="46">
        <v>2026</v>
      </c>
      <c r="B168" s="66" t="s">
        <v>79</v>
      </c>
      <c r="C168" s="65" t="s">
        <v>465</v>
      </c>
      <c r="D168" s="144" t="s">
        <v>114</v>
      </c>
      <c r="E168" s="141"/>
      <c r="F168" s="65" t="s">
        <v>532</v>
      </c>
      <c r="G168" s="144" t="s">
        <v>121</v>
      </c>
      <c r="H168" s="66" t="s">
        <v>126</v>
      </c>
      <c r="I168" s="74"/>
      <c r="J168" s="144" t="s">
        <v>132</v>
      </c>
      <c r="K168" s="144" t="s">
        <v>3</v>
      </c>
      <c r="L168" s="66" t="s">
        <v>6</v>
      </c>
      <c r="M168" s="65" t="s">
        <v>200</v>
      </c>
      <c r="N168" s="187"/>
      <c r="O168" s="187"/>
      <c r="P168" s="187"/>
      <c r="Q168" s="144" t="s">
        <v>140</v>
      </c>
      <c r="R168" s="89"/>
      <c r="S168" s="89"/>
      <c r="T168" s="65" t="s">
        <v>533</v>
      </c>
      <c r="U168" s="144">
        <v>2026</v>
      </c>
      <c r="V168" s="99">
        <v>46387</v>
      </c>
      <c r="W168" s="89"/>
      <c r="X168" s="99">
        <v>46024</v>
      </c>
      <c r="Y168" s="188">
        <v>96000</v>
      </c>
      <c r="Z168" s="189"/>
      <c r="AA168" s="188">
        <f t="shared" si="22"/>
        <v>96000</v>
      </c>
      <c r="AB168" s="188"/>
      <c r="AC168" s="188">
        <f t="shared" si="20"/>
        <v>96000</v>
      </c>
      <c r="AD168" s="188">
        <f t="shared" si="21"/>
        <v>96000</v>
      </c>
      <c r="AE168" s="68" t="s">
        <v>102</v>
      </c>
      <c r="AF168" s="68"/>
      <c r="AG168" s="68"/>
      <c r="AH168" s="190"/>
      <c r="AI168" s="191"/>
      <c r="AJ168" s="190"/>
      <c r="AK168" s="192"/>
      <c r="AL168" s="190"/>
      <c r="AM168" s="193" t="s">
        <v>202</v>
      </c>
      <c r="AN168" s="194"/>
      <c r="AO168" s="195"/>
      <c r="AP168" s="31"/>
      <c r="AQ168" s="31"/>
      <c r="AR168" s="30"/>
      <c r="AS168" s="31"/>
    </row>
    <row r="169" spans="1:45" ht="30" hidden="1" customHeight="1" x14ac:dyDescent="0.25">
      <c r="A169" s="46">
        <v>2026</v>
      </c>
      <c r="B169" s="66" t="s">
        <v>79</v>
      </c>
      <c r="C169" s="65" t="s">
        <v>465</v>
      </c>
      <c r="D169" s="144" t="s">
        <v>114</v>
      </c>
      <c r="E169" s="141"/>
      <c r="F169" s="65" t="s">
        <v>534</v>
      </c>
      <c r="G169" s="144" t="s">
        <v>121</v>
      </c>
      <c r="H169" s="66" t="s">
        <v>126</v>
      </c>
      <c r="I169" s="74"/>
      <c r="J169" s="144" t="s">
        <v>132</v>
      </c>
      <c r="K169" s="144" t="s">
        <v>3</v>
      </c>
      <c r="L169" s="66" t="s">
        <v>6</v>
      </c>
      <c r="M169" s="65" t="s">
        <v>200</v>
      </c>
      <c r="N169" s="187"/>
      <c r="O169" s="187"/>
      <c r="P169" s="187"/>
      <c r="Q169" s="144" t="s">
        <v>140</v>
      </c>
      <c r="R169" s="89"/>
      <c r="S169" s="89"/>
      <c r="T169" s="65" t="s">
        <v>535</v>
      </c>
      <c r="U169" s="144">
        <v>2026</v>
      </c>
      <c r="V169" s="99">
        <v>46387</v>
      </c>
      <c r="W169" s="89"/>
      <c r="X169" s="99">
        <v>46024</v>
      </c>
      <c r="Y169" s="188">
        <v>300000</v>
      </c>
      <c r="Z169" s="189"/>
      <c r="AA169" s="188">
        <f t="shared" si="22"/>
        <v>300000</v>
      </c>
      <c r="AB169" s="188"/>
      <c r="AC169" s="188">
        <f t="shared" si="20"/>
        <v>300000</v>
      </c>
      <c r="AD169" s="188">
        <f t="shared" si="21"/>
        <v>300000</v>
      </c>
      <c r="AE169" s="68" t="s">
        <v>102</v>
      </c>
      <c r="AF169" s="68"/>
      <c r="AG169" s="68"/>
      <c r="AH169" s="190"/>
      <c r="AI169" s="191"/>
      <c r="AJ169" s="190"/>
      <c r="AK169" s="192"/>
      <c r="AL169" s="190"/>
      <c r="AM169" s="193" t="s">
        <v>202</v>
      </c>
      <c r="AN169" s="194"/>
      <c r="AO169" s="195"/>
      <c r="AP169" s="31"/>
      <c r="AQ169" s="31"/>
      <c r="AR169" s="30"/>
      <c r="AS169" s="31"/>
    </row>
    <row r="170" spans="1:45" ht="30" hidden="1" customHeight="1" x14ac:dyDescent="0.25">
      <c r="A170" s="46">
        <v>2026</v>
      </c>
      <c r="B170" s="66" t="s">
        <v>79</v>
      </c>
      <c r="C170" s="65" t="s">
        <v>465</v>
      </c>
      <c r="D170" s="144" t="s">
        <v>114</v>
      </c>
      <c r="E170" s="141"/>
      <c r="F170" s="65" t="s">
        <v>536</v>
      </c>
      <c r="G170" s="144" t="s">
        <v>121</v>
      </c>
      <c r="H170" s="66" t="s">
        <v>126</v>
      </c>
      <c r="I170" s="74"/>
      <c r="J170" s="144" t="s">
        <v>132</v>
      </c>
      <c r="K170" s="144" t="s">
        <v>3</v>
      </c>
      <c r="L170" s="66" t="s">
        <v>6</v>
      </c>
      <c r="M170" s="65" t="s">
        <v>200</v>
      </c>
      <c r="N170" s="187"/>
      <c r="O170" s="187"/>
      <c r="P170" s="187"/>
      <c r="Q170" s="144" t="s">
        <v>140</v>
      </c>
      <c r="R170" s="89"/>
      <c r="S170" s="89"/>
      <c r="T170" s="65" t="s">
        <v>537</v>
      </c>
      <c r="U170" s="144">
        <v>2026</v>
      </c>
      <c r="V170" s="99">
        <v>46387</v>
      </c>
      <c r="W170" s="89"/>
      <c r="X170" s="99">
        <v>46024</v>
      </c>
      <c r="Y170" s="188">
        <v>130000</v>
      </c>
      <c r="Z170" s="189"/>
      <c r="AA170" s="188">
        <f t="shared" si="22"/>
        <v>130000</v>
      </c>
      <c r="AB170" s="188"/>
      <c r="AC170" s="188">
        <f t="shared" si="20"/>
        <v>130000</v>
      </c>
      <c r="AD170" s="188">
        <f t="shared" si="21"/>
        <v>130000</v>
      </c>
      <c r="AE170" s="68" t="s">
        <v>102</v>
      </c>
      <c r="AF170" s="68"/>
      <c r="AG170" s="68"/>
      <c r="AH170" s="190"/>
      <c r="AI170" s="191"/>
      <c r="AJ170" s="190"/>
      <c r="AK170" s="192"/>
      <c r="AL170" s="190"/>
      <c r="AM170" s="193" t="s">
        <v>202</v>
      </c>
      <c r="AN170" s="194"/>
      <c r="AO170" s="195"/>
      <c r="AP170" s="31"/>
      <c r="AQ170" s="31"/>
      <c r="AR170" s="30"/>
      <c r="AS170" s="31"/>
    </row>
    <row r="171" spans="1:45" ht="30" hidden="1" customHeight="1" x14ac:dyDescent="0.25">
      <c r="A171" s="46">
        <v>2026</v>
      </c>
      <c r="B171" s="66" t="s">
        <v>79</v>
      </c>
      <c r="C171" s="65" t="s">
        <v>465</v>
      </c>
      <c r="D171" s="144" t="s">
        <v>114</v>
      </c>
      <c r="E171" s="141"/>
      <c r="F171" s="65" t="s">
        <v>538</v>
      </c>
      <c r="G171" s="144" t="s">
        <v>121</v>
      </c>
      <c r="H171" s="66" t="s">
        <v>126</v>
      </c>
      <c r="I171" s="74"/>
      <c r="J171" s="144" t="s">
        <v>132</v>
      </c>
      <c r="K171" s="144" t="s">
        <v>3</v>
      </c>
      <c r="L171" s="66" t="s">
        <v>6</v>
      </c>
      <c r="M171" s="65" t="s">
        <v>200</v>
      </c>
      <c r="N171" s="187"/>
      <c r="O171" s="187"/>
      <c r="P171" s="187"/>
      <c r="Q171" s="144" t="s">
        <v>140</v>
      </c>
      <c r="R171" s="89"/>
      <c r="S171" s="89"/>
      <c r="T171" s="65" t="s">
        <v>403</v>
      </c>
      <c r="U171" s="144">
        <v>2026</v>
      </c>
      <c r="V171" s="99">
        <v>46387</v>
      </c>
      <c r="W171" s="89"/>
      <c r="X171" s="99">
        <v>46024</v>
      </c>
      <c r="Y171" s="188">
        <v>130000</v>
      </c>
      <c r="Z171" s="189"/>
      <c r="AA171" s="188">
        <f t="shared" si="22"/>
        <v>130000</v>
      </c>
      <c r="AB171" s="188"/>
      <c r="AC171" s="188">
        <f t="shared" si="20"/>
        <v>130000</v>
      </c>
      <c r="AD171" s="188">
        <f t="shared" si="21"/>
        <v>130000</v>
      </c>
      <c r="AE171" s="68" t="s">
        <v>102</v>
      </c>
      <c r="AF171" s="68"/>
      <c r="AG171" s="68"/>
      <c r="AH171" s="190"/>
      <c r="AI171" s="191"/>
      <c r="AJ171" s="190"/>
      <c r="AK171" s="192"/>
      <c r="AL171" s="190"/>
      <c r="AM171" s="193" t="s">
        <v>202</v>
      </c>
      <c r="AN171" s="194"/>
      <c r="AO171" s="195"/>
      <c r="AP171" s="31"/>
      <c r="AQ171" s="31"/>
      <c r="AR171" s="30"/>
      <c r="AS171" s="31"/>
    </row>
    <row r="172" spans="1:45" ht="30" hidden="1" customHeight="1" x14ac:dyDescent="0.25">
      <c r="A172" s="46">
        <v>2026</v>
      </c>
      <c r="B172" s="66" t="s">
        <v>79</v>
      </c>
      <c r="C172" s="65" t="s">
        <v>465</v>
      </c>
      <c r="D172" s="144" t="s">
        <v>114</v>
      </c>
      <c r="E172" s="141"/>
      <c r="F172" s="65" t="s">
        <v>539</v>
      </c>
      <c r="G172" s="144" t="s">
        <v>121</v>
      </c>
      <c r="H172" s="66" t="s">
        <v>126</v>
      </c>
      <c r="I172" s="74"/>
      <c r="J172" s="144" t="s">
        <v>132</v>
      </c>
      <c r="K172" s="144" t="s">
        <v>3</v>
      </c>
      <c r="L172" s="66" t="s">
        <v>6</v>
      </c>
      <c r="M172" s="65" t="s">
        <v>200</v>
      </c>
      <c r="N172" s="187"/>
      <c r="O172" s="187"/>
      <c r="P172" s="187"/>
      <c r="Q172" s="144" t="s">
        <v>140</v>
      </c>
      <c r="R172" s="89"/>
      <c r="S172" s="89"/>
      <c r="T172" s="65" t="s">
        <v>540</v>
      </c>
      <c r="U172" s="144">
        <v>2026</v>
      </c>
      <c r="V172" s="99">
        <v>46387</v>
      </c>
      <c r="W172" s="89"/>
      <c r="X172" s="99">
        <v>46024</v>
      </c>
      <c r="Y172" s="188">
        <v>78000</v>
      </c>
      <c r="Z172" s="189"/>
      <c r="AA172" s="188">
        <f t="shared" si="22"/>
        <v>78000</v>
      </c>
      <c r="AB172" s="188"/>
      <c r="AC172" s="188">
        <f t="shared" si="20"/>
        <v>78000</v>
      </c>
      <c r="AD172" s="188">
        <f t="shared" si="21"/>
        <v>78000</v>
      </c>
      <c r="AE172" s="68" t="s">
        <v>102</v>
      </c>
      <c r="AF172" s="68"/>
      <c r="AG172" s="68"/>
      <c r="AH172" s="190"/>
      <c r="AI172" s="191"/>
      <c r="AJ172" s="190"/>
      <c r="AK172" s="192"/>
      <c r="AL172" s="190"/>
      <c r="AM172" s="193" t="s">
        <v>202</v>
      </c>
      <c r="AN172" s="194"/>
      <c r="AO172" s="195"/>
      <c r="AP172" s="31"/>
      <c r="AQ172" s="31"/>
      <c r="AR172" s="30"/>
      <c r="AS172" s="31"/>
    </row>
    <row r="173" spans="1:45" ht="30" hidden="1" customHeight="1" x14ac:dyDescent="0.25">
      <c r="A173" s="46">
        <v>2026</v>
      </c>
      <c r="B173" s="66" t="s">
        <v>79</v>
      </c>
      <c r="C173" s="65" t="s">
        <v>465</v>
      </c>
      <c r="D173" s="144" t="s">
        <v>114</v>
      </c>
      <c r="E173" s="141"/>
      <c r="F173" s="65" t="s">
        <v>541</v>
      </c>
      <c r="G173" s="144" t="s">
        <v>121</v>
      </c>
      <c r="H173" s="66" t="s">
        <v>126</v>
      </c>
      <c r="I173" s="74"/>
      <c r="J173" s="144" t="s">
        <v>132</v>
      </c>
      <c r="K173" s="144" t="s">
        <v>3</v>
      </c>
      <c r="L173" s="66" t="s">
        <v>6</v>
      </c>
      <c r="M173" s="65" t="s">
        <v>200</v>
      </c>
      <c r="N173" s="187"/>
      <c r="O173" s="187"/>
      <c r="P173" s="187"/>
      <c r="Q173" s="144" t="s">
        <v>140</v>
      </c>
      <c r="R173" s="89"/>
      <c r="S173" s="89"/>
      <c r="T173" s="65" t="s">
        <v>542</v>
      </c>
      <c r="U173" s="144">
        <v>2026</v>
      </c>
      <c r="V173" s="99">
        <v>46387</v>
      </c>
      <c r="W173" s="89"/>
      <c r="X173" s="99">
        <v>46024</v>
      </c>
      <c r="Y173" s="188">
        <v>130000</v>
      </c>
      <c r="Z173" s="189"/>
      <c r="AA173" s="188">
        <f t="shared" si="22"/>
        <v>130000</v>
      </c>
      <c r="AB173" s="188"/>
      <c r="AC173" s="188">
        <f t="shared" si="20"/>
        <v>130000</v>
      </c>
      <c r="AD173" s="188">
        <f t="shared" si="21"/>
        <v>130000</v>
      </c>
      <c r="AE173" s="68" t="s">
        <v>102</v>
      </c>
      <c r="AF173" s="68"/>
      <c r="AG173" s="68"/>
      <c r="AH173" s="190"/>
      <c r="AI173" s="191"/>
      <c r="AJ173" s="190"/>
      <c r="AK173" s="192"/>
      <c r="AL173" s="190"/>
      <c r="AM173" s="193" t="s">
        <v>202</v>
      </c>
      <c r="AN173" s="194"/>
      <c r="AO173" s="195"/>
      <c r="AP173" s="31"/>
      <c r="AQ173" s="31"/>
      <c r="AR173" s="30"/>
      <c r="AS173" s="31"/>
    </row>
    <row r="174" spans="1:45" ht="30" hidden="1" customHeight="1" x14ac:dyDescent="0.25">
      <c r="A174" s="46">
        <v>2026</v>
      </c>
      <c r="B174" s="66" t="s">
        <v>61</v>
      </c>
      <c r="C174" s="65" t="s">
        <v>543</v>
      </c>
      <c r="D174" s="144" t="s">
        <v>114</v>
      </c>
      <c r="E174" s="141"/>
      <c r="F174" s="65" t="s">
        <v>544</v>
      </c>
      <c r="G174" s="144" t="s">
        <v>121</v>
      </c>
      <c r="H174" s="66" t="s">
        <v>126</v>
      </c>
      <c r="I174" s="74"/>
      <c r="J174" s="144" t="s">
        <v>132</v>
      </c>
      <c r="K174" s="144" t="s">
        <v>3</v>
      </c>
      <c r="L174" s="66" t="s">
        <v>6</v>
      </c>
      <c r="M174" s="65" t="s">
        <v>200</v>
      </c>
      <c r="N174" s="187"/>
      <c r="O174" s="187"/>
      <c r="P174" s="187"/>
      <c r="Q174" s="144" t="s">
        <v>140</v>
      </c>
      <c r="R174" s="89"/>
      <c r="S174" s="89"/>
      <c r="T174" s="65" t="s">
        <v>545</v>
      </c>
      <c r="U174" s="144">
        <v>2026</v>
      </c>
      <c r="V174" s="99">
        <v>46387</v>
      </c>
      <c r="W174" s="89"/>
      <c r="X174" s="99">
        <v>46024</v>
      </c>
      <c r="Y174" s="188">
        <v>120000</v>
      </c>
      <c r="Z174" s="189"/>
      <c r="AA174" s="188">
        <f t="shared" si="22"/>
        <v>120000</v>
      </c>
      <c r="AB174" s="188"/>
      <c r="AC174" s="188">
        <f t="shared" si="20"/>
        <v>120000</v>
      </c>
      <c r="AD174" s="188">
        <f t="shared" si="21"/>
        <v>120000</v>
      </c>
      <c r="AE174" s="68" t="s">
        <v>102</v>
      </c>
      <c r="AF174" s="68"/>
      <c r="AG174" s="68"/>
      <c r="AH174" s="190"/>
      <c r="AI174" s="191"/>
      <c r="AJ174" s="190"/>
      <c r="AK174" s="192"/>
      <c r="AL174" s="190"/>
      <c r="AM174" s="193" t="s">
        <v>202</v>
      </c>
      <c r="AN174" s="194"/>
      <c r="AO174" s="195"/>
      <c r="AP174" s="31"/>
      <c r="AQ174" s="31"/>
      <c r="AR174" s="30"/>
      <c r="AS174" s="31"/>
    </row>
    <row r="175" spans="1:45" ht="30" hidden="1" customHeight="1" x14ac:dyDescent="0.25">
      <c r="A175" s="46">
        <v>2026</v>
      </c>
      <c r="B175" s="66" t="s">
        <v>61</v>
      </c>
      <c r="C175" s="65" t="s">
        <v>543</v>
      </c>
      <c r="D175" s="144" t="s">
        <v>114</v>
      </c>
      <c r="E175" s="141"/>
      <c r="F175" s="65" t="s">
        <v>546</v>
      </c>
      <c r="G175" s="144" t="s">
        <v>121</v>
      </c>
      <c r="H175" s="66" t="s">
        <v>126</v>
      </c>
      <c r="I175" s="74"/>
      <c r="J175" s="144" t="s">
        <v>132</v>
      </c>
      <c r="K175" s="144" t="s">
        <v>3</v>
      </c>
      <c r="L175" s="66" t="s">
        <v>6</v>
      </c>
      <c r="M175" s="65" t="s">
        <v>200</v>
      </c>
      <c r="N175" s="187"/>
      <c r="O175" s="187"/>
      <c r="P175" s="187"/>
      <c r="Q175" s="144" t="s">
        <v>140</v>
      </c>
      <c r="R175" s="89"/>
      <c r="S175" s="89"/>
      <c r="T175" s="65" t="s">
        <v>547</v>
      </c>
      <c r="U175" s="144">
        <v>2026</v>
      </c>
      <c r="V175" s="99">
        <v>46387</v>
      </c>
      <c r="W175" s="89"/>
      <c r="X175" s="99">
        <v>46024</v>
      </c>
      <c r="Y175" s="188">
        <v>120000</v>
      </c>
      <c r="Z175" s="189"/>
      <c r="AA175" s="188">
        <f t="shared" si="22"/>
        <v>120000</v>
      </c>
      <c r="AB175" s="188"/>
      <c r="AC175" s="188">
        <f t="shared" si="20"/>
        <v>120000</v>
      </c>
      <c r="AD175" s="188">
        <f t="shared" si="21"/>
        <v>120000</v>
      </c>
      <c r="AE175" s="68" t="s">
        <v>102</v>
      </c>
      <c r="AF175" s="68"/>
      <c r="AG175" s="68"/>
      <c r="AH175" s="190"/>
      <c r="AI175" s="191"/>
      <c r="AJ175" s="190"/>
      <c r="AK175" s="192"/>
      <c r="AL175" s="190"/>
      <c r="AM175" s="193" t="s">
        <v>202</v>
      </c>
      <c r="AN175" s="194"/>
      <c r="AO175" s="195"/>
      <c r="AP175" s="31"/>
      <c r="AQ175" s="31"/>
      <c r="AR175" s="30"/>
      <c r="AS175" s="31"/>
    </row>
    <row r="176" spans="1:45" ht="30" hidden="1" customHeight="1" x14ac:dyDescent="0.25">
      <c r="A176" s="46">
        <v>2026</v>
      </c>
      <c r="B176" s="66" t="s">
        <v>61</v>
      </c>
      <c r="C176" s="65" t="s">
        <v>543</v>
      </c>
      <c r="D176" s="144" t="s">
        <v>114</v>
      </c>
      <c r="E176" s="141"/>
      <c r="F176" s="65" t="s">
        <v>548</v>
      </c>
      <c r="G176" s="144" t="s">
        <v>121</v>
      </c>
      <c r="H176" s="66" t="s">
        <v>126</v>
      </c>
      <c r="I176" s="74"/>
      <c r="J176" s="144" t="s">
        <v>132</v>
      </c>
      <c r="K176" s="144" t="s">
        <v>3</v>
      </c>
      <c r="L176" s="66" t="s">
        <v>6</v>
      </c>
      <c r="M176" s="65" t="s">
        <v>200</v>
      </c>
      <c r="N176" s="187"/>
      <c r="O176" s="187"/>
      <c r="P176" s="187"/>
      <c r="Q176" s="144" t="s">
        <v>140</v>
      </c>
      <c r="R176" s="89"/>
      <c r="S176" s="89"/>
      <c r="T176" s="65" t="s">
        <v>549</v>
      </c>
      <c r="U176" s="144">
        <v>2026</v>
      </c>
      <c r="V176" s="99">
        <v>46387</v>
      </c>
      <c r="W176" s="89"/>
      <c r="X176" s="99">
        <v>46024</v>
      </c>
      <c r="Y176" s="188">
        <v>121212.12</v>
      </c>
      <c r="Z176" s="189"/>
      <c r="AA176" s="188">
        <f t="shared" si="22"/>
        <v>121212.12</v>
      </c>
      <c r="AB176" s="188"/>
      <c r="AC176" s="188">
        <f t="shared" si="20"/>
        <v>121212.12</v>
      </c>
      <c r="AD176" s="188">
        <f t="shared" si="21"/>
        <v>121212.12</v>
      </c>
      <c r="AE176" s="68" t="s">
        <v>102</v>
      </c>
      <c r="AF176" s="68"/>
      <c r="AG176" s="68"/>
      <c r="AH176" s="190"/>
      <c r="AI176" s="191"/>
      <c r="AJ176" s="190"/>
      <c r="AK176" s="192"/>
      <c r="AL176" s="190"/>
      <c r="AM176" s="193" t="s">
        <v>202</v>
      </c>
      <c r="AN176" s="194"/>
      <c r="AO176" s="195"/>
      <c r="AP176" s="31"/>
      <c r="AQ176" s="31"/>
      <c r="AR176" s="30"/>
      <c r="AS176" s="31"/>
    </row>
    <row r="177" spans="1:45" ht="30" hidden="1" customHeight="1" x14ac:dyDescent="0.25">
      <c r="A177" s="46">
        <v>2026</v>
      </c>
      <c r="B177" s="66" t="s">
        <v>61</v>
      </c>
      <c r="C177" s="65" t="s">
        <v>550</v>
      </c>
      <c r="D177" s="144" t="s">
        <v>114</v>
      </c>
      <c r="E177" s="141"/>
      <c r="F177" s="65" t="s">
        <v>551</v>
      </c>
      <c r="G177" s="144" t="s">
        <v>121</v>
      </c>
      <c r="H177" s="66" t="s">
        <v>126</v>
      </c>
      <c r="I177" s="74"/>
      <c r="J177" s="144" t="s">
        <v>132</v>
      </c>
      <c r="K177" s="144" t="s">
        <v>3</v>
      </c>
      <c r="L177" s="66" t="s">
        <v>6</v>
      </c>
      <c r="M177" s="65" t="s">
        <v>200</v>
      </c>
      <c r="N177" s="187"/>
      <c r="O177" s="187"/>
      <c r="P177" s="187"/>
      <c r="Q177" s="144" t="s">
        <v>140</v>
      </c>
      <c r="R177" s="89"/>
      <c r="S177" s="89"/>
      <c r="T177" s="65" t="s">
        <v>552</v>
      </c>
      <c r="U177" s="144">
        <v>2026</v>
      </c>
      <c r="V177" s="99">
        <v>46387</v>
      </c>
      <c r="W177" s="89"/>
      <c r="X177" s="99">
        <v>46024</v>
      </c>
      <c r="Y177" s="188">
        <v>694285.68</v>
      </c>
      <c r="Z177" s="189"/>
      <c r="AA177" s="188">
        <f t="shared" si="22"/>
        <v>694285.68</v>
      </c>
      <c r="AB177" s="188"/>
      <c r="AC177" s="188">
        <f t="shared" si="20"/>
        <v>694285.68</v>
      </c>
      <c r="AD177" s="188">
        <f t="shared" si="21"/>
        <v>694285.68</v>
      </c>
      <c r="AE177" s="68" t="s">
        <v>102</v>
      </c>
      <c r="AF177" s="68"/>
      <c r="AG177" s="68"/>
      <c r="AH177" s="190"/>
      <c r="AI177" s="191"/>
      <c r="AJ177" s="190"/>
      <c r="AK177" s="192"/>
      <c r="AL177" s="190"/>
      <c r="AM177" s="193" t="s">
        <v>202</v>
      </c>
      <c r="AN177" s="194"/>
      <c r="AO177" s="195"/>
      <c r="AP177" s="31"/>
      <c r="AQ177" s="31"/>
      <c r="AR177" s="30"/>
      <c r="AS177" s="31"/>
    </row>
    <row r="178" spans="1:45" ht="30" hidden="1" customHeight="1" x14ac:dyDescent="0.25">
      <c r="A178" s="46">
        <v>2026</v>
      </c>
      <c r="B178" s="66" t="s">
        <v>61</v>
      </c>
      <c r="C178" s="65" t="s">
        <v>550</v>
      </c>
      <c r="D178" s="144" t="s">
        <v>114</v>
      </c>
      <c r="E178" s="141"/>
      <c r="F178" s="65" t="s">
        <v>553</v>
      </c>
      <c r="G178" s="144" t="s">
        <v>121</v>
      </c>
      <c r="H178" s="66" t="s">
        <v>126</v>
      </c>
      <c r="I178" s="74"/>
      <c r="J178" s="144" t="s">
        <v>132</v>
      </c>
      <c r="K178" s="144" t="s">
        <v>3</v>
      </c>
      <c r="L178" s="66" t="s">
        <v>6</v>
      </c>
      <c r="M178" s="65" t="s">
        <v>200</v>
      </c>
      <c r="N178" s="187"/>
      <c r="O178" s="187"/>
      <c r="P178" s="187"/>
      <c r="Q178" s="144" t="s">
        <v>140</v>
      </c>
      <c r="R178" s="89"/>
      <c r="S178" s="89"/>
      <c r="T178" s="65" t="s">
        <v>554</v>
      </c>
      <c r="U178" s="144">
        <v>2026</v>
      </c>
      <c r="V178" s="99">
        <v>46387</v>
      </c>
      <c r="W178" s="89"/>
      <c r="X178" s="99">
        <v>46024</v>
      </c>
      <c r="Y178" s="188">
        <v>127272.72</v>
      </c>
      <c r="Z178" s="189"/>
      <c r="AA178" s="188">
        <f t="shared" si="22"/>
        <v>127272.72</v>
      </c>
      <c r="AB178" s="188"/>
      <c r="AC178" s="188">
        <f t="shared" si="20"/>
        <v>127272.72</v>
      </c>
      <c r="AD178" s="188">
        <f t="shared" si="21"/>
        <v>127272.72</v>
      </c>
      <c r="AE178" s="68" t="s">
        <v>102</v>
      </c>
      <c r="AF178" s="68"/>
      <c r="AG178" s="68"/>
      <c r="AH178" s="190"/>
      <c r="AI178" s="191"/>
      <c r="AJ178" s="190"/>
      <c r="AK178" s="192"/>
      <c r="AL178" s="190"/>
      <c r="AM178" s="193" t="s">
        <v>202</v>
      </c>
      <c r="AN178" s="194"/>
      <c r="AO178" s="195"/>
      <c r="AP178" s="31"/>
      <c r="AQ178" s="31"/>
      <c r="AR178" s="30"/>
      <c r="AS178" s="31"/>
    </row>
    <row r="179" spans="1:45" ht="30" hidden="1" customHeight="1" x14ac:dyDescent="0.25">
      <c r="A179" s="46">
        <v>2026</v>
      </c>
      <c r="B179" s="66" t="s">
        <v>61</v>
      </c>
      <c r="C179" s="65" t="s">
        <v>550</v>
      </c>
      <c r="D179" s="144" t="s">
        <v>114</v>
      </c>
      <c r="E179" s="141"/>
      <c r="F179" s="65" t="s">
        <v>555</v>
      </c>
      <c r="G179" s="144" t="s">
        <v>121</v>
      </c>
      <c r="H179" s="66" t="s">
        <v>126</v>
      </c>
      <c r="I179" s="74"/>
      <c r="J179" s="144" t="s">
        <v>132</v>
      </c>
      <c r="K179" s="144" t="s">
        <v>3</v>
      </c>
      <c r="L179" s="66" t="s">
        <v>6</v>
      </c>
      <c r="M179" s="65" t="s">
        <v>200</v>
      </c>
      <c r="N179" s="187"/>
      <c r="O179" s="187"/>
      <c r="P179" s="187"/>
      <c r="Q179" s="144" t="s">
        <v>140</v>
      </c>
      <c r="R179" s="89"/>
      <c r="S179" s="89"/>
      <c r="T179" s="65" t="s">
        <v>556</v>
      </c>
      <c r="U179" s="144">
        <v>2026</v>
      </c>
      <c r="V179" s="99">
        <v>46387</v>
      </c>
      <c r="W179" s="89"/>
      <c r="X179" s="99">
        <v>46024</v>
      </c>
      <c r="Y179" s="188">
        <v>193939.44</v>
      </c>
      <c r="Z179" s="189"/>
      <c r="AA179" s="188">
        <f t="shared" si="22"/>
        <v>193939.44</v>
      </c>
      <c r="AB179" s="188"/>
      <c r="AC179" s="188">
        <f t="shared" si="20"/>
        <v>193939.44</v>
      </c>
      <c r="AD179" s="188">
        <f t="shared" si="21"/>
        <v>193939.44</v>
      </c>
      <c r="AE179" s="68" t="s">
        <v>102</v>
      </c>
      <c r="AF179" s="68"/>
      <c r="AG179" s="68"/>
      <c r="AH179" s="190"/>
      <c r="AI179" s="191"/>
      <c r="AJ179" s="190"/>
      <c r="AK179" s="192"/>
      <c r="AL179" s="190"/>
      <c r="AM179" s="193" t="s">
        <v>202</v>
      </c>
      <c r="AN179" s="194"/>
      <c r="AO179" s="195"/>
      <c r="AP179" s="31"/>
      <c r="AQ179" s="31"/>
      <c r="AR179" s="30"/>
      <c r="AS179" s="31"/>
    </row>
    <row r="180" spans="1:45" ht="30" hidden="1" customHeight="1" x14ac:dyDescent="0.25">
      <c r="A180" s="46">
        <v>2026</v>
      </c>
      <c r="B180" s="66" t="s">
        <v>61</v>
      </c>
      <c r="C180" s="65" t="s">
        <v>550</v>
      </c>
      <c r="D180" s="144" t="s">
        <v>114</v>
      </c>
      <c r="E180" s="141"/>
      <c r="F180" s="65" t="s">
        <v>557</v>
      </c>
      <c r="G180" s="144" t="s">
        <v>121</v>
      </c>
      <c r="H180" s="66" t="s">
        <v>126</v>
      </c>
      <c r="I180" s="74"/>
      <c r="J180" s="144" t="s">
        <v>132</v>
      </c>
      <c r="K180" s="144" t="s">
        <v>3</v>
      </c>
      <c r="L180" s="66" t="s">
        <v>6</v>
      </c>
      <c r="M180" s="65" t="s">
        <v>200</v>
      </c>
      <c r="N180" s="187"/>
      <c r="O180" s="187"/>
      <c r="P180" s="187"/>
      <c r="Q180" s="144" t="s">
        <v>140</v>
      </c>
      <c r="R180" s="89"/>
      <c r="S180" s="89"/>
      <c r="T180" s="65" t="s">
        <v>558</v>
      </c>
      <c r="U180" s="144">
        <v>2026</v>
      </c>
      <c r="V180" s="99">
        <v>46387</v>
      </c>
      <c r="W180" s="89"/>
      <c r="X180" s="99">
        <v>46024</v>
      </c>
      <c r="Y180" s="188">
        <v>240000</v>
      </c>
      <c r="Z180" s="189"/>
      <c r="AA180" s="188">
        <f t="shared" si="22"/>
        <v>240000</v>
      </c>
      <c r="AB180" s="188"/>
      <c r="AC180" s="188">
        <f t="shared" si="20"/>
        <v>240000</v>
      </c>
      <c r="AD180" s="188">
        <f t="shared" si="21"/>
        <v>240000</v>
      </c>
      <c r="AE180" s="68" t="s">
        <v>102</v>
      </c>
      <c r="AF180" s="68"/>
      <c r="AG180" s="68"/>
      <c r="AH180" s="190"/>
      <c r="AI180" s="191"/>
      <c r="AJ180" s="190"/>
      <c r="AK180" s="192"/>
      <c r="AL180" s="190"/>
      <c r="AM180" s="193" t="s">
        <v>202</v>
      </c>
      <c r="AN180" s="194"/>
      <c r="AO180" s="195"/>
      <c r="AP180" s="31"/>
      <c r="AQ180" s="31"/>
      <c r="AR180" s="30"/>
      <c r="AS180" s="31"/>
    </row>
    <row r="181" spans="1:45" ht="30" hidden="1" customHeight="1" x14ac:dyDescent="0.25">
      <c r="A181" s="46">
        <v>2026</v>
      </c>
      <c r="B181" s="66" t="s">
        <v>61</v>
      </c>
      <c r="C181" s="65" t="s">
        <v>550</v>
      </c>
      <c r="D181" s="144" t="s">
        <v>114</v>
      </c>
      <c r="E181" s="141"/>
      <c r="F181" s="65" t="s">
        <v>559</v>
      </c>
      <c r="G181" s="144" t="s">
        <v>121</v>
      </c>
      <c r="H181" s="66" t="s">
        <v>126</v>
      </c>
      <c r="I181" s="74"/>
      <c r="J181" s="144" t="s">
        <v>132</v>
      </c>
      <c r="K181" s="144" t="s">
        <v>3</v>
      </c>
      <c r="L181" s="66" t="s">
        <v>6</v>
      </c>
      <c r="M181" s="65" t="s">
        <v>200</v>
      </c>
      <c r="N181" s="187"/>
      <c r="O181" s="187"/>
      <c r="P181" s="187"/>
      <c r="Q181" s="144" t="s">
        <v>140</v>
      </c>
      <c r="R181" s="89"/>
      <c r="S181" s="89"/>
      <c r="T181" s="65" t="s">
        <v>560</v>
      </c>
      <c r="U181" s="144">
        <v>2026</v>
      </c>
      <c r="V181" s="99">
        <v>46387</v>
      </c>
      <c r="W181" s="89"/>
      <c r="X181" s="99">
        <v>46024</v>
      </c>
      <c r="Y181" s="188">
        <v>377142.72</v>
      </c>
      <c r="Z181" s="189"/>
      <c r="AA181" s="188">
        <f t="shared" si="22"/>
        <v>377142.72</v>
      </c>
      <c r="AB181" s="188"/>
      <c r="AC181" s="188">
        <f t="shared" si="20"/>
        <v>377142.72</v>
      </c>
      <c r="AD181" s="188">
        <f t="shared" si="21"/>
        <v>377142.72</v>
      </c>
      <c r="AE181" s="68" t="s">
        <v>102</v>
      </c>
      <c r="AF181" s="68"/>
      <c r="AG181" s="68"/>
      <c r="AH181" s="190"/>
      <c r="AI181" s="191"/>
      <c r="AJ181" s="190"/>
      <c r="AK181" s="192"/>
      <c r="AL181" s="190"/>
      <c r="AM181" s="193" t="s">
        <v>202</v>
      </c>
      <c r="AN181" s="194"/>
      <c r="AO181" s="195"/>
      <c r="AP181" s="31"/>
      <c r="AQ181" s="31"/>
      <c r="AR181" s="30"/>
      <c r="AS181" s="31"/>
    </row>
    <row r="182" spans="1:45" ht="30" hidden="1" customHeight="1" x14ac:dyDescent="0.25">
      <c r="A182" s="46">
        <v>2026</v>
      </c>
      <c r="B182" s="66" t="s">
        <v>61</v>
      </c>
      <c r="C182" s="65" t="s">
        <v>550</v>
      </c>
      <c r="D182" s="144" t="s">
        <v>114</v>
      </c>
      <c r="E182" s="141"/>
      <c r="F182" s="65" t="s">
        <v>561</v>
      </c>
      <c r="G182" s="144" t="s">
        <v>121</v>
      </c>
      <c r="H182" s="66" t="s">
        <v>126</v>
      </c>
      <c r="I182" s="74"/>
      <c r="J182" s="144" t="s">
        <v>132</v>
      </c>
      <c r="K182" s="144" t="s">
        <v>3</v>
      </c>
      <c r="L182" s="66" t="s">
        <v>6</v>
      </c>
      <c r="M182" s="65" t="s">
        <v>200</v>
      </c>
      <c r="N182" s="187"/>
      <c r="O182" s="187"/>
      <c r="P182" s="187"/>
      <c r="Q182" s="144" t="s">
        <v>140</v>
      </c>
      <c r="R182" s="89"/>
      <c r="S182" s="89"/>
      <c r="T182" s="65" t="s">
        <v>562</v>
      </c>
      <c r="U182" s="144">
        <v>2026</v>
      </c>
      <c r="V182" s="99">
        <v>46387</v>
      </c>
      <c r="W182" s="89"/>
      <c r="X182" s="99">
        <v>46024</v>
      </c>
      <c r="Y182" s="188">
        <v>342857.04</v>
      </c>
      <c r="Z182" s="189"/>
      <c r="AA182" s="188">
        <f t="shared" si="22"/>
        <v>342857.04</v>
      </c>
      <c r="AB182" s="188"/>
      <c r="AC182" s="188">
        <f t="shared" si="20"/>
        <v>342857.04</v>
      </c>
      <c r="AD182" s="188">
        <f t="shared" si="21"/>
        <v>342857.04</v>
      </c>
      <c r="AE182" s="68" t="s">
        <v>102</v>
      </c>
      <c r="AF182" s="68"/>
      <c r="AG182" s="68"/>
      <c r="AH182" s="190"/>
      <c r="AI182" s="191"/>
      <c r="AJ182" s="190"/>
      <c r="AK182" s="192"/>
      <c r="AL182" s="190"/>
      <c r="AM182" s="193" t="s">
        <v>202</v>
      </c>
      <c r="AN182" s="194"/>
      <c r="AO182" s="195"/>
      <c r="AP182" s="31"/>
      <c r="AQ182" s="31"/>
      <c r="AR182" s="30"/>
      <c r="AS182" s="31"/>
    </row>
    <row r="183" spans="1:45" ht="30" hidden="1" customHeight="1" x14ac:dyDescent="0.25">
      <c r="A183" s="46">
        <v>2026</v>
      </c>
      <c r="B183" s="66" t="s">
        <v>61</v>
      </c>
      <c r="C183" s="65" t="s">
        <v>550</v>
      </c>
      <c r="D183" s="144" t="s">
        <v>114</v>
      </c>
      <c r="E183" s="141"/>
      <c r="F183" s="65" t="s">
        <v>563</v>
      </c>
      <c r="G183" s="144" t="s">
        <v>121</v>
      </c>
      <c r="H183" s="66" t="s">
        <v>126</v>
      </c>
      <c r="I183" s="74"/>
      <c r="J183" s="144" t="s">
        <v>132</v>
      </c>
      <c r="K183" s="144" t="s">
        <v>3</v>
      </c>
      <c r="L183" s="66" t="s">
        <v>6</v>
      </c>
      <c r="M183" s="65" t="s">
        <v>200</v>
      </c>
      <c r="N183" s="187"/>
      <c r="O183" s="187"/>
      <c r="P183" s="187"/>
      <c r="Q183" s="144" t="s">
        <v>140</v>
      </c>
      <c r="R183" s="89"/>
      <c r="S183" s="89"/>
      <c r="T183" s="65" t="s">
        <v>564</v>
      </c>
      <c r="U183" s="144">
        <v>2026</v>
      </c>
      <c r="V183" s="99">
        <v>46387</v>
      </c>
      <c r="W183" s="89"/>
      <c r="X183" s="99">
        <v>46024</v>
      </c>
      <c r="Y183" s="188">
        <v>126000</v>
      </c>
      <c r="Z183" s="189"/>
      <c r="AA183" s="188">
        <f t="shared" si="22"/>
        <v>126000</v>
      </c>
      <c r="AB183" s="188"/>
      <c r="AC183" s="188">
        <f t="shared" si="20"/>
        <v>126000</v>
      </c>
      <c r="AD183" s="188">
        <f t="shared" si="21"/>
        <v>126000</v>
      </c>
      <c r="AE183" s="68" t="s">
        <v>102</v>
      </c>
      <c r="AF183" s="68"/>
      <c r="AG183" s="68"/>
      <c r="AH183" s="190"/>
      <c r="AI183" s="191"/>
      <c r="AJ183" s="190"/>
      <c r="AK183" s="192"/>
      <c r="AL183" s="190"/>
      <c r="AM183" s="193" t="s">
        <v>202</v>
      </c>
      <c r="AN183" s="194"/>
      <c r="AO183" s="195"/>
      <c r="AP183" s="31"/>
      <c r="AQ183" s="31"/>
      <c r="AR183" s="30"/>
      <c r="AS183" s="31"/>
    </row>
    <row r="184" spans="1:45" ht="30" hidden="1" customHeight="1" x14ac:dyDescent="0.25">
      <c r="A184" s="46">
        <v>2026</v>
      </c>
      <c r="B184" s="66" t="s">
        <v>61</v>
      </c>
      <c r="C184" s="65" t="s">
        <v>550</v>
      </c>
      <c r="D184" s="144" t="s">
        <v>114</v>
      </c>
      <c r="E184" s="141"/>
      <c r="F184" s="65" t="s">
        <v>565</v>
      </c>
      <c r="G184" s="144" t="s">
        <v>121</v>
      </c>
      <c r="H184" s="66" t="s">
        <v>126</v>
      </c>
      <c r="I184" s="74"/>
      <c r="J184" s="144" t="s">
        <v>132</v>
      </c>
      <c r="K184" s="144" t="s">
        <v>3</v>
      </c>
      <c r="L184" s="66" t="s">
        <v>6</v>
      </c>
      <c r="M184" s="65" t="s">
        <v>200</v>
      </c>
      <c r="N184" s="187"/>
      <c r="O184" s="187"/>
      <c r="P184" s="187"/>
      <c r="Q184" s="144" t="s">
        <v>140</v>
      </c>
      <c r="R184" s="89"/>
      <c r="S184" s="89"/>
      <c r="T184" s="65" t="s">
        <v>566</v>
      </c>
      <c r="U184" s="144">
        <v>2026</v>
      </c>
      <c r="V184" s="99">
        <v>46387</v>
      </c>
      <c r="W184" s="89"/>
      <c r="X184" s="99">
        <v>46024</v>
      </c>
      <c r="Y184" s="188">
        <v>126000</v>
      </c>
      <c r="Z184" s="189"/>
      <c r="AA184" s="188">
        <f t="shared" si="22"/>
        <v>126000</v>
      </c>
      <c r="AB184" s="188"/>
      <c r="AC184" s="188">
        <f t="shared" si="20"/>
        <v>126000</v>
      </c>
      <c r="AD184" s="188">
        <f t="shared" si="21"/>
        <v>126000</v>
      </c>
      <c r="AE184" s="68" t="s">
        <v>102</v>
      </c>
      <c r="AF184" s="68"/>
      <c r="AG184" s="68"/>
      <c r="AH184" s="190"/>
      <c r="AI184" s="191"/>
      <c r="AJ184" s="190"/>
      <c r="AK184" s="192"/>
      <c r="AL184" s="190"/>
      <c r="AM184" s="193" t="s">
        <v>202</v>
      </c>
      <c r="AN184" s="194"/>
      <c r="AO184" s="195"/>
      <c r="AP184" s="31"/>
      <c r="AQ184" s="31"/>
      <c r="AR184" s="30"/>
      <c r="AS184" s="31"/>
    </row>
    <row r="185" spans="1:45" ht="30" hidden="1" customHeight="1" x14ac:dyDescent="0.25">
      <c r="A185" s="135">
        <v>2026</v>
      </c>
      <c r="B185" s="66" t="s">
        <v>67</v>
      </c>
      <c r="C185" s="65" t="s">
        <v>567</v>
      </c>
      <c r="D185" s="144" t="s">
        <v>114</v>
      </c>
      <c r="E185" s="141"/>
      <c r="F185" s="65" t="s">
        <v>568</v>
      </c>
      <c r="G185" s="144" t="s">
        <v>121</v>
      </c>
      <c r="H185" s="66" t="s">
        <v>126</v>
      </c>
      <c r="I185" s="74"/>
      <c r="J185" s="144" t="s">
        <v>132</v>
      </c>
      <c r="K185" s="144" t="s">
        <v>3</v>
      </c>
      <c r="L185" s="66" t="s">
        <v>6</v>
      </c>
      <c r="M185" s="65" t="s">
        <v>200</v>
      </c>
      <c r="N185" s="187"/>
      <c r="O185" s="187"/>
      <c r="P185" s="187"/>
      <c r="Q185" s="144" t="s">
        <v>140</v>
      </c>
      <c r="R185" s="89"/>
      <c r="S185" s="89"/>
      <c r="T185" s="65" t="s">
        <v>569</v>
      </c>
      <c r="U185" s="144">
        <v>2026</v>
      </c>
      <c r="V185" s="99">
        <v>46387</v>
      </c>
      <c r="W185" s="89"/>
      <c r="X185" s="99">
        <v>46024</v>
      </c>
      <c r="Y185" s="188">
        <v>84000</v>
      </c>
      <c r="Z185" s="189"/>
      <c r="AA185" s="188">
        <f t="shared" si="22"/>
        <v>84000</v>
      </c>
      <c r="AB185" s="188"/>
      <c r="AC185" s="188">
        <f t="shared" ref="AC185:AC216" si="23">Y185</f>
        <v>84000</v>
      </c>
      <c r="AD185" s="188">
        <f t="shared" ref="AD185:AD216" si="24">AA185</f>
        <v>84000</v>
      </c>
      <c r="AE185" s="68" t="s">
        <v>102</v>
      </c>
      <c r="AF185" s="68"/>
      <c r="AG185" s="68"/>
      <c r="AH185" s="190"/>
      <c r="AI185" s="191"/>
      <c r="AJ185" s="190"/>
      <c r="AK185" s="192"/>
      <c r="AL185" s="190"/>
      <c r="AM185" s="193" t="s">
        <v>202</v>
      </c>
      <c r="AN185" s="194"/>
      <c r="AO185" s="195"/>
      <c r="AP185" s="31"/>
      <c r="AQ185" s="31"/>
      <c r="AR185" s="30"/>
      <c r="AS185" s="31"/>
    </row>
    <row r="186" spans="1:45" ht="30" hidden="1" customHeight="1" x14ac:dyDescent="0.25">
      <c r="A186" s="135">
        <v>2026</v>
      </c>
      <c r="B186" s="66" t="s">
        <v>67</v>
      </c>
      <c r="C186" s="65" t="s">
        <v>567</v>
      </c>
      <c r="D186" s="144" t="s">
        <v>114</v>
      </c>
      <c r="E186" s="141"/>
      <c r="F186" s="65" t="s">
        <v>570</v>
      </c>
      <c r="G186" s="144" t="s">
        <v>121</v>
      </c>
      <c r="H186" s="66" t="s">
        <v>126</v>
      </c>
      <c r="I186" s="74"/>
      <c r="J186" s="144" t="s">
        <v>132</v>
      </c>
      <c r="K186" s="144" t="s">
        <v>3</v>
      </c>
      <c r="L186" s="66" t="s">
        <v>6</v>
      </c>
      <c r="M186" s="65" t="s">
        <v>200</v>
      </c>
      <c r="N186" s="187"/>
      <c r="O186" s="187"/>
      <c r="P186" s="187"/>
      <c r="Q186" s="144" t="s">
        <v>140</v>
      </c>
      <c r="R186" s="89"/>
      <c r="S186" s="89"/>
      <c r="T186" s="65" t="s">
        <v>571</v>
      </c>
      <c r="U186" s="144">
        <v>2026</v>
      </c>
      <c r="V186" s="99">
        <v>46387</v>
      </c>
      <c r="W186" s="89"/>
      <c r="X186" s="99">
        <v>46024</v>
      </c>
      <c r="Y186" s="188">
        <v>109200</v>
      </c>
      <c r="Z186" s="189"/>
      <c r="AA186" s="188">
        <f t="shared" si="22"/>
        <v>109200</v>
      </c>
      <c r="AB186" s="188"/>
      <c r="AC186" s="188">
        <f t="shared" si="23"/>
        <v>109200</v>
      </c>
      <c r="AD186" s="188">
        <f t="shared" si="24"/>
        <v>109200</v>
      </c>
      <c r="AE186" s="68" t="s">
        <v>102</v>
      </c>
      <c r="AF186" s="68"/>
      <c r="AG186" s="68"/>
      <c r="AH186" s="190"/>
      <c r="AI186" s="191"/>
      <c r="AJ186" s="190"/>
      <c r="AK186" s="192"/>
      <c r="AL186" s="190"/>
      <c r="AM186" s="193" t="s">
        <v>202</v>
      </c>
      <c r="AN186" s="194"/>
      <c r="AO186" s="195"/>
      <c r="AP186" s="31"/>
      <c r="AQ186" s="31"/>
      <c r="AR186" s="30"/>
      <c r="AS186" s="31"/>
    </row>
    <row r="187" spans="1:45" ht="30" hidden="1" customHeight="1" x14ac:dyDescent="0.25">
      <c r="A187" s="135">
        <v>2026</v>
      </c>
      <c r="B187" s="66" t="s">
        <v>67</v>
      </c>
      <c r="C187" s="65" t="s">
        <v>567</v>
      </c>
      <c r="D187" s="144" t="s">
        <v>114</v>
      </c>
      <c r="E187" s="141"/>
      <c r="F187" s="65" t="s">
        <v>572</v>
      </c>
      <c r="G187" s="144" t="s">
        <v>121</v>
      </c>
      <c r="H187" s="66" t="s">
        <v>126</v>
      </c>
      <c r="I187" s="74"/>
      <c r="J187" s="144" t="s">
        <v>132</v>
      </c>
      <c r="K187" s="144" t="s">
        <v>3</v>
      </c>
      <c r="L187" s="66" t="s">
        <v>6</v>
      </c>
      <c r="M187" s="65" t="s">
        <v>200</v>
      </c>
      <c r="N187" s="187"/>
      <c r="O187" s="187"/>
      <c r="P187" s="187"/>
      <c r="Q187" s="144" t="s">
        <v>140</v>
      </c>
      <c r="R187" s="89"/>
      <c r="S187" s="89"/>
      <c r="T187" s="65" t="s">
        <v>573</v>
      </c>
      <c r="U187" s="144">
        <v>2026</v>
      </c>
      <c r="V187" s="99">
        <v>46387</v>
      </c>
      <c r="W187" s="89"/>
      <c r="X187" s="99">
        <v>46024</v>
      </c>
      <c r="Y187" s="188">
        <v>124800</v>
      </c>
      <c r="Z187" s="189"/>
      <c r="AA187" s="188">
        <f t="shared" si="22"/>
        <v>124800</v>
      </c>
      <c r="AB187" s="188"/>
      <c r="AC187" s="188">
        <f t="shared" si="23"/>
        <v>124800</v>
      </c>
      <c r="AD187" s="188">
        <f t="shared" si="24"/>
        <v>124800</v>
      </c>
      <c r="AE187" s="68" t="s">
        <v>102</v>
      </c>
      <c r="AF187" s="68"/>
      <c r="AG187" s="68"/>
      <c r="AH187" s="190"/>
      <c r="AI187" s="191"/>
      <c r="AJ187" s="190"/>
      <c r="AK187" s="192"/>
      <c r="AL187" s="190"/>
      <c r="AM187" s="193" t="s">
        <v>202</v>
      </c>
      <c r="AN187" s="194"/>
      <c r="AO187" s="195"/>
      <c r="AP187" s="31"/>
      <c r="AQ187" s="31"/>
      <c r="AR187" s="30"/>
      <c r="AS187" s="31"/>
    </row>
    <row r="188" spans="1:45" ht="30" hidden="1" customHeight="1" x14ac:dyDescent="0.25">
      <c r="A188" s="135">
        <v>2026</v>
      </c>
      <c r="B188" s="66" t="s">
        <v>67</v>
      </c>
      <c r="C188" s="65" t="s">
        <v>567</v>
      </c>
      <c r="D188" s="144" t="s">
        <v>114</v>
      </c>
      <c r="E188" s="141"/>
      <c r="F188" s="65" t="s">
        <v>574</v>
      </c>
      <c r="G188" s="144" t="s">
        <v>121</v>
      </c>
      <c r="H188" s="66" t="s">
        <v>126</v>
      </c>
      <c r="I188" s="74"/>
      <c r="J188" s="144" t="s">
        <v>132</v>
      </c>
      <c r="K188" s="144" t="s">
        <v>3</v>
      </c>
      <c r="L188" s="66" t="s">
        <v>6</v>
      </c>
      <c r="M188" s="65" t="s">
        <v>200</v>
      </c>
      <c r="N188" s="187"/>
      <c r="O188" s="187"/>
      <c r="P188" s="187"/>
      <c r="Q188" s="144" t="s">
        <v>140</v>
      </c>
      <c r="R188" s="89"/>
      <c r="S188" s="89"/>
      <c r="T188" s="65" t="s">
        <v>575</v>
      </c>
      <c r="U188" s="144">
        <v>2026</v>
      </c>
      <c r="V188" s="99">
        <v>46387</v>
      </c>
      <c r="W188" s="89"/>
      <c r="X188" s="99">
        <v>46024</v>
      </c>
      <c r="Y188" s="188">
        <v>85800</v>
      </c>
      <c r="Z188" s="189"/>
      <c r="AA188" s="188">
        <f t="shared" si="22"/>
        <v>85800</v>
      </c>
      <c r="AB188" s="188"/>
      <c r="AC188" s="188">
        <f t="shared" si="23"/>
        <v>85800</v>
      </c>
      <c r="AD188" s="188">
        <f t="shared" si="24"/>
        <v>85800</v>
      </c>
      <c r="AE188" s="68" t="s">
        <v>102</v>
      </c>
      <c r="AF188" s="68"/>
      <c r="AG188" s="68"/>
      <c r="AH188" s="190"/>
      <c r="AI188" s="191"/>
      <c r="AJ188" s="190"/>
      <c r="AK188" s="192"/>
      <c r="AL188" s="190"/>
      <c r="AM188" s="193" t="s">
        <v>202</v>
      </c>
      <c r="AN188" s="194"/>
      <c r="AO188" s="195"/>
      <c r="AP188" s="31"/>
      <c r="AQ188" s="31"/>
      <c r="AR188" s="30"/>
      <c r="AS188" s="31"/>
    </row>
    <row r="189" spans="1:45" ht="30" hidden="1" customHeight="1" x14ac:dyDescent="0.25">
      <c r="A189" s="135">
        <v>2026</v>
      </c>
      <c r="B189" s="66" t="s">
        <v>67</v>
      </c>
      <c r="C189" s="65" t="s">
        <v>567</v>
      </c>
      <c r="D189" s="144" t="s">
        <v>114</v>
      </c>
      <c r="E189" s="141"/>
      <c r="F189" s="65" t="s">
        <v>576</v>
      </c>
      <c r="G189" s="144" t="s">
        <v>121</v>
      </c>
      <c r="H189" s="66" t="s">
        <v>126</v>
      </c>
      <c r="I189" s="74"/>
      <c r="J189" s="144" t="s">
        <v>132</v>
      </c>
      <c r="K189" s="144" t="s">
        <v>3</v>
      </c>
      <c r="L189" s="66" t="s">
        <v>6</v>
      </c>
      <c r="M189" s="65" t="s">
        <v>200</v>
      </c>
      <c r="N189" s="187"/>
      <c r="O189" s="187"/>
      <c r="P189" s="187"/>
      <c r="Q189" s="144" t="s">
        <v>140</v>
      </c>
      <c r="R189" s="89"/>
      <c r="S189" s="89"/>
      <c r="T189" s="65" t="s">
        <v>577</v>
      </c>
      <c r="U189" s="144">
        <v>2026</v>
      </c>
      <c r="V189" s="99">
        <v>46387</v>
      </c>
      <c r="W189" s="89"/>
      <c r="X189" s="99">
        <v>46024</v>
      </c>
      <c r="Y189" s="188">
        <v>109200</v>
      </c>
      <c r="Z189" s="189"/>
      <c r="AA189" s="188">
        <f t="shared" si="22"/>
        <v>109200</v>
      </c>
      <c r="AB189" s="188"/>
      <c r="AC189" s="188">
        <f t="shared" si="23"/>
        <v>109200</v>
      </c>
      <c r="AD189" s="188">
        <f t="shared" si="24"/>
        <v>109200</v>
      </c>
      <c r="AE189" s="68" t="s">
        <v>102</v>
      </c>
      <c r="AF189" s="68"/>
      <c r="AG189" s="68"/>
      <c r="AH189" s="190"/>
      <c r="AI189" s="191"/>
      <c r="AJ189" s="190"/>
      <c r="AK189" s="192"/>
      <c r="AL189" s="190"/>
      <c r="AM189" s="193" t="s">
        <v>202</v>
      </c>
      <c r="AN189" s="194"/>
      <c r="AO189" s="195"/>
      <c r="AP189" s="31"/>
      <c r="AQ189" s="31"/>
      <c r="AR189" s="30"/>
      <c r="AS189" s="31"/>
    </row>
    <row r="190" spans="1:45" ht="30" hidden="1" customHeight="1" x14ac:dyDescent="0.25">
      <c r="A190" s="135">
        <v>2026</v>
      </c>
      <c r="B190" s="66" t="s">
        <v>67</v>
      </c>
      <c r="C190" s="65" t="s">
        <v>567</v>
      </c>
      <c r="D190" s="144" t="s">
        <v>114</v>
      </c>
      <c r="E190" s="141"/>
      <c r="F190" s="65" t="s">
        <v>578</v>
      </c>
      <c r="G190" s="144" t="s">
        <v>121</v>
      </c>
      <c r="H190" s="66" t="s">
        <v>126</v>
      </c>
      <c r="I190" s="74"/>
      <c r="J190" s="144" t="s">
        <v>132</v>
      </c>
      <c r="K190" s="144" t="s">
        <v>3</v>
      </c>
      <c r="L190" s="66" t="s">
        <v>6</v>
      </c>
      <c r="M190" s="65" t="s">
        <v>200</v>
      </c>
      <c r="N190" s="187"/>
      <c r="O190" s="187"/>
      <c r="P190" s="187"/>
      <c r="Q190" s="144" t="s">
        <v>140</v>
      </c>
      <c r="R190" s="89"/>
      <c r="S190" s="89"/>
      <c r="T190" s="65" t="s">
        <v>579</v>
      </c>
      <c r="U190" s="144">
        <v>2026</v>
      </c>
      <c r="V190" s="99">
        <v>46387</v>
      </c>
      <c r="W190" s="89"/>
      <c r="X190" s="99">
        <v>46024</v>
      </c>
      <c r="Y190" s="188">
        <v>78000</v>
      </c>
      <c r="Z190" s="189"/>
      <c r="AA190" s="188">
        <f t="shared" si="22"/>
        <v>78000</v>
      </c>
      <c r="AB190" s="188"/>
      <c r="AC190" s="188">
        <f t="shared" si="23"/>
        <v>78000</v>
      </c>
      <c r="AD190" s="188">
        <f t="shared" si="24"/>
        <v>78000</v>
      </c>
      <c r="AE190" s="68" t="s">
        <v>102</v>
      </c>
      <c r="AF190" s="68"/>
      <c r="AG190" s="68"/>
      <c r="AH190" s="190"/>
      <c r="AI190" s="191"/>
      <c r="AJ190" s="190"/>
      <c r="AK190" s="192"/>
      <c r="AL190" s="190"/>
      <c r="AM190" s="193" t="s">
        <v>202</v>
      </c>
      <c r="AN190" s="194"/>
      <c r="AO190" s="195"/>
      <c r="AP190" s="31"/>
      <c r="AQ190" s="31"/>
      <c r="AR190" s="30"/>
      <c r="AS190" s="31"/>
    </row>
    <row r="191" spans="1:45" ht="30" hidden="1" customHeight="1" x14ac:dyDescent="0.25">
      <c r="A191" s="135">
        <v>2026</v>
      </c>
      <c r="B191" s="66" t="s">
        <v>67</v>
      </c>
      <c r="C191" s="65" t="s">
        <v>567</v>
      </c>
      <c r="D191" s="144" t="s">
        <v>114</v>
      </c>
      <c r="E191" s="141"/>
      <c r="F191" s="65" t="s">
        <v>580</v>
      </c>
      <c r="G191" s="144" t="s">
        <v>121</v>
      </c>
      <c r="H191" s="66" t="s">
        <v>126</v>
      </c>
      <c r="I191" s="74"/>
      <c r="J191" s="144" t="s">
        <v>132</v>
      </c>
      <c r="K191" s="144" t="s">
        <v>3</v>
      </c>
      <c r="L191" s="66" t="s">
        <v>6</v>
      </c>
      <c r="M191" s="65" t="s">
        <v>200</v>
      </c>
      <c r="N191" s="187"/>
      <c r="O191" s="187"/>
      <c r="P191" s="187"/>
      <c r="Q191" s="144" t="s">
        <v>140</v>
      </c>
      <c r="R191" s="89"/>
      <c r="S191" s="89"/>
      <c r="T191" s="65" t="s">
        <v>581</v>
      </c>
      <c r="U191" s="144">
        <v>2026</v>
      </c>
      <c r="V191" s="99">
        <v>46387</v>
      </c>
      <c r="W191" s="89"/>
      <c r="X191" s="99">
        <v>46024</v>
      </c>
      <c r="Y191" s="188">
        <v>62400</v>
      </c>
      <c r="Z191" s="189"/>
      <c r="AA191" s="188">
        <f t="shared" si="22"/>
        <v>62400</v>
      </c>
      <c r="AB191" s="188"/>
      <c r="AC191" s="188">
        <f t="shared" si="23"/>
        <v>62400</v>
      </c>
      <c r="AD191" s="188">
        <f t="shared" si="24"/>
        <v>62400</v>
      </c>
      <c r="AE191" s="68" t="s">
        <v>102</v>
      </c>
      <c r="AF191" s="68"/>
      <c r="AG191" s="68"/>
      <c r="AH191" s="190"/>
      <c r="AI191" s="191"/>
      <c r="AJ191" s="190"/>
      <c r="AK191" s="192"/>
      <c r="AL191" s="190"/>
      <c r="AM191" s="193" t="s">
        <v>202</v>
      </c>
      <c r="AN191" s="194"/>
      <c r="AO191" s="195"/>
      <c r="AP191" s="31"/>
      <c r="AQ191" s="31"/>
      <c r="AR191" s="30"/>
      <c r="AS191" s="31"/>
    </row>
    <row r="192" spans="1:45" ht="30" hidden="1" customHeight="1" x14ac:dyDescent="0.25">
      <c r="A192" s="135">
        <v>2026</v>
      </c>
      <c r="B192" s="66" t="s">
        <v>67</v>
      </c>
      <c r="C192" s="65" t="s">
        <v>567</v>
      </c>
      <c r="D192" s="144" t="s">
        <v>114</v>
      </c>
      <c r="E192" s="141"/>
      <c r="F192" s="65" t="s">
        <v>582</v>
      </c>
      <c r="G192" s="144" t="s">
        <v>121</v>
      </c>
      <c r="H192" s="66" t="s">
        <v>126</v>
      </c>
      <c r="I192" s="74"/>
      <c r="J192" s="144" t="s">
        <v>132</v>
      </c>
      <c r="K192" s="144" t="s">
        <v>3</v>
      </c>
      <c r="L192" s="66" t="s">
        <v>6</v>
      </c>
      <c r="M192" s="65" t="s">
        <v>200</v>
      </c>
      <c r="N192" s="187"/>
      <c r="O192" s="187"/>
      <c r="P192" s="187"/>
      <c r="Q192" s="144" t="s">
        <v>140</v>
      </c>
      <c r="R192" s="89"/>
      <c r="S192" s="89"/>
      <c r="T192" s="65" t="s">
        <v>583</v>
      </c>
      <c r="U192" s="144">
        <v>2026</v>
      </c>
      <c r="V192" s="99">
        <v>46387</v>
      </c>
      <c r="W192" s="89"/>
      <c r="X192" s="99">
        <v>46024</v>
      </c>
      <c r="Y192" s="188">
        <v>72000</v>
      </c>
      <c r="Z192" s="189"/>
      <c r="AA192" s="188">
        <f t="shared" si="22"/>
        <v>72000</v>
      </c>
      <c r="AB192" s="188"/>
      <c r="AC192" s="188">
        <f t="shared" si="23"/>
        <v>72000</v>
      </c>
      <c r="AD192" s="188">
        <f t="shared" si="24"/>
        <v>72000</v>
      </c>
      <c r="AE192" s="68" t="s">
        <v>102</v>
      </c>
      <c r="AF192" s="68"/>
      <c r="AG192" s="68"/>
      <c r="AH192" s="190"/>
      <c r="AI192" s="191"/>
      <c r="AJ192" s="190"/>
      <c r="AK192" s="192"/>
      <c r="AL192" s="190"/>
      <c r="AM192" s="193" t="s">
        <v>202</v>
      </c>
      <c r="AN192" s="194"/>
      <c r="AO192" s="195"/>
      <c r="AP192" s="31"/>
      <c r="AQ192" s="31"/>
      <c r="AR192" s="30"/>
      <c r="AS192" s="31"/>
    </row>
    <row r="193" spans="1:45" ht="30" hidden="1" customHeight="1" x14ac:dyDescent="0.25">
      <c r="A193" s="135">
        <v>2026</v>
      </c>
      <c r="B193" s="66" t="s">
        <v>67</v>
      </c>
      <c r="C193" s="65" t="s">
        <v>567</v>
      </c>
      <c r="D193" s="144" t="s">
        <v>114</v>
      </c>
      <c r="E193" s="141"/>
      <c r="F193" s="65" t="s">
        <v>584</v>
      </c>
      <c r="G193" s="144" t="s">
        <v>121</v>
      </c>
      <c r="H193" s="66" t="s">
        <v>126</v>
      </c>
      <c r="I193" s="74"/>
      <c r="J193" s="144" t="s">
        <v>132</v>
      </c>
      <c r="K193" s="144" t="s">
        <v>3</v>
      </c>
      <c r="L193" s="66" t="s">
        <v>6</v>
      </c>
      <c r="M193" s="65" t="s">
        <v>200</v>
      </c>
      <c r="N193" s="187"/>
      <c r="O193" s="187"/>
      <c r="P193" s="187"/>
      <c r="Q193" s="144" t="s">
        <v>140</v>
      </c>
      <c r="R193" s="89"/>
      <c r="S193" s="89"/>
      <c r="T193" s="65" t="s">
        <v>585</v>
      </c>
      <c r="U193" s="144">
        <v>2026</v>
      </c>
      <c r="V193" s="99">
        <v>46387</v>
      </c>
      <c r="W193" s="89"/>
      <c r="X193" s="99">
        <v>46024</v>
      </c>
      <c r="Y193" s="188">
        <v>90000</v>
      </c>
      <c r="Z193" s="189"/>
      <c r="AA193" s="188">
        <f t="shared" si="22"/>
        <v>90000</v>
      </c>
      <c r="AB193" s="188"/>
      <c r="AC193" s="188">
        <f t="shared" si="23"/>
        <v>90000</v>
      </c>
      <c r="AD193" s="188">
        <f t="shared" si="24"/>
        <v>90000</v>
      </c>
      <c r="AE193" s="68" t="s">
        <v>102</v>
      </c>
      <c r="AF193" s="68"/>
      <c r="AG193" s="68"/>
      <c r="AH193" s="190"/>
      <c r="AI193" s="191"/>
      <c r="AJ193" s="190"/>
      <c r="AK193" s="192"/>
      <c r="AL193" s="190"/>
      <c r="AM193" s="193" t="s">
        <v>202</v>
      </c>
      <c r="AN193" s="194"/>
      <c r="AO193" s="195"/>
      <c r="AP193" s="31"/>
      <c r="AQ193" s="31"/>
      <c r="AR193" s="30"/>
      <c r="AS193" s="31"/>
    </row>
    <row r="194" spans="1:45" ht="30" hidden="1" customHeight="1" x14ac:dyDescent="0.25">
      <c r="A194" s="135">
        <v>2026</v>
      </c>
      <c r="B194" s="66" t="s">
        <v>67</v>
      </c>
      <c r="C194" s="65" t="s">
        <v>567</v>
      </c>
      <c r="D194" s="144" t="s">
        <v>114</v>
      </c>
      <c r="E194" s="141"/>
      <c r="F194" s="65" t="s">
        <v>586</v>
      </c>
      <c r="G194" s="144" t="s">
        <v>121</v>
      </c>
      <c r="H194" s="66" t="s">
        <v>126</v>
      </c>
      <c r="I194" s="74"/>
      <c r="J194" s="144" t="s">
        <v>132</v>
      </c>
      <c r="K194" s="144" t="s">
        <v>3</v>
      </c>
      <c r="L194" s="66" t="s">
        <v>6</v>
      </c>
      <c r="M194" s="65" t="s">
        <v>200</v>
      </c>
      <c r="N194" s="187"/>
      <c r="O194" s="187"/>
      <c r="P194" s="187"/>
      <c r="Q194" s="144" t="s">
        <v>140</v>
      </c>
      <c r="R194" s="89"/>
      <c r="S194" s="89"/>
      <c r="T194" s="65" t="s">
        <v>587</v>
      </c>
      <c r="U194" s="144">
        <v>2026</v>
      </c>
      <c r="V194" s="99">
        <v>46387</v>
      </c>
      <c r="W194" s="89"/>
      <c r="X194" s="99">
        <v>46024</v>
      </c>
      <c r="Y194" s="188">
        <v>84000</v>
      </c>
      <c r="Z194" s="189"/>
      <c r="AA194" s="188">
        <f t="shared" si="22"/>
        <v>84000</v>
      </c>
      <c r="AB194" s="188"/>
      <c r="AC194" s="188">
        <f t="shared" si="23"/>
        <v>84000</v>
      </c>
      <c r="AD194" s="188">
        <f t="shared" si="24"/>
        <v>84000</v>
      </c>
      <c r="AE194" s="68" t="s">
        <v>102</v>
      </c>
      <c r="AF194" s="68"/>
      <c r="AG194" s="68"/>
      <c r="AH194" s="190"/>
      <c r="AI194" s="191"/>
      <c r="AJ194" s="190"/>
      <c r="AK194" s="192"/>
      <c r="AL194" s="190"/>
      <c r="AM194" s="193" t="s">
        <v>202</v>
      </c>
      <c r="AN194" s="194"/>
      <c r="AO194" s="195"/>
      <c r="AP194" s="31"/>
      <c r="AQ194" s="31"/>
      <c r="AR194" s="30"/>
      <c r="AS194" s="31"/>
    </row>
    <row r="195" spans="1:45" ht="30" hidden="1" customHeight="1" x14ac:dyDescent="0.25">
      <c r="A195" s="135">
        <v>2026</v>
      </c>
      <c r="B195" s="66" t="s">
        <v>67</v>
      </c>
      <c r="C195" s="65" t="s">
        <v>567</v>
      </c>
      <c r="D195" s="144" t="s">
        <v>114</v>
      </c>
      <c r="E195" s="141"/>
      <c r="F195" s="65" t="s">
        <v>588</v>
      </c>
      <c r="G195" s="144" t="s">
        <v>121</v>
      </c>
      <c r="H195" s="66" t="s">
        <v>126</v>
      </c>
      <c r="I195" s="74"/>
      <c r="J195" s="144" t="s">
        <v>132</v>
      </c>
      <c r="K195" s="144" t="s">
        <v>3</v>
      </c>
      <c r="L195" s="66" t="s">
        <v>6</v>
      </c>
      <c r="M195" s="65" t="s">
        <v>200</v>
      </c>
      <c r="N195" s="187"/>
      <c r="O195" s="187"/>
      <c r="P195" s="187"/>
      <c r="Q195" s="144" t="s">
        <v>140</v>
      </c>
      <c r="R195" s="89"/>
      <c r="S195" s="89"/>
      <c r="T195" s="65" t="s">
        <v>589</v>
      </c>
      <c r="U195" s="144">
        <v>2026</v>
      </c>
      <c r="V195" s="99">
        <v>46387</v>
      </c>
      <c r="W195" s="89"/>
      <c r="X195" s="99">
        <v>46024</v>
      </c>
      <c r="Y195" s="188">
        <v>84000</v>
      </c>
      <c r="Z195" s="189"/>
      <c r="AA195" s="188">
        <f t="shared" si="22"/>
        <v>84000</v>
      </c>
      <c r="AB195" s="188"/>
      <c r="AC195" s="188">
        <f t="shared" si="23"/>
        <v>84000</v>
      </c>
      <c r="AD195" s="188">
        <f t="shared" si="24"/>
        <v>84000</v>
      </c>
      <c r="AE195" s="68" t="s">
        <v>102</v>
      </c>
      <c r="AF195" s="68"/>
      <c r="AG195" s="68"/>
      <c r="AH195" s="190"/>
      <c r="AI195" s="191"/>
      <c r="AJ195" s="190"/>
      <c r="AK195" s="192"/>
      <c r="AL195" s="190"/>
      <c r="AM195" s="193" t="s">
        <v>202</v>
      </c>
      <c r="AN195" s="194"/>
      <c r="AO195" s="195"/>
      <c r="AP195" s="31"/>
      <c r="AQ195" s="31"/>
      <c r="AR195" s="30"/>
      <c r="AS195" s="31"/>
    </row>
    <row r="196" spans="1:45" ht="30" hidden="1" customHeight="1" x14ac:dyDescent="0.25">
      <c r="A196" s="135">
        <v>2026</v>
      </c>
      <c r="B196" s="66" t="s">
        <v>67</v>
      </c>
      <c r="C196" s="65" t="s">
        <v>567</v>
      </c>
      <c r="D196" s="144" t="s">
        <v>114</v>
      </c>
      <c r="E196" s="141"/>
      <c r="F196" s="65" t="s">
        <v>590</v>
      </c>
      <c r="G196" s="144" t="s">
        <v>121</v>
      </c>
      <c r="H196" s="66" t="s">
        <v>126</v>
      </c>
      <c r="I196" s="74"/>
      <c r="J196" s="144" t="s">
        <v>132</v>
      </c>
      <c r="K196" s="144" t="s">
        <v>3</v>
      </c>
      <c r="L196" s="66" t="s">
        <v>6</v>
      </c>
      <c r="M196" s="65" t="s">
        <v>200</v>
      </c>
      <c r="N196" s="187"/>
      <c r="O196" s="187"/>
      <c r="P196" s="187"/>
      <c r="Q196" s="144" t="s">
        <v>140</v>
      </c>
      <c r="R196" s="89"/>
      <c r="S196" s="89"/>
      <c r="T196" s="65" t="s">
        <v>591</v>
      </c>
      <c r="U196" s="144">
        <v>2026</v>
      </c>
      <c r="V196" s="99">
        <v>46387</v>
      </c>
      <c r="W196" s="89"/>
      <c r="X196" s="99">
        <v>46024</v>
      </c>
      <c r="Y196" s="188">
        <v>96000</v>
      </c>
      <c r="Z196" s="189"/>
      <c r="AA196" s="188">
        <f t="shared" si="22"/>
        <v>96000</v>
      </c>
      <c r="AB196" s="188"/>
      <c r="AC196" s="188">
        <f t="shared" si="23"/>
        <v>96000</v>
      </c>
      <c r="AD196" s="188">
        <f t="shared" si="24"/>
        <v>96000</v>
      </c>
      <c r="AE196" s="68" t="s">
        <v>102</v>
      </c>
      <c r="AF196" s="68"/>
      <c r="AG196" s="68"/>
      <c r="AH196" s="190"/>
      <c r="AI196" s="191"/>
      <c r="AJ196" s="190"/>
      <c r="AK196" s="192"/>
      <c r="AL196" s="190"/>
      <c r="AM196" s="193" t="s">
        <v>202</v>
      </c>
      <c r="AN196" s="194"/>
      <c r="AO196" s="195"/>
      <c r="AP196" s="31"/>
      <c r="AQ196" s="31"/>
      <c r="AR196" s="30"/>
      <c r="AS196" s="31"/>
    </row>
    <row r="197" spans="1:45" ht="30" hidden="1" customHeight="1" x14ac:dyDescent="0.25">
      <c r="A197" s="135">
        <v>2026</v>
      </c>
      <c r="B197" s="66" t="s">
        <v>67</v>
      </c>
      <c r="C197" s="65" t="s">
        <v>567</v>
      </c>
      <c r="D197" s="144" t="s">
        <v>114</v>
      </c>
      <c r="E197" s="141"/>
      <c r="F197" s="65" t="s">
        <v>592</v>
      </c>
      <c r="G197" s="144" t="s">
        <v>121</v>
      </c>
      <c r="H197" s="66" t="s">
        <v>126</v>
      </c>
      <c r="I197" s="74"/>
      <c r="J197" s="144" t="s">
        <v>132</v>
      </c>
      <c r="K197" s="144" t="s">
        <v>3</v>
      </c>
      <c r="L197" s="66" t="s">
        <v>6</v>
      </c>
      <c r="M197" s="65" t="s">
        <v>200</v>
      </c>
      <c r="N197" s="187"/>
      <c r="O197" s="187"/>
      <c r="P197" s="187"/>
      <c r="Q197" s="144" t="s">
        <v>140</v>
      </c>
      <c r="R197" s="89"/>
      <c r="S197" s="89"/>
      <c r="T197" s="65" t="s">
        <v>593</v>
      </c>
      <c r="U197" s="144">
        <v>2026</v>
      </c>
      <c r="V197" s="99">
        <v>46387</v>
      </c>
      <c r="W197" s="89"/>
      <c r="X197" s="99">
        <v>46024</v>
      </c>
      <c r="Y197" s="188">
        <v>108000</v>
      </c>
      <c r="Z197" s="189"/>
      <c r="AA197" s="188">
        <f t="shared" si="22"/>
        <v>108000</v>
      </c>
      <c r="AB197" s="188"/>
      <c r="AC197" s="188">
        <f t="shared" si="23"/>
        <v>108000</v>
      </c>
      <c r="AD197" s="188">
        <f t="shared" si="24"/>
        <v>108000</v>
      </c>
      <c r="AE197" s="68" t="s">
        <v>102</v>
      </c>
      <c r="AF197" s="68"/>
      <c r="AG197" s="68"/>
      <c r="AH197" s="190"/>
      <c r="AI197" s="191"/>
      <c r="AJ197" s="190"/>
      <c r="AK197" s="192"/>
      <c r="AL197" s="190"/>
      <c r="AM197" s="193" t="s">
        <v>202</v>
      </c>
      <c r="AN197" s="194"/>
      <c r="AO197" s="195"/>
      <c r="AP197" s="31"/>
      <c r="AQ197" s="31"/>
      <c r="AR197" s="30"/>
      <c r="AS197" s="31"/>
    </row>
    <row r="198" spans="1:45" ht="30" hidden="1" customHeight="1" x14ac:dyDescent="0.25">
      <c r="A198" s="135">
        <v>2026</v>
      </c>
      <c r="B198" s="66" t="s">
        <v>67</v>
      </c>
      <c r="C198" s="65" t="s">
        <v>567</v>
      </c>
      <c r="D198" s="144" t="s">
        <v>114</v>
      </c>
      <c r="E198" s="141"/>
      <c r="F198" s="65" t="s">
        <v>594</v>
      </c>
      <c r="G198" s="144" t="s">
        <v>121</v>
      </c>
      <c r="H198" s="66" t="s">
        <v>126</v>
      </c>
      <c r="I198" s="74"/>
      <c r="J198" s="144" t="s">
        <v>132</v>
      </c>
      <c r="K198" s="144" t="s">
        <v>3</v>
      </c>
      <c r="L198" s="66" t="s">
        <v>6</v>
      </c>
      <c r="M198" s="65" t="s">
        <v>200</v>
      </c>
      <c r="N198" s="187"/>
      <c r="O198" s="187"/>
      <c r="P198" s="187"/>
      <c r="Q198" s="144" t="s">
        <v>140</v>
      </c>
      <c r="R198" s="89"/>
      <c r="S198" s="89"/>
      <c r="T198" s="65" t="s">
        <v>595</v>
      </c>
      <c r="U198" s="144">
        <v>2026</v>
      </c>
      <c r="V198" s="99">
        <v>46387</v>
      </c>
      <c r="W198" s="89"/>
      <c r="X198" s="99">
        <v>46024</v>
      </c>
      <c r="Y198" s="188">
        <v>78000</v>
      </c>
      <c r="Z198" s="189"/>
      <c r="AA198" s="188">
        <f t="shared" si="22"/>
        <v>78000</v>
      </c>
      <c r="AB198" s="188"/>
      <c r="AC198" s="188">
        <f t="shared" si="23"/>
        <v>78000</v>
      </c>
      <c r="AD198" s="188">
        <f t="shared" si="24"/>
        <v>78000</v>
      </c>
      <c r="AE198" s="68" t="s">
        <v>102</v>
      </c>
      <c r="AF198" s="68"/>
      <c r="AG198" s="68"/>
      <c r="AH198" s="190"/>
      <c r="AI198" s="191"/>
      <c r="AJ198" s="190"/>
      <c r="AK198" s="192"/>
      <c r="AL198" s="190"/>
      <c r="AM198" s="193" t="s">
        <v>202</v>
      </c>
      <c r="AN198" s="194"/>
      <c r="AO198" s="195"/>
      <c r="AP198" s="31"/>
      <c r="AQ198" s="31"/>
      <c r="AR198" s="30"/>
      <c r="AS198" s="31"/>
    </row>
    <row r="199" spans="1:45" ht="30" hidden="1" customHeight="1" x14ac:dyDescent="0.25">
      <c r="A199" s="135">
        <v>2026</v>
      </c>
      <c r="B199" s="66" t="s">
        <v>67</v>
      </c>
      <c r="C199" s="65" t="s">
        <v>567</v>
      </c>
      <c r="D199" s="144" t="s">
        <v>114</v>
      </c>
      <c r="E199" s="141"/>
      <c r="F199" s="65" t="s">
        <v>596</v>
      </c>
      <c r="G199" s="144" t="s">
        <v>121</v>
      </c>
      <c r="H199" s="66" t="s">
        <v>126</v>
      </c>
      <c r="I199" s="74"/>
      <c r="J199" s="144" t="s">
        <v>132</v>
      </c>
      <c r="K199" s="144" t="s">
        <v>3</v>
      </c>
      <c r="L199" s="66" t="s">
        <v>6</v>
      </c>
      <c r="M199" s="65" t="s">
        <v>200</v>
      </c>
      <c r="N199" s="187"/>
      <c r="O199" s="187"/>
      <c r="P199" s="187"/>
      <c r="Q199" s="144" t="s">
        <v>140</v>
      </c>
      <c r="R199" s="89"/>
      <c r="S199" s="89"/>
      <c r="T199" s="65" t="s">
        <v>597</v>
      </c>
      <c r="U199" s="144">
        <v>2026</v>
      </c>
      <c r="V199" s="99">
        <v>46387</v>
      </c>
      <c r="W199" s="89"/>
      <c r="X199" s="99">
        <v>46024</v>
      </c>
      <c r="Y199" s="188">
        <v>84000</v>
      </c>
      <c r="Z199" s="189"/>
      <c r="AA199" s="188">
        <f t="shared" ref="AA199:AA234" si="25">Y199</f>
        <v>84000</v>
      </c>
      <c r="AB199" s="188"/>
      <c r="AC199" s="188">
        <f t="shared" si="23"/>
        <v>84000</v>
      </c>
      <c r="AD199" s="188">
        <f t="shared" si="24"/>
        <v>84000</v>
      </c>
      <c r="AE199" s="68" t="s">
        <v>102</v>
      </c>
      <c r="AF199" s="68"/>
      <c r="AG199" s="68"/>
      <c r="AH199" s="190"/>
      <c r="AI199" s="191"/>
      <c r="AJ199" s="190"/>
      <c r="AK199" s="192"/>
      <c r="AL199" s="190"/>
      <c r="AM199" s="193" t="s">
        <v>202</v>
      </c>
      <c r="AN199" s="194"/>
      <c r="AO199" s="195"/>
      <c r="AP199" s="31"/>
      <c r="AQ199" s="31"/>
      <c r="AR199" s="30"/>
      <c r="AS199" s="31"/>
    </row>
    <row r="200" spans="1:45" ht="30" hidden="1" customHeight="1" x14ac:dyDescent="0.25">
      <c r="A200" s="135">
        <v>2026</v>
      </c>
      <c r="B200" s="66" t="s">
        <v>67</v>
      </c>
      <c r="C200" s="65" t="s">
        <v>567</v>
      </c>
      <c r="D200" s="144" t="s">
        <v>114</v>
      </c>
      <c r="E200" s="141"/>
      <c r="F200" s="65" t="s">
        <v>598</v>
      </c>
      <c r="G200" s="144" t="s">
        <v>121</v>
      </c>
      <c r="H200" s="66" t="s">
        <v>126</v>
      </c>
      <c r="I200" s="74"/>
      <c r="J200" s="144" t="s">
        <v>132</v>
      </c>
      <c r="K200" s="144" t="s">
        <v>3</v>
      </c>
      <c r="L200" s="66" t="s">
        <v>6</v>
      </c>
      <c r="M200" s="65" t="s">
        <v>200</v>
      </c>
      <c r="N200" s="187"/>
      <c r="O200" s="187"/>
      <c r="P200" s="187"/>
      <c r="Q200" s="144" t="s">
        <v>140</v>
      </c>
      <c r="R200" s="89"/>
      <c r="S200" s="89"/>
      <c r="T200" s="65" t="s">
        <v>599</v>
      </c>
      <c r="U200" s="144">
        <v>2026</v>
      </c>
      <c r="V200" s="99">
        <v>46387</v>
      </c>
      <c r="W200" s="89"/>
      <c r="X200" s="99">
        <v>46024</v>
      </c>
      <c r="Y200" s="188">
        <v>96000</v>
      </c>
      <c r="Z200" s="189"/>
      <c r="AA200" s="188">
        <f t="shared" si="25"/>
        <v>96000</v>
      </c>
      <c r="AB200" s="188"/>
      <c r="AC200" s="188">
        <f t="shared" si="23"/>
        <v>96000</v>
      </c>
      <c r="AD200" s="188">
        <f t="shared" si="24"/>
        <v>96000</v>
      </c>
      <c r="AE200" s="68" t="s">
        <v>102</v>
      </c>
      <c r="AF200" s="68"/>
      <c r="AG200" s="68"/>
      <c r="AH200" s="190"/>
      <c r="AI200" s="191"/>
      <c r="AJ200" s="190"/>
      <c r="AK200" s="192"/>
      <c r="AL200" s="190"/>
      <c r="AM200" s="193" t="s">
        <v>202</v>
      </c>
      <c r="AN200" s="194"/>
      <c r="AO200" s="195"/>
      <c r="AP200" s="31"/>
      <c r="AQ200" s="31"/>
      <c r="AR200" s="30"/>
      <c r="AS200" s="31"/>
    </row>
    <row r="201" spans="1:45" ht="30" hidden="1" customHeight="1" x14ac:dyDescent="0.25">
      <c r="A201" s="135">
        <v>2026</v>
      </c>
      <c r="B201" s="66" t="s">
        <v>67</v>
      </c>
      <c r="C201" s="65" t="s">
        <v>567</v>
      </c>
      <c r="D201" s="144" t="s">
        <v>114</v>
      </c>
      <c r="E201" s="141"/>
      <c r="F201" s="65" t="s">
        <v>600</v>
      </c>
      <c r="G201" s="144" t="s">
        <v>121</v>
      </c>
      <c r="H201" s="66" t="s">
        <v>126</v>
      </c>
      <c r="I201" s="74"/>
      <c r="J201" s="144" t="s">
        <v>132</v>
      </c>
      <c r="K201" s="144" t="s">
        <v>3</v>
      </c>
      <c r="L201" s="66" t="s">
        <v>6</v>
      </c>
      <c r="M201" s="65" t="s">
        <v>200</v>
      </c>
      <c r="N201" s="187"/>
      <c r="O201" s="187"/>
      <c r="P201" s="187"/>
      <c r="Q201" s="144" t="s">
        <v>140</v>
      </c>
      <c r="R201" s="89"/>
      <c r="S201" s="89"/>
      <c r="T201" s="65" t="s">
        <v>601</v>
      </c>
      <c r="U201" s="144">
        <v>2026</v>
      </c>
      <c r="V201" s="99">
        <v>46387</v>
      </c>
      <c r="W201" s="89"/>
      <c r="X201" s="99">
        <v>46024</v>
      </c>
      <c r="Y201" s="188">
        <v>96000</v>
      </c>
      <c r="Z201" s="189"/>
      <c r="AA201" s="188">
        <f t="shared" si="25"/>
        <v>96000</v>
      </c>
      <c r="AB201" s="188"/>
      <c r="AC201" s="188">
        <f t="shared" si="23"/>
        <v>96000</v>
      </c>
      <c r="AD201" s="188">
        <f t="shared" si="24"/>
        <v>96000</v>
      </c>
      <c r="AE201" s="68" t="s">
        <v>102</v>
      </c>
      <c r="AF201" s="68"/>
      <c r="AG201" s="68"/>
      <c r="AH201" s="190"/>
      <c r="AI201" s="191"/>
      <c r="AJ201" s="190"/>
      <c r="AK201" s="192"/>
      <c r="AL201" s="190"/>
      <c r="AM201" s="193" t="s">
        <v>202</v>
      </c>
      <c r="AN201" s="194"/>
      <c r="AO201" s="195"/>
      <c r="AP201" s="31"/>
      <c r="AQ201" s="31"/>
      <c r="AR201" s="30"/>
      <c r="AS201" s="31"/>
    </row>
    <row r="202" spans="1:45" ht="30" hidden="1" customHeight="1" x14ac:dyDescent="0.25">
      <c r="A202" s="135">
        <v>2026</v>
      </c>
      <c r="B202" s="66" t="s">
        <v>67</v>
      </c>
      <c r="C202" s="65" t="s">
        <v>567</v>
      </c>
      <c r="D202" s="144" t="s">
        <v>114</v>
      </c>
      <c r="E202" s="141"/>
      <c r="F202" s="65" t="s">
        <v>602</v>
      </c>
      <c r="G202" s="144" t="s">
        <v>121</v>
      </c>
      <c r="H202" s="66" t="s">
        <v>126</v>
      </c>
      <c r="I202" s="74"/>
      <c r="J202" s="144" t="s">
        <v>132</v>
      </c>
      <c r="K202" s="144" t="s">
        <v>3</v>
      </c>
      <c r="L202" s="66" t="s">
        <v>6</v>
      </c>
      <c r="M202" s="65" t="s">
        <v>200</v>
      </c>
      <c r="N202" s="187"/>
      <c r="O202" s="187"/>
      <c r="P202" s="187"/>
      <c r="Q202" s="144" t="s">
        <v>140</v>
      </c>
      <c r="R202" s="89"/>
      <c r="S202" s="89"/>
      <c r="T202" s="65" t="s">
        <v>603</v>
      </c>
      <c r="U202" s="144">
        <v>2026</v>
      </c>
      <c r="V202" s="99">
        <v>46387</v>
      </c>
      <c r="W202" s="89"/>
      <c r="X202" s="99">
        <v>46024</v>
      </c>
      <c r="Y202" s="188">
        <v>72000</v>
      </c>
      <c r="Z202" s="189"/>
      <c r="AA202" s="188">
        <f t="shared" si="25"/>
        <v>72000</v>
      </c>
      <c r="AB202" s="188"/>
      <c r="AC202" s="188">
        <f t="shared" si="23"/>
        <v>72000</v>
      </c>
      <c r="AD202" s="188">
        <f t="shared" si="24"/>
        <v>72000</v>
      </c>
      <c r="AE202" s="68" t="s">
        <v>102</v>
      </c>
      <c r="AF202" s="68"/>
      <c r="AG202" s="68"/>
      <c r="AH202" s="190"/>
      <c r="AI202" s="191"/>
      <c r="AJ202" s="190"/>
      <c r="AK202" s="192"/>
      <c r="AL202" s="190"/>
      <c r="AM202" s="193" t="s">
        <v>202</v>
      </c>
      <c r="AN202" s="194"/>
      <c r="AO202" s="195"/>
      <c r="AP202" s="31"/>
      <c r="AQ202" s="31"/>
      <c r="AR202" s="30"/>
      <c r="AS202" s="31"/>
    </row>
    <row r="203" spans="1:45" ht="30" hidden="1" customHeight="1" x14ac:dyDescent="0.25">
      <c r="A203" s="135">
        <v>2026</v>
      </c>
      <c r="B203" s="66" t="s">
        <v>67</v>
      </c>
      <c r="C203" s="65" t="s">
        <v>567</v>
      </c>
      <c r="D203" s="144" t="s">
        <v>114</v>
      </c>
      <c r="E203" s="141"/>
      <c r="F203" s="65" t="s">
        <v>604</v>
      </c>
      <c r="G203" s="144" t="s">
        <v>121</v>
      </c>
      <c r="H203" s="66" t="s">
        <v>126</v>
      </c>
      <c r="I203" s="74"/>
      <c r="J203" s="144" t="s">
        <v>132</v>
      </c>
      <c r="K203" s="144" t="s">
        <v>3</v>
      </c>
      <c r="L203" s="66" t="s">
        <v>6</v>
      </c>
      <c r="M203" s="65" t="s">
        <v>200</v>
      </c>
      <c r="N203" s="187"/>
      <c r="O203" s="187"/>
      <c r="P203" s="187"/>
      <c r="Q203" s="144" t="s">
        <v>140</v>
      </c>
      <c r="R203" s="89"/>
      <c r="S203" s="89"/>
      <c r="T203" s="65" t="s">
        <v>605</v>
      </c>
      <c r="U203" s="144">
        <v>2026</v>
      </c>
      <c r="V203" s="99">
        <v>46387</v>
      </c>
      <c r="W203" s="89"/>
      <c r="X203" s="99">
        <v>46024</v>
      </c>
      <c r="Y203" s="188">
        <v>72000</v>
      </c>
      <c r="Z203" s="189"/>
      <c r="AA203" s="188">
        <f t="shared" si="25"/>
        <v>72000</v>
      </c>
      <c r="AB203" s="188"/>
      <c r="AC203" s="188">
        <f t="shared" si="23"/>
        <v>72000</v>
      </c>
      <c r="AD203" s="188">
        <f t="shared" si="24"/>
        <v>72000</v>
      </c>
      <c r="AE203" s="68" t="s">
        <v>102</v>
      </c>
      <c r="AF203" s="68"/>
      <c r="AG203" s="68"/>
      <c r="AH203" s="190"/>
      <c r="AI203" s="191"/>
      <c r="AJ203" s="190"/>
      <c r="AK203" s="192"/>
      <c r="AL203" s="190"/>
      <c r="AM203" s="193" t="s">
        <v>202</v>
      </c>
      <c r="AN203" s="194"/>
      <c r="AO203" s="195"/>
      <c r="AP203" s="31"/>
      <c r="AQ203" s="31"/>
      <c r="AR203" s="30"/>
      <c r="AS203" s="31"/>
    </row>
    <row r="204" spans="1:45" ht="30" hidden="1" customHeight="1" x14ac:dyDescent="0.25">
      <c r="A204" s="135">
        <v>2026</v>
      </c>
      <c r="B204" s="66" t="s">
        <v>67</v>
      </c>
      <c r="C204" s="65" t="s">
        <v>567</v>
      </c>
      <c r="D204" s="144" t="s">
        <v>114</v>
      </c>
      <c r="E204" s="141"/>
      <c r="F204" s="65" t="s">
        <v>606</v>
      </c>
      <c r="G204" s="144" t="s">
        <v>121</v>
      </c>
      <c r="H204" s="66" t="s">
        <v>126</v>
      </c>
      <c r="I204" s="74"/>
      <c r="J204" s="144" t="s">
        <v>132</v>
      </c>
      <c r="K204" s="144" t="s">
        <v>3</v>
      </c>
      <c r="L204" s="66" t="s">
        <v>6</v>
      </c>
      <c r="M204" s="65" t="s">
        <v>200</v>
      </c>
      <c r="N204" s="187"/>
      <c r="O204" s="187"/>
      <c r="P204" s="187"/>
      <c r="Q204" s="144" t="s">
        <v>140</v>
      </c>
      <c r="R204" s="89"/>
      <c r="S204" s="89"/>
      <c r="T204" s="65" t="s">
        <v>607</v>
      </c>
      <c r="U204" s="144">
        <v>2026</v>
      </c>
      <c r="V204" s="99">
        <v>46387</v>
      </c>
      <c r="W204" s="89"/>
      <c r="X204" s="99">
        <v>46024</v>
      </c>
      <c r="Y204" s="188">
        <v>96000</v>
      </c>
      <c r="Z204" s="189"/>
      <c r="AA204" s="188">
        <f t="shared" si="25"/>
        <v>96000</v>
      </c>
      <c r="AB204" s="188"/>
      <c r="AC204" s="188">
        <f t="shared" si="23"/>
        <v>96000</v>
      </c>
      <c r="AD204" s="188">
        <f t="shared" si="24"/>
        <v>96000</v>
      </c>
      <c r="AE204" s="68" t="s">
        <v>102</v>
      </c>
      <c r="AF204" s="68"/>
      <c r="AG204" s="68"/>
      <c r="AH204" s="190"/>
      <c r="AI204" s="191"/>
      <c r="AJ204" s="190"/>
      <c r="AK204" s="192"/>
      <c r="AL204" s="190"/>
      <c r="AM204" s="193" t="s">
        <v>202</v>
      </c>
      <c r="AN204" s="194"/>
      <c r="AO204" s="195"/>
      <c r="AP204" s="31"/>
      <c r="AQ204" s="31"/>
      <c r="AR204" s="30"/>
      <c r="AS204" s="31"/>
    </row>
    <row r="205" spans="1:45" ht="30" hidden="1" customHeight="1" x14ac:dyDescent="0.25">
      <c r="A205" s="135">
        <v>2026</v>
      </c>
      <c r="B205" s="66" t="s">
        <v>67</v>
      </c>
      <c r="C205" s="65" t="s">
        <v>567</v>
      </c>
      <c r="D205" s="144" t="s">
        <v>114</v>
      </c>
      <c r="E205" s="141"/>
      <c r="F205" s="65" t="s">
        <v>608</v>
      </c>
      <c r="G205" s="144" t="s">
        <v>121</v>
      </c>
      <c r="H205" s="66" t="s">
        <v>126</v>
      </c>
      <c r="I205" s="74"/>
      <c r="J205" s="144" t="s">
        <v>132</v>
      </c>
      <c r="K205" s="144" t="s">
        <v>3</v>
      </c>
      <c r="L205" s="66" t="s">
        <v>6</v>
      </c>
      <c r="M205" s="65" t="s">
        <v>200</v>
      </c>
      <c r="N205" s="187"/>
      <c r="O205" s="187"/>
      <c r="P205" s="187"/>
      <c r="Q205" s="144" t="s">
        <v>140</v>
      </c>
      <c r="R205" s="89"/>
      <c r="S205" s="89"/>
      <c r="T205" s="65" t="s">
        <v>609</v>
      </c>
      <c r="U205" s="144">
        <v>2026</v>
      </c>
      <c r="V205" s="99">
        <v>46387</v>
      </c>
      <c r="W205" s="89"/>
      <c r="X205" s="99">
        <v>46024</v>
      </c>
      <c r="Y205" s="188">
        <v>144000</v>
      </c>
      <c r="Z205" s="189"/>
      <c r="AA205" s="188">
        <f t="shared" si="25"/>
        <v>144000</v>
      </c>
      <c r="AB205" s="188"/>
      <c r="AC205" s="188">
        <f t="shared" si="23"/>
        <v>144000</v>
      </c>
      <c r="AD205" s="188">
        <f t="shared" si="24"/>
        <v>144000</v>
      </c>
      <c r="AE205" s="68" t="s">
        <v>102</v>
      </c>
      <c r="AF205" s="68"/>
      <c r="AG205" s="68"/>
      <c r="AH205" s="190"/>
      <c r="AI205" s="191"/>
      <c r="AJ205" s="190"/>
      <c r="AK205" s="192"/>
      <c r="AL205" s="190"/>
      <c r="AM205" s="193" t="s">
        <v>202</v>
      </c>
      <c r="AN205" s="194"/>
      <c r="AO205" s="195"/>
      <c r="AP205" s="31"/>
      <c r="AQ205" s="31"/>
      <c r="AR205" s="30"/>
      <c r="AS205" s="31"/>
    </row>
    <row r="206" spans="1:45" ht="30" hidden="1" customHeight="1" x14ac:dyDescent="0.25">
      <c r="A206" s="135">
        <v>2026</v>
      </c>
      <c r="B206" s="66" t="s">
        <v>67</v>
      </c>
      <c r="C206" s="65" t="s">
        <v>567</v>
      </c>
      <c r="D206" s="144" t="s">
        <v>114</v>
      </c>
      <c r="E206" s="141"/>
      <c r="F206" s="65" t="s">
        <v>610</v>
      </c>
      <c r="G206" s="144" t="s">
        <v>121</v>
      </c>
      <c r="H206" s="66" t="s">
        <v>126</v>
      </c>
      <c r="I206" s="74"/>
      <c r="J206" s="144" t="s">
        <v>132</v>
      </c>
      <c r="K206" s="144" t="s">
        <v>3</v>
      </c>
      <c r="L206" s="66" t="s">
        <v>6</v>
      </c>
      <c r="M206" s="65" t="s">
        <v>200</v>
      </c>
      <c r="N206" s="187"/>
      <c r="O206" s="187"/>
      <c r="P206" s="187"/>
      <c r="Q206" s="144" t="s">
        <v>140</v>
      </c>
      <c r="R206" s="89"/>
      <c r="S206" s="89"/>
      <c r="T206" s="65" t="s">
        <v>611</v>
      </c>
      <c r="U206" s="144">
        <v>2026</v>
      </c>
      <c r="V206" s="99">
        <v>46387</v>
      </c>
      <c r="W206" s="89"/>
      <c r="X206" s="99">
        <v>46024</v>
      </c>
      <c r="Y206" s="188">
        <v>132000</v>
      </c>
      <c r="Z206" s="189"/>
      <c r="AA206" s="188">
        <f t="shared" si="25"/>
        <v>132000</v>
      </c>
      <c r="AB206" s="188"/>
      <c r="AC206" s="188">
        <f t="shared" si="23"/>
        <v>132000</v>
      </c>
      <c r="AD206" s="188">
        <f t="shared" si="24"/>
        <v>132000</v>
      </c>
      <c r="AE206" s="68" t="s">
        <v>102</v>
      </c>
      <c r="AF206" s="68"/>
      <c r="AG206" s="68"/>
      <c r="AH206" s="190"/>
      <c r="AI206" s="191"/>
      <c r="AJ206" s="190"/>
      <c r="AK206" s="192"/>
      <c r="AL206" s="190"/>
      <c r="AM206" s="193" t="s">
        <v>202</v>
      </c>
      <c r="AN206" s="194"/>
      <c r="AO206" s="195"/>
      <c r="AP206" s="31"/>
      <c r="AQ206" s="31"/>
      <c r="AR206" s="30"/>
      <c r="AS206" s="31"/>
    </row>
    <row r="207" spans="1:45" ht="30" hidden="1" customHeight="1" x14ac:dyDescent="0.25">
      <c r="A207" s="135">
        <v>2026</v>
      </c>
      <c r="B207" s="66" t="s">
        <v>67</v>
      </c>
      <c r="C207" s="65" t="s">
        <v>567</v>
      </c>
      <c r="D207" s="144" t="s">
        <v>114</v>
      </c>
      <c r="E207" s="141"/>
      <c r="F207" s="65" t="s">
        <v>612</v>
      </c>
      <c r="G207" s="144" t="s">
        <v>121</v>
      </c>
      <c r="H207" s="66" t="s">
        <v>126</v>
      </c>
      <c r="I207" s="74"/>
      <c r="J207" s="144" t="s">
        <v>132</v>
      </c>
      <c r="K207" s="144" t="s">
        <v>3</v>
      </c>
      <c r="L207" s="66" t="s">
        <v>6</v>
      </c>
      <c r="M207" s="65" t="s">
        <v>200</v>
      </c>
      <c r="N207" s="187"/>
      <c r="O207" s="187"/>
      <c r="P207" s="187"/>
      <c r="Q207" s="144" t="s">
        <v>140</v>
      </c>
      <c r="R207" s="89"/>
      <c r="S207" s="89"/>
      <c r="T207" s="65" t="s">
        <v>613</v>
      </c>
      <c r="U207" s="144">
        <v>2026</v>
      </c>
      <c r="V207" s="99">
        <v>46387</v>
      </c>
      <c r="W207" s="89"/>
      <c r="X207" s="99">
        <v>46024</v>
      </c>
      <c r="Y207" s="188">
        <v>96000</v>
      </c>
      <c r="Z207" s="189"/>
      <c r="AA207" s="188">
        <f t="shared" si="25"/>
        <v>96000</v>
      </c>
      <c r="AB207" s="188"/>
      <c r="AC207" s="188">
        <f t="shared" si="23"/>
        <v>96000</v>
      </c>
      <c r="AD207" s="188">
        <f t="shared" si="24"/>
        <v>96000</v>
      </c>
      <c r="AE207" s="68" t="s">
        <v>102</v>
      </c>
      <c r="AF207" s="68"/>
      <c r="AG207" s="68"/>
      <c r="AH207" s="190"/>
      <c r="AI207" s="191"/>
      <c r="AJ207" s="190"/>
      <c r="AK207" s="192"/>
      <c r="AL207" s="190"/>
      <c r="AM207" s="193" t="s">
        <v>202</v>
      </c>
      <c r="AN207" s="194"/>
      <c r="AO207" s="195"/>
      <c r="AP207" s="31"/>
      <c r="AQ207" s="31"/>
      <c r="AR207" s="30"/>
      <c r="AS207" s="31"/>
    </row>
    <row r="208" spans="1:45" ht="30" hidden="1" customHeight="1" x14ac:dyDescent="0.25">
      <c r="A208" s="135">
        <v>2026</v>
      </c>
      <c r="B208" s="66" t="s">
        <v>67</v>
      </c>
      <c r="C208" s="65" t="s">
        <v>567</v>
      </c>
      <c r="D208" s="144" t="s">
        <v>114</v>
      </c>
      <c r="E208" s="141"/>
      <c r="F208" s="65" t="s">
        <v>614</v>
      </c>
      <c r="G208" s="144" t="s">
        <v>121</v>
      </c>
      <c r="H208" s="66" t="s">
        <v>126</v>
      </c>
      <c r="I208" s="74"/>
      <c r="J208" s="144" t="s">
        <v>132</v>
      </c>
      <c r="K208" s="144" t="s">
        <v>3</v>
      </c>
      <c r="L208" s="66" t="s">
        <v>6</v>
      </c>
      <c r="M208" s="65" t="s">
        <v>200</v>
      </c>
      <c r="N208" s="187"/>
      <c r="O208" s="187"/>
      <c r="P208" s="187"/>
      <c r="Q208" s="144" t="s">
        <v>140</v>
      </c>
      <c r="R208" s="89"/>
      <c r="S208" s="89"/>
      <c r="T208" s="65" t="s">
        <v>615</v>
      </c>
      <c r="U208" s="144">
        <v>2026</v>
      </c>
      <c r="V208" s="99">
        <v>46387</v>
      </c>
      <c r="W208" s="89"/>
      <c r="X208" s="99">
        <v>46024</v>
      </c>
      <c r="Y208" s="188">
        <v>124800</v>
      </c>
      <c r="Z208" s="189"/>
      <c r="AA208" s="188">
        <f t="shared" si="25"/>
        <v>124800</v>
      </c>
      <c r="AB208" s="188"/>
      <c r="AC208" s="188">
        <f t="shared" si="23"/>
        <v>124800</v>
      </c>
      <c r="AD208" s="188">
        <f t="shared" si="24"/>
        <v>124800</v>
      </c>
      <c r="AE208" s="68" t="s">
        <v>102</v>
      </c>
      <c r="AF208" s="68"/>
      <c r="AG208" s="68"/>
      <c r="AH208" s="190"/>
      <c r="AI208" s="191"/>
      <c r="AJ208" s="190"/>
      <c r="AK208" s="192"/>
      <c r="AL208" s="190"/>
      <c r="AM208" s="193" t="s">
        <v>202</v>
      </c>
      <c r="AN208" s="194"/>
      <c r="AO208" s="195"/>
      <c r="AP208" s="31"/>
      <c r="AQ208" s="31"/>
      <c r="AR208" s="30"/>
      <c r="AS208" s="31"/>
    </row>
    <row r="209" spans="1:45" ht="30" hidden="1" customHeight="1" x14ac:dyDescent="0.25">
      <c r="A209" s="135">
        <v>2026</v>
      </c>
      <c r="B209" s="66" t="s">
        <v>67</v>
      </c>
      <c r="C209" s="65" t="s">
        <v>567</v>
      </c>
      <c r="D209" s="144" t="s">
        <v>114</v>
      </c>
      <c r="E209" s="141"/>
      <c r="F209" s="65" t="s">
        <v>616</v>
      </c>
      <c r="G209" s="144" t="s">
        <v>121</v>
      </c>
      <c r="H209" s="66" t="s">
        <v>126</v>
      </c>
      <c r="I209" s="74"/>
      <c r="J209" s="144" t="s">
        <v>132</v>
      </c>
      <c r="K209" s="144" t="s">
        <v>3</v>
      </c>
      <c r="L209" s="66" t="s">
        <v>6</v>
      </c>
      <c r="M209" s="65" t="s">
        <v>200</v>
      </c>
      <c r="N209" s="187"/>
      <c r="O209" s="187"/>
      <c r="P209" s="187"/>
      <c r="Q209" s="144" t="s">
        <v>140</v>
      </c>
      <c r="R209" s="89"/>
      <c r="S209" s="89"/>
      <c r="T209" s="65" t="s">
        <v>617</v>
      </c>
      <c r="U209" s="144">
        <v>2026</v>
      </c>
      <c r="V209" s="99">
        <v>46387</v>
      </c>
      <c r="W209" s="89"/>
      <c r="X209" s="99">
        <v>46024</v>
      </c>
      <c r="Y209" s="188">
        <v>171428.52</v>
      </c>
      <c r="Z209" s="189"/>
      <c r="AA209" s="188">
        <f t="shared" si="25"/>
        <v>171428.52</v>
      </c>
      <c r="AB209" s="188"/>
      <c r="AC209" s="188">
        <f t="shared" si="23"/>
        <v>171428.52</v>
      </c>
      <c r="AD209" s="188">
        <f t="shared" si="24"/>
        <v>171428.52</v>
      </c>
      <c r="AE209" s="68" t="s">
        <v>102</v>
      </c>
      <c r="AF209" s="68"/>
      <c r="AG209" s="68"/>
      <c r="AH209" s="190"/>
      <c r="AI209" s="191"/>
      <c r="AJ209" s="190"/>
      <c r="AK209" s="192"/>
      <c r="AL209" s="190"/>
      <c r="AM209" s="193" t="s">
        <v>202</v>
      </c>
      <c r="AN209" s="194"/>
      <c r="AO209" s="195"/>
      <c r="AP209" s="31"/>
      <c r="AQ209" s="31"/>
      <c r="AR209" s="30"/>
      <c r="AS209" s="31"/>
    </row>
    <row r="210" spans="1:45" ht="30" hidden="1" customHeight="1" x14ac:dyDescent="0.25">
      <c r="A210" s="135">
        <v>2026</v>
      </c>
      <c r="B210" s="66" t="s">
        <v>67</v>
      </c>
      <c r="C210" s="65" t="s">
        <v>567</v>
      </c>
      <c r="D210" s="144" t="s">
        <v>114</v>
      </c>
      <c r="E210" s="141"/>
      <c r="F210" s="65" t="s">
        <v>618</v>
      </c>
      <c r="G210" s="144" t="s">
        <v>121</v>
      </c>
      <c r="H210" s="66" t="s">
        <v>126</v>
      </c>
      <c r="I210" s="74"/>
      <c r="J210" s="144" t="s">
        <v>132</v>
      </c>
      <c r="K210" s="144" t="s">
        <v>3</v>
      </c>
      <c r="L210" s="66" t="s">
        <v>6</v>
      </c>
      <c r="M210" s="65" t="s">
        <v>200</v>
      </c>
      <c r="N210" s="187"/>
      <c r="O210" s="187"/>
      <c r="P210" s="187"/>
      <c r="Q210" s="144" t="s">
        <v>140</v>
      </c>
      <c r="R210" s="89"/>
      <c r="S210" s="89"/>
      <c r="T210" s="65" t="s">
        <v>619</v>
      </c>
      <c r="U210" s="144">
        <v>2026</v>
      </c>
      <c r="V210" s="99">
        <v>46387</v>
      </c>
      <c r="W210" s="89"/>
      <c r="X210" s="99">
        <v>46024</v>
      </c>
      <c r="Y210" s="188">
        <v>180000</v>
      </c>
      <c r="Z210" s="189"/>
      <c r="AA210" s="188">
        <f t="shared" si="25"/>
        <v>180000</v>
      </c>
      <c r="AB210" s="188"/>
      <c r="AC210" s="188">
        <f t="shared" si="23"/>
        <v>180000</v>
      </c>
      <c r="AD210" s="188">
        <f t="shared" si="24"/>
        <v>180000</v>
      </c>
      <c r="AE210" s="68" t="s">
        <v>102</v>
      </c>
      <c r="AF210" s="68"/>
      <c r="AG210" s="68"/>
      <c r="AH210" s="190"/>
      <c r="AI210" s="191"/>
      <c r="AJ210" s="190"/>
      <c r="AK210" s="192"/>
      <c r="AL210" s="190"/>
      <c r="AM210" s="193" t="s">
        <v>202</v>
      </c>
      <c r="AN210" s="194"/>
      <c r="AO210" s="195"/>
      <c r="AP210" s="31"/>
      <c r="AQ210" s="31"/>
      <c r="AR210" s="30"/>
      <c r="AS210" s="31"/>
    </row>
    <row r="211" spans="1:45" ht="30" hidden="1" customHeight="1" x14ac:dyDescent="0.25">
      <c r="A211" s="135">
        <v>2026</v>
      </c>
      <c r="B211" s="66" t="s">
        <v>67</v>
      </c>
      <c r="C211" s="65" t="s">
        <v>567</v>
      </c>
      <c r="D211" s="144" t="s">
        <v>114</v>
      </c>
      <c r="E211" s="141"/>
      <c r="F211" s="65" t="s">
        <v>620</v>
      </c>
      <c r="G211" s="144" t="s">
        <v>121</v>
      </c>
      <c r="H211" s="66" t="s">
        <v>120</v>
      </c>
      <c r="I211" s="74"/>
      <c r="J211" s="144" t="s">
        <v>132</v>
      </c>
      <c r="K211" s="144" t="s">
        <v>3</v>
      </c>
      <c r="L211" s="66" t="s">
        <v>6</v>
      </c>
      <c r="M211" s="65" t="s">
        <v>200</v>
      </c>
      <c r="N211" s="187"/>
      <c r="O211" s="187"/>
      <c r="P211" s="187"/>
      <c r="Q211" s="144" t="s">
        <v>140</v>
      </c>
      <c r="R211" s="89"/>
      <c r="S211" s="89"/>
      <c r="T211" s="65" t="s">
        <v>621</v>
      </c>
      <c r="U211" s="144">
        <v>2026</v>
      </c>
      <c r="V211" s="99">
        <v>46387</v>
      </c>
      <c r="W211" s="89"/>
      <c r="X211" s="99">
        <v>46024</v>
      </c>
      <c r="Y211" s="188">
        <v>120000</v>
      </c>
      <c r="Z211" s="189"/>
      <c r="AA211" s="188">
        <f t="shared" si="25"/>
        <v>120000</v>
      </c>
      <c r="AB211" s="188"/>
      <c r="AC211" s="188">
        <f t="shared" si="23"/>
        <v>120000</v>
      </c>
      <c r="AD211" s="188">
        <f t="shared" si="24"/>
        <v>120000</v>
      </c>
      <c r="AE211" s="68" t="s">
        <v>102</v>
      </c>
      <c r="AF211" s="68"/>
      <c r="AG211" s="68"/>
      <c r="AH211" s="190"/>
      <c r="AI211" s="191"/>
      <c r="AJ211" s="190"/>
      <c r="AK211" s="192"/>
      <c r="AL211" s="190"/>
      <c r="AM211" s="193" t="s">
        <v>202</v>
      </c>
      <c r="AN211" s="194"/>
      <c r="AO211" s="195"/>
      <c r="AP211" s="31"/>
      <c r="AQ211" s="31"/>
      <c r="AR211" s="30"/>
      <c r="AS211" s="31"/>
    </row>
    <row r="212" spans="1:45" ht="30" hidden="1" customHeight="1" x14ac:dyDescent="0.25">
      <c r="A212" s="135">
        <v>2026</v>
      </c>
      <c r="B212" s="66" t="s">
        <v>67</v>
      </c>
      <c r="C212" s="65" t="s">
        <v>567</v>
      </c>
      <c r="D212" s="144" t="s">
        <v>114</v>
      </c>
      <c r="E212" s="141"/>
      <c r="F212" s="65" t="s">
        <v>622</v>
      </c>
      <c r="G212" s="144" t="s">
        <v>121</v>
      </c>
      <c r="H212" s="66" t="s">
        <v>126</v>
      </c>
      <c r="I212" s="74"/>
      <c r="J212" s="144" t="s">
        <v>132</v>
      </c>
      <c r="K212" s="144" t="s">
        <v>3</v>
      </c>
      <c r="L212" s="66" t="s">
        <v>6</v>
      </c>
      <c r="M212" s="65" t="s">
        <v>200</v>
      </c>
      <c r="N212" s="187"/>
      <c r="O212" s="187"/>
      <c r="P212" s="187"/>
      <c r="Q212" s="144" t="s">
        <v>140</v>
      </c>
      <c r="R212" s="89"/>
      <c r="S212" s="89"/>
      <c r="T212" s="65" t="s">
        <v>623</v>
      </c>
      <c r="U212" s="144">
        <v>2026</v>
      </c>
      <c r="V212" s="99">
        <v>46387</v>
      </c>
      <c r="W212" s="89"/>
      <c r="X212" s="99">
        <v>46024</v>
      </c>
      <c r="Y212" s="188">
        <v>96000</v>
      </c>
      <c r="Z212" s="189"/>
      <c r="AA212" s="188">
        <f t="shared" si="25"/>
        <v>96000</v>
      </c>
      <c r="AB212" s="188"/>
      <c r="AC212" s="188">
        <f t="shared" si="23"/>
        <v>96000</v>
      </c>
      <c r="AD212" s="188">
        <f t="shared" si="24"/>
        <v>96000</v>
      </c>
      <c r="AE212" s="68" t="s">
        <v>102</v>
      </c>
      <c r="AF212" s="68"/>
      <c r="AG212" s="68"/>
      <c r="AH212" s="190"/>
      <c r="AI212" s="191"/>
      <c r="AJ212" s="190"/>
      <c r="AK212" s="192"/>
      <c r="AL212" s="190"/>
      <c r="AM212" s="193" t="s">
        <v>202</v>
      </c>
      <c r="AN212" s="194"/>
      <c r="AO212" s="195"/>
      <c r="AP212" s="31"/>
      <c r="AQ212" s="31"/>
      <c r="AR212" s="30"/>
      <c r="AS212" s="31"/>
    </row>
    <row r="213" spans="1:45" ht="30" hidden="1" customHeight="1" x14ac:dyDescent="0.25">
      <c r="A213" s="135">
        <v>2026</v>
      </c>
      <c r="B213" s="66" t="s">
        <v>67</v>
      </c>
      <c r="C213" s="65" t="s">
        <v>567</v>
      </c>
      <c r="D213" s="144" t="s">
        <v>114</v>
      </c>
      <c r="E213" s="141"/>
      <c r="F213" s="65" t="s">
        <v>624</v>
      </c>
      <c r="G213" s="144" t="s">
        <v>121</v>
      </c>
      <c r="H213" s="66" t="s">
        <v>126</v>
      </c>
      <c r="I213" s="74"/>
      <c r="J213" s="144" t="s">
        <v>132</v>
      </c>
      <c r="K213" s="144" t="s">
        <v>3</v>
      </c>
      <c r="L213" s="66" t="s">
        <v>6</v>
      </c>
      <c r="M213" s="65" t="s">
        <v>200</v>
      </c>
      <c r="N213" s="187"/>
      <c r="O213" s="187"/>
      <c r="P213" s="187"/>
      <c r="Q213" s="144" t="s">
        <v>140</v>
      </c>
      <c r="R213" s="89"/>
      <c r="S213" s="89"/>
      <c r="T213" s="65" t="s">
        <v>625</v>
      </c>
      <c r="U213" s="144">
        <v>2026</v>
      </c>
      <c r="V213" s="99">
        <v>46387</v>
      </c>
      <c r="W213" s="89"/>
      <c r="X213" s="99">
        <v>46024</v>
      </c>
      <c r="Y213" s="188">
        <v>84000</v>
      </c>
      <c r="Z213" s="189"/>
      <c r="AA213" s="188">
        <f t="shared" si="25"/>
        <v>84000</v>
      </c>
      <c r="AB213" s="188"/>
      <c r="AC213" s="188">
        <f t="shared" si="23"/>
        <v>84000</v>
      </c>
      <c r="AD213" s="188">
        <f t="shared" si="24"/>
        <v>84000</v>
      </c>
      <c r="AE213" s="68" t="s">
        <v>102</v>
      </c>
      <c r="AF213" s="68"/>
      <c r="AG213" s="68"/>
      <c r="AH213" s="190"/>
      <c r="AI213" s="191"/>
      <c r="AJ213" s="190"/>
      <c r="AK213" s="192"/>
      <c r="AL213" s="190"/>
      <c r="AM213" s="193" t="s">
        <v>202</v>
      </c>
      <c r="AN213" s="194"/>
      <c r="AO213" s="195"/>
      <c r="AP213" s="31"/>
      <c r="AQ213" s="31"/>
      <c r="AR213" s="30"/>
      <c r="AS213" s="31"/>
    </row>
    <row r="214" spans="1:45" ht="30" hidden="1" customHeight="1" x14ac:dyDescent="0.25">
      <c r="A214" s="135">
        <v>2026</v>
      </c>
      <c r="B214" s="66" t="s">
        <v>67</v>
      </c>
      <c r="C214" s="65" t="s">
        <v>567</v>
      </c>
      <c r="D214" s="144" t="s">
        <v>114</v>
      </c>
      <c r="E214" s="141"/>
      <c r="F214" s="65" t="s">
        <v>626</v>
      </c>
      <c r="G214" s="144" t="s">
        <v>121</v>
      </c>
      <c r="H214" s="66" t="s">
        <v>126</v>
      </c>
      <c r="I214" s="74"/>
      <c r="J214" s="144" t="s">
        <v>132</v>
      </c>
      <c r="K214" s="144" t="s">
        <v>3</v>
      </c>
      <c r="L214" s="66" t="s">
        <v>6</v>
      </c>
      <c r="M214" s="65" t="s">
        <v>200</v>
      </c>
      <c r="N214" s="187"/>
      <c r="O214" s="187"/>
      <c r="P214" s="187"/>
      <c r="Q214" s="144" t="s">
        <v>140</v>
      </c>
      <c r="R214" s="89"/>
      <c r="S214" s="89"/>
      <c r="T214" s="65" t="s">
        <v>627</v>
      </c>
      <c r="U214" s="144">
        <v>2026</v>
      </c>
      <c r="V214" s="99">
        <v>46387</v>
      </c>
      <c r="W214" s="89"/>
      <c r="X214" s="99">
        <v>46024</v>
      </c>
      <c r="Y214" s="188">
        <v>96000</v>
      </c>
      <c r="Z214" s="189"/>
      <c r="AA214" s="188">
        <f t="shared" si="25"/>
        <v>96000</v>
      </c>
      <c r="AB214" s="188"/>
      <c r="AC214" s="188">
        <f t="shared" si="23"/>
        <v>96000</v>
      </c>
      <c r="AD214" s="188">
        <f t="shared" si="24"/>
        <v>96000</v>
      </c>
      <c r="AE214" s="68" t="s">
        <v>102</v>
      </c>
      <c r="AF214" s="68"/>
      <c r="AG214" s="68"/>
      <c r="AH214" s="190"/>
      <c r="AI214" s="191"/>
      <c r="AJ214" s="190"/>
      <c r="AK214" s="192"/>
      <c r="AL214" s="190"/>
      <c r="AM214" s="193" t="s">
        <v>202</v>
      </c>
      <c r="AN214" s="194"/>
      <c r="AO214" s="195"/>
      <c r="AP214" s="31"/>
      <c r="AQ214" s="31"/>
      <c r="AR214" s="30"/>
      <c r="AS214" s="31"/>
    </row>
    <row r="215" spans="1:45" ht="30" hidden="1" customHeight="1" x14ac:dyDescent="0.25">
      <c r="A215" s="135">
        <v>2026</v>
      </c>
      <c r="B215" s="66" t="s">
        <v>67</v>
      </c>
      <c r="C215" s="65" t="s">
        <v>567</v>
      </c>
      <c r="D215" s="144" t="s">
        <v>114</v>
      </c>
      <c r="E215" s="141"/>
      <c r="F215" s="65" t="s">
        <v>628</v>
      </c>
      <c r="G215" s="144" t="s">
        <v>121</v>
      </c>
      <c r="H215" s="66" t="s">
        <v>126</v>
      </c>
      <c r="I215" s="74"/>
      <c r="J215" s="144" t="s">
        <v>132</v>
      </c>
      <c r="K215" s="144" t="s">
        <v>3</v>
      </c>
      <c r="L215" s="66" t="s">
        <v>6</v>
      </c>
      <c r="M215" s="65" t="s">
        <v>200</v>
      </c>
      <c r="N215" s="187"/>
      <c r="O215" s="187"/>
      <c r="P215" s="187"/>
      <c r="Q215" s="144" t="s">
        <v>140</v>
      </c>
      <c r="R215" s="89"/>
      <c r="S215" s="89"/>
      <c r="T215" s="65" t="s">
        <v>629</v>
      </c>
      <c r="U215" s="144">
        <v>2026</v>
      </c>
      <c r="V215" s="99">
        <v>46387</v>
      </c>
      <c r="W215" s="89"/>
      <c r="X215" s="99">
        <v>46024</v>
      </c>
      <c r="Y215" s="188">
        <v>96000</v>
      </c>
      <c r="Z215" s="189"/>
      <c r="AA215" s="188">
        <f t="shared" si="25"/>
        <v>96000</v>
      </c>
      <c r="AB215" s="188"/>
      <c r="AC215" s="188">
        <f t="shared" si="23"/>
        <v>96000</v>
      </c>
      <c r="AD215" s="188">
        <f t="shared" si="24"/>
        <v>96000</v>
      </c>
      <c r="AE215" s="68" t="s">
        <v>102</v>
      </c>
      <c r="AF215" s="68"/>
      <c r="AG215" s="68"/>
      <c r="AH215" s="190"/>
      <c r="AI215" s="191"/>
      <c r="AJ215" s="190"/>
      <c r="AK215" s="192"/>
      <c r="AL215" s="190"/>
      <c r="AM215" s="193" t="s">
        <v>202</v>
      </c>
      <c r="AN215" s="194"/>
      <c r="AO215" s="195"/>
      <c r="AP215" s="31"/>
      <c r="AQ215" s="31"/>
      <c r="AR215" s="30"/>
      <c r="AS215" s="31"/>
    </row>
    <row r="216" spans="1:45" ht="30" hidden="1" customHeight="1" x14ac:dyDescent="0.25">
      <c r="A216" s="135">
        <v>2026</v>
      </c>
      <c r="B216" s="66" t="s">
        <v>67</v>
      </c>
      <c r="C216" s="65" t="s">
        <v>567</v>
      </c>
      <c r="D216" s="144" t="s">
        <v>114</v>
      </c>
      <c r="E216" s="141"/>
      <c r="F216" s="65" t="s">
        <v>630</v>
      </c>
      <c r="G216" s="144" t="s">
        <v>121</v>
      </c>
      <c r="H216" s="66" t="s">
        <v>126</v>
      </c>
      <c r="I216" s="74"/>
      <c r="J216" s="144" t="s">
        <v>132</v>
      </c>
      <c r="K216" s="144" t="s">
        <v>3</v>
      </c>
      <c r="L216" s="66" t="s">
        <v>6</v>
      </c>
      <c r="M216" s="65" t="s">
        <v>200</v>
      </c>
      <c r="N216" s="187"/>
      <c r="O216" s="187"/>
      <c r="P216" s="187"/>
      <c r="Q216" s="144" t="s">
        <v>140</v>
      </c>
      <c r="R216" s="89"/>
      <c r="S216" s="89"/>
      <c r="T216" s="65" t="s">
        <v>631</v>
      </c>
      <c r="U216" s="144">
        <v>2026</v>
      </c>
      <c r="V216" s="99">
        <v>46387</v>
      </c>
      <c r="W216" s="89"/>
      <c r="X216" s="99">
        <v>46024</v>
      </c>
      <c r="Y216" s="188">
        <v>84000</v>
      </c>
      <c r="Z216" s="189"/>
      <c r="AA216" s="188">
        <f t="shared" si="25"/>
        <v>84000</v>
      </c>
      <c r="AB216" s="188"/>
      <c r="AC216" s="188">
        <f t="shared" si="23"/>
        <v>84000</v>
      </c>
      <c r="AD216" s="188">
        <f t="shared" si="24"/>
        <v>84000</v>
      </c>
      <c r="AE216" s="68" t="s">
        <v>102</v>
      </c>
      <c r="AF216" s="68"/>
      <c r="AG216" s="68"/>
      <c r="AH216" s="190"/>
      <c r="AI216" s="191"/>
      <c r="AJ216" s="190"/>
      <c r="AK216" s="192"/>
      <c r="AL216" s="190"/>
      <c r="AM216" s="193" t="s">
        <v>202</v>
      </c>
      <c r="AN216" s="194"/>
      <c r="AO216" s="195"/>
      <c r="AP216" s="31"/>
      <c r="AQ216" s="31"/>
      <c r="AR216" s="30"/>
      <c r="AS216" s="31"/>
    </row>
    <row r="217" spans="1:45" ht="30" hidden="1" customHeight="1" x14ac:dyDescent="0.25">
      <c r="A217" s="135">
        <v>2026</v>
      </c>
      <c r="B217" s="66" t="s">
        <v>67</v>
      </c>
      <c r="C217" s="65" t="s">
        <v>567</v>
      </c>
      <c r="D217" s="144" t="s">
        <v>114</v>
      </c>
      <c r="E217" s="141"/>
      <c r="F217" s="65" t="s">
        <v>632</v>
      </c>
      <c r="G217" s="144" t="s">
        <v>121</v>
      </c>
      <c r="H217" s="66" t="s">
        <v>126</v>
      </c>
      <c r="I217" s="74"/>
      <c r="J217" s="144" t="s">
        <v>132</v>
      </c>
      <c r="K217" s="144" t="s">
        <v>3</v>
      </c>
      <c r="L217" s="66" t="s">
        <v>6</v>
      </c>
      <c r="M217" s="65" t="s">
        <v>200</v>
      </c>
      <c r="N217" s="187"/>
      <c r="O217" s="187"/>
      <c r="P217" s="187"/>
      <c r="Q217" s="144" t="s">
        <v>140</v>
      </c>
      <c r="R217" s="89"/>
      <c r="S217" s="89"/>
      <c r="T217" s="65" t="s">
        <v>633</v>
      </c>
      <c r="U217" s="144">
        <v>2026</v>
      </c>
      <c r="V217" s="99">
        <v>46387</v>
      </c>
      <c r="W217" s="89"/>
      <c r="X217" s="99">
        <v>46024</v>
      </c>
      <c r="Y217" s="188">
        <v>96000</v>
      </c>
      <c r="Z217" s="189"/>
      <c r="AA217" s="188">
        <f t="shared" si="25"/>
        <v>96000</v>
      </c>
      <c r="AB217" s="188"/>
      <c r="AC217" s="188">
        <f t="shared" ref="AC217:AC234" si="26">Y217</f>
        <v>96000</v>
      </c>
      <c r="AD217" s="188">
        <f t="shared" ref="AD217:AD234" si="27">AA217</f>
        <v>96000</v>
      </c>
      <c r="AE217" s="68" t="s">
        <v>102</v>
      </c>
      <c r="AF217" s="68"/>
      <c r="AG217" s="68"/>
      <c r="AH217" s="190"/>
      <c r="AI217" s="191"/>
      <c r="AJ217" s="190"/>
      <c r="AK217" s="192"/>
      <c r="AL217" s="190"/>
      <c r="AM217" s="193" t="s">
        <v>202</v>
      </c>
      <c r="AN217" s="194"/>
      <c r="AO217" s="195"/>
      <c r="AP217" s="31"/>
      <c r="AQ217" s="31"/>
      <c r="AR217" s="30"/>
      <c r="AS217" s="31"/>
    </row>
    <row r="218" spans="1:45" ht="30" hidden="1" customHeight="1" x14ac:dyDescent="0.25">
      <c r="A218" s="135">
        <v>2026</v>
      </c>
      <c r="B218" s="66" t="s">
        <v>67</v>
      </c>
      <c r="C218" s="65" t="s">
        <v>567</v>
      </c>
      <c r="D218" s="144" t="s">
        <v>114</v>
      </c>
      <c r="E218" s="141"/>
      <c r="F218" s="65" t="s">
        <v>634</v>
      </c>
      <c r="G218" s="144" t="s">
        <v>121</v>
      </c>
      <c r="H218" s="66" t="s">
        <v>126</v>
      </c>
      <c r="I218" s="74"/>
      <c r="J218" s="144" t="s">
        <v>132</v>
      </c>
      <c r="K218" s="144" t="s">
        <v>3</v>
      </c>
      <c r="L218" s="66" t="s">
        <v>6</v>
      </c>
      <c r="M218" s="65" t="s">
        <v>200</v>
      </c>
      <c r="N218" s="187"/>
      <c r="O218" s="187"/>
      <c r="P218" s="187"/>
      <c r="Q218" s="144" t="s">
        <v>140</v>
      </c>
      <c r="R218" s="89"/>
      <c r="S218" s="89"/>
      <c r="T218" s="65" t="s">
        <v>635</v>
      </c>
      <c r="U218" s="144">
        <v>2026</v>
      </c>
      <c r="V218" s="99">
        <v>46387</v>
      </c>
      <c r="W218" s="89"/>
      <c r="X218" s="99">
        <v>46024</v>
      </c>
      <c r="Y218" s="188">
        <v>96000</v>
      </c>
      <c r="Z218" s="189"/>
      <c r="AA218" s="188">
        <f t="shared" si="25"/>
        <v>96000</v>
      </c>
      <c r="AB218" s="188"/>
      <c r="AC218" s="188">
        <f t="shared" si="26"/>
        <v>96000</v>
      </c>
      <c r="AD218" s="188">
        <f t="shared" si="27"/>
        <v>96000</v>
      </c>
      <c r="AE218" s="68" t="s">
        <v>102</v>
      </c>
      <c r="AF218" s="68"/>
      <c r="AG218" s="68"/>
      <c r="AH218" s="190"/>
      <c r="AI218" s="191"/>
      <c r="AJ218" s="190"/>
      <c r="AK218" s="192"/>
      <c r="AL218" s="190"/>
      <c r="AM218" s="193" t="s">
        <v>202</v>
      </c>
      <c r="AN218" s="194"/>
      <c r="AO218" s="195"/>
      <c r="AP218" s="31"/>
      <c r="AQ218" s="31"/>
      <c r="AR218" s="30"/>
      <c r="AS218" s="31"/>
    </row>
    <row r="219" spans="1:45" ht="30" hidden="1" customHeight="1" x14ac:dyDescent="0.25">
      <c r="A219" s="135">
        <v>2026</v>
      </c>
      <c r="B219" s="66" t="s">
        <v>67</v>
      </c>
      <c r="C219" s="65" t="s">
        <v>567</v>
      </c>
      <c r="D219" s="144" t="s">
        <v>114</v>
      </c>
      <c r="E219" s="141"/>
      <c r="F219" s="65" t="s">
        <v>636</v>
      </c>
      <c r="G219" s="144" t="s">
        <v>121</v>
      </c>
      <c r="H219" s="66" t="s">
        <v>126</v>
      </c>
      <c r="I219" s="74"/>
      <c r="J219" s="144" t="s">
        <v>132</v>
      </c>
      <c r="K219" s="144" t="s">
        <v>3</v>
      </c>
      <c r="L219" s="66" t="s">
        <v>6</v>
      </c>
      <c r="M219" s="65" t="s">
        <v>200</v>
      </c>
      <c r="N219" s="187"/>
      <c r="O219" s="187"/>
      <c r="P219" s="187"/>
      <c r="Q219" s="144" t="s">
        <v>140</v>
      </c>
      <c r="R219" s="89"/>
      <c r="S219" s="89"/>
      <c r="T219" s="65" t="s">
        <v>637</v>
      </c>
      <c r="U219" s="144">
        <v>2026</v>
      </c>
      <c r="V219" s="99">
        <v>46387</v>
      </c>
      <c r="W219" s="89"/>
      <c r="X219" s="99">
        <v>46024</v>
      </c>
      <c r="Y219" s="188">
        <v>96000</v>
      </c>
      <c r="Z219" s="189"/>
      <c r="AA219" s="188">
        <f t="shared" si="25"/>
        <v>96000</v>
      </c>
      <c r="AB219" s="188"/>
      <c r="AC219" s="188">
        <f t="shared" si="26"/>
        <v>96000</v>
      </c>
      <c r="AD219" s="188">
        <f t="shared" si="27"/>
        <v>96000</v>
      </c>
      <c r="AE219" s="68" t="s">
        <v>102</v>
      </c>
      <c r="AF219" s="68"/>
      <c r="AG219" s="68"/>
      <c r="AH219" s="190"/>
      <c r="AI219" s="191"/>
      <c r="AJ219" s="190"/>
      <c r="AK219" s="192"/>
      <c r="AL219" s="190"/>
      <c r="AM219" s="193" t="s">
        <v>202</v>
      </c>
      <c r="AN219" s="194"/>
      <c r="AO219" s="195"/>
      <c r="AP219" s="31"/>
      <c r="AQ219" s="31"/>
      <c r="AR219" s="30"/>
      <c r="AS219" s="31"/>
    </row>
    <row r="220" spans="1:45" ht="30" hidden="1" customHeight="1" x14ac:dyDescent="0.25">
      <c r="A220" s="135">
        <v>2026</v>
      </c>
      <c r="B220" s="66" t="s">
        <v>67</v>
      </c>
      <c r="C220" s="65" t="s">
        <v>567</v>
      </c>
      <c r="D220" s="144" t="s">
        <v>114</v>
      </c>
      <c r="E220" s="141"/>
      <c r="F220" s="65" t="s">
        <v>638</v>
      </c>
      <c r="G220" s="144" t="s">
        <v>121</v>
      </c>
      <c r="H220" s="66" t="s">
        <v>126</v>
      </c>
      <c r="I220" s="74"/>
      <c r="J220" s="144" t="s">
        <v>132</v>
      </c>
      <c r="K220" s="144" t="s">
        <v>3</v>
      </c>
      <c r="L220" s="66" t="s">
        <v>6</v>
      </c>
      <c r="M220" s="65" t="s">
        <v>200</v>
      </c>
      <c r="N220" s="187"/>
      <c r="O220" s="187"/>
      <c r="P220" s="187"/>
      <c r="Q220" s="144" t="s">
        <v>140</v>
      </c>
      <c r="R220" s="89"/>
      <c r="S220" s="89"/>
      <c r="T220" s="65" t="s">
        <v>639</v>
      </c>
      <c r="U220" s="144">
        <v>2026</v>
      </c>
      <c r="V220" s="99">
        <v>46387</v>
      </c>
      <c r="W220" s="89"/>
      <c r="X220" s="99">
        <v>46024</v>
      </c>
      <c r="Y220" s="188">
        <v>96000</v>
      </c>
      <c r="Z220" s="189"/>
      <c r="AA220" s="188">
        <f t="shared" si="25"/>
        <v>96000</v>
      </c>
      <c r="AB220" s="188"/>
      <c r="AC220" s="188">
        <f t="shared" si="26"/>
        <v>96000</v>
      </c>
      <c r="AD220" s="188">
        <f t="shared" si="27"/>
        <v>96000</v>
      </c>
      <c r="AE220" s="68" t="s">
        <v>102</v>
      </c>
      <c r="AF220" s="68"/>
      <c r="AG220" s="68"/>
      <c r="AH220" s="190"/>
      <c r="AI220" s="191"/>
      <c r="AJ220" s="190"/>
      <c r="AK220" s="192"/>
      <c r="AL220" s="190"/>
      <c r="AM220" s="193" t="s">
        <v>202</v>
      </c>
      <c r="AN220" s="194"/>
      <c r="AO220" s="195"/>
      <c r="AP220" s="31"/>
      <c r="AQ220" s="31"/>
      <c r="AR220" s="30"/>
      <c r="AS220" s="31"/>
    </row>
    <row r="221" spans="1:45" ht="30" hidden="1" customHeight="1" x14ac:dyDescent="0.25">
      <c r="A221" s="135">
        <v>2026</v>
      </c>
      <c r="B221" s="66" t="s">
        <v>67</v>
      </c>
      <c r="C221" s="65" t="s">
        <v>567</v>
      </c>
      <c r="D221" s="144" t="s">
        <v>114</v>
      </c>
      <c r="E221" s="141"/>
      <c r="F221" s="65" t="s">
        <v>640</v>
      </c>
      <c r="G221" s="144" t="s">
        <v>121</v>
      </c>
      <c r="H221" s="66" t="s">
        <v>126</v>
      </c>
      <c r="I221" s="74"/>
      <c r="J221" s="144" t="s">
        <v>132</v>
      </c>
      <c r="K221" s="144" t="s">
        <v>3</v>
      </c>
      <c r="L221" s="66" t="s">
        <v>6</v>
      </c>
      <c r="M221" s="65" t="s">
        <v>200</v>
      </c>
      <c r="N221" s="187"/>
      <c r="O221" s="187"/>
      <c r="P221" s="187"/>
      <c r="Q221" s="144" t="s">
        <v>140</v>
      </c>
      <c r="R221" s="89"/>
      <c r="S221" s="89"/>
      <c r="T221" s="65" t="s">
        <v>641</v>
      </c>
      <c r="U221" s="144">
        <v>2026</v>
      </c>
      <c r="V221" s="99">
        <v>46387</v>
      </c>
      <c r="W221" s="89"/>
      <c r="X221" s="99">
        <v>46024</v>
      </c>
      <c r="Y221" s="188">
        <v>96000</v>
      </c>
      <c r="Z221" s="189"/>
      <c r="AA221" s="188">
        <f t="shared" si="25"/>
        <v>96000</v>
      </c>
      <c r="AB221" s="188"/>
      <c r="AC221" s="188">
        <f t="shared" si="26"/>
        <v>96000</v>
      </c>
      <c r="AD221" s="188">
        <f t="shared" si="27"/>
        <v>96000</v>
      </c>
      <c r="AE221" s="68" t="s">
        <v>102</v>
      </c>
      <c r="AF221" s="68"/>
      <c r="AG221" s="68"/>
      <c r="AH221" s="190"/>
      <c r="AI221" s="191"/>
      <c r="AJ221" s="190"/>
      <c r="AK221" s="192"/>
      <c r="AL221" s="190"/>
      <c r="AM221" s="193" t="s">
        <v>202</v>
      </c>
      <c r="AN221" s="194"/>
      <c r="AO221" s="195"/>
      <c r="AP221" s="31"/>
      <c r="AQ221" s="31"/>
      <c r="AR221" s="30"/>
      <c r="AS221" s="31"/>
    </row>
    <row r="222" spans="1:45" ht="30" hidden="1" customHeight="1" x14ac:dyDescent="0.25">
      <c r="A222" s="135">
        <v>2026</v>
      </c>
      <c r="B222" s="66" t="s">
        <v>67</v>
      </c>
      <c r="C222" s="65" t="s">
        <v>567</v>
      </c>
      <c r="D222" s="144" t="s">
        <v>114</v>
      </c>
      <c r="E222" s="141"/>
      <c r="F222" s="65" t="s">
        <v>642</v>
      </c>
      <c r="G222" s="144" t="s">
        <v>121</v>
      </c>
      <c r="H222" s="66" t="s">
        <v>126</v>
      </c>
      <c r="I222" s="74"/>
      <c r="J222" s="144" t="s">
        <v>132</v>
      </c>
      <c r="K222" s="144" t="s">
        <v>3</v>
      </c>
      <c r="L222" s="66" t="s">
        <v>6</v>
      </c>
      <c r="M222" s="65" t="s">
        <v>200</v>
      </c>
      <c r="N222" s="187"/>
      <c r="O222" s="187"/>
      <c r="P222" s="187"/>
      <c r="Q222" s="144" t="s">
        <v>140</v>
      </c>
      <c r="R222" s="89"/>
      <c r="S222" s="89"/>
      <c r="T222" s="65" t="s">
        <v>643</v>
      </c>
      <c r="U222" s="144">
        <v>2026</v>
      </c>
      <c r="V222" s="99">
        <v>46387</v>
      </c>
      <c r="W222" s="89"/>
      <c r="X222" s="99">
        <v>46024</v>
      </c>
      <c r="Y222" s="188">
        <v>96000</v>
      </c>
      <c r="Z222" s="189"/>
      <c r="AA222" s="188">
        <f t="shared" si="25"/>
        <v>96000</v>
      </c>
      <c r="AB222" s="188"/>
      <c r="AC222" s="188">
        <f t="shared" si="26"/>
        <v>96000</v>
      </c>
      <c r="AD222" s="188">
        <f t="shared" si="27"/>
        <v>96000</v>
      </c>
      <c r="AE222" s="68" t="s">
        <v>102</v>
      </c>
      <c r="AF222" s="68"/>
      <c r="AG222" s="68"/>
      <c r="AH222" s="190"/>
      <c r="AI222" s="191"/>
      <c r="AJ222" s="190"/>
      <c r="AK222" s="192"/>
      <c r="AL222" s="190"/>
      <c r="AM222" s="193" t="s">
        <v>202</v>
      </c>
      <c r="AN222" s="194"/>
      <c r="AO222" s="195"/>
      <c r="AP222" s="31"/>
      <c r="AQ222" s="31"/>
      <c r="AR222" s="30"/>
      <c r="AS222" s="31"/>
    </row>
    <row r="223" spans="1:45" ht="30" hidden="1" customHeight="1" x14ac:dyDescent="0.25">
      <c r="A223" s="135">
        <v>2026</v>
      </c>
      <c r="B223" s="66" t="s">
        <v>67</v>
      </c>
      <c r="C223" s="65" t="s">
        <v>567</v>
      </c>
      <c r="D223" s="144" t="s">
        <v>114</v>
      </c>
      <c r="E223" s="141"/>
      <c r="F223" s="65" t="s">
        <v>644</v>
      </c>
      <c r="G223" s="144" t="s">
        <v>121</v>
      </c>
      <c r="H223" s="66" t="s">
        <v>126</v>
      </c>
      <c r="I223" s="74"/>
      <c r="J223" s="144" t="s">
        <v>132</v>
      </c>
      <c r="K223" s="144" t="s">
        <v>3</v>
      </c>
      <c r="L223" s="66" t="s">
        <v>6</v>
      </c>
      <c r="M223" s="65" t="s">
        <v>200</v>
      </c>
      <c r="N223" s="187"/>
      <c r="O223" s="187"/>
      <c r="P223" s="187"/>
      <c r="Q223" s="144" t="s">
        <v>140</v>
      </c>
      <c r="R223" s="89"/>
      <c r="S223" s="89"/>
      <c r="T223" s="65" t="s">
        <v>645</v>
      </c>
      <c r="U223" s="144">
        <v>2026</v>
      </c>
      <c r="V223" s="99">
        <v>46387</v>
      </c>
      <c r="W223" s="89"/>
      <c r="X223" s="99">
        <v>46024</v>
      </c>
      <c r="Y223" s="188">
        <v>96000</v>
      </c>
      <c r="Z223" s="189"/>
      <c r="AA223" s="188">
        <f t="shared" si="25"/>
        <v>96000</v>
      </c>
      <c r="AB223" s="188"/>
      <c r="AC223" s="188">
        <f t="shared" si="26"/>
        <v>96000</v>
      </c>
      <c r="AD223" s="188">
        <f t="shared" si="27"/>
        <v>96000</v>
      </c>
      <c r="AE223" s="68" t="s">
        <v>102</v>
      </c>
      <c r="AF223" s="68"/>
      <c r="AG223" s="68"/>
      <c r="AH223" s="190"/>
      <c r="AI223" s="191"/>
      <c r="AJ223" s="190"/>
      <c r="AK223" s="192"/>
      <c r="AL223" s="190"/>
      <c r="AM223" s="193" t="s">
        <v>202</v>
      </c>
      <c r="AN223" s="194"/>
      <c r="AO223" s="195"/>
      <c r="AP223" s="31"/>
      <c r="AQ223" s="31"/>
      <c r="AR223" s="30"/>
      <c r="AS223" s="31"/>
    </row>
    <row r="224" spans="1:45" ht="30" hidden="1" customHeight="1" x14ac:dyDescent="0.25">
      <c r="A224" s="135">
        <v>2026</v>
      </c>
      <c r="B224" s="66" t="s">
        <v>67</v>
      </c>
      <c r="C224" s="65" t="s">
        <v>567</v>
      </c>
      <c r="D224" s="144" t="s">
        <v>114</v>
      </c>
      <c r="E224" s="141"/>
      <c r="F224" s="65" t="s">
        <v>646</v>
      </c>
      <c r="G224" s="144" t="s">
        <v>121</v>
      </c>
      <c r="H224" s="66" t="s">
        <v>126</v>
      </c>
      <c r="I224" s="74"/>
      <c r="J224" s="144" t="s">
        <v>132</v>
      </c>
      <c r="K224" s="144" t="s">
        <v>3</v>
      </c>
      <c r="L224" s="66" t="s">
        <v>6</v>
      </c>
      <c r="M224" s="65" t="s">
        <v>200</v>
      </c>
      <c r="N224" s="187"/>
      <c r="O224" s="187"/>
      <c r="P224" s="187"/>
      <c r="Q224" s="144" t="s">
        <v>140</v>
      </c>
      <c r="R224" s="89"/>
      <c r="S224" s="89"/>
      <c r="T224" s="65" t="s">
        <v>647</v>
      </c>
      <c r="U224" s="144">
        <v>2026</v>
      </c>
      <c r="V224" s="99">
        <v>46387</v>
      </c>
      <c r="W224" s="89"/>
      <c r="X224" s="99">
        <v>46024</v>
      </c>
      <c r="Y224" s="188">
        <v>96000</v>
      </c>
      <c r="Z224" s="189"/>
      <c r="AA224" s="188">
        <f t="shared" si="25"/>
        <v>96000</v>
      </c>
      <c r="AB224" s="188"/>
      <c r="AC224" s="188">
        <f t="shared" si="26"/>
        <v>96000</v>
      </c>
      <c r="AD224" s="188">
        <f t="shared" si="27"/>
        <v>96000</v>
      </c>
      <c r="AE224" s="68" t="s">
        <v>102</v>
      </c>
      <c r="AF224" s="68"/>
      <c r="AG224" s="68"/>
      <c r="AH224" s="190"/>
      <c r="AI224" s="191"/>
      <c r="AJ224" s="190"/>
      <c r="AK224" s="192"/>
      <c r="AL224" s="190"/>
      <c r="AM224" s="193" t="s">
        <v>202</v>
      </c>
      <c r="AN224" s="194"/>
      <c r="AO224" s="195"/>
      <c r="AP224" s="31"/>
      <c r="AQ224" s="31"/>
      <c r="AR224" s="30"/>
      <c r="AS224" s="31"/>
    </row>
    <row r="225" spans="1:45" ht="30" hidden="1" customHeight="1" x14ac:dyDescent="0.25">
      <c r="A225" s="135">
        <v>2026</v>
      </c>
      <c r="B225" s="66" t="s">
        <v>67</v>
      </c>
      <c r="C225" s="65" t="s">
        <v>567</v>
      </c>
      <c r="D225" s="144" t="s">
        <v>114</v>
      </c>
      <c r="E225" s="141"/>
      <c r="F225" s="65" t="s">
        <v>648</v>
      </c>
      <c r="G225" s="144" t="s">
        <v>121</v>
      </c>
      <c r="H225" s="66" t="s">
        <v>126</v>
      </c>
      <c r="I225" s="74"/>
      <c r="J225" s="144" t="s">
        <v>132</v>
      </c>
      <c r="K225" s="144" t="s">
        <v>3</v>
      </c>
      <c r="L225" s="66" t="s">
        <v>6</v>
      </c>
      <c r="M225" s="65" t="s">
        <v>200</v>
      </c>
      <c r="N225" s="187"/>
      <c r="O225" s="187"/>
      <c r="P225" s="187"/>
      <c r="Q225" s="144" t="s">
        <v>140</v>
      </c>
      <c r="R225" s="89"/>
      <c r="S225" s="89"/>
      <c r="T225" s="65" t="s">
        <v>649</v>
      </c>
      <c r="U225" s="144">
        <v>2026</v>
      </c>
      <c r="V225" s="99">
        <v>46387</v>
      </c>
      <c r="W225" s="89"/>
      <c r="X225" s="99">
        <v>46024</v>
      </c>
      <c r="Y225" s="188">
        <v>96000</v>
      </c>
      <c r="Z225" s="189"/>
      <c r="AA225" s="188">
        <f t="shared" si="25"/>
        <v>96000</v>
      </c>
      <c r="AB225" s="188"/>
      <c r="AC225" s="188">
        <f t="shared" si="26"/>
        <v>96000</v>
      </c>
      <c r="AD225" s="188">
        <f t="shared" si="27"/>
        <v>96000</v>
      </c>
      <c r="AE225" s="68" t="s">
        <v>102</v>
      </c>
      <c r="AF225" s="68"/>
      <c r="AG225" s="68"/>
      <c r="AH225" s="190"/>
      <c r="AI225" s="191"/>
      <c r="AJ225" s="190"/>
      <c r="AK225" s="192"/>
      <c r="AL225" s="190"/>
      <c r="AM225" s="193" t="s">
        <v>202</v>
      </c>
      <c r="AN225" s="194"/>
      <c r="AO225" s="195"/>
      <c r="AP225" s="31"/>
      <c r="AQ225" s="31"/>
      <c r="AR225" s="30"/>
      <c r="AS225" s="31"/>
    </row>
    <row r="226" spans="1:45" ht="30" hidden="1" customHeight="1" x14ac:dyDescent="0.25">
      <c r="A226" s="135">
        <v>2026</v>
      </c>
      <c r="B226" s="66" t="s">
        <v>67</v>
      </c>
      <c r="C226" s="65" t="s">
        <v>567</v>
      </c>
      <c r="D226" s="144" t="s">
        <v>114</v>
      </c>
      <c r="E226" s="141"/>
      <c r="F226" s="65" t="s">
        <v>650</v>
      </c>
      <c r="G226" s="144" t="s">
        <v>121</v>
      </c>
      <c r="H226" s="66" t="s">
        <v>126</v>
      </c>
      <c r="I226" s="74"/>
      <c r="J226" s="144" t="s">
        <v>132</v>
      </c>
      <c r="K226" s="144" t="s">
        <v>3</v>
      </c>
      <c r="L226" s="66" t="s">
        <v>6</v>
      </c>
      <c r="M226" s="65" t="s">
        <v>200</v>
      </c>
      <c r="N226" s="187"/>
      <c r="O226" s="187"/>
      <c r="P226" s="187"/>
      <c r="Q226" s="144" t="s">
        <v>140</v>
      </c>
      <c r="R226" s="89"/>
      <c r="S226" s="89"/>
      <c r="T226" s="65" t="s">
        <v>651</v>
      </c>
      <c r="U226" s="144">
        <v>2026</v>
      </c>
      <c r="V226" s="99">
        <v>46387</v>
      </c>
      <c r="W226" s="89"/>
      <c r="X226" s="99">
        <v>46024</v>
      </c>
      <c r="Y226" s="188">
        <v>132000</v>
      </c>
      <c r="Z226" s="189"/>
      <c r="AA226" s="188">
        <f t="shared" si="25"/>
        <v>132000</v>
      </c>
      <c r="AB226" s="188"/>
      <c r="AC226" s="188">
        <f t="shared" si="26"/>
        <v>132000</v>
      </c>
      <c r="AD226" s="188">
        <f t="shared" si="27"/>
        <v>132000</v>
      </c>
      <c r="AE226" s="68" t="s">
        <v>102</v>
      </c>
      <c r="AF226" s="68"/>
      <c r="AG226" s="68"/>
      <c r="AH226" s="190"/>
      <c r="AI226" s="191"/>
      <c r="AJ226" s="190"/>
      <c r="AK226" s="192"/>
      <c r="AL226" s="190"/>
      <c r="AM226" s="193" t="s">
        <v>202</v>
      </c>
      <c r="AN226" s="194"/>
      <c r="AO226" s="195"/>
      <c r="AP226" s="31"/>
      <c r="AQ226" s="31"/>
      <c r="AR226" s="30"/>
      <c r="AS226" s="31"/>
    </row>
    <row r="227" spans="1:45" ht="30" hidden="1" customHeight="1" x14ac:dyDescent="0.25">
      <c r="A227" s="135">
        <v>2026</v>
      </c>
      <c r="B227" s="66" t="s">
        <v>67</v>
      </c>
      <c r="C227" s="65" t="s">
        <v>567</v>
      </c>
      <c r="D227" s="144" t="s">
        <v>114</v>
      </c>
      <c r="E227" s="141"/>
      <c r="F227" s="65" t="s">
        <v>652</v>
      </c>
      <c r="G227" s="144" t="s">
        <v>121</v>
      </c>
      <c r="H227" s="66" t="s">
        <v>126</v>
      </c>
      <c r="I227" s="74"/>
      <c r="J227" s="144" t="s">
        <v>132</v>
      </c>
      <c r="K227" s="144" t="s">
        <v>3</v>
      </c>
      <c r="L227" s="66" t="s">
        <v>6</v>
      </c>
      <c r="M227" s="65" t="s">
        <v>200</v>
      </c>
      <c r="N227" s="187"/>
      <c r="O227" s="187"/>
      <c r="P227" s="187"/>
      <c r="Q227" s="144" t="s">
        <v>140</v>
      </c>
      <c r="R227" s="89"/>
      <c r="S227" s="89"/>
      <c r="T227" s="65" t="s">
        <v>653</v>
      </c>
      <c r="U227" s="144">
        <v>2026</v>
      </c>
      <c r="V227" s="99">
        <v>46387</v>
      </c>
      <c r="W227" s="89"/>
      <c r="X227" s="99">
        <v>46024</v>
      </c>
      <c r="Y227" s="188">
        <v>84000</v>
      </c>
      <c r="Z227" s="189"/>
      <c r="AA227" s="188">
        <f t="shared" si="25"/>
        <v>84000</v>
      </c>
      <c r="AB227" s="188"/>
      <c r="AC227" s="188">
        <f t="shared" si="26"/>
        <v>84000</v>
      </c>
      <c r="AD227" s="188">
        <f t="shared" si="27"/>
        <v>84000</v>
      </c>
      <c r="AE227" s="68" t="s">
        <v>102</v>
      </c>
      <c r="AF227" s="68"/>
      <c r="AG227" s="68"/>
      <c r="AH227" s="190"/>
      <c r="AI227" s="191"/>
      <c r="AJ227" s="190"/>
      <c r="AK227" s="192"/>
      <c r="AL227" s="190"/>
      <c r="AM227" s="193" t="s">
        <v>202</v>
      </c>
      <c r="AN227" s="194"/>
      <c r="AO227" s="195"/>
      <c r="AP227" s="31"/>
      <c r="AQ227" s="31"/>
      <c r="AR227" s="30"/>
      <c r="AS227" s="31"/>
    </row>
    <row r="228" spans="1:45" ht="30" hidden="1" customHeight="1" x14ac:dyDescent="0.25">
      <c r="A228" s="135">
        <v>2026</v>
      </c>
      <c r="B228" s="66" t="s">
        <v>67</v>
      </c>
      <c r="C228" s="65" t="s">
        <v>567</v>
      </c>
      <c r="D228" s="144" t="s">
        <v>114</v>
      </c>
      <c r="E228" s="141"/>
      <c r="F228" s="65" t="s">
        <v>654</v>
      </c>
      <c r="G228" s="144" t="s">
        <v>121</v>
      </c>
      <c r="H228" s="66" t="s">
        <v>126</v>
      </c>
      <c r="I228" s="74"/>
      <c r="J228" s="144" t="s">
        <v>132</v>
      </c>
      <c r="K228" s="144" t="s">
        <v>3</v>
      </c>
      <c r="L228" s="66" t="s">
        <v>6</v>
      </c>
      <c r="M228" s="65" t="s">
        <v>200</v>
      </c>
      <c r="N228" s="187"/>
      <c r="O228" s="187"/>
      <c r="P228" s="187"/>
      <c r="Q228" s="144" t="s">
        <v>140</v>
      </c>
      <c r="R228" s="89"/>
      <c r="S228" s="89"/>
      <c r="T228" s="65" t="s">
        <v>655</v>
      </c>
      <c r="U228" s="144">
        <v>2026</v>
      </c>
      <c r="V228" s="99">
        <v>46387</v>
      </c>
      <c r="W228" s="89"/>
      <c r="X228" s="99">
        <v>46024</v>
      </c>
      <c r="Y228" s="188">
        <v>96000</v>
      </c>
      <c r="Z228" s="189"/>
      <c r="AA228" s="188">
        <f t="shared" si="25"/>
        <v>96000</v>
      </c>
      <c r="AB228" s="188"/>
      <c r="AC228" s="188">
        <f t="shared" si="26"/>
        <v>96000</v>
      </c>
      <c r="AD228" s="188">
        <f t="shared" si="27"/>
        <v>96000</v>
      </c>
      <c r="AE228" s="68" t="s">
        <v>102</v>
      </c>
      <c r="AF228" s="68"/>
      <c r="AG228" s="68"/>
      <c r="AH228" s="190"/>
      <c r="AI228" s="191"/>
      <c r="AJ228" s="190"/>
      <c r="AK228" s="192"/>
      <c r="AL228" s="190"/>
      <c r="AM228" s="193" t="s">
        <v>202</v>
      </c>
      <c r="AN228" s="194"/>
      <c r="AO228" s="195"/>
      <c r="AP228" s="31"/>
      <c r="AQ228" s="31"/>
      <c r="AR228" s="30"/>
      <c r="AS228" s="31"/>
    </row>
    <row r="229" spans="1:45" ht="30" hidden="1" customHeight="1" x14ac:dyDescent="0.25">
      <c r="A229" s="135">
        <v>2026</v>
      </c>
      <c r="B229" s="66" t="s">
        <v>67</v>
      </c>
      <c r="C229" s="65" t="s">
        <v>567</v>
      </c>
      <c r="D229" s="144" t="s">
        <v>114</v>
      </c>
      <c r="E229" s="141"/>
      <c r="F229" s="65" t="s">
        <v>656</v>
      </c>
      <c r="G229" s="144" t="s">
        <v>121</v>
      </c>
      <c r="H229" s="66" t="s">
        <v>126</v>
      </c>
      <c r="I229" s="74"/>
      <c r="J229" s="144" t="s">
        <v>132</v>
      </c>
      <c r="K229" s="144" t="s">
        <v>3</v>
      </c>
      <c r="L229" s="66" t="s">
        <v>6</v>
      </c>
      <c r="M229" s="65" t="s">
        <v>200</v>
      </c>
      <c r="N229" s="187"/>
      <c r="O229" s="187"/>
      <c r="P229" s="187"/>
      <c r="Q229" s="144" t="s">
        <v>140</v>
      </c>
      <c r="R229" s="89"/>
      <c r="S229" s="89"/>
      <c r="T229" s="65" t="s">
        <v>657</v>
      </c>
      <c r="U229" s="144">
        <v>2026</v>
      </c>
      <c r="V229" s="99">
        <v>46387</v>
      </c>
      <c r="W229" s="89"/>
      <c r="X229" s="99">
        <v>46024</v>
      </c>
      <c r="Y229" s="188">
        <v>96000</v>
      </c>
      <c r="Z229" s="189"/>
      <c r="AA229" s="188">
        <f t="shared" si="25"/>
        <v>96000</v>
      </c>
      <c r="AB229" s="188"/>
      <c r="AC229" s="188">
        <f t="shared" si="26"/>
        <v>96000</v>
      </c>
      <c r="AD229" s="188">
        <f t="shared" si="27"/>
        <v>96000</v>
      </c>
      <c r="AE229" s="68" t="s">
        <v>102</v>
      </c>
      <c r="AF229" s="68"/>
      <c r="AG229" s="68"/>
      <c r="AH229" s="190"/>
      <c r="AI229" s="191"/>
      <c r="AJ229" s="190"/>
      <c r="AK229" s="192"/>
      <c r="AL229" s="190"/>
      <c r="AM229" s="193" t="s">
        <v>202</v>
      </c>
      <c r="AN229" s="194"/>
      <c r="AO229" s="195"/>
      <c r="AP229" s="31"/>
      <c r="AQ229" s="31"/>
      <c r="AR229" s="30"/>
      <c r="AS229" s="31"/>
    </row>
    <row r="230" spans="1:45" ht="30" hidden="1" customHeight="1" x14ac:dyDescent="0.25">
      <c r="A230" s="135">
        <v>2026</v>
      </c>
      <c r="B230" s="66" t="s">
        <v>67</v>
      </c>
      <c r="C230" s="65" t="s">
        <v>567</v>
      </c>
      <c r="D230" s="144" t="s">
        <v>114</v>
      </c>
      <c r="E230" s="141"/>
      <c r="F230" s="65" t="s">
        <v>658</v>
      </c>
      <c r="G230" s="144" t="s">
        <v>121</v>
      </c>
      <c r="H230" s="66" t="s">
        <v>126</v>
      </c>
      <c r="I230" s="74"/>
      <c r="J230" s="144" t="s">
        <v>132</v>
      </c>
      <c r="K230" s="144" t="s">
        <v>3</v>
      </c>
      <c r="L230" s="66" t="s">
        <v>6</v>
      </c>
      <c r="M230" s="65" t="s">
        <v>200</v>
      </c>
      <c r="N230" s="187"/>
      <c r="O230" s="187"/>
      <c r="P230" s="187"/>
      <c r="Q230" s="144" t="s">
        <v>140</v>
      </c>
      <c r="R230" s="89"/>
      <c r="S230" s="89"/>
      <c r="T230" s="65" t="s">
        <v>659</v>
      </c>
      <c r="U230" s="144">
        <v>2026</v>
      </c>
      <c r="V230" s="99">
        <v>46387</v>
      </c>
      <c r="W230" s="89"/>
      <c r="X230" s="99">
        <v>46024</v>
      </c>
      <c r="Y230" s="188">
        <v>96000</v>
      </c>
      <c r="Z230" s="189"/>
      <c r="AA230" s="188">
        <f t="shared" si="25"/>
        <v>96000</v>
      </c>
      <c r="AB230" s="188"/>
      <c r="AC230" s="188">
        <f t="shared" si="26"/>
        <v>96000</v>
      </c>
      <c r="AD230" s="188">
        <f t="shared" si="27"/>
        <v>96000</v>
      </c>
      <c r="AE230" s="68" t="s">
        <v>102</v>
      </c>
      <c r="AF230" s="68"/>
      <c r="AG230" s="68"/>
      <c r="AH230" s="190"/>
      <c r="AI230" s="191"/>
      <c r="AJ230" s="190"/>
      <c r="AK230" s="192"/>
      <c r="AL230" s="190"/>
      <c r="AM230" s="193" t="s">
        <v>202</v>
      </c>
      <c r="AN230" s="194"/>
      <c r="AO230" s="195"/>
      <c r="AP230" s="31"/>
      <c r="AQ230" s="31"/>
      <c r="AR230" s="30"/>
      <c r="AS230" s="31"/>
    </row>
    <row r="231" spans="1:45" ht="30" hidden="1" customHeight="1" x14ac:dyDescent="0.25">
      <c r="A231" s="135">
        <v>2026</v>
      </c>
      <c r="B231" s="66" t="s">
        <v>67</v>
      </c>
      <c r="C231" s="65" t="s">
        <v>567</v>
      </c>
      <c r="D231" s="144" t="s">
        <v>114</v>
      </c>
      <c r="E231" s="141"/>
      <c r="F231" s="65" t="s">
        <v>660</v>
      </c>
      <c r="G231" s="144" t="s">
        <v>121</v>
      </c>
      <c r="H231" s="66" t="s">
        <v>126</v>
      </c>
      <c r="I231" s="74"/>
      <c r="J231" s="144" t="s">
        <v>132</v>
      </c>
      <c r="K231" s="144" t="s">
        <v>3</v>
      </c>
      <c r="L231" s="66" t="s">
        <v>6</v>
      </c>
      <c r="M231" s="65" t="s">
        <v>200</v>
      </c>
      <c r="N231" s="187"/>
      <c r="O231" s="187"/>
      <c r="P231" s="187"/>
      <c r="Q231" s="144" t="s">
        <v>140</v>
      </c>
      <c r="R231" s="89"/>
      <c r="S231" s="89"/>
      <c r="T231" s="65" t="s">
        <v>661</v>
      </c>
      <c r="U231" s="144">
        <v>2026</v>
      </c>
      <c r="V231" s="99">
        <v>46387</v>
      </c>
      <c r="W231" s="89"/>
      <c r="X231" s="99">
        <v>46024</v>
      </c>
      <c r="Y231" s="188">
        <v>96000</v>
      </c>
      <c r="Z231" s="189"/>
      <c r="AA231" s="188">
        <f t="shared" si="25"/>
        <v>96000</v>
      </c>
      <c r="AB231" s="188"/>
      <c r="AC231" s="188">
        <f t="shared" si="26"/>
        <v>96000</v>
      </c>
      <c r="AD231" s="188">
        <f t="shared" si="27"/>
        <v>96000</v>
      </c>
      <c r="AE231" s="68" t="s">
        <v>102</v>
      </c>
      <c r="AF231" s="68"/>
      <c r="AG231" s="68"/>
      <c r="AH231" s="190"/>
      <c r="AI231" s="191"/>
      <c r="AJ231" s="190"/>
      <c r="AK231" s="192"/>
      <c r="AL231" s="190"/>
      <c r="AM231" s="193" t="s">
        <v>202</v>
      </c>
      <c r="AN231" s="194"/>
      <c r="AO231" s="195"/>
      <c r="AP231" s="31"/>
      <c r="AQ231" s="31"/>
      <c r="AR231" s="30"/>
      <c r="AS231" s="31"/>
    </row>
    <row r="232" spans="1:45" ht="30" hidden="1" customHeight="1" x14ac:dyDescent="0.25">
      <c r="A232" s="135">
        <v>2026</v>
      </c>
      <c r="B232" s="66" t="s">
        <v>67</v>
      </c>
      <c r="C232" s="65" t="s">
        <v>567</v>
      </c>
      <c r="D232" s="144" t="s">
        <v>114</v>
      </c>
      <c r="E232" s="141"/>
      <c r="F232" s="65" t="s">
        <v>662</v>
      </c>
      <c r="G232" s="144" t="s">
        <v>121</v>
      </c>
      <c r="H232" s="66" t="s">
        <v>126</v>
      </c>
      <c r="I232" s="74"/>
      <c r="J232" s="144" t="s">
        <v>132</v>
      </c>
      <c r="K232" s="144" t="s">
        <v>3</v>
      </c>
      <c r="L232" s="66" t="s">
        <v>6</v>
      </c>
      <c r="M232" s="65" t="s">
        <v>200</v>
      </c>
      <c r="N232" s="187"/>
      <c r="O232" s="187"/>
      <c r="P232" s="187"/>
      <c r="Q232" s="144" t="s">
        <v>140</v>
      </c>
      <c r="R232" s="89"/>
      <c r="S232" s="89"/>
      <c r="T232" s="65" t="s">
        <v>663</v>
      </c>
      <c r="U232" s="144">
        <v>2026</v>
      </c>
      <c r="V232" s="99">
        <v>46387</v>
      </c>
      <c r="W232" s="89"/>
      <c r="X232" s="99">
        <v>46024</v>
      </c>
      <c r="Y232" s="188">
        <v>96000</v>
      </c>
      <c r="Z232" s="189"/>
      <c r="AA232" s="188">
        <f t="shared" si="25"/>
        <v>96000</v>
      </c>
      <c r="AB232" s="188"/>
      <c r="AC232" s="188">
        <f t="shared" si="26"/>
        <v>96000</v>
      </c>
      <c r="AD232" s="188">
        <f t="shared" si="27"/>
        <v>96000</v>
      </c>
      <c r="AE232" s="68" t="s">
        <v>102</v>
      </c>
      <c r="AF232" s="68"/>
      <c r="AG232" s="68"/>
      <c r="AH232" s="190"/>
      <c r="AI232" s="191"/>
      <c r="AJ232" s="190"/>
      <c r="AK232" s="192"/>
      <c r="AL232" s="190"/>
      <c r="AM232" s="193" t="s">
        <v>202</v>
      </c>
      <c r="AN232" s="194"/>
      <c r="AO232" s="195"/>
      <c r="AP232" s="31"/>
      <c r="AQ232" s="31"/>
      <c r="AR232" s="30"/>
      <c r="AS232" s="31"/>
    </row>
    <row r="233" spans="1:45" ht="30" hidden="1" customHeight="1" x14ac:dyDescent="0.25">
      <c r="A233" s="135">
        <v>2026</v>
      </c>
      <c r="B233" s="66" t="s">
        <v>67</v>
      </c>
      <c r="C233" s="65" t="s">
        <v>567</v>
      </c>
      <c r="D233" s="144" t="s">
        <v>114</v>
      </c>
      <c r="E233" s="141"/>
      <c r="F233" s="65" t="s">
        <v>664</v>
      </c>
      <c r="G233" s="144" t="s">
        <v>121</v>
      </c>
      <c r="H233" s="66" t="s">
        <v>126</v>
      </c>
      <c r="I233" s="74"/>
      <c r="J233" s="144" t="s">
        <v>132</v>
      </c>
      <c r="K233" s="144" t="s">
        <v>3</v>
      </c>
      <c r="L233" s="66" t="s">
        <v>6</v>
      </c>
      <c r="M233" s="65" t="s">
        <v>200</v>
      </c>
      <c r="N233" s="187"/>
      <c r="O233" s="187"/>
      <c r="P233" s="187"/>
      <c r="Q233" s="144" t="s">
        <v>140</v>
      </c>
      <c r="R233" s="89"/>
      <c r="S233" s="89"/>
      <c r="T233" s="65" t="s">
        <v>665</v>
      </c>
      <c r="U233" s="144">
        <v>2026</v>
      </c>
      <c r="V233" s="99">
        <v>46387</v>
      </c>
      <c r="W233" s="89"/>
      <c r="X233" s="99">
        <v>46024</v>
      </c>
      <c r="Y233" s="188">
        <v>96000</v>
      </c>
      <c r="Z233" s="189"/>
      <c r="AA233" s="188">
        <f t="shared" si="25"/>
        <v>96000</v>
      </c>
      <c r="AB233" s="188"/>
      <c r="AC233" s="188">
        <f t="shared" si="26"/>
        <v>96000</v>
      </c>
      <c r="AD233" s="188">
        <f t="shared" si="27"/>
        <v>96000</v>
      </c>
      <c r="AE233" s="68" t="s">
        <v>102</v>
      </c>
      <c r="AF233" s="68"/>
      <c r="AG233" s="68"/>
      <c r="AH233" s="190"/>
      <c r="AI233" s="191"/>
      <c r="AJ233" s="190"/>
      <c r="AK233" s="192"/>
      <c r="AL233" s="190"/>
      <c r="AM233" s="193" t="s">
        <v>202</v>
      </c>
      <c r="AN233" s="194"/>
      <c r="AO233" s="195"/>
      <c r="AP233" s="31"/>
      <c r="AQ233" s="31"/>
      <c r="AR233" s="30"/>
      <c r="AS233" s="31"/>
    </row>
    <row r="234" spans="1:45" ht="30" hidden="1" customHeight="1" x14ac:dyDescent="0.25">
      <c r="A234" s="135">
        <v>2026</v>
      </c>
      <c r="B234" s="66" t="s">
        <v>67</v>
      </c>
      <c r="C234" s="65" t="s">
        <v>567</v>
      </c>
      <c r="D234" s="144" t="s">
        <v>114</v>
      </c>
      <c r="E234" s="141"/>
      <c r="F234" s="65" t="s">
        <v>666</v>
      </c>
      <c r="G234" s="144" t="s">
        <v>121</v>
      </c>
      <c r="H234" s="66" t="s">
        <v>126</v>
      </c>
      <c r="I234" s="74"/>
      <c r="J234" s="144" t="s">
        <v>132</v>
      </c>
      <c r="K234" s="144" t="s">
        <v>3</v>
      </c>
      <c r="L234" s="66" t="s">
        <v>6</v>
      </c>
      <c r="M234" s="65" t="s">
        <v>200</v>
      </c>
      <c r="N234" s="187"/>
      <c r="O234" s="187"/>
      <c r="P234" s="187"/>
      <c r="Q234" s="144" t="s">
        <v>140</v>
      </c>
      <c r="R234" s="89"/>
      <c r="S234" s="89"/>
      <c r="T234" s="65" t="s">
        <v>667</v>
      </c>
      <c r="U234" s="144">
        <v>2026</v>
      </c>
      <c r="V234" s="99">
        <v>46387</v>
      </c>
      <c r="W234" s="89"/>
      <c r="X234" s="99">
        <v>46024</v>
      </c>
      <c r="Y234" s="188">
        <v>457142.72</v>
      </c>
      <c r="Z234" s="189"/>
      <c r="AA234" s="188">
        <f t="shared" si="25"/>
        <v>457142.72</v>
      </c>
      <c r="AB234" s="188"/>
      <c r="AC234" s="188">
        <f t="shared" si="26"/>
        <v>457142.72</v>
      </c>
      <c r="AD234" s="188">
        <f t="shared" si="27"/>
        <v>457142.72</v>
      </c>
      <c r="AE234" s="68" t="s">
        <v>102</v>
      </c>
      <c r="AF234" s="68"/>
      <c r="AG234" s="68"/>
      <c r="AH234" s="190"/>
      <c r="AI234" s="191"/>
      <c r="AJ234" s="190"/>
      <c r="AK234" s="192"/>
      <c r="AL234" s="190"/>
      <c r="AM234" s="193" t="s">
        <v>202</v>
      </c>
      <c r="AN234" s="194"/>
      <c r="AO234" s="195"/>
      <c r="AP234" s="31"/>
      <c r="AQ234" s="31"/>
      <c r="AR234" s="30"/>
      <c r="AS234" s="31"/>
    </row>
    <row r="235" spans="1:45" ht="30" hidden="1" customHeight="1" x14ac:dyDescent="0.25">
      <c r="A235" s="135">
        <v>2026</v>
      </c>
      <c r="B235" s="66" t="s">
        <v>67</v>
      </c>
      <c r="C235" s="65" t="s">
        <v>567</v>
      </c>
      <c r="D235" s="144" t="s">
        <v>114</v>
      </c>
      <c r="E235" s="141"/>
      <c r="F235" s="65" t="s">
        <v>668</v>
      </c>
      <c r="G235" s="144" t="s">
        <v>121</v>
      </c>
      <c r="H235" s="66" t="s">
        <v>126</v>
      </c>
      <c r="I235" s="74"/>
      <c r="J235" s="144" t="s">
        <v>132</v>
      </c>
      <c r="K235" s="144" t="s">
        <v>3</v>
      </c>
      <c r="L235" s="66" t="s">
        <v>6</v>
      </c>
      <c r="M235" s="65" t="s">
        <v>200</v>
      </c>
      <c r="N235" s="187"/>
      <c r="O235" s="187"/>
      <c r="P235" s="187"/>
      <c r="Q235" s="144" t="s">
        <v>140</v>
      </c>
      <c r="R235" s="89"/>
      <c r="S235" s="89"/>
      <c r="T235" s="65" t="s">
        <v>669</v>
      </c>
      <c r="U235" s="144">
        <v>2026</v>
      </c>
      <c r="V235" s="99">
        <v>46387</v>
      </c>
      <c r="W235" s="89"/>
      <c r="X235" s="99">
        <v>46024</v>
      </c>
      <c r="Y235" s="188">
        <v>41600</v>
      </c>
      <c r="Z235" s="189"/>
      <c r="AA235" s="188">
        <v>41600</v>
      </c>
      <c r="AB235" s="188"/>
      <c r="AC235" s="188">
        <v>41600</v>
      </c>
      <c r="AD235" s="188">
        <v>41600</v>
      </c>
      <c r="AE235" s="68" t="s">
        <v>102</v>
      </c>
      <c r="AF235" s="68"/>
      <c r="AG235" s="68"/>
      <c r="AH235" s="190"/>
      <c r="AI235" s="191"/>
      <c r="AJ235" s="190"/>
      <c r="AK235" s="192"/>
      <c r="AL235" s="190"/>
      <c r="AM235" s="193" t="s">
        <v>202</v>
      </c>
      <c r="AN235" s="194"/>
      <c r="AO235" s="195"/>
      <c r="AP235" s="31"/>
      <c r="AQ235" s="31"/>
      <c r="AR235" s="30"/>
      <c r="AS235" s="31"/>
    </row>
    <row r="236" spans="1:45" ht="30" hidden="1" customHeight="1" x14ac:dyDescent="0.25">
      <c r="A236" s="135">
        <v>2026</v>
      </c>
      <c r="B236" s="66" t="s">
        <v>67</v>
      </c>
      <c r="C236" s="65" t="s">
        <v>567</v>
      </c>
      <c r="D236" s="144" t="s">
        <v>114</v>
      </c>
      <c r="E236" s="141"/>
      <c r="F236" s="65" t="s">
        <v>670</v>
      </c>
      <c r="G236" s="144" t="s">
        <v>121</v>
      </c>
      <c r="H236" s="66" t="s">
        <v>126</v>
      </c>
      <c r="I236" s="74"/>
      <c r="J236" s="144" t="s">
        <v>132</v>
      </c>
      <c r="K236" s="144" t="s">
        <v>3</v>
      </c>
      <c r="L236" s="66" t="s">
        <v>6</v>
      </c>
      <c r="M236" s="65" t="s">
        <v>200</v>
      </c>
      <c r="N236" s="187"/>
      <c r="O236" s="187"/>
      <c r="P236" s="187"/>
      <c r="Q236" s="144" t="s">
        <v>140</v>
      </c>
      <c r="R236" s="89"/>
      <c r="S236" s="89"/>
      <c r="T236" s="65" t="s">
        <v>671</v>
      </c>
      <c r="U236" s="144">
        <v>2026</v>
      </c>
      <c r="V236" s="99">
        <v>46387</v>
      </c>
      <c r="W236" s="89"/>
      <c r="X236" s="99">
        <v>46024</v>
      </c>
      <c r="Y236" s="188">
        <v>71400</v>
      </c>
      <c r="Z236" s="189"/>
      <c r="AA236" s="188">
        <f t="shared" ref="AA236:AA267" si="28">Y236</f>
        <v>71400</v>
      </c>
      <c r="AB236" s="188"/>
      <c r="AC236" s="188">
        <f t="shared" ref="AC236:AC267" si="29">Y236</f>
        <v>71400</v>
      </c>
      <c r="AD236" s="188">
        <f t="shared" ref="AD236:AD267" si="30">AA236</f>
        <v>71400</v>
      </c>
      <c r="AE236" s="68" t="s">
        <v>102</v>
      </c>
      <c r="AF236" s="68"/>
      <c r="AG236" s="68"/>
      <c r="AH236" s="190"/>
      <c r="AI236" s="191"/>
      <c r="AJ236" s="190"/>
      <c r="AK236" s="192"/>
      <c r="AL236" s="190"/>
      <c r="AM236" s="193" t="s">
        <v>202</v>
      </c>
      <c r="AN236" s="194"/>
      <c r="AO236" s="195"/>
      <c r="AP236" s="31"/>
      <c r="AQ236" s="31"/>
      <c r="AR236" s="30"/>
      <c r="AS236" s="31"/>
    </row>
    <row r="237" spans="1:45" ht="30" hidden="1" customHeight="1" x14ac:dyDescent="0.25">
      <c r="A237" s="135">
        <v>2026</v>
      </c>
      <c r="B237" s="66" t="s">
        <v>67</v>
      </c>
      <c r="C237" s="65" t="s">
        <v>567</v>
      </c>
      <c r="D237" s="144" t="s">
        <v>114</v>
      </c>
      <c r="E237" s="141"/>
      <c r="F237" s="65" t="s">
        <v>672</v>
      </c>
      <c r="G237" s="144" t="s">
        <v>121</v>
      </c>
      <c r="H237" s="66" t="s">
        <v>126</v>
      </c>
      <c r="I237" s="74"/>
      <c r="J237" s="144" t="s">
        <v>132</v>
      </c>
      <c r="K237" s="144" t="s">
        <v>3</v>
      </c>
      <c r="L237" s="66" t="s">
        <v>6</v>
      </c>
      <c r="M237" s="65" t="s">
        <v>200</v>
      </c>
      <c r="N237" s="187"/>
      <c r="O237" s="187"/>
      <c r="P237" s="187"/>
      <c r="Q237" s="144" t="s">
        <v>140</v>
      </c>
      <c r="R237" s="89"/>
      <c r="S237" s="89"/>
      <c r="T237" s="65" t="s">
        <v>673</v>
      </c>
      <c r="U237" s="144">
        <v>2026</v>
      </c>
      <c r="V237" s="99">
        <v>46387</v>
      </c>
      <c r="W237" s="89"/>
      <c r="X237" s="99">
        <v>46024</v>
      </c>
      <c r="Y237" s="188">
        <v>71400</v>
      </c>
      <c r="Z237" s="189"/>
      <c r="AA237" s="188">
        <f t="shared" si="28"/>
        <v>71400</v>
      </c>
      <c r="AB237" s="188"/>
      <c r="AC237" s="188">
        <f t="shared" si="29"/>
        <v>71400</v>
      </c>
      <c r="AD237" s="188">
        <f t="shared" si="30"/>
        <v>71400</v>
      </c>
      <c r="AE237" s="68" t="s">
        <v>102</v>
      </c>
      <c r="AF237" s="68"/>
      <c r="AG237" s="68"/>
      <c r="AH237" s="190"/>
      <c r="AI237" s="191"/>
      <c r="AJ237" s="190"/>
      <c r="AK237" s="192"/>
      <c r="AL237" s="190"/>
      <c r="AM237" s="193" t="s">
        <v>202</v>
      </c>
      <c r="AN237" s="194"/>
      <c r="AO237" s="195"/>
      <c r="AP237" s="31"/>
      <c r="AQ237" s="31"/>
      <c r="AR237" s="30"/>
      <c r="AS237" s="31"/>
    </row>
    <row r="238" spans="1:45" ht="30" hidden="1" customHeight="1" x14ac:dyDescent="0.25">
      <c r="A238" s="135">
        <v>2026</v>
      </c>
      <c r="B238" s="66" t="s">
        <v>67</v>
      </c>
      <c r="C238" s="65" t="s">
        <v>567</v>
      </c>
      <c r="D238" s="144" t="s">
        <v>114</v>
      </c>
      <c r="E238" s="141"/>
      <c r="F238" s="65" t="s">
        <v>674</v>
      </c>
      <c r="G238" s="144" t="s">
        <v>121</v>
      </c>
      <c r="H238" s="66" t="s">
        <v>126</v>
      </c>
      <c r="I238" s="74"/>
      <c r="J238" s="144" t="s">
        <v>132</v>
      </c>
      <c r="K238" s="144" t="s">
        <v>3</v>
      </c>
      <c r="L238" s="66" t="s">
        <v>6</v>
      </c>
      <c r="M238" s="65" t="s">
        <v>200</v>
      </c>
      <c r="N238" s="187"/>
      <c r="O238" s="187"/>
      <c r="P238" s="187"/>
      <c r="Q238" s="144" t="s">
        <v>140</v>
      </c>
      <c r="R238" s="89"/>
      <c r="S238" s="89"/>
      <c r="T238" s="65" t="s">
        <v>675</v>
      </c>
      <c r="U238" s="144">
        <v>2026</v>
      </c>
      <c r="V238" s="99">
        <v>46387</v>
      </c>
      <c r="W238" s="89"/>
      <c r="X238" s="99">
        <v>46024</v>
      </c>
      <c r="Y238" s="188">
        <v>71400</v>
      </c>
      <c r="Z238" s="189"/>
      <c r="AA238" s="188">
        <f t="shared" si="28"/>
        <v>71400</v>
      </c>
      <c r="AB238" s="188"/>
      <c r="AC238" s="188">
        <f t="shared" si="29"/>
        <v>71400</v>
      </c>
      <c r="AD238" s="188">
        <f t="shared" si="30"/>
        <v>71400</v>
      </c>
      <c r="AE238" s="68" t="s">
        <v>102</v>
      </c>
      <c r="AF238" s="68"/>
      <c r="AG238" s="68"/>
      <c r="AH238" s="190"/>
      <c r="AI238" s="191"/>
      <c r="AJ238" s="190"/>
      <c r="AK238" s="192"/>
      <c r="AL238" s="190"/>
      <c r="AM238" s="193" t="s">
        <v>202</v>
      </c>
      <c r="AN238" s="194"/>
      <c r="AO238" s="195"/>
      <c r="AP238" s="31"/>
      <c r="AQ238" s="31"/>
      <c r="AR238" s="30"/>
      <c r="AS238" s="31"/>
    </row>
    <row r="239" spans="1:45" ht="30" hidden="1" customHeight="1" x14ac:dyDescent="0.25">
      <c r="A239" s="135">
        <v>2026</v>
      </c>
      <c r="B239" s="66" t="s">
        <v>67</v>
      </c>
      <c r="C239" s="65" t="s">
        <v>567</v>
      </c>
      <c r="D239" s="144" t="s">
        <v>114</v>
      </c>
      <c r="E239" s="141"/>
      <c r="F239" s="65" t="s">
        <v>676</v>
      </c>
      <c r="G239" s="144" t="s">
        <v>121</v>
      </c>
      <c r="H239" s="66" t="s">
        <v>126</v>
      </c>
      <c r="I239" s="74"/>
      <c r="J239" s="144" t="s">
        <v>132</v>
      </c>
      <c r="K239" s="144" t="s">
        <v>3</v>
      </c>
      <c r="L239" s="66" t="s">
        <v>6</v>
      </c>
      <c r="M239" s="65" t="s">
        <v>200</v>
      </c>
      <c r="N239" s="187"/>
      <c r="O239" s="187"/>
      <c r="P239" s="187"/>
      <c r="Q239" s="144" t="s">
        <v>140</v>
      </c>
      <c r="R239" s="89"/>
      <c r="S239" s="89"/>
      <c r="T239" s="65" t="s">
        <v>677</v>
      </c>
      <c r="U239" s="144">
        <v>2026</v>
      </c>
      <c r="V239" s="99">
        <v>46387</v>
      </c>
      <c r="W239" s="89"/>
      <c r="X239" s="99">
        <v>46024</v>
      </c>
      <c r="Y239" s="188">
        <v>41600</v>
      </c>
      <c r="Z239" s="189"/>
      <c r="AA239" s="188">
        <f t="shared" si="28"/>
        <v>41600</v>
      </c>
      <c r="AB239" s="188"/>
      <c r="AC239" s="188">
        <f t="shared" si="29"/>
        <v>41600</v>
      </c>
      <c r="AD239" s="188">
        <f t="shared" si="30"/>
        <v>41600</v>
      </c>
      <c r="AE239" s="68" t="s">
        <v>102</v>
      </c>
      <c r="AF239" s="68"/>
      <c r="AG239" s="68"/>
      <c r="AH239" s="190"/>
      <c r="AI239" s="191"/>
      <c r="AJ239" s="190"/>
      <c r="AK239" s="192"/>
      <c r="AL239" s="190"/>
      <c r="AM239" s="193" t="s">
        <v>202</v>
      </c>
      <c r="AN239" s="194"/>
      <c r="AO239" s="195"/>
      <c r="AP239" s="31"/>
      <c r="AQ239" s="31"/>
      <c r="AR239" s="30"/>
      <c r="AS239" s="31"/>
    </row>
    <row r="240" spans="1:45" ht="30" hidden="1" customHeight="1" x14ac:dyDescent="0.25">
      <c r="A240" s="46">
        <v>2026</v>
      </c>
      <c r="B240" s="66" t="s">
        <v>72</v>
      </c>
      <c r="C240" s="65" t="s">
        <v>678</v>
      </c>
      <c r="D240" s="144" t="s">
        <v>114</v>
      </c>
      <c r="E240" s="141"/>
      <c r="F240" s="65" t="s">
        <v>679</v>
      </c>
      <c r="G240" s="144" t="s">
        <v>121</v>
      </c>
      <c r="H240" s="66" t="s">
        <v>126</v>
      </c>
      <c r="I240" s="74"/>
      <c r="J240" s="144" t="s">
        <v>132</v>
      </c>
      <c r="K240" s="144" t="s">
        <v>3</v>
      </c>
      <c r="L240" s="66" t="s">
        <v>6</v>
      </c>
      <c r="M240" s="65" t="s">
        <v>200</v>
      </c>
      <c r="N240" s="187"/>
      <c r="O240" s="187"/>
      <c r="P240" s="187"/>
      <c r="Q240" s="144" t="s">
        <v>140</v>
      </c>
      <c r="R240" s="89"/>
      <c r="S240" s="89"/>
      <c r="T240" s="65" t="s">
        <v>680</v>
      </c>
      <c r="U240" s="144">
        <v>2026</v>
      </c>
      <c r="V240" s="99">
        <v>46387</v>
      </c>
      <c r="W240" s="89"/>
      <c r="X240" s="99">
        <v>46024</v>
      </c>
      <c r="Y240" s="188">
        <v>96000</v>
      </c>
      <c r="Z240" s="189"/>
      <c r="AA240" s="188">
        <f t="shared" si="28"/>
        <v>96000</v>
      </c>
      <c r="AB240" s="188"/>
      <c r="AC240" s="188">
        <f t="shared" si="29"/>
        <v>96000</v>
      </c>
      <c r="AD240" s="188">
        <f t="shared" si="30"/>
        <v>96000</v>
      </c>
      <c r="AE240" s="68" t="s">
        <v>102</v>
      </c>
      <c r="AF240" s="68"/>
      <c r="AG240" s="68"/>
      <c r="AH240" s="190"/>
      <c r="AI240" s="191"/>
      <c r="AJ240" s="190"/>
      <c r="AK240" s="192"/>
      <c r="AL240" s="190"/>
      <c r="AM240" s="193" t="s">
        <v>202</v>
      </c>
      <c r="AN240" s="194"/>
      <c r="AO240" s="195"/>
      <c r="AP240" s="31"/>
      <c r="AQ240" s="31"/>
      <c r="AR240" s="30"/>
      <c r="AS240" s="31"/>
    </row>
    <row r="241" spans="1:45" ht="30" hidden="1" customHeight="1" x14ac:dyDescent="0.25">
      <c r="A241" s="46">
        <v>2026</v>
      </c>
      <c r="B241" s="66" t="s">
        <v>72</v>
      </c>
      <c r="C241" s="65" t="s">
        <v>678</v>
      </c>
      <c r="D241" s="144" t="s">
        <v>114</v>
      </c>
      <c r="E241" s="141"/>
      <c r="F241" s="65" t="s">
        <v>681</v>
      </c>
      <c r="G241" s="144" t="s">
        <v>121</v>
      </c>
      <c r="H241" s="66" t="s">
        <v>126</v>
      </c>
      <c r="I241" s="74"/>
      <c r="J241" s="144" t="s">
        <v>132</v>
      </c>
      <c r="K241" s="144" t="s">
        <v>3</v>
      </c>
      <c r="L241" s="66" t="s">
        <v>6</v>
      </c>
      <c r="M241" s="65" t="s">
        <v>200</v>
      </c>
      <c r="N241" s="187"/>
      <c r="O241" s="187"/>
      <c r="P241" s="187"/>
      <c r="Q241" s="144" t="s">
        <v>140</v>
      </c>
      <c r="R241" s="89"/>
      <c r="S241" s="89"/>
      <c r="T241" s="65" t="s">
        <v>682</v>
      </c>
      <c r="U241" s="144">
        <v>2026</v>
      </c>
      <c r="V241" s="99">
        <v>46387</v>
      </c>
      <c r="W241" s="89"/>
      <c r="X241" s="99">
        <v>46024</v>
      </c>
      <c r="Y241" s="188">
        <v>51600</v>
      </c>
      <c r="Z241" s="189"/>
      <c r="AA241" s="188">
        <f t="shared" si="28"/>
        <v>51600</v>
      </c>
      <c r="AB241" s="188"/>
      <c r="AC241" s="188">
        <f t="shared" si="29"/>
        <v>51600</v>
      </c>
      <c r="AD241" s="188">
        <f t="shared" si="30"/>
        <v>51600</v>
      </c>
      <c r="AE241" s="68" t="s">
        <v>102</v>
      </c>
      <c r="AF241" s="68"/>
      <c r="AG241" s="68"/>
      <c r="AH241" s="190"/>
      <c r="AI241" s="191"/>
      <c r="AJ241" s="190"/>
      <c r="AK241" s="192"/>
      <c r="AL241" s="190"/>
      <c r="AM241" s="193" t="s">
        <v>202</v>
      </c>
      <c r="AN241" s="194"/>
      <c r="AO241" s="195"/>
      <c r="AP241" s="31"/>
      <c r="AQ241" s="31"/>
      <c r="AR241" s="30"/>
      <c r="AS241" s="31"/>
    </row>
    <row r="242" spans="1:45" ht="30" hidden="1" customHeight="1" x14ac:dyDescent="0.25">
      <c r="A242" s="46">
        <v>2026</v>
      </c>
      <c r="B242" s="66" t="s">
        <v>72</v>
      </c>
      <c r="C242" s="65" t="s">
        <v>678</v>
      </c>
      <c r="D242" s="144" t="s">
        <v>114</v>
      </c>
      <c r="E242" s="141"/>
      <c r="F242" s="65" t="s">
        <v>683</v>
      </c>
      <c r="G242" s="144" t="s">
        <v>121</v>
      </c>
      <c r="H242" s="66" t="s">
        <v>126</v>
      </c>
      <c r="I242" s="74"/>
      <c r="J242" s="144" t="s">
        <v>132</v>
      </c>
      <c r="K242" s="144" t="s">
        <v>3</v>
      </c>
      <c r="L242" s="66" t="s">
        <v>6</v>
      </c>
      <c r="M242" s="65" t="s">
        <v>200</v>
      </c>
      <c r="N242" s="187"/>
      <c r="O242" s="187"/>
      <c r="P242" s="187"/>
      <c r="Q242" s="144" t="s">
        <v>140</v>
      </c>
      <c r="R242" s="89"/>
      <c r="S242" s="89"/>
      <c r="T242" s="65" t="s">
        <v>684</v>
      </c>
      <c r="U242" s="144">
        <v>2026</v>
      </c>
      <c r="V242" s="99">
        <v>46387</v>
      </c>
      <c r="W242" s="89"/>
      <c r="X242" s="99">
        <v>46024</v>
      </c>
      <c r="Y242" s="188">
        <v>51600</v>
      </c>
      <c r="Z242" s="189"/>
      <c r="AA242" s="188">
        <f t="shared" si="28"/>
        <v>51600</v>
      </c>
      <c r="AB242" s="188"/>
      <c r="AC242" s="188">
        <f t="shared" si="29"/>
        <v>51600</v>
      </c>
      <c r="AD242" s="188">
        <f t="shared" si="30"/>
        <v>51600</v>
      </c>
      <c r="AE242" s="68" t="s">
        <v>102</v>
      </c>
      <c r="AF242" s="68"/>
      <c r="AG242" s="68"/>
      <c r="AH242" s="190"/>
      <c r="AI242" s="191"/>
      <c r="AJ242" s="190"/>
      <c r="AK242" s="192"/>
      <c r="AL242" s="190"/>
      <c r="AM242" s="193" t="s">
        <v>202</v>
      </c>
      <c r="AN242" s="194"/>
      <c r="AO242" s="195"/>
      <c r="AP242" s="31"/>
      <c r="AQ242" s="31"/>
      <c r="AR242" s="30"/>
      <c r="AS242" s="31"/>
    </row>
    <row r="243" spans="1:45" ht="30" hidden="1" customHeight="1" x14ac:dyDescent="0.25">
      <c r="A243" s="46">
        <v>2026</v>
      </c>
      <c r="B243" s="66" t="s">
        <v>72</v>
      </c>
      <c r="C243" s="65" t="s">
        <v>678</v>
      </c>
      <c r="D243" s="144" t="s">
        <v>114</v>
      </c>
      <c r="E243" s="141"/>
      <c r="F243" s="65" t="s">
        <v>685</v>
      </c>
      <c r="G243" s="144" t="s">
        <v>121</v>
      </c>
      <c r="H243" s="66" t="s">
        <v>126</v>
      </c>
      <c r="I243" s="74"/>
      <c r="J243" s="144" t="s">
        <v>132</v>
      </c>
      <c r="K243" s="144" t="s">
        <v>3</v>
      </c>
      <c r="L243" s="66" t="s">
        <v>6</v>
      </c>
      <c r="M243" s="65" t="s">
        <v>200</v>
      </c>
      <c r="N243" s="187"/>
      <c r="O243" s="187"/>
      <c r="P243" s="187"/>
      <c r="Q243" s="144" t="s">
        <v>140</v>
      </c>
      <c r="R243" s="89"/>
      <c r="S243" s="89"/>
      <c r="T243" s="65" t="s">
        <v>686</v>
      </c>
      <c r="U243" s="144">
        <v>2026</v>
      </c>
      <c r="V243" s="99">
        <v>46387</v>
      </c>
      <c r="W243" s="89"/>
      <c r="X243" s="99">
        <v>46024</v>
      </c>
      <c r="Y243" s="188">
        <v>51600</v>
      </c>
      <c r="Z243" s="189"/>
      <c r="AA243" s="188">
        <f t="shared" si="28"/>
        <v>51600</v>
      </c>
      <c r="AB243" s="188"/>
      <c r="AC243" s="188">
        <f t="shared" si="29"/>
        <v>51600</v>
      </c>
      <c r="AD243" s="188">
        <f t="shared" si="30"/>
        <v>51600</v>
      </c>
      <c r="AE243" s="68" t="s">
        <v>102</v>
      </c>
      <c r="AF243" s="68"/>
      <c r="AG243" s="68"/>
      <c r="AH243" s="190"/>
      <c r="AI243" s="191"/>
      <c r="AJ243" s="190"/>
      <c r="AK243" s="192"/>
      <c r="AL243" s="190"/>
      <c r="AM243" s="193" t="s">
        <v>202</v>
      </c>
      <c r="AN243" s="194"/>
      <c r="AO243" s="195"/>
      <c r="AP243" s="31"/>
      <c r="AQ243" s="31"/>
      <c r="AR243" s="30"/>
      <c r="AS243" s="31"/>
    </row>
    <row r="244" spans="1:45" ht="30" hidden="1" customHeight="1" x14ac:dyDescent="0.25">
      <c r="A244" s="46">
        <v>2026</v>
      </c>
      <c r="B244" s="66" t="s">
        <v>72</v>
      </c>
      <c r="C244" s="65" t="s">
        <v>678</v>
      </c>
      <c r="D244" s="144" t="s">
        <v>114</v>
      </c>
      <c r="E244" s="141"/>
      <c r="F244" s="65" t="s">
        <v>687</v>
      </c>
      <c r="G244" s="144" t="s">
        <v>121</v>
      </c>
      <c r="H244" s="66" t="s">
        <v>126</v>
      </c>
      <c r="I244" s="74"/>
      <c r="J244" s="144" t="s">
        <v>132</v>
      </c>
      <c r="K244" s="144" t="s">
        <v>3</v>
      </c>
      <c r="L244" s="66" t="s">
        <v>6</v>
      </c>
      <c r="M244" s="65" t="s">
        <v>200</v>
      </c>
      <c r="N244" s="187"/>
      <c r="O244" s="187"/>
      <c r="P244" s="187"/>
      <c r="Q244" s="144" t="s">
        <v>140</v>
      </c>
      <c r="R244" s="89"/>
      <c r="S244" s="89"/>
      <c r="T244" s="65" t="s">
        <v>688</v>
      </c>
      <c r="U244" s="144">
        <v>2026</v>
      </c>
      <c r="V244" s="99">
        <v>46387</v>
      </c>
      <c r="W244" s="89"/>
      <c r="X244" s="99">
        <v>46024</v>
      </c>
      <c r="Y244" s="188">
        <v>51600</v>
      </c>
      <c r="Z244" s="189"/>
      <c r="AA244" s="188">
        <f t="shared" si="28"/>
        <v>51600</v>
      </c>
      <c r="AB244" s="188"/>
      <c r="AC244" s="188">
        <f t="shared" si="29"/>
        <v>51600</v>
      </c>
      <c r="AD244" s="188">
        <f t="shared" si="30"/>
        <v>51600</v>
      </c>
      <c r="AE244" s="68" t="s">
        <v>102</v>
      </c>
      <c r="AF244" s="68"/>
      <c r="AG244" s="68"/>
      <c r="AH244" s="190"/>
      <c r="AI244" s="191"/>
      <c r="AJ244" s="190"/>
      <c r="AK244" s="192"/>
      <c r="AL244" s="190"/>
      <c r="AM244" s="193" t="s">
        <v>202</v>
      </c>
      <c r="AN244" s="194"/>
      <c r="AO244" s="195"/>
      <c r="AP244" s="31"/>
      <c r="AQ244" s="31"/>
      <c r="AR244" s="30"/>
      <c r="AS244" s="31"/>
    </row>
    <row r="245" spans="1:45" ht="30" hidden="1" customHeight="1" x14ac:dyDescent="0.25">
      <c r="A245" s="46">
        <v>2026</v>
      </c>
      <c r="B245" s="66" t="s">
        <v>72</v>
      </c>
      <c r="C245" s="65" t="s">
        <v>678</v>
      </c>
      <c r="D245" s="144" t="s">
        <v>114</v>
      </c>
      <c r="E245" s="141"/>
      <c r="F245" s="65" t="s">
        <v>689</v>
      </c>
      <c r="G245" s="144" t="s">
        <v>121</v>
      </c>
      <c r="H245" s="66" t="s">
        <v>126</v>
      </c>
      <c r="I245" s="74"/>
      <c r="J245" s="144" t="s">
        <v>132</v>
      </c>
      <c r="K245" s="144" t="s">
        <v>3</v>
      </c>
      <c r="L245" s="66" t="s">
        <v>6</v>
      </c>
      <c r="M245" s="65" t="s">
        <v>200</v>
      </c>
      <c r="N245" s="187"/>
      <c r="O245" s="187"/>
      <c r="P245" s="187"/>
      <c r="Q245" s="144" t="s">
        <v>140</v>
      </c>
      <c r="R245" s="89"/>
      <c r="S245" s="89"/>
      <c r="T245" s="65" t="s">
        <v>690</v>
      </c>
      <c r="U245" s="144">
        <v>2026</v>
      </c>
      <c r="V245" s="99">
        <v>46387</v>
      </c>
      <c r="W245" s="89"/>
      <c r="X245" s="99">
        <v>46024</v>
      </c>
      <c r="Y245" s="188">
        <v>51600</v>
      </c>
      <c r="Z245" s="189"/>
      <c r="AA245" s="188">
        <f t="shared" si="28"/>
        <v>51600</v>
      </c>
      <c r="AB245" s="188"/>
      <c r="AC245" s="188">
        <f t="shared" si="29"/>
        <v>51600</v>
      </c>
      <c r="AD245" s="188">
        <f t="shared" si="30"/>
        <v>51600</v>
      </c>
      <c r="AE245" s="68" t="s">
        <v>102</v>
      </c>
      <c r="AF245" s="68"/>
      <c r="AG245" s="68"/>
      <c r="AH245" s="190"/>
      <c r="AI245" s="191"/>
      <c r="AJ245" s="190"/>
      <c r="AK245" s="192"/>
      <c r="AL245" s="190"/>
      <c r="AM245" s="193" t="s">
        <v>202</v>
      </c>
      <c r="AN245" s="194"/>
      <c r="AO245" s="195"/>
      <c r="AP245" s="31"/>
      <c r="AQ245" s="31"/>
      <c r="AR245" s="30"/>
      <c r="AS245" s="31"/>
    </row>
    <row r="246" spans="1:45" ht="30" hidden="1" customHeight="1" x14ac:dyDescent="0.25">
      <c r="A246" s="46">
        <v>2026</v>
      </c>
      <c r="B246" s="66" t="s">
        <v>72</v>
      </c>
      <c r="C246" s="65" t="s">
        <v>678</v>
      </c>
      <c r="D246" s="144" t="s">
        <v>114</v>
      </c>
      <c r="E246" s="141"/>
      <c r="F246" s="65" t="s">
        <v>691</v>
      </c>
      <c r="G246" s="144" t="s">
        <v>121</v>
      </c>
      <c r="H246" s="66" t="s">
        <v>126</v>
      </c>
      <c r="I246" s="74"/>
      <c r="J246" s="144" t="s">
        <v>132</v>
      </c>
      <c r="K246" s="144" t="s">
        <v>3</v>
      </c>
      <c r="L246" s="66" t="s">
        <v>6</v>
      </c>
      <c r="M246" s="65" t="s">
        <v>200</v>
      </c>
      <c r="N246" s="187"/>
      <c r="O246" s="187"/>
      <c r="P246" s="187"/>
      <c r="Q246" s="144" t="s">
        <v>140</v>
      </c>
      <c r="R246" s="89"/>
      <c r="S246" s="89"/>
      <c r="T246" s="65" t="s">
        <v>692</v>
      </c>
      <c r="U246" s="144">
        <v>2026</v>
      </c>
      <c r="V246" s="99">
        <v>46387</v>
      </c>
      <c r="W246" s="89"/>
      <c r="X246" s="99">
        <v>46024</v>
      </c>
      <c r="Y246" s="188">
        <v>51600</v>
      </c>
      <c r="Z246" s="189"/>
      <c r="AA246" s="188">
        <f t="shared" si="28"/>
        <v>51600</v>
      </c>
      <c r="AB246" s="188"/>
      <c r="AC246" s="188">
        <f t="shared" si="29"/>
        <v>51600</v>
      </c>
      <c r="AD246" s="188">
        <f t="shared" si="30"/>
        <v>51600</v>
      </c>
      <c r="AE246" s="68" t="s">
        <v>102</v>
      </c>
      <c r="AF246" s="68"/>
      <c r="AG246" s="68"/>
      <c r="AH246" s="190"/>
      <c r="AI246" s="191"/>
      <c r="AJ246" s="190"/>
      <c r="AK246" s="192"/>
      <c r="AL246" s="190"/>
      <c r="AM246" s="193" t="s">
        <v>202</v>
      </c>
      <c r="AN246" s="194"/>
      <c r="AO246" s="195"/>
      <c r="AP246" s="31"/>
      <c r="AQ246" s="31"/>
      <c r="AR246" s="30"/>
      <c r="AS246" s="31"/>
    </row>
    <row r="247" spans="1:45" ht="30" hidden="1" customHeight="1" x14ac:dyDescent="0.25">
      <c r="A247" s="46">
        <v>2026</v>
      </c>
      <c r="B247" s="66" t="s">
        <v>72</v>
      </c>
      <c r="C247" s="65" t="s">
        <v>678</v>
      </c>
      <c r="D247" s="144" t="s">
        <v>114</v>
      </c>
      <c r="E247" s="141"/>
      <c r="F247" s="65" t="s">
        <v>693</v>
      </c>
      <c r="G247" s="144" t="s">
        <v>121</v>
      </c>
      <c r="H247" s="66" t="s">
        <v>126</v>
      </c>
      <c r="I247" s="74"/>
      <c r="J247" s="144" t="s">
        <v>132</v>
      </c>
      <c r="K247" s="144" t="s">
        <v>3</v>
      </c>
      <c r="L247" s="66" t="s">
        <v>6</v>
      </c>
      <c r="M247" s="65" t="s">
        <v>200</v>
      </c>
      <c r="N247" s="187"/>
      <c r="O247" s="187"/>
      <c r="P247" s="187"/>
      <c r="Q247" s="144" t="s">
        <v>140</v>
      </c>
      <c r="R247" s="89"/>
      <c r="S247" s="89"/>
      <c r="T247" s="65" t="s">
        <v>694</v>
      </c>
      <c r="U247" s="144">
        <v>2026</v>
      </c>
      <c r="V247" s="99">
        <v>46387</v>
      </c>
      <c r="W247" s="89"/>
      <c r="X247" s="99">
        <v>46024</v>
      </c>
      <c r="Y247" s="188">
        <v>51600</v>
      </c>
      <c r="Z247" s="189"/>
      <c r="AA247" s="188">
        <f t="shared" si="28"/>
        <v>51600</v>
      </c>
      <c r="AB247" s="188"/>
      <c r="AC247" s="188">
        <f t="shared" si="29"/>
        <v>51600</v>
      </c>
      <c r="AD247" s="188">
        <f t="shared" si="30"/>
        <v>51600</v>
      </c>
      <c r="AE247" s="68" t="s">
        <v>102</v>
      </c>
      <c r="AF247" s="68"/>
      <c r="AG247" s="68"/>
      <c r="AH247" s="190"/>
      <c r="AI247" s="191"/>
      <c r="AJ247" s="190"/>
      <c r="AK247" s="192"/>
      <c r="AL247" s="190"/>
      <c r="AM247" s="193" t="s">
        <v>202</v>
      </c>
      <c r="AN247" s="194"/>
      <c r="AO247" s="195"/>
      <c r="AP247" s="31"/>
      <c r="AQ247" s="31"/>
      <c r="AR247" s="30"/>
      <c r="AS247" s="31"/>
    </row>
    <row r="248" spans="1:45" ht="30" hidden="1" customHeight="1" x14ac:dyDescent="0.25">
      <c r="A248" s="46">
        <v>2026</v>
      </c>
      <c r="B248" s="66" t="s">
        <v>72</v>
      </c>
      <c r="C248" s="65" t="s">
        <v>678</v>
      </c>
      <c r="D248" s="144" t="s">
        <v>114</v>
      </c>
      <c r="E248" s="141"/>
      <c r="F248" s="65" t="s">
        <v>695</v>
      </c>
      <c r="G248" s="144" t="s">
        <v>121</v>
      </c>
      <c r="H248" s="66" t="s">
        <v>126</v>
      </c>
      <c r="I248" s="74"/>
      <c r="J248" s="144" t="s">
        <v>132</v>
      </c>
      <c r="K248" s="144" t="s">
        <v>3</v>
      </c>
      <c r="L248" s="66" t="s">
        <v>6</v>
      </c>
      <c r="M248" s="65" t="s">
        <v>200</v>
      </c>
      <c r="N248" s="187"/>
      <c r="O248" s="187"/>
      <c r="P248" s="187"/>
      <c r="Q248" s="144" t="s">
        <v>140</v>
      </c>
      <c r="R248" s="89"/>
      <c r="S248" s="89"/>
      <c r="T248" s="65" t="s">
        <v>696</v>
      </c>
      <c r="U248" s="144">
        <v>2026</v>
      </c>
      <c r="V248" s="99">
        <v>46387</v>
      </c>
      <c r="W248" s="89"/>
      <c r="X248" s="99">
        <v>46024</v>
      </c>
      <c r="Y248" s="188">
        <v>51600</v>
      </c>
      <c r="Z248" s="189"/>
      <c r="AA248" s="188">
        <f t="shared" si="28"/>
        <v>51600</v>
      </c>
      <c r="AB248" s="188"/>
      <c r="AC248" s="188">
        <f t="shared" si="29"/>
        <v>51600</v>
      </c>
      <c r="AD248" s="188">
        <f t="shared" si="30"/>
        <v>51600</v>
      </c>
      <c r="AE248" s="68" t="s">
        <v>102</v>
      </c>
      <c r="AF248" s="68"/>
      <c r="AG248" s="68"/>
      <c r="AH248" s="190"/>
      <c r="AI248" s="191"/>
      <c r="AJ248" s="190"/>
      <c r="AK248" s="192"/>
      <c r="AL248" s="190"/>
      <c r="AM248" s="193" t="s">
        <v>202</v>
      </c>
      <c r="AN248" s="194"/>
      <c r="AO248" s="195"/>
      <c r="AP248" s="31"/>
      <c r="AQ248" s="31"/>
      <c r="AR248" s="30"/>
      <c r="AS248" s="31"/>
    </row>
    <row r="249" spans="1:45" ht="30" hidden="1" customHeight="1" x14ac:dyDescent="0.25">
      <c r="A249" s="46">
        <v>2026</v>
      </c>
      <c r="B249" s="66" t="s">
        <v>72</v>
      </c>
      <c r="C249" s="65" t="s">
        <v>678</v>
      </c>
      <c r="D249" s="144" t="s">
        <v>114</v>
      </c>
      <c r="E249" s="141"/>
      <c r="F249" s="65" t="s">
        <v>697</v>
      </c>
      <c r="G249" s="144" t="s">
        <v>121</v>
      </c>
      <c r="H249" s="66" t="s">
        <v>126</v>
      </c>
      <c r="I249" s="74"/>
      <c r="J249" s="144" t="s">
        <v>132</v>
      </c>
      <c r="K249" s="144" t="s">
        <v>3</v>
      </c>
      <c r="L249" s="66" t="s">
        <v>6</v>
      </c>
      <c r="M249" s="65" t="s">
        <v>200</v>
      </c>
      <c r="N249" s="187"/>
      <c r="O249" s="187"/>
      <c r="P249" s="187"/>
      <c r="Q249" s="144" t="s">
        <v>140</v>
      </c>
      <c r="R249" s="89"/>
      <c r="S249" s="89"/>
      <c r="T249" s="65" t="s">
        <v>698</v>
      </c>
      <c r="U249" s="144">
        <v>2026</v>
      </c>
      <c r="V249" s="99">
        <v>46387</v>
      </c>
      <c r="W249" s="89"/>
      <c r="X249" s="99">
        <v>46024</v>
      </c>
      <c r="Y249" s="188">
        <v>51600</v>
      </c>
      <c r="Z249" s="189"/>
      <c r="AA249" s="188">
        <f t="shared" si="28"/>
        <v>51600</v>
      </c>
      <c r="AB249" s="188"/>
      <c r="AC249" s="188">
        <f t="shared" si="29"/>
        <v>51600</v>
      </c>
      <c r="AD249" s="188">
        <f t="shared" si="30"/>
        <v>51600</v>
      </c>
      <c r="AE249" s="68" t="s">
        <v>102</v>
      </c>
      <c r="AF249" s="68"/>
      <c r="AG249" s="68"/>
      <c r="AH249" s="190"/>
      <c r="AI249" s="191"/>
      <c r="AJ249" s="190"/>
      <c r="AK249" s="192"/>
      <c r="AL249" s="190"/>
      <c r="AM249" s="193" t="s">
        <v>202</v>
      </c>
      <c r="AN249" s="194"/>
      <c r="AO249" s="195"/>
      <c r="AP249" s="31"/>
      <c r="AQ249" s="31"/>
      <c r="AR249" s="30"/>
      <c r="AS249" s="31"/>
    </row>
    <row r="250" spans="1:45" ht="30" hidden="1" customHeight="1" x14ac:dyDescent="0.25">
      <c r="A250" s="46">
        <v>2026</v>
      </c>
      <c r="B250" s="66" t="s">
        <v>72</v>
      </c>
      <c r="C250" s="65" t="s">
        <v>678</v>
      </c>
      <c r="D250" s="144" t="s">
        <v>114</v>
      </c>
      <c r="E250" s="141"/>
      <c r="F250" s="65" t="s">
        <v>699</v>
      </c>
      <c r="G250" s="144" t="s">
        <v>121</v>
      </c>
      <c r="H250" s="66" t="s">
        <v>126</v>
      </c>
      <c r="I250" s="74"/>
      <c r="J250" s="144" t="s">
        <v>132</v>
      </c>
      <c r="K250" s="144" t="s">
        <v>3</v>
      </c>
      <c r="L250" s="66" t="s">
        <v>6</v>
      </c>
      <c r="M250" s="65" t="s">
        <v>200</v>
      </c>
      <c r="N250" s="187"/>
      <c r="O250" s="187"/>
      <c r="P250" s="187"/>
      <c r="Q250" s="144" t="s">
        <v>140</v>
      </c>
      <c r="R250" s="89"/>
      <c r="S250" s="89"/>
      <c r="T250" s="65" t="s">
        <v>700</v>
      </c>
      <c r="U250" s="144">
        <v>2026</v>
      </c>
      <c r="V250" s="99">
        <v>46387</v>
      </c>
      <c r="W250" s="89"/>
      <c r="X250" s="99">
        <v>46024</v>
      </c>
      <c r="Y250" s="188">
        <v>51600</v>
      </c>
      <c r="Z250" s="189"/>
      <c r="AA250" s="188">
        <f t="shared" si="28"/>
        <v>51600</v>
      </c>
      <c r="AB250" s="188"/>
      <c r="AC250" s="188">
        <f t="shared" si="29"/>
        <v>51600</v>
      </c>
      <c r="AD250" s="188">
        <f t="shared" si="30"/>
        <v>51600</v>
      </c>
      <c r="AE250" s="68" t="s">
        <v>102</v>
      </c>
      <c r="AF250" s="68"/>
      <c r="AG250" s="68"/>
      <c r="AH250" s="190"/>
      <c r="AI250" s="191"/>
      <c r="AJ250" s="190"/>
      <c r="AK250" s="192"/>
      <c r="AL250" s="190"/>
      <c r="AM250" s="193" t="s">
        <v>202</v>
      </c>
      <c r="AN250" s="194"/>
      <c r="AO250" s="195"/>
      <c r="AP250" s="31"/>
      <c r="AQ250" s="31"/>
      <c r="AR250" s="30"/>
      <c r="AS250" s="31"/>
    </row>
    <row r="251" spans="1:45" ht="30" hidden="1" customHeight="1" x14ac:dyDescent="0.25">
      <c r="A251" s="46">
        <v>2026</v>
      </c>
      <c r="B251" s="66" t="s">
        <v>72</v>
      </c>
      <c r="C251" s="65" t="s">
        <v>678</v>
      </c>
      <c r="D251" s="144" t="s">
        <v>114</v>
      </c>
      <c r="E251" s="141"/>
      <c r="F251" s="65" t="s">
        <v>701</v>
      </c>
      <c r="G251" s="144" t="s">
        <v>121</v>
      </c>
      <c r="H251" s="66" t="s">
        <v>126</v>
      </c>
      <c r="I251" s="74"/>
      <c r="J251" s="144" t="s">
        <v>132</v>
      </c>
      <c r="K251" s="144" t="s">
        <v>3</v>
      </c>
      <c r="L251" s="66" t="s">
        <v>6</v>
      </c>
      <c r="M251" s="65" t="s">
        <v>200</v>
      </c>
      <c r="N251" s="187"/>
      <c r="O251" s="187"/>
      <c r="P251" s="187"/>
      <c r="Q251" s="144" t="s">
        <v>140</v>
      </c>
      <c r="R251" s="89"/>
      <c r="S251" s="89"/>
      <c r="T251" s="65" t="s">
        <v>702</v>
      </c>
      <c r="U251" s="144">
        <v>2026</v>
      </c>
      <c r="V251" s="99">
        <v>46387</v>
      </c>
      <c r="W251" s="89"/>
      <c r="X251" s="99">
        <v>46024</v>
      </c>
      <c r="Y251" s="188">
        <v>51600</v>
      </c>
      <c r="Z251" s="189"/>
      <c r="AA251" s="188">
        <f t="shared" si="28"/>
        <v>51600</v>
      </c>
      <c r="AB251" s="188"/>
      <c r="AC251" s="188">
        <f t="shared" si="29"/>
        <v>51600</v>
      </c>
      <c r="AD251" s="188">
        <f t="shared" si="30"/>
        <v>51600</v>
      </c>
      <c r="AE251" s="68" t="s">
        <v>102</v>
      </c>
      <c r="AF251" s="68"/>
      <c r="AG251" s="68"/>
      <c r="AH251" s="190"/>
      <c r="AI251" s="191"/>
      <c r="AJ251" s="190"/>
      <c r="AK251" s="192"/>
      <c r="AL251" s="190"/>
      <c r="AM251" s="193" t="s">
        <v>202</v>
      </c>
      <c r="AN251" s="194"/>
      <c r="AO251" s="195"/>
      <c r="AP251" s="31"/>
      <c r="AQ251" s="31"/>
      <c r="AR251" s="30"/>
      <c r="AS251" s="31"/>
    </row>
    <row r="252" spans="1:45" ht="30" hidden="1" customHeight="1" x14ac:dyDescent="0.25">
      <c r="A252" s="46">
        <v>2026</v>
      </c>
      <c r="B252" s="66" t="s">
        <v>72</v>
      </c>
      <c r="C252" s="65" t="s">
        <v>678</v>
      </c>
      <c r="D252" s="144" t="s">
        <v>114</v>
      </c>
      <c r="E252" s="141"/>
      <c r="F252" s="65" t="s">
        <v>703</v>
      </c>
      <c r="G252" s="144" t="s">
        <v>121</v>
      </c>
      <c r="H252" s="66" t="s">
        <v>126</v>
      </c>
      <c r="I252" s="74"/>
      <c r="J252" s="144" t="s">
        <v>132</v>
      </c>
      <c r="K252" s="144" t="s">
        <v>3</v>
      </c>
      <c r="L252" s="66" t="s">
        <v>6</v>
      </c>
      <c r="M252" s="65" t="s">
        <v>200</v>
      </c>
      <c r="N252" s="187"/>
      <c r="O252" s="187"/>
      <c r="P252" s="187"/>
      <c r="Q252" s="144" t="s">
        <v>140</v>
      </c>
      <c r="R252" s="89"/>
      <c r="S252" s="89"/>
      <c r="T252" s="65" t="s">
        <v>704</v>
      </c>
      <c r="U252" s="144">
        <v>2026</v>
      </c>
      <c r="V252" s="99">
        <v>46387</v>
      </c>
      <c r="W252" s="89"/>
      <c r="X252" s="99">
        <v>46024</v>
      </c>
      <c r="Y252" s="188">
        <v>51600</v>
      </c>
      <c r="Z252" s="189"/>
      <c r="AA252" s="188">
        <f t="shared" si="28"/>
        <v>51600</v>
      </c>
      <c r="AB252" s="188"/>
      <c r="AC252" s="188">
        <f t="shared" si="29"/>
        <v>51600</v>
      </c>
      <c r="AD252" s="188">
        <f t="shared" si="30"/>
        <v>51600</v>
      </c>
      <c r="AE252" s="68" t="s">
        <v>102</v>
      </c>
      <c r="AF252" s="68"/>
      <c r="AG252" s="68"/>
      <c r="AH252" s="190"/>
      <c r="AI252" s="191"/>
      <c r="AJ252" s="190"/>
      <c r="AK252" s="192"/>
      <c r="AL252" s="190"/>
      <c r="AM252" s="193" t="s">
        <v>202</v>
      </c>
      <c r="AN252" s="194"/>
      <c r="AO252" s="195"/>
      <c r="AP252" s="31"/>
      <c r="AQ252" s="31"/>
      <c r="AR252" s="30"/>
      <c r="AS252" s="31"/>
    </row>
    <row r="253" spans="1:45" ht="30" hidden="1" customHeight="1" x14ac:dyDescent="0.25">
      <c r="A253" s="135">
        <v>2026</v>
      </c>
      <c r="B253" s="66" t="s">
        <v>705</v>
      </c>
      <c r="C253" s="65" t="s">
        <v>706</v>
      </c>
      <c r="D253" s="144" t="s">
        <v>114</v>
      </c>
      <c r="E253" s="141"/>
      <c r="F253" s="65" t="s">
        <v>707</v>
      </c>
      <c r="G253" s="144" t="s">
        <v>121</v>
      </c>
      <c r="H253" s="66" t="s">
        <v>126</v>
      </c>
      <c r="I253" s="74"/>
      <c r="J253" s="144" t="s">
        <v>132</v>
      </c>
      <c r="K253" s="144" t="s">
        <v>3</v>
      </c>
      <c r="L253" s="66" t="s">
        <v>6</v>
      </c>
      <c r="M253" s="65" t="s">
        <v>200</v>
      </c>
      <c r="N253" s="187"/>
      <c r="O253" s="187"/>
      <c r="P253" s="187"/>
      <c r="Q253" s="144" t="s">
        <v>140</v>
      </c>
      <c r="R253" s="89"/>
      <c r="S253" s="89"/>
      <c r="T253" s="65" t="s">
        <v>708</v>
      </c>
      <c r="U253" s="144">
        <v>2026</v>
      </c>
      <c r="V253" s="99">
        <v>46387</v>
      </c>
      <c r="W253" s="89"/>
      <c r="X253" s="99">
        <v>46024</v>
      </c>
      <c r="Y253" s="188">
        <v>148800</v>
      </c>
      <c r="Z253" s="189"/>
      <c r="AA253" s="188">
        <f t="shared" si="28"/>
        <v>148800</v>
      </c>
      <c r="AB253" s="188"/>
      <c r="AC253" s="188">
        <f t="shared" si="29"/>
        <v>148800</v>
      </c>
      <c r="AD253" s="188">
        <f t="shared" si="30"/>
        <v>148800</v>
      </c>
      <c r="AE253" s="68" t="s">
        <v>102</v>
      </c>
      <c r="AF253" s="68"/>
      <c r="AG253" s="68"/>
      <c r="AH253" s="190"/>
      <c r="AI253" s="191"/>
      <c r="AJ253" s="190"/>
      <c r="AK253" s="192"/>
      <c r="AL253" s="190"/>
      <c r="AM253" s="193" t="s">
        <v>202</v>
      </c>
      <c r="AN253" s="194"/>
      <c r="AO253" s="195"/>
      <c r="AP253" s="31"/>
      <c r="AQ253" s="31"/>
      <c r="AR253" s="30"/>
      <c r="AS253" s="31"/>
    </row>
    <row r="254" spans="1:45" ht="30" hidden="1" customHeight="1" x14ac:dyDescent="0.25">
      <c r="A254" s="135">
        <v>2026</v>
      </c>
      <c r="B254" s="66" t="s">
        <v>705</v>
      </c>
      <c r="C254" s="65" t="s">
        <v>706</v>
      </c>
      <c r="D254" s="144" t="s">
        <v>114</v>
      </c>
      <c r="E254" s="141"/>
      <c r="F254" s="65" t="s">
        <v>709</v>
      </c>
      <c r="G254" s="144" t="s">
        <v>121</v>
      </c>
      <c r="H254" s="66" t="s">
        <v>126</v>
      </c>
      <c r="I254" s="74"/>
      <c r="J254" s="144" t="s">
        <v>132</v>
      </c>
      <c r="K254" s="144" t="s">
        <v>3</v>
      </c>
      <c r="L254" s="66" t="s">
        <v>6</v>
      </c>
      <c r="M254" s="65" t="s">
        <v>200</v>
      </c>
      <c r="N254" s="187"/>
      <c r="O254" s="187"/>
      <c r="P254" s="187"/>
      <c r="Q254" s="144" t="s">
        <v>140</v>
      </c>
      <c r="R254" s="89"/>
      <c r="S254" s="89"/>
      <c r="T254" s="65" t="s">
        <v>710</v>
      </c>
      <c r="U254" s="144">
        <v>2026</v>
      </c>
      <c r="V254" s="99">
        <v>46387</v>
      </c>
      <c r="W254" s="89"/>
      <c r="X254" s="99">
        <v>46024</v>
      </c>
      <c r="Y254" s="188">
        <v>148800</v>
      </c>
      <c r="Z254" s="189"/>
      <c r="AA254" s="188">
        <f t="shared" si="28"/>
        <v>148800</v>
      </c>
      <c r="AB254" s="188"/>
      <c r="AC254" s="188">
        <f t="shared" si="29"/>
        <v>148800</v>
      </c>
      <c r="AD254" s="188">
        <f t="shared" si="30"/>
        <v>148800</v>
      </c>
      <c r="AE254" s="68" t="s">
        <v>102</v>
      </c>
      <c r="AF254" s="68"/>
      <c r="AG254" s="68"/>
      <c r="AH254" s="190"/>
      <c r="AI254" s="191"/>
      <c r="AJ254" s="190"/>
      <c r="AK254" s="192"/>
      <c r="AL254" s="190"/>
      <c r="AM254" s="193" t="s">
        <v>202</v>
      </c>
      <c r="AN254" s="194"/>
      <c r="AO254" s="195"/>
      <c r="AP254" s="31"/>
      <c r="AQ254" s="31"/>
      <c r="AR254" s="30"/>
      <c r="AS254" s="31"/>
    </row>
    <row r="255" spans="1:45" ht="30" hidden="1" customHeight="1" x14ac:dyDescent="0.25">
      <c r="A255" s="135">
        <v>2026</v>
      </c>
      <c r="B255" s="66" t="s">
        <v>705</v>
      </c>
      <c r="C255" s="65" t="s">
        <v>706</v>
      </c>
      <c r="D255" s="144" t="s">
        <v>114</v>
      </c>
      <c r="E255" s="141"/>
      <c r="F255" s="65" t="s">
        <v>711</v>
      </c>
      <c r="G255" s="144" t="s">
        <v>121</v>
      </c>
      <c r="H255" s="66" t="s">
        <v>126</v>
      </c>
      <c r="I255" s="74"/>
      <c r="J255" s="144" t="s">
        <v>132</v>
      </c>
      <c r="K255" s="144" t="s">
        <v>3</v>
      </c>
      <c r="L255" s="66" t="s">
        <v>6</v>
      </c>
      <c r="M255" s="65" t="s">
        <v>200</v>
      </c>
      <c r="N255" s="187"/>
      <c r="O255" s="187"/>
      <c r="P255" s="187"/>
      <c r="Q255" s="144" t="s">
        <v>140</v>
      </c>
      <c r="R255" s="89"/>
      <c r="S255" s="89"/>
      <c r="T255" s="65" t="s">
        <v>712</v>
      </c>
      <c r="U255" s="144">
        <v>2026</v>
      </c>
      <c r="V255" s="99">
        <v>46387</v>
      </c>
      <c r="W255" s="89"/>
      <c r="X255" s="99">
        <v>46024</v>
      </c>
      <c r="Y255" s="188">
        <v>96000</v>
      </c>
      <c r="Z255" s="189"/>
      <c r="AA255" s="188">
        <f t="shared" si="28"/>
        <v>96000</v>
      </c>
      <c r="AB255" s="188"/>
      <c r="AC255" s="188">
        <f t="shared" si="29"/>
        <v>96000</v>
      </c>
      <c r="AD255" s="188">
        <f t="shared" si="30"/>
        <v>96000</v>
      </c>
      <c r="AE255" s="68" t="s">
        <v>102</v>
      </c>
      <c r="AF255" s="68"/>
      <c r="AG255" s="68"/>
      <c r="AH255" s="190"/>
      <c r="AI255" s="191"/>
      <c r="AJ255" s="190"/>
      <c r="AK255" s="192"/>
      <c r="AL255" s="190"/>
      <c r="AM255" s="193" t="s">
        <v>202</v>
      </c>
      <c r="AN255" s="194"/>
      <c r="AO255" s="195"/>
      <c r="AP255" s="31"/>
      <c r="AQ255" s="31"/>
      <c r="AR255" s="30"/>
      <c r="AS255" s="31"/>
    </row>
    <row r="256" spans="1:45" ht="30" hidden="1" customHeight="1" x14ac:dyDescent="0.25">
      <c r="A256" s="135">
        <v>2026</v>
      </c>
      <c r="B256" s="66" t="s">
        <v>705</v>
      </c>
      <c r="C256" s="65" t="s">
        <v>706</v>
      </c>
      <c r="D256" s="144" t="s">
        <v>114</v>
      </c>
      <c r="E256" s="141"/>
      <c r="F256" s="65" t="s">
        <v>713</v>
      </c>
      <c r="G256" s="144" t="s">
        <v>121</v>
      </c>
      <c r="H256" s="66" t="s">
        <v>119</v>
      </c>
      <c r="I256" s="74"/>
      <c r="J256" s="144" t="s">
        <v>132</v>
      </c>
      <c r="K256" s="144" t="s">
        <v>3</v>
      </c>
      <c r="L256" s="66" t="s">
        <v>6</v>
      </c>
      <c r="M256" s="65" t="s">
        <v>200</v>
      </c>
      <c r="N256" s="187"/>
      <c r="O256" s="187"/>
      <c r="P256" s="187"/>
      <c r="Q256" s="144" t="s">
        <v>140</v>
      </c>
      <c r="R256" s="89"/>
      <c r="S256" s="89"/>
      <c r="T256" s="65" t="s">
        <v>714</v>
      </c>
      <c r="U256" s="144">
        <v>2026</v>
      </c>
      <c r="V256" s="99">
        <v>46387</v>
      </c>
      <c r="W256" s="89"/>
      <c r="X256" s="99">
        <v>46024</v>
      </c>
      <c r="Y256" s="188">
        <v>96000</v>
      </c>
      <c r="Z256" s="189"/>
      <c r="AA256" s="188">
        <f t="shared" si="28"/>
        <v>96000</v>
      </c>
      <c r="AB256" s="188"/>
      <c r="AC256" s="188">
        <f t="shared" si="29"/>
        <v>96000</v>
      </c>
      <c r="AD256" s="188">
        <f t="shared" si="30"/>
        <v>96000</v>
      </c>
      <c r="AE256" s="68" t="s">
        <v>103</v>
      </c>
      <c r="AF256" s="68"/>
      <c r="AG256" s="68"/>
      <c r="AH256" s="190"/>
      <c r="AI256" s="191"/>
      <c r="AJ256" s="190"/>
      <c r="AK256" s="192"/>
      <c r="AL256" s="190"/>
      <c r="AM256" s="193" t="s">
        <v>202</v>
      </c>
      <c r="AN256" s="194"/>
      <c r="AO256" s="195"/>
      <c r="AP256" s="31"/>
      <c r="AQ256" s="31"/>
      <c r="AR256" s="30"/>
      <c r="AS256" s="31"/>
    </row>
    <row r="257" spans="1:45" ht="30" hidden="1" customHeight="1" x14ac:dyDescent="0.25">
      <c r="A257" s="135">
        <v>2026</v>
      </c>
      <c r="B257" s="66" t="s">
        <v>705</v>
      </c>
      <c r="C257" s="65" t="s">
        <v>706</v>
      </c>
      <c r="D257" s="144" t="s">
        <v>114</v>
      </c>
      <c r="E257" s="141"/>
      <c r="F257" s="65" t="s">
        <v>715</v>
      </c>
      <c r="G257" s="144" t="s">
        <v>121</v>
      </c>
      <c r="H257" s="66" t="s">
        <v>126</v>
      </c>
      <c r="I257" s="74"/>
      <c r="J257" s="144" t="s">
        <v>132</v>
      </c>
      <c r="K257" s="144" t="s">
        <v>3</v>
      </c>
      <c r="L257" s="66" t="s">
        <v>6</v>
      </c>
      <c r="M257" s="65" t="s">
        <v>200</v>
      </c>
      <c r="N257" s="187"/>
      <c r="O257" s="187"/>
      <c r="P257" s="187"/>
      <c r="Q257" s="144" t="s">
        <v>140</v>
      </c>
      <c r="R257" s="89"/>
      <c r="S257" s="89"/>
      <c r="T257" s="65" t="s">
        <v>716</v>
      </c>
      <c r="U257" s="144">
        <v>2026</v>
      </c>
      <c r="V257" s="99">
        <v>46387</v>
      </c>
      <c r="W257" s="89"/>
      <c r="X257" s="99">
        <v>46024</v>
      </c>
      <c r="Y257" s="188">
        <v>96000</v>
      </c>
      <c r="Z257" s="189"/>
      <c r="AA257" s="188">
        <f t="shared" si="28"/>
        <v>96000</v>
      </c>
      <c r="AB257" s="188"/>
      <c r="AC257" s="188">
        <f t="shared" si="29"/>
        <v>96000</v>
      </c>
      <c r="AD257" s="188">
        <f t="shared" si="30"/>
        <v>96000</v>
      </c>
      <c r="AE257" s="68" t="s">
        <v>102</v>
      </c>
      <c r="AF257" s="68"/>
      <c r="AG257" s="68"/>
      <c r="AH257" s="190"/>
      <c r="AI257" s="191"/>
      <c r="AJ257" s="190"/>
      <c r="AK257" s="192"/>
      <c r="AL257" s="190"/>
      <c r="AM257" s="193" t="s">
        <v>202</v>
      </c>
      <c r="AN257" s="194"/>
      <c r="AO257" s="195"/>
      <c r="AP257" s="31"/>
      <c r="AQ257" s="31"/>
      <c r="AR257" s="30"/>
      <c r="AS257" s="31"/>
    </row>
    <row r="258" spans="1:45" ht="30" hidden="1" customHeight="1" x14ac:dyDescent="0.25">
      <c r="A258" s="135">
        <v>2026</v>
      </c>
      <c r="B258" s="66" t="s">
        <v>705</v>
      </c>
      <c r="C258" s="65" t="s">
        <v>706</v>
      </c>
      <c r="D258" s="144" t="s">
        <v>114</v>
      </c>
      <c r="E258" s="141"/>
      <c r="F258" s="65" t="s">
        <v>717</v>
      </c>
      <c r="G258" s="144" t="s">
        <v>121</v>
      </c>
      <c r="H258" s="66" t="s">
        <v>126</v>
      </c>
      <c r="I258" s="74"/>
      <c r="J258" s="144" t="s">
        <v>132</v>
      </c>
      <c r="K258" s="144" t="s">
        <v>3</v>
      </c>
      <c r="L258" s="66" t="s">
        <v>6</v>
      </c>
      <c r="M258" s="65" t="s">
        <v>200</v>
      </c>
      <c r="N258" s="187"/>
      <c r="O258" s="187"/>
      <c r="P258" s="187"/>
      <c r="Q258" s="144" t="s">
        <v>140</v>
      </c>
      <c r="R258" s="89"/>
      <c r="S258" s="89"/>
      <c r="T258" s="65" t="s">
        <v>718</v>
      </c>
      <c r="U258" s="144">
        <v>2026</v>
      </c>
      <c r="V258" s="99">
        <v>46387</v>
      </c>
      <c r="W258" s="89"/>
      <c r="X258" s="99">
        <v>46024</v>
      </c>
      <c r="Y258" s="188">
        <v>96000</v>
      </c>
      <c r="Z258" s="189"/>
      <c r="AA258" s="188">
        <f t="shared" si="28"/>
        <v>96000</v>
      </c>
      <c r="AB258" s="188"/>
      <c r="AC258" s="188">
        <f t="shared" si="29"/>
        <v>96000</v>
      </c>
      <c r="AD258" s="188">
        <f t="shared" si="30"/>
        <v>96000</v>
      </c>
      <c r="AE258" s="68" t="s">
        <v>102</v>
      </c>
      <c r="AF258" s="68"/>
      <c r="AG258" s="68"/>
      <c r="AH258" s="190"/>
      <c r="AI258" s="191"/>
      <c r="AJ258" s="190"/>
      <c r="AK258" s="192"/>
      <c r="AL258" s="190"/>
      <c r="AM258" s="193" t="s">
        <v>202</v>
      </c>
      <c r="AN258" s="194"/>
      <c r="AO258" s="195"/>
      <c r="AP258" s="31"/>
      <c r="AQ258" s="31"/>
      <c r="AR258" s="30"/>
      <c r="AS258" s="31"/>
    </row>
    <row r="259" spans="1:45" ht="30" hidden="1" customHeight="1" x14ac:dyDescent="0.25">
      <c r="A259" s="135">
        <v>2026</v>
      </c>
      <c r="B259" s="66" t="s">
        <v>705</v>
      </c>
      <c r="C259" s="65" t="s">
        <v>706</v>
      </c>
      <c r="D259" s="144" t="s">
        <v>114</v>
      </c>
      <c r="E259" s="141"/>
      <c r="F259" s="65" t="s">
        <v>719</v>
      </c>
      <c r="G259" s="144" t="s">
        <v>121</v>
      </c>
      <c r="H259" s="66" t="s">
        <v>126</v>
      </c>
      <c r="I259" s="74"/>
      <c r="J259" s="144" t="s">
        <v>132</v>
      </c>
      <c r="K259" s="144" t="s">
        <v>3</v>
      </c>
      <c r="L259" s="66" t="s">
        <v>6</v>
      </c>
      <c r="M259" s="65" t="s">
        <v>200</v>
      </c>
      <c r="N259" s="187"/>
      <c r="O259" s="187"/>
      <c r="P259" s="187"/>
      <c r="Q259" s="144" t="s">
        <v>140</v>
      </c>
      <c r="R259" s="89"/>
      <c r="S259" s="89"/>
      <c r="T259" s="65" t="s">
        <v>720</v>
      </c>
      <c r="U259" s="144">
        <v>2026</v>
      </c>
      <c r="V259" s="99">
        <v>46387</v>
      </c>
      <c r="W259" s="89"/>
      <c r="X259" s="99">
        <v>46024</v>
      </c>
      <c r="Y259" s="188">
        <v>96000</v>
      </c>
      <c r="Z259" s="189"/>
      <c r="AA259" s="188">
        <f t="shared" si="28"/>
        <v>96000</v>
      </c>
      <c r="AB259" s="188"/>
      <c r="AC259" s="188">
        <f t="shared" si="29"/>
        <v>96000</v>
      </c>
      <c r="AD259" s="188">
        <f t="shared" si="30"/>
        <v>96000</v>
      </c>
      <c r="AE259" s="68" t="s">
        <v>102</v>
      </c>
      <c r="AF259" s="68"/>
      <c r="AG259" s="68"/>
      <c r="AH259" s="190"/>
      <c r="AI259" s="191"/>
      <c r="AJ259" s="190"/>
      <c r="AK259" s="192"/>
      <c r="AL259" s="190"/>
      <c r="AM259" s="193" t="s">
        <v>202</v>
      </c>
      <c r="AN259" s="194"/>
      <c r="AO259" s="195"/>
      <c r="AP259" s="31"/>
      <c r="AQ259" s="31"/>
      <c r="AR259" s="30"/>
      <c r="AS259" s="31"/>
    </row>
    <row r="260" spans="1:45" ht="30" hidden="1" customHeight="1" x14ac:dyDescent="0.25">
      <c r="A260" s="46">
        <v>2026</v>
      </c>
      <c r="B260" s="66" t="s">
        <v>72</v>
      </c>
      <c r="C260" s="65" t="s">
        <v>721</v>
      </c>
      <c r="D260" s="144" t="s">
        <v>114</v>
      </c>
      <c r="E260" s="141"/>
      <c r="F260" s="65" t="s">
        <v>722</v>
      </c>
      <c r="G260" s="144" t="s">
        <v>121</v>
      </c>
      <c r="H260" s="66" t="s">
        <v>126</v>
      </c>
      <c r="I260" s="74"/>
      <c r="J260" s="144" t="s">
        <v>132</v>
      </c>
      <c r="K260" s="144" t="s">
        <v>3</v>
      </c>
      <c r="L260" s="66" t="s">
        <v>6</v>
      </c>
      <c r="M260" s="65" t="s">
        <v>723</v>
      </c>
      <c r="N260" s="187"/>
      <c r="O260" s="187"/>
      <c r="P260" s="187"/>
      <c r="Q260" s="144" t="s">
        <v>140</v>
      </c>
      <c r="R260" s="89"/>
      <c r="S260" s="89"/>
      <c r="T260" s="65" t="s">
        <v>724</v>
      </c>
      <c r="U260" s="144">
        <v>2026</v>
      </c>
      <c r="V260" s="99">
        <v>46387</v>
      </c>
      <c r="W260" s="89"/>
      <c r="X260" s="99">
        <v>46024</v>
      </c>
      <c r="Y260" s="188">
        <v>60000</v>
      </c>
      <c r="Z260" s="189"/>
      <c r="AA260" s="188">
        <f t="shared" si="28"/>
        <v>60000</v>
      </c>
      <c r="AB260" s="188"/>
      <c r="AC260" s="188">
        <f t="shared" si="29"/>
        <v>60000</v>
      </c>
      <c r="AD260" s="188">
        <f t="shared" si="30"/>
        <v>60000</v>
      </c>
      <c r="AE260" s="68" t="s">
        <v>102</v>
      </c>
      <c r="AF260" s="68"/>
      <c r="AG260" s="68"/>
      <c r="AH260" s="190"/>
      <c r="AI260" s="191"/>
      <c r="AJ260" s="190"/>
      <c r="AK260" s="192"/>
      <c r="AL260" s="190"/>
      <c r="AM260" s="193" t="s">
        <v>202</v>
      </c>
      <c r="AN260" s="194"/>
      <c r="AO260" s="195"/>
      <c r="AP260" s="31"/>
      <c r="AQ260" s="31"/>
      <c r="AR260" s="30"/>
      <c r="AS260" s="31"/>
    </row>
    <row r="261" spans="1:45" ht="30" hidden="1" customHeight="1" x14ac:dyDescent="0.25">
      <c r="A261" s="46">
        <v>2026</v>
      </c>
      <c r="B261" s="66" t="s">
        <v>72</v>
      </c>
      <c r="C261" s="65" t="s">
        <v>721</v>
      </c>
      <c r="D261" s="144" t="s">
        <v>114</v>
      </c>
      <c r="E261" s="141"/>
      <c r="F261" s="65" t="s">
        <v>725</v>
      </c>
      <c r="G261" s="144" t="s">
        <v>121</v>
      </c>
      <c r="H261" s="66" t="s">
        <v>126</v>
      </c>
      <c r="I261" s="74"/>
      <c r="J261" s="144" t="s">
        <v>132</v>
      </c>
      <c r="K261" s="144" t="s">
        <v>3</v>
      </c>
      <c r="L261" s="66" t="s">
        <v>6</v>
      </c>
      <c r="M261" s="65" t="s">
        <v>723</v>
      </c>
      <c r="N261" s="187"/>
      <c r="O261" s="187"/>
      <c r="P261" s="187"/>
      <c r="Q261" s="144" t="s">
        <v>140</v>
      </c>
      <c r="R261" s="89"/>
      <c r="S261" s="89"/>
      <c r="T261" s="65" t="s">
        <v>726</v>
      </c>
      <c r="U261" s="144">
        <v>2026</v>
      </c>
      <c r="V261" s="99">
        <v>46387</v>
      </c>
      <c r="W261" s="89"/>
      <c r="X261" s="99">
        <v>46024</v>
      </c>
      <c r="Y261" s="188">
        <v>200000</v>
      </c>
      <c r="Z261" s="189"/>
      <c r="AA261" s="188">
        <f t="shared" si="28"/>
        <v>200000</v>
      </c>
      <c r="AB261" s="188"/>
      <c r="AC261" s="188">
        <f t="shared" si="29"/>
        <v>200000</v>
      </c>
      <c r="AD261" s="188">
        <f t="shared" si="30"/>
        <v>200000</v>
      </c>
      <c r="AE261" s="68" t="s">
        <v>102</v>
      </c>
      <c r="AF261" s="68"/>
      <c r="AG261" s="68"/>
      <c r="AH261" s="190"/>
      <c r="AI261" s="191"/>
      <c r="AJ261" s="190"/>
      <c r="AK261" s="192"/>
      <c r="AL261" s="190"/>
      <c r="AM261" s="193" t="s">
        <v>202</v>
      </c>
      <c r="AN261" s="194"/>
      <c r="AO261" s="195"/>
      <c r="AP261" s="31"/>
      <c r="AQ261" s="31"/>
      <c r="AR261" s="30"/>
      <c r="AS261" s="31"/>
    </row>
    <row r="262" spans="1:45" ht="30" hidden="1" customHeight="1" x14ac:dyDescent="0.25">
      <c r="A262" s="46">
        <v>2026</v>
      </c>
      <c r="B262" s="66" t="s">
        <v>72</v>
      </c>
      <c r="C262" s="65" t="s">
        <v>721</v>
      </c>
      <c r="D262" s="144" t="s">
        <v>114</v>
      </c>
      <c r="E262" s="141"/>
      <c r="F262" s="65" t="s">
        <v>727</v>
      </c>
      <c r="G262" s="144" t="s">
        <v>121</v>
      </c>
      <c r="H262" s="66" t="s">
        <v>126</v>
      </c>
      <c r="I262" s="74"/>
      <c r="J262" s="144" t="s">
        <v>132</v>
      </c>
      <c r="K262" s="144" t="s">
        <v>3</v>
      </c>
      <c r="L262" s="66" t="s">
        <v>6</v>
      </c>
      <c r="M262" s="65" t="s">
        <v>723</v>
      </c>
      <c r="N262" s="187"/>
      <c r="O262" s="187"/>
      <c r="P262" s="187"/>
      <c r="Q262" s="144" t="s">
        <v>140</v>
      </c>
      <c r="R262" s="89"/>
      <c r="S262" s="89"/>
      <c r="T262" s="65" t="s">
        <v>728</v>
      </c>
      <c r="U262" s="144">
        <v>2026</v>
      </c>
      <c r="V262" s="99">
        <v>46387</v>
      </c>
      <c r="W262" s="89"/>
      <c r="X262" s="99">
        <v>46024</v>
      </c>
      <c r="Y262" s="188">
        <v>228571.2</v>
      </c>
      <c r="Z262" s="189"/>
      <c r="AA262" s="188">
        <f t="shared" si="28"/>
        <v>228571.2</v>
      </c>
      <c r="AB262" s="188"/>
      <c r="AC262" s="188">
        <f t="shared" si="29"/>
        <v>228571.2</v>
      </c>
      <c r="AD262" s="188">
        <f t="shared" si="30"/>
        <v>228571.2</v>
      </c>
      <c r="AE262" s="68" t="s">
        <v>102</v>
      </c>
      <c r="AF262" s="68"/>
      <c r="AG262" s="68"/>
      <c r="AH262" s="190"/>
      <c r="AI262" s="191"/>
      <c r="AJ262" s="190"/>
      <c r="AK262" s="192"/>
      <c r="AL262" s="190"/>
      <c r="AM262" s="193" t="s">
        <v>202</v>
      </c>
      <c r="AN262" s="194"/>
      <c r="AO262" s="195"/>
      <c r="AP262" s="31"/>
      <c r="AQ262" s="31"/>
      <c r="AR262" s="30"/>
      <c r="AS262" s="31"/>
    </row>
    <row r="263" spans="1:45" ht="30" hidden="1" customHeight="1" x14ac:dyDescent="0.25">
      <c r="A263" s="46">
        <v>2026</v>
      </c>
      <c r="B263" s="66" t="s">
        <v>72</v>
      </c>
      <c r="C263" s="65" t="s">
        <v>721</v>
      </c>
      <c r="D263" s="144" t="s">
        <v>114</v>
      </c>
      <c r="E263" s="141"/>
      <c r="F263" s="65" t="s">
        <v>729</v>
      </c>
      <c r="G263" s="144" t="s">
        <v>121</v>
      </c>
      <c r="H263" s="66" t="s">
        <v>126</v>
      </c>
      <c r="I263" s="74"/>
      <c r="J263" s="144" t="s">
        <v>132</v>
      </c>
      <c r="K263" s="144" t="s">
        <v>3</v>
      </c>
      <c r="L263" s="66" t="s">
        <v>6</v>
      </c>
      <c r="M263" s="65" t="s">
        <v>723</v>
      </c>
      <c r="N263" s="187"/>
      <c r="O263" s="187"/>
      <c r="P263" s="187"/>
      <c r="Q263" s="144" t="s">
        <v>140</v>
      </c>
      <c r="R263" s="89"/>
      <c r="S263" s="89"/>
      <c r="T263" s="65" t="s">
        <v>730</v>
      </c>
      <c r="U263" s="144">
        <v>2026</v>
      </c>
      <c r="V263" s="99">
        <v>46387</v>
      </c>
      <c r="W263" s="89"/>
      <c r="X263" s="99">
        <v>46024</v>
      </c>
      <c r="Y263" s="188">
        <v>228571.2</v>
      </c>
      <c r="Z263" s="189"/>
      <c r="AA263" s="188">
        <f t="shared" si="28"/>
        <v>228571.2</v>
      </c>
      <c r="AB263" s="188"/>
      <c r="AC263" s="188">
        <f t="shared" si="29"/>
        <v>228571.2</v>
      </c>
      <c r="AD263" s="188">
        <f t="shared" si="30"/>
        <v>228571.2</v>
      </c>
      <c r="AE263" s="68" t="s">
        <v>102</v>
      </c>
      <c r="AF263" s="68"/>
      <c r="AG263" s="68"/>
      <c r="AH263" s="190"/>
      <c r="AI263" s="191"/>
      <c r="AJ263" s="190"/>
      <c r="AK263" s="192"/>
      <c r="AL263" s="190"/>
      <c r="AM263" s="193" t="s">
        <v>202</v>
      </c>
      <c r="AN263" s="194"/>
      <c r="AO263" s="195"/>
      <c r="AP263" s="31"/>
      <c r="AQ263" s="31"/>
      <c r="AR263" s="30"/>
      <c r="AS263" s="31"/>
    </row>
    <row r="264" spans="1:45" ht="30" hidden="1" customHeight="1" x14ac:dyDescent="0.25">
      <c r="A264" s="46">
        <v>2026</v>
      </c>
      <c r="B264" s="66" t="s">
        <v>72</v>
      </c>
      <c r="C264" s="65" t="s">
        <v>721</v>
      </c>
      <c r="D264" s="144" t="s">
        <v>114</v>
      </c>
      <c r="E264" s="141"/>
      <c r="F264" s="65" t="s">
        <v>731</v>
      </c>
      <c r="G264" s="144" t="s">
        <v>121</v>
      </c>
      <c r="H264" s="66" t="s">
        <v>126</v>
      </c>
      <c r="I264" s="74"/>
      <c r="J264" s="144" t="s">
        <v>132</v>
      </c>
      <c r="K264" s="144" t="s">
        <v>3</v>
      </c>
      <c r="L264" s="66" t="s">
        <v>6</v>
      </c>
      <c r="M264" s="65" t="s">
        <v>723</v>
      </c>
      <c r="N264" s="187"/>
      <c r="O264" s="187"/>
      <c r="P264" s="187"/>
      <c r="Q264" s="144" t="s">
        <v>140</v>
      </c>
      <c r="R264" s="89"/>
      <c r="S264" s="89"/>
      <c r="T264" s="65" t="s">
        <v>732</v>
      </c>
      <c r="U264" s="144">
        <v>2026</v>
      </c>
      <c r="V264" s="99">
        <v>46387</v>
      </c>
      <c r="W264" s="89"/>
      <c r="X264" s="99">
        <v>46024</v>
      </c>
      <c r="Y264" s="188">
        <v>171428.4</v>
      </c>
      <c r="Z264" s="189"/>
      <c r="AA264" s="188">
        <f t="shared" si="28"/>
        <v>171428.4</v>
      </c>
      <c r="AB264" s="188"/>
      <c r="AC264" s="188">
        <f t="shared" si="29"/>
        <v>171428.4</v>
      </c>
      <c r="AD264" s="188">
        <f t="shared" si="30"/>
        <v>171428.4</v>
      </c>
      <c r="AE264" s="68" t="s">
        <v>102</v>
      </c>
      <c r="AF264" s="68"/>
      <c r="AG264" s="68"/>
      <c r="AH264" s="190"/>
      <c r="AI264" s="191"/>
      <c r="AJ264" s="190"/>
      <c r="AK264" s="192"/>
      <c r="AL264" s="190"/>
      <c r="AM264" s="193" t="s">
        <v>202</v>
      </c>
      <c r="AN264" s="194"/>
      <c r="AO264" s="195"/>
      <c r="AP264" s="31"/>
      <c r="AQ264" s="31"/>
      <c r="AR264" s="30"/>
      <c r="AS264" s="31"/>
    </row>
    <row r="265" spans="1:45" ht="30" hidden="1" customHeight="1" x14ac:dyDescent="0.25">
      <c r="A265" s="46">
        <v>2026</v>
      </c>
      <c r="B265" s="66" t="s">
        <v>72</v>
      </c>
      <c r="C265" s="65" t="s">
        <v>721</v>
      </c>
      <c r="D265" s="144" t="s">
        <v>114</v>
      </c>
      <c r="E265" s="141"/>
      <c r="F265" s="65" t="s">
        <v>733</v>
      </c>
      <c r="G265" s="144" t="s">
        <v>121</v>
      </c>
      <c r="H265" s="66" t="s">
        <v>126</v>
      </c>
      <c r="I265" s="74"/>
      <c r="J265" s="144" t="s">
        <v>132</v>
      </c>
      <c r="K265" s="144" t="s">
        <v>3</v>
      </c>
      <c r="L265" s="66" t="s">
        <v>6</v>
      </c>
      <c r="M265" s="65" t="s">
        <v>723</v>
      </c>
      <c r="N265" s="187"/>
      <c r="O265" s="187"/>
      <c r="P265" s="187"/>
      <c r="Q265" s="144" t="s">
        <v>140</v>
      </c>
      <c r="R265" s="89"/>
      <c r="S265" s="89"/>
      <c r="T265" s="65" t="s">
        <v>734</v>
      </c>
      <c r="U265" s="144">
        <v>2026</v>
      </c>
      <c r="V265" s="99">
        <v>46387</v>
      </c>
      <c r="W265" s="89"/>
      <c r="X265" s="99">
        <v>46024</v>
      </c>
      <c r="Y265" s="188">
        <v>228571.2</v>
      </c>
      <c r="Z265" s="189"/>
      <c r="AA265" s="188">
        <f t="shared" si="28"/>
        <v>228571.2</v>
      </c>
      <c r="AB265" s="188"/>
      <c r="AC265" s="188">
        <f t="shared" si="29"/>
        <v>228571.2</v>
      </c>
      <c r="AD265" s="188">
        <f t="shared" si="30"/>
        <v>228571.2</v>
      </c>
      <c r="AE265" s="68" t="s">
        <v>102</v>
      </c>
      <c r="AF265" s="68"/>
      <c r="AG265" s="68"/>
      <c r="AH265" s="190"/>
      <c r="AI265" s="191"/>
      <c r="AJ265" s="190"/>
      <c r="AK265" s="192"/>
      <c r="AL265" s="190"/>
      <c r="AM265" s="193" t="s">
        <v>202</v>
      </c>
      <c r="AN265" s="194"/>
      <c r="AO265" s="195"/>
      <c r="AP265" s="31"/>
      <c r="AQ265" s="31"/>
      <c r="AR265" s="30"/>
      <c r="AS265" s="31"/>
    </row>
    <row r="266" spans="1:45" ht="30" hidden="1" customHeight="1" x14ac:dyDescent="0.25">
      <c r="A266" s="46">
        <v>2026</v>
      </c>
      <c r="B266" s="66" t="s">
        <v>72</v>
      </c>
      <c r="C266" s="65" t="s">
        <v>721</v>
      </c>
      <c r="D266" s="144" t="s">
        <v>114</v>
      </c>
      <c r="E266" s="141"/>
      <c r="F266" s="65" t="s">
        <v>735</v>
      </c>
      <c r="G266" s="144" t="s">
        <v>121</v>
      </c>
      <c r="H266" s="66" t="s">
        <v>126</v>
      </c>
      <c r="I266" s="74"/>
      <c r="J266" s="144" t="s">
        <v>132</v>
      </c>
      <c r="K266" s="144" t="s">
        <v>3</v>
      </c>
      <c r="L266" s="66" t="s">
        <v>6</v>
      </c>
      <c r="M266" s="65" t="s">
        <v>723</v>
      </c>
      <c r="N266" s="187"/>
      <c r="O266" s="187"/>
      <c r="P266" s="187"/>
      <c r="Q266" s="144" t="s">
        <v>140</v>
      </c>
      <c r="R266" s="89"/>
      <c r="S266" s="89"/>
      <c r="T266" s="65" t="s">
        <v>736</v>
      </c>
      <c r="U266" s="144">
        <v>2026</v>
      </c>
      <c r="V266" s="99">
        <v>46387</v>
      </c>
      <c r="W266" s="89"/>
      <c r="X266" s="99">
        <v>46024</v>
      </c>
      <c r="Y266" s="188">
        <v>171428.4</v>
      </c>
      <c r="Z266" s="189"/>
      <c r="AA266" s="188">
        <f t="shared" si="28"/>
        <v>171428.4</v>
      </c>
      <c r="AB266" s="188"/>
      <c r="AC266" s="188">
        <f t="shared" si="29"/>
        <v>171428.4</v>
      </c>
      <c r="AD266" s="188">
        <f t="shared" si="30"/>
        <v>171428.4</v>
      </c>
      <c r="AE266" s="68" t="s">
        <v>102</v>
      </c>
      <c r="AF266" s="68"/>
      <c r="AG266" s="68"/>
      <c r="AH266" s="190"/>
      <c r="AI266" s="191"/>
      <c r="AJ266" s="190"/>
      <c r="AK266" s="192"/>
      <c r="AL266" s="190"/>
      <c r="AM266" s="193" t="s">
        <v>202</v>
      </c>
      <c r="AN266" s="194"/>
      <c r="AO266" s="195"/>
      <c r="AP266" s="31"/>
      <c r="AQ266" s="31"/>
      <c r="AR266" s="30"/>
      <c r="AS266" s="31"/>
    </row>
    <row r="267" spans="1:45" ht="30" hidden="1" customHeight="1" x14ac:dyDescent="0.25">
      <c r="A267" s="46">
        <v>2026</v>
      </c>
      <c r="B267" s="66" t="s">
        <v>72</v>
      </c>
      <c r="C267" s="65" t="s">
        <v>721</v>
      </c>
      <c r="D267" s="144" t="s">
        <v>114</v>
      </c>
      <c r="E267" s="141"/>
      <c r="F267" s="65" t="s">
        <v>737</v>
      </c>
      <c r="G267" s="144" t="s">
        <v>121</v>
      </c>
      <c r="H267" s="66" t="s">
        <v>126</v>
      </c>
      <c r="I267" s="74"/>
      <c r="J267" s="144" t="s">
        <v>132</v>
      </c>
      <c r="K267" s="144" t="s">
        <v>3</v>
      </c>
      <c r="L267" s="66" t="s">
        <v>6</v>
      </c>
      <c r="M267" s="65" t="s">
        <v>723</v>
      </c>
      <c r="N267" s="187"/>
      <c r="O267" s="187"/>
      <c r="P267" s="187"/>
      <c r="Q267" s="144" t="s">
        <v>140</v>
      </c>
      <c r="R267" s="89"/>
      <c r="S267" s="89"/>
      <c r="T267" s="65" t="s">
        <v>738</v>
      </c>
      <c r="U267" s="144">
        <v>2026</v>
      </c>
      <c r="V267" s="99">
        <v>46387</v>
      </c>
      <c r="W267" s="89"/>
      <c r="X267" s="99">
        <v>46024</v>
      </c>
      <c r="Y267" s="188">
        <v>290399.76</v>
      </c>
      <c r="Z267" s="189"/>
      <c r="AA267" s="188">
        <f t="shared" si="28"/>
        <v>290399.76</v>
      </c>
      <c r="AB267" s="188"/>
      <c r="AC267" s="188">
        <f t="shared" si="29"/>
        <v>290399.76</v>
      </c>
      <c r="AD267" s="188">
        <f t="shared" si="30"/>
        <v>290399.76</v>
      </c>
      <c r="AE267" s="68" t="s">
        <v>102</v>
      </c>
      <c r="AF267" s="68"/>
      <c r="AG267" s="68"/>
      <c r="AH267" s="190"/>
      <c r="AI267" s="191"/>
      <c r="AJ267" s="190"/>
      <c r="AK267" s="192"/>
      <c r="AL267" s="190"/>
      <c r="AM267" s="193" t="s">
        <v>202</v>
      </c>
      <c r="AN267" s="194"/>
      <c r="AO267" s="195"/>
      <c r="AP267" s="31"/>
      <c r="AQ267" s="31"/>
      <c r="AR267" s="30"/>
      <c r="AS267" s="31"/>
    </row>
    <row r="268" spans="1:45" ht="30" hidden="1" customHeight="1" x14ac:dyDescent="0.25">
      <c r="A268" s="46">
        <v>2026</v>
      </c>
      <c r="B268" s="66" t="s">
        <v>72</v>
      </c>
      <c r="C268" s="65" t="s">
        <v>721</v>
      </c>
      <c r="D268" s="144" t="s">
        <v>114</v>
      </c>
      <c r="E268" s="141"/>
      <c r="F268" s="65" t="s">
        <v>739</v>
      </c>
      <c r="G268" s="144" t="s">
        <v>121</v>
      </c>
      <c r="H268" s="66" t="s">
        <v>126</v>
      </c>
      <c r="I268" s="74"/>
      <c r="J268" s="144" t="s">
        <v>132</v>
      </c>
      <c r="K268" s="144" t="s">
        <v>3</v>
      </c>
      <c r="L268" s="66" t="s">
        <v>6</v>
      </c>
      <c r="M268" s="65" t="s">
        <v>723</v>
      </c>
      <c r="N268" s="187"/>
      <c r="O268" s="187"/>
      <c r="P268" s="187"/>
      <c r="Q268" s="144" t="s">
        <v>140</v>
      </c>
      <c r="R268" s="89"/>
      <c r="S268" s="89"/>
      <c r="T268" s="65" t="s">
        <v>740</v>
      </c>
      <c r="U268" s="144">
        <v>2026</v>
      </c>
      <c r="V268" s="99">
        <v>46387</v>
      </c>
      <c r="W268" s="89"/>
      <c r="X268" s="99">
        <v>46024</v>
      </c>
      <c r="Y268" s="188">
        <v>171428.4</v>
      </c>
      <c r="Z268" s="189"/>
      <c r="AA268" s="188">
        <f t="shared" ref="AA268:AA304" si="31">Y268</f>
        <v>171428.4</v>
      </c>
      <c r="AB268" s="188"/>
      <c r="AC268" s="188">
        <f t="shared" ref="AC268:AC304" si="32">Y268</f>
        <v>171428.4</v>
      </c>
      <c r="AD268" s="188">
        <f t="shared" ref="AD268:AD304" si="33">AA268</f>
        <v>171428.4</v>
      </c>
      <c r="AE268" s="68" t="s">
        <v>102</v>
      </c>
      <c r="AF268" s="68"/>
      <c r="AG268" s="68"/>
      <c r="AH268" s="190"/>
      <c r="AI268" s="191"/>
      <c r="AJ268" s="190"/>
      <c r="AK268" s="192"/>
      <c r="AL268" s="190"/>
      <c r="AM268" s="193" t="s">
        <v>202</v>
      </c>
      <c r="AN268" s="194"/>
      <c r="AO268" s="195"/>
      <c r="AP268" s="31"/>
      <c r="AQ268" s="31"/>
      <c r="AR268" s="30"/>
      <c r="AS268" s="31"/>
    </row>
    <row r="269" spans="1:45" ht="30" hidden="1" customHeight="1" x14ac:dyDescent="0.25">
      <c r="A269" s="46">
        <v>2026</v>
      </c>
      <c r="B269" s="66" t="s">
        <v>72</v>
      </c>
      <c r="C269" s="65" t="s">
        <v>721</v>
      </c>
      <c r="D269" s="144" t="s">
        <v>114</v>
      </c>
      <c r="E269" s="141"/>
      <c r="F269" s="65" t="s">
        <v>741</v>
      </c>
      <c r="G269" s="144" t="s">
        <v>121</v>
      </c>
      <c r="H269" s="66" t="s">
        <v>126</v>
      </c>
      <c r="I269" s="74"/>
      <c r="J269" s="144" t="s">
        <v>132</v>
      </c>
      <c r="K269" s="144" t="s">
        <v>3</v>
      </c>
      <c r="L269" s="66" t="s">
        <v>6</v>
      </c>
      <c r="M269" s="65" t="s">
        <v>723</v>
      </c>
      <c r="N269" s="187"/>
      <c r="O269" s="187"/>
      <c r="P269" s="187"/>
      <c r="Q269" s="144" t="s">
        <v>140</v>
      </c>
      <c r="R269" s="89"/>
      <c r="S269" s="89"/>
      <c r="T269" s="65" t="s">
        <v>742</v>
      </c>
      <c r="U269" s="144">
        <v>2026</v>
      </c>
      <c r="V269" s="99">
        <v>46387</v>
      </c>
      <c r="W269" s="89"/>
      <c r="X269" s="99">
        <v>46024</v>
      </c>
      <c r="Y269" s="188">
        <v>125714.16</v>
      </c>
      <c r="Z269" s="189"/>
      <c r="AA269" s="188">
        <f t="shared" si="31"/>
        <v>125714.16</v>
      </c>
      <c r="AB269" s="188"/>
      <c r="AC269" s="188">
        <f t="shared" si="32"/>
        <v>125714.16</v>
      </c>
      <c r="AD269" s="188">
        <f t="shared" si="33"/>
        <v>125714.16</v>
      </c>
      <c r="AE269" s="68" t="s">
        <v>102</v>
      </c>
      <c r="AF269" s="68"/>
      <c r="AG269" s="68"/>
      <c r="AH269" s="190"/>
      <c r="AI269" s="191"/>
      <c r="AJ269" s="190"/>
      <c r="AK269" s="192"/>
      <c r="AL269" s="190"/>
      <c r="AM269" s="193" t="s">
        <v>202</v>
      </c>
      <c r="AN269" s="194"/>
      <c r="AO269" s="195"/>
      <c r="AP269" s="31"/>
      <c r="AQ269" s="31"/>
      <c r="AR269" s="30"/>
      <c r="AS269" s="31"/>
    </row>
    <row r="270" spans="1:45" ht="30" hidden="1" customHeight="1" x14ac:dyDescent="0.25">
      <c r="A270" s="46">
        <v>2026</v>
      </c>
      <c r="B270" s="66" t="s">
        <v>72</v>
      </c>
      <c r="C270" s="65" t="s">
        <v>721</v>
      </c>
      <c r="D270" s="144" t="s">
        <v>114</v>
      </c>
      <c r="E270" s="141"/>
      <c r="F270" s="65" t="s">
        <v>743</v>
      </c>
      <c r="G270" s="144" t="s">
        <v>121</v>
      </c>
      <c r="H270" s="66" t="s">
        <v>126</v>
      </c>
      <c r="I270" s="74"/>
      <c r="J270" s="144" t="s">
        <v>132</v>
      </c>
      <c r="K270" s="144" t="s">
        <v>3</v>
      </c>
      <c r="L270" s="66" t="s">
        <v>6</v>
      </c>
      <c r="M270" s="65" t="s">
        <v>723</v>
      </c>
      <c r="N270" s="187"/>
      <c r="O270" s="187"/>
      <c r="P270" s="187"/>
      <c r="Q270" s="144" t="s">
        <v>140</v>
      </c>
      <c r="R270" s="89"/>
      <c r="S270" s="89"/>
      <c r="T270" s="65" t="s">
        <v>744</v>
      </c>
      <c r="U270" s="144">
        <v>2026</v>
      </c>
      <c r="V270" s="99">
        <v>46387</v>
      </c>
      <c r="W270" s="89"/>
      <c r="X270" s="99">
        <v>46024</v>
      </c>
      <c r="Y270" s="188">
        <v>152114.16</v>
      </c>
      <c r="Z270" s="189"/>
      <c r="AA270" s="188">
        <f t="shared" si="31"/>
        <v>152114.16</v>
      </c>
      <c r="AB270" s="188"/>
      <c r="AC270" s="188">
        <f t="shared" si="32"/>
        <v>152114.16</v>
      </c>
      <c r="AD270" s="188">
        <f t="shared" si="33"/>
        <v>152114.16</v>
      </c>
      <c r="AE270" s="68" t="s">
        <v>102</v>
      </c>
      <c r="AF270" s="68"/>
      <c r="AG270" s="68"/>
      <c r="AH270" s="190"/>
      <c r="AI270" s="191"/>
      <c r="AJ270" s="190"/>
      <c r="AK270" s="192"/>
      <c r="AL270" s="190"/>
      <c r="AM270" s="193" t="s">
        <v>202</v>
      </c>
      <c r="AN270" s="194"/>
      <c r="AO270" s="195"/>
      <c r="AP270" s="31"/>
      <c r="AQ270" s="31"/>
      <c r="AR270" s="30"/>
      <c r="AS270" s="31"/>
    </row>
    <row r="271" spans="1:45" ht="30" hidden="1" customHeight="1" x14ac:dyDescent="0.25">
      <c r="A271" s="46">
        <v>2026</v>
      </c>
      <c r="B271" s="66" t="s">
        <v>72</v>
      </c>
      <c r="C271" s="65" t="s">
        <v>721</v>
      </c>
      <c r="D271" s="144" t="s">
        <v>114</v>
      </c>
      <c r="E271" s="141"/>
      <c r="F271" s="65" t="s">
        <v>745</v>
      </c>
      <c r="G271" s="144" t="s">
        <v>121</v>
      </c>
      <c r="H271" s="66" t="s">
        <v>126</v>
      </c>
      <c r="I271" s="74"/>
      <c r="J271" s="144" t="s">
        <v>132</v>
      </c>
      <c r="K271" s="144" t="s">
        <v>3</v>
      </c>
      <c r="L271" s="66" t="s">
        <v>6</v>
      </c>
      <c r="M271" s="65" t="s">
        <v>723</v>
      </c>
      <c r="N271" s="187"/>
      <c r="O271" s="187"/>
      <c r="P271" s="187"/>
      <c r="Q271" s="144" t="s">
        <v>140</v>
      </c>
      <c r="R271" s="89"/>
      <c r="S271" s="89"/>
      <c r="T271" s="65" t="s">
        <v>746</v>
      </c>
      <c r="U271" s="144">
        <v>2026</v>
      </c>
      <c r="V271" s="99">
        <v>46387</v>
      </c>
      <c r="W271" s="89"/>
      <c r="X271" s="99">
        <v>46024</v>
      </c>
      <c r="Y271" s="188">
        <v>125714.16</v>
      </c>
      <c r="Z271" s="189"/>
      <c r="AA271" s="188">
        <f t="shared" si="31"/>
        <v>125714.16</v>
      </c>
      <c r="AB271" s="188"/>
      <c r="AC271" s="188">
        <f t="shared" si="32"/>
        <v>125714.16</v>
      </c>
      <c r="AD271" s="188">
        <f t="shared" si="33"/>
        <v>125714.16</v>
      </c>
      <c r="AE271" s="68" t="s">
        <v>102</v>
      </c>
      <c r="AF271" s="68"/>
      <c r="AG271" s="68"/>
      <c r="AH271" s="190"/>
      <c r="AI271" s="191"/>
      <c r="AJ271" s="190"/>
      <c r="AK271" s="192"/>
      <c r="AL271" s="190"/>
      <c r="AM271" s="193" t="s">
        <v>202</v>
      </c>
      <c r="AN271" s="194"/>
      <c r="AO271" s="195"/>
      <c r="AP271" s="31"/>
      <c r="AQ271" s="31"/>
      <c r="AR271" s="30"/>
      <c r="AS271" s="31"/>
    </row>
    <row r="272" spans="1:45" ht="30" hidden="1" customHeight="1" x14ac:dyDescent="0.25">
      <c r="A272" s="46">
        <v>2026</v>
      </c>
      <c r="B272" s="66" t="s">
        <v>72</v>
      </c>
      <c r="C272" s="65" t="s">
        <v>721</v>
      </c>
      <c r="D272" s="144" t="s">
        <v>114</v>
      </c>
      <c r="E272" s="141"/>
      <c r="F272" s="65" t="s">
        <v>747</v>
      </c>
      <c r="G272" s="144" t="s">
        <v>121</v>
      </c>
      <c r="H272" s="66" t="s">
        <v>126</v>
      </c>
      <c r="I272" s="74"/>
      <c r="J272" s="144" t="s">
        <v>132</v>
      </c>
      <c r="K272" s="144" t="s">
        <v>3</v>
      </c>
      <c r="L272" s="66" t="s">
        <v>6</v>
      </c>
      <c r="M272" s="65" t="s">
        <v>723</v>
      </c>
      <c r="N272" s="187"/>
      <c r="O272" s="187"/>
      <c r="P272" s="187"/>
      <c r="Q272" s="144" t="s">
        <v>140</v>
      </c>
      <c r="R272" s="89"/>
      <c r="S272" s="89"/>
      <c r="T272" s="65" t="s">
        <v>748</v>
      </c>
      <c r="U272" s="144">
        <v>2026</v>
      </c>
      <c r="V272" s="99">
        <v>46387</v>
      </c>
      <c r="W272" s="89"/>
      <c r="X272" s="99">
        <v>46024</v>
      </c>
      <c r="Y272" s="188">
        <v>111428.46</v>
      </c>
      <c r="Z272" s="189"/>
      <c r="AA272" s="188">
        <f t="shared" si="31"/>
        <v>111428.46</v>
      </c>
      <c r="AB272" s="188"/>
      <c r="AC272" s="188">
        <f t="shared" si="32"/>
        <v>111428.46</v>
      </c>
      <c r="AD272" s="188">
        <f t="shared" si="33"/>
        <v>111428.46</v>
      </c>
      <c r="AE272" s="68" t="s">
        <v>102</v>
      </c>
      <c r="AF272" s="68"/>
      <c r="AG272" s="68"/>
      <c r="AH272" s="190"/>
      <c r="AI272" s="191"/>
      <c r="AJ272" s="190"/>
      <c r="AK272" s="192"/>
      <c r="AL272" s="190"/>
      <c r="AM272" s="193" t="s">
        <v>202</v>
      </c>
      <c r="AN272" s="194"/>
      <c r="AO272" s="195"/>
      <c r="AP272" s="31"/>
      <c r="AQ272" s="31"/>
      <c r="AR272" s="30"/>
      <c r="AS272" s="31"/>
    </row>
    <row r="273" spans="1:45" ht="30" hidden="1" customHeight="1" x14ac:dyDescent="0.25">
      <c r="A273" s="46">
        <v>2026</v>
      </c>
      <c r="B273" s="66" t="s">
        <v>72</v>
      </c>
      <c r="C273" s="65" t="s">
        <v>721</v>
      </c>
      <c r="D273" s="144" t="s">
        <v>114</v>
      </c>
      <c r="E273" s="141"/>
      <c r="F273" s="65" t="s">
        <v>749</v>
      </c>
      <c r="G273" s="144" t="s">
        <v>121</v>
      </c>
      <c r="H273" s="66" t="s">
        <v>126</v>
      </c>
      <c r="I273" s="74"/>
      <c r="J273" s="144" t="s">
        <v>132</v>
      </c>
      <c r="K273" s="144" t="s">
        <v>3</v>
      </c>
      <c r="L273" s="66" t="s">
        <v>6</v>
      </c>
      <c r="M273" s="65" t="s">
        <v>723</v>
      </c>
      <c r="N273" s="187"/>
      <c r="O273" s="187"/>
      <c r="P273" s="187"/>
      <c r="Q273" s="144" t="s">
        <v>140</v>
      </c>
      <c r="R273" s="89"/>
      <c r="S273" s="89"/>
      <c r="T273" s="65" t="s">
        <v>750</v>
      </c>
      <c r="U273" s="144">
        <v>2026</v>
      </c>
      <c r="V273" s="99">
        <v>46387</v>
      </c>
      <c r="W273" s="89"/>
      <c r="X273" s="99">
        <v>46024</v>
      </c>
      <c r="Y273" s="188">
        <v>42857.1</v>
      </c>
      <c r="Z273" s="189"/>
      <c r="AA273" s="188">
        <f t="shared" si="31"/>
        <v>42857.1</v>
      </c>
      <c r="AB273" s="188"/>
      <c r="AC273" s="188">
        <f t="shared" si="32"/>
        <v>42857.1</v>
      </c>
      <c r="AD273" s="188">
        <f t="shared" si="33"/>
        <v>42857.1</v>
      </c>
      <c r="AE273" s="68" t="s">
        <v>102</v>
      </c>
      <c r="AF273" s="68"/>
      <c r="AG273" s="68"/>
      <c r="AH273" s="190"/>
      <c r="AI273" s="191"/>
      <c r="AJ273" s="190"/>
      <c r="AK273" s="192"/>
      <c r="AL273" s="190"/>
      <c r="AM273" s="193" t="s">
        <v>202</v>
      </c>
      <c r="AN273" s="194"/>
      <c r="AO273" s="195"/>
      <c r="AP273" s="31"/>
      <c r="AQ273" s="31"/>
      <c r="AR273" s="30"/>
      <c r="AS273" s="31"/>
    </row>
    <row r="274" spans="1:45" ht="30" hidden="1" customHeight="1" x14ac:dyDescent="0.25">
      <c r="A274" s="46">
        <v>2026</v>
      </c>
      <c r="B274" s="66" t="s">
        <v>72</v>
      </c>
      <c r="C274" s="65" t="s">
        <v>721</v>
      </c>
      <c r="D274" s="144" t="s">
        <v>114</v>
      </c>
      <c r="E274" s="141"/>
      <c r="F274" s="65" t="s">
        <v>751</v>
      </c>
      <c r="G274" s="144" t="s">
        <v>121</v>
      </c>
      <c r="H274" s="66" t="s">
        <v>126</v>
      </c>
      <c r="I274" s="74"/>
      <c r="J274" s="144" t="s">
        <v>132</v>
      </c>
      <c r="K274" s="144" t="s">
        <v>3</v>
      </c>
      <c r="L274" s="66" t="s">
        <v>6</v>
      </c>
      <c r="M274" s="65" t="s">
        <v>723</v>
      </c>
      <c r="N274" s="187"/>
      <c r="O274" s="187"/>
      <c r="P274" s="187"/>
      <c r="Q274" s="144" t="s">
        <v>140</v>
      </c>
      <c r="R274" s="89"/>
      <c r="S274" s="89"/>
      <c r="T274" s="65" t="s">
        <v>752</v>
      </c>
      <c r="U274" s="144">
        <v>2026</v>
      </c>
      <c r="V274" s="99">
        <v>46387</v>
      </c>
      <c r="W274" s="89"/>
      <c r="X274" s="99">
        <v>46024</v>
      </c>
      <c r="Y274" s="188">
        <v>57142.8</v>
      </c>
      <c r="Z274" s="189"/>
      <c r="AA274" s="188">
        <f t="shared" si="31"/>
        <v>57142.8</v>
      </c>
      <c r="AB274" s="188"/>
      <c r="AC274" s="188">
        <f t="shared" si="32"/>
        <v>57142.8</v>
      </c>
      <c r="AD274" s="188">
        <f t="shared" si="33"/>
        <v>57142.8</v>
      </c>
      <c r="AE274" s="68" t="s">
        <v>102</v>
      </c>
      <c r="AF274" s="68"/>
      <c r="AG274" s="68"/>
      <c r="AH274" s="190"/>
      <c r="AI274" s="191"/>
      <c r="AJ274" s="190"/>
      <c r="AK274" s="192"/>
      <c r="AL274" s="190"/>
      <c r="AM274" s="193" t="s">
        <v>202</v>
      </c>
      <c r="AN274" s="194"/>
      <c r="AO274" s="195"/>
      <c r="AP274" s="31"/>
      <c r="AQ274" s="31"/>
      <c r="AR274" s="30"/>
      <c r="AS274" s="31"/>
    </row>
    <row r="275" spans="1:45" ht="30" hidden="1" customHeight="1" x14ac:dyDescent="0.25">
      <c r="A275" s="46">
        <v>2026</v>
      </c>
      <c r="B275" s="66" t="s">
        <v>72</v>
      </c>
      <c r="C275" s="65" t="s">
        <v>721</v>
      </c>
      <c r="D275" s="144" t="s">
        <v>114</v>
      </c>
      <c r="E275" s="141"/>
      <c r="F275" s="65" t="s">
        <v>753</v>
      </c>
      <c r="G275" s="144" t="s">
        <v>121</v>
      </c>
      <c r="H275" s="66" t="s">
        <v>126</v>
      </c>
      <c r="I275" s="74"/>
      <c r="J275" s="144" t="s">
        <v>132</v>
      </c>
      <c r="K275" s="144" t="s">
        <v>3</v>
      </c>
      <c r="L275" s="66" t="s">
        <v>6</v>
      </c>
      <c r="M275" s="65" t="s">
        <v>723</v>
      </c>
      <c r="N275" s="187"/>
      <c r="O275" s="187"/>
      <c r="P275" s="187"/>
      <c r="Q275" s="144" t="s">
        <v>140</v>
      </c>
      <c r="R275" s="89"/>
      <c r="S275" s="89"/>
      <c r="T275" s="65" t="s">
        <v>754</v>
      </c>
      <c r="U275" s="144">
        <v>2026</v>
      </c>
      <c r="V275" s="99">
        <v>46387</v>
      </c>
      <c r="W275" s="89"/>
      <c r="X275" s="99">
        <v>46024</v>
      </c>
      <c r="Y275" s="188">
        <v>142857</v>
      </c>
      <c r="Z275" s="189"/>
      <c r="AA275" s="188">
        <f t="shared" si="31"/>
        <v>142857</v>
      </c>
      <c r="AB275" s="188"/>
      <c r="AC275" s="188">
        <f t="shared" si="32"/>
        <v>142857</v>
      </c>
      <c r="AD275" s="188">
        <f t="shared" si="33"/>
        <v>142857</v>
      </c>
      <c r="AE275" s="68" t="s">
        <v>102</v>
      </c>
      <c r="AF275" s="68"/>
      <c r="AG275" s="68"/>
      <c r="AH275" s="190"/>
      <c r="AI275" s="191"/>
      <c r="AJ275" s="190"/>
      <c r="AK275" s="192"/>
      <c r="AL275" s="190"/>
      <c r="AM275" s="193" t="s">
        <v>202</v>
      </c>
      <c r="AN275" s="194"/>
      <c r="AO275" s="195"/>
      <c r="AP275" s="31"/>
      <c r="AQ275" s="31"/>
      <c r="AR275" s="30"/>
      <c r="AS275" s="31"/>
    </row>
    <row r="276" spans="1:45" ht="30" hidden="1" customHeight="1" x14ac:dyDescent="0.25">
      <c r="A276" s="46">
        <v>2026</v>
      </c>
      <c r="B276" s="66" t="s">
        <v>72</v>
      </c>
      <c r="C276" s="65" t="s">
        <v>721</v>
      </c>
      <c r="D276" s="144" t="s">
        <v>114</v>
      </c>
      <c r="E276" s="141"/>
      <c r="F276" s="65" t="s">
        <v>755</v>
      </c>
      <c r="G276" s="144" t="s">
        <v>121</v>
      </c>
      <c r="H276" s="66" t="s">
        <v>126</v>
      </c>
      <c r="I276" s="74"/>
      <c r="J276" s="144" t="s">
        <v>132</v>
      </c>
      <c r="K276" s="144" t="s">
        <v>3</v>
      </c>
      <c r="L276" s="66" t="s">
        <v>6</v>
      </c>
      <c r="M276" s="65" t="s">
        <v>723</v>
      </c>
      <c r="N276" s="187"/>
      <c r="O276" s="187"/>
      <c r="P276" s="187"/>
      <c r="Q276" s="144" t="s">
        <v>140</v>
      </c>
      <c r="R276" s="89"/>
      <c r="S276" s="89"/>
      <c r="T276" s="65" t="s">
        <v>688</v>
      </c>
      <c r="U276" s="144">
        <v>2026</v>
      </c>
      <c r="V276" s="99">
        <v>46387</v>
      </c>
      <c r="W276" s="89"/>
      <c r="X276" s="99">
        <v>46024</v>
      </c>
      <c r="Y276" s="188">
        <v>99000</v>
      </c>
      <c r="Z276" s="189"/>
      <c r="AA276" s="188">
        <f t="shared" si="31"/>
        <v>99000</v>
      </c>
      <c r="AB276" s="188"/>
      <c r="AC276" s="188">
        <f t="shared" si="32"/>
        <v>99000</v>
      </c>
      <c r="AD276" s="188">
        <f t="shared" si="33"/>
        <v>99000</v>
      </c>
      <c r="AE276" s="68" t="s">
        <v>102</v>
      </c>
      <c r="AF276" s="68"/>
      <c r="AG276" s="68"/>
      <c r="AH276" s="190"/>
      <c r="AI276" s="191"/>
      <c r="AJ276" s="190"/>
      <c r="AK276" s="192"/>
      <c r="AL276" s="190"/>
      <c r="AM276" s="193" t="s">
        <v>202</v>
      </c>
      <c r="AN276" s="194"/>
      <c r="AO276" s="195"/>
      <c r="AP276" s="31"/>
      <c r="AQ276" s="31"/>
      <c r="AR276" s="30"/>
      <c r="AS276" s="31"/>
    </row>
    <row r="277" spans="1:45" ht="30" hidden="1" customHeight="1" x14ac:dyDescent="0.25">
      <c r="A277" s="46">
        <v>2026</v>
      </c>
      <c r="B277" s="66" t="s">
        <v>72</v>
      </c>
      <c r="C277" s="65" t="s">
        <v>721</v>
      </c>
      <c r="D277" s="144" t="s">
        <v>114</v>
      </c>
      <c r="E277" s="141"/>
      <c r="F277" s="65" t="s">
        <v>756</v>
      </c>
      <c r="G277" s="144" t="s">
        <v>121</v>
      </c>
      <c r="H277" s="66" t="s">
        <v>126</v>
      </c>
      <c r="I277" s="74"/>
      <c r="J277" s="144" t="s">
        <v>132</v>
      </c>
      <c r="K277" s="144" t="s">
        <v>3</v>
      </c>
      <c r="L277" s="66" t="s">
        <v>6</v>
      </c>
      <c r="M277" s="65" t="s">
        <v>723</v>
      </c>
      <c r="N277" s="187"/>
      <c r="O277" s="187"/>
      <c r="P277" s="187"/>
      <c r="Q277" s="144" t="s">
        <v>140</v>
      </c>
      <c r="R277" s="89"/>
      <c r="S277" s="89"/>
      <c r="T277" s="65" t="s">
        <v>757</v>
      </c>
      <c r="U277" s="144">
        <v>2026</v>
      </c>
      <c r="V277" s="99">
        <v>46387</v>
      </c>
      <c r="W277" s="89"/>
      <c r="X277" s="99">
        <v>46024</v>
      </c>
      <c r="Y277" s="188">
        <v>99000</v>
      </c>
      <c r="Z277" s="189"/>
      <c r="AA277" s="188">
        <f t="shared" si="31"/>
        <v>99000</v>
      </c>
      <c r="AB277" s="188"/>
      <c r="AC277" s="188">
        <f t="shared" si="32"/>
        <v>99000</v>
      </c>
      <c r="AD277" s="188">
        <f t="shared" si="33"/>
        <v>99000</v>
      </c>
      <c r="AE277" s="68" t="s">
        <v>102</v>
      </c>
      <c r="AF277" s="68"/>
      <c r="AG277" s="68"/>
      <c r="AH277" s="190"/>
      <c r="AI277" s="191"/>
      <c r="AJ277" s="190"/>
      <c r="AK277" s="192"/>
      <c r="AL277" s="190"/>
      <c r="AM277" s="193" t="s">
        <v>202</v>
      </c>
      <c r="AN277" s="194"/>
      <c r="AO277" s="195"/>
      <c r="AP277" s="31"/>
      <c r="AQ277" s="31"/>
      <c r="AR277" s="30"/>
      <c r="AS277" s="31"/>
    </row>
    <row r="278" spans="1:45" ht="30" hidden="1" customHeight="1" x14ac:dyDescent="0.25">
      <c r="A278" s="46">
        <v>2026</v>
      </c>
      <c r="B278" s="66" t="s">
        <v>72</v>
      </c>
      <c r="C278" s="65" t="s">
        <v>721</v>
      </c>
      <c r="D278" s="144" t="s">
        <v>114</v>
      </c>
      <c r="E278" s="141"/>
      <c r="F278" s="65" t="s">
        <v>758</v>
      </c>
      <c r="G278" s="144" t="s">
        <v>121</v>
      </c>
      <c r="H278" s="66" t="s">
        <v>126</v>
      </c>
      <c r="I278" s="74"/>
      <c r="J278" s="144" t="s">
        <v>132</v>
      </c>
      <c r="K278" s="144" t="s">
        <v>3</v>
      </c>
      <c r="L278" s="66" t="s">
        <v>6</v>
      </c>
      <c r="M278" s="65" t="s">
        <v>723</v>
      </c>
      <c r="N278" s="187"/>
      <c r="O278" s="187"/>
      <c r="P278" s="187"/>
      <c r="Q278" s="144" t="s">
        <v>140</v>
      </c>
      <c r="R278" s="89"/>
      <c r="S278" s="89"/>
      <c r="T278" s="65" t="s">
        <v>759</v>
      </c>
      <c r="U278" s="144">
        <v>2026</v>
      </c>
      <c r="V278" s="99">
        <v>46387</v>
      </c>
      <c r="W278" s="89"/>
      <c r="X278" s="99">
        <v>46024</v>
      </c>
      <c r="Y278" s="188">
        <v>146571.35999999999</v>
      </c>
      <c r="Z278" s="189"/>
      <c r="AA278" s="188">
        <f t="shared" si="31"/>
        <v>146571.35999999999</v>
      </c>
      <c r="AB278" s="188"/>
      <c r="AC278" s="188">
        <f t="shared" si="32"/>
        <v>146571.35999999999</v>
      </c>
      <c r="AD278" s="188">
        <f t="shared" si="33"/>
        <v>146571.35999999999</v>
      </c>
      <c r="AE278" s="68" t="s">
        <v>102</v>
      </c>
      <c r="AF278" s="68"/>
      <c r="AG278" s="68"/>
      <c r="AH278" s="190"/>
      <c r="AI278" s="191"/>
      <c r="AJ278" s="190"/>
      <c r="AK278" s="192"/>
      <c r="AL278" s="190"/>
      <c r="AM278" s="193" t="s">
        <v>202</v>
      </c>
      <c r="AN278" s="194"/>
      <c r="AO278" s="195"/>
      <c r="AP278" s="31"/>
      <c r="AQ278" s="31"/>
      <c r="AR278" s="30"/>
      <c r="AS278" s="31"/>
    </row>
    <row r="279" spans="1:45" ht="30" hidden="1" customHeight="1" x14ac:dyDescent="0.25">
      <c r="A279" s="46">
        <v>2026</v>
      </c>
      <c r="B279" s="66" t="s">
        <v>72</v>
      </c>
      <c r="C279" s="65" t="s">
        <v>721</v>
      </c>
      <c r="D279" s="144" t="s">
        <v>114</v>
      </c>
      <c r="E279" s="141"/>
      <c r="F279" s="65" t="s">
        <v>760</v>
      </c>
      <c r="G279" s="144" t="s">
        <v>121</v>
      </c>
      <c r="H279" s="66" t="s">
        <v>126</v>
      </c>
      <c r="I279" s="74"/>
      <c r="J279" s="144" t="s">
        <v>132</v>
      </c>
      <c r="K279" s="144" t="s">
        <v>3</v>
      </c>
      <c r="L279" s="66" t="s">
        <v>6</v>
      </c>
      <c r="M279" s="65" t="s">
        <v>723</v>
      </c>
      <c r="N279" s="187"/>
      <c r="O279" s="187"/>
      <c r="P279" s="187"/>
      <c r="Q279" s="144" t="s">
        <v>140</v>
      </c>
      <c r="R279" s="89"/>
      <c r="S279" s="89"/>
      <c r="T279" s="65" t="s">
        <v>761</v>
      </c>
      <c r="U279" s="144">
        <v>2026</v>
      </c>
      <c r="V279" s="99">
        <v>46387</v>
      </c>
      <c r="W279" s="89"/>
      <c r="X279" s="99">
        <v>46024</v>
      </c>
      <c r="Y279" s="188">
        <v>12000</v>
      </c>
      <c r="Z279" s="189"/>
      <c r="AA279" s="188">
        <f t="shared" si="31"/>
        <v>12000</v>
      </c>
      <c r="AB279" s="188"/>
      <c r="AC279" s="188">
        <f t="shared" si="32"/>
        <v>12000</v>
      </c>
      <c r="AD279" s="188">
        <f t="shared" si="33"/>
        <v>12000</v>
      </c>
      <c r="AE279" s="68" t="s">
        <v>102</v>
      </c>
      <c r="AF279" s="68"/>
      <c r="AG279" s="68"/>
      <c r="AH279" s="190"/>
      <c r="AI279" s="191"/>
      <c r="AJ279" s="190"/>
      <c r="AK279" s="192"/>
      <c r="AL279" s="190"/>
      <c r="AM279" s="193" t="s">
        <v>202</v>
      </c>
      <c r="AN279" s="194"/>
      <c r="AO279" s="195"/>
      <c r="AP279" s="31"/>
      <c r="AQ279" s="31"/>
      <c r="AR279" s="30"/>
      <c r="AS279" s="31"/>
    </row>
    <row r="280" spans="1:45" ht="30" hidden="1" customHeight="1" x14ac:dyDescent="0.25">
      <c r="A280" s="46">
        <v>2026</v>
      </c>
      <c r="B280" s="66" t="s">
        <v>72</v>
      </c>
      <c r="C280" s="65" t="s">
        <v>721</v>
      </c>
      <c r="D280" s="144" t="s">
        <v>114</v>
      </c>
      <c r="E280" s="141"/>
      <c r="F280" s="65" t="s">
        <v>762</v>
      </c>
      <c r="G280" s="144" t="s">
        <v>121</v>
      </c>
      <c r="H280" s="66" t="s">
        <v>126</v>
      </c>
      <c r="I280" s="74"/>
      <c r="J280" s="144" t="s">
        <v>132</v>
      </c>
      <c r="K280" s="144" t="s">
        <v>3</v>
      </c>
      <c r="L280" s="66" t="s">
        <v>6</v>
      </c>
      <c r="M280" s="65" t="s">
        <v>723</v>
      </c>
      <c r="N280" s="187"/>
      <c r="O280" s="187"/>
      <c r="P280" s="187"/>
      <c r="Q280" s="144" t="s">
        <v>140</v>
      </c>
      <c r="R280" s="89"/>
      <c r="S280" s="89"/>
      <c r="T280" s="65" t="s">
        <v>763</v>
      </c>
      <c r="U280" s="144">
        <v>2026</v>
      </c>
      <c r="V280" s="99">
        <v>46387</v>
      </c>
      <c r="W280" s="89"/>
      <c r="X280" s="99">
        <v>46024</v>
      </c>
      <c r="Y280" s="188">
        <v>185280</v>
      </c>
      <c r="Z280" s="189"/>
      <c r="AA280" s="188">
        <f t="shared" si="31"/>
        <v>185280</v>
      </c>
      <c r="AB280" s="188"/>
      <c r="AC280" s="188">
        <f t="shared" si="32"/>
        <v>185280</v>
      </c>
      <c r="AD280" s="188">
        <f t="shared" si="33"/>
        <v>185280</v>
      </c>
      <c r="AE280" s="68" t="s">
        <v>102</v>
      </c>
      <c r="AF280" s="68"/>
      <c r="AG280" s="68"/>
      <c r="AH280" s="190"/>
      <c r="AI280" s="191"/>
      <c r="AJ280" s="190"/>
      <c r="AK280" s="192"/>
      <c r="AL280" s="190"/>
      <c r="AM280" s="193" t="s">
        <v>202</v>
      </c>
      <c r="AN280" s="194"/>
      <c r="AO280" s="195"/>
      <c r="AP280" s="31"/>
      <c r="AQ280" s="31"/>
      <c r="AR280" s="30"/>
      <c r="AS280" s="31"/>
    </row>
    <row r="281" spans="1:45" ht="30" hidden="1" customHeight="1" x14ac:dyDescent="0.25">
      <c r="A281" s="46">
        <v>2026</v>
      </c>
      <c r="B281" s="66" t="s">
        <v>72</v>
      </c>
      <c r="C281" s="65" t="s">
        <v>721</v>
      </c>
      <c r="D281" s="144" t="s">
        <v>114</v>
      </c>
      <c r="E281" s="141"/>
      <c r="F281" s="65" t="s">
        <v>764</v>
      </c>
      <c r="G281" s="144" t="s">
        <v>121</v>
      </c>
      <c r="H281" s="66" t="s">
        <v>126</v>
      </c>
      <c r="I281" s="74"/>
      <c r="J281" s="144" t="s">
        <v>132</v>
      </c>
      <c r="K281" s="144" t="s">
        <v>3</v>
      </c>
      <c r="L281" s="66" t="s">
        <v>6</v>
      </c>
      <c r="M281" s="65" t="s">
        <v>723</v>
      </c>
      <c r="N281" s="187"/>
      <c r="O281" s="187"/>
      <c r="P281" s="187"/>
      <c r="Q281" s="144" t="s">
        <v>140</v>
      </c>
      <c r="R281" s="89"/>
      <c r="S281" s="89"/>
      <c r="T281" s="65" t="s">
        <v>765</v>
      </c>
      <c r="U281" s="144">
        <v>2026</v>
      </c>
      <c r="V281" s="99">
        <v>46387</v>
      </c>
      <c r="W281" s="89"/>
      <c r="X281" s="99">
        <v>46024</v>
      </c>
      <c r="Y281" s="188">
        <v>138000</v>
      </c>
      <c r="Z281" s="189"/>
      <c r="AA281" s="188">
        <f t="shared" si="31"/>
        <v>138000</v>
      </c>
      <c r="AB281" s="188"/>
      <c r="AC281" s="188">
        <f t="shared" si="32"/>
        <v>138000</v>
      </c>
      <c r="AD281" s="188">
        <f t="shared" si="33"/>
        <v>138000</v>
      </c>
      <c r="AE281" s="68" t="s">
        <v>102</v>
      </c>
      <c r="AF281" s="68"/>
      <c r="AG281" s="68"/>
      <c r="AH281" s="190"/>
      <c r="AI281" s="191"/>
      <c r="AJ281" s="190"/>
      <c r="AK281" s="192"/>
      <c r="AL281" s="190"/>
      <c r="AM281" s="193" t="s">
        <v>202</v>
      </c>
      <c r="AN281" s="194"/>
      <c r="AO281" s="195"/>
      <c r="AP281" s="31"/>
      <c r="AQ281" s="31"/>
      <c r="AR281" s="30"/>
      <c r="AS281" s="31"/>
    </row>
    <row r="282" spans="1:45" ht="30" hidden="1" customHeight="1" x14ac:dyDescent="0.25">
      <c r="A282" s="46">
        <v>2026</v>
      </c>
      <c r="B282" s="66" t="s">
        <v>72</v>
      </c>
      <c r="C282" s="65" t="s">
        <v>721</v>
      </c>
      <c r="D282" s="144" t="s">
        <v>114</v>
      </c>
      <c r="E282" s="141"/>
      <c r="F282" s="65" t="s">
        <v>766</v>
      </c>
      <c r="G282" s="144" t="s">
        <v>121</v>
      </c>
      <c r="H282" s="66" t="s">
        <v>126</v>
      </c>
      <c r="I282" s="74"/>
      <c r="J282" s="144" t="s">
        <v>132</v>
      </c>
      <c r="K282" s="144" t="s">
        <v>3</v>
      </c>
      <c r="L282" s="66" t="s">
        <v>6</v>
      </c>
      <c r="M282" s="65" t="s">
        <v>723</v>
      </c>
      <c r="N282" s="187"/>
      <c r="O282" s="187"/>
      <c r="P282" s="187"/>
      <c r="Q282" s="144" t="s">
        <v>140</v>
      </c>
      <c r="R282" s="89"/>
      <c r="S282" s="89"/>
      <c r="T282" s="65" t="s">
        <v>767</v>
      </c>
      <c r="U282" s="144">
        <v>2026</v>
      </c>
      <c r="V282" s="99">
        <v>46387</v>
      </c>
      <c r="W282" s="89"/>
      <c r="X282" s="99">
        <v>46024</v>
      </c>
      <c r="Y282" s="188">
        <v>60000</v>
      </c>
      <c r="Z282" s="189"/>
      <c r="AA282" s="188">
        <f t="shared" si="31"/>
        <v>60000</v>
      </c>
      <c r="AB282" s="188"/>
      <c r="AC282" s="188">
        <f t="shared" si="32"/>
        <v>60000</v>
      </c>
      <c r="AD282" s="188">
        <f t="shared" si="33"/>
        <v>60000</v>
      </c>
      <c r="AE282" s="68" t="s">
        <v>102</v>
      </c>
      <c r="AF282" s="68"/>
      <c r="AG282" s="68"/>
      <c r="AH282" s="190"/>
      <c r="AI282" s="191"/>
      <c r="AJ282" s="190"/>
      <c r="AK282" s="192"/>
      <c r="AL282" s="190"/>
      <c r="AM282" s="193" t="s">
        <v>202</v>
      </c>
      <c r="AN282" s="194"/>
      <c r="AO282" s="195"/>
      <c r="AP282" s="31"/>
      <c r="AQ282" s="31"/>
      <c r="AR282" s="30"/>
      <c r="AS282" s="31"/>
    </row>
    <row r="283" spans="1:45" ht="30" hidden="1" customHeight="1" x14ac:dyDescent="0.25">
      <c r="A283" s="46">
        <v>2026</v>
      </c>
      <c r="B283" s="66" t="s">
        <v>72</v>
      </c>
      <c r="C283" s="65" t="s">
        <v>721</v>
      </c>
      <c r="D283" s="144" t="s">
        <v>114</v>
      </c>
      <c r="E283" s="141"/>
      <c r="F283" s="65" t="s">
        <v>768</v>
      </c>
      <c r="G283" s="144" t="s">
        <v>121</v>
      </c>
      <c r="H283" s="66" t="s">
        <v>126</v>
      </c>
      <c r="I283" s="74"/>
      <c r="J283" s="144" t="s">
        <v>132</v>
      </c>
      <c r="K283" s="144" t="s">
        <v>3</v>
      </c>
      <c r="L283" s="66" t="s">
        <v>6</v>
      </c>
      <c r="M283" s="65" t="s">
        <v>723</v>
      </c>
      <c r="N283" s="187"/>
      <c r="O283" s="187"/>
      <c r="P283" s="187"/>
      <c r="Q283" s="144" t="s">
        <v>140</v>
      </c>
      <c r="R283" s="89"/>
      <c r="S283" s="89"/>
      <c r="T283" s="65" t="s">
        <v>769</v>
      </c>
      <c r="U283" s="144">
        <v>2026</v>
      </c>
      <c r="V283" s="99">
        <v>46387</v>
      </c>
      <c r="W283" s="89"/>
      <c r="X283" s="99">
        <v>46024</v>
      </c>
      <c r="Y283" s="188">
        <v>54000</v>
      </c>
      <c r="Z283" s="189"/>
      <c r="AA283" s="188">
        <f t="shared" si="31"/>
        <v>54000</v>
      </c>
      <c r="AB283" s="188"/>
      <c r="AC283" s="188">
        <f t="shared" si="32"/>
        <v>54000</v>
      </c>
      <c r="AD283" s="188">
        <f t="shared" si="33"/>
        <v>54000</v>
      </c>
      <c r="AE283" s="68" t="s">
        <v>102</v>
      </c>
      <c r="AF283" s="68"/>
      <c r="AG283" s="68"/>
      <c r="AH283" s="190"/>
      <c r="AI283" s="191"/>
      <c r="AJ283" s="190"/>
      <c r="AK283" s="192"/>
      <c r="AL283" s="190"/>
      <c r="AM283" s="193" t="s">
        <v>202</v>
      </c>
      <c r="AN283" s="194"/>
      <c r="AO283" s="195"/>
      <c r="AP283" s="31"/>
      <c r="AQ283" s="31"/>
      <c r="AR283" s="30"/>
      <c r="AS283" s="31"/>
    </row>
    <row r="284" spans="1:45" ht="30" hidden="1" customHeight="1" x14ac:dyDescent="0.25">
      <c r="A284" s="46">
        <v>2026</v>
      </c>
      <c r="B284" s="66" t="s">
        <v>72</v>
      </c>
      <c r="C284" s="65" t="s">
        <v>721</v>
      </c>
      <c r="D284" s="144" t="s">
        <v>114</v>
      </c>
      <c r="E284" s="141"/>
      <c r="F284" s="65" t="s">
        <v>770</v>
      </c>
      <c r="G284" s="144" t="s">
        <v>121</v>
      </c>
      <c r="H284" s="66" t="s">
        <v>126</v>
      </c>
      <c r="I284" s="74"/>
      <c r="J284" s="144" t="s">
        <v>132</v>
      </c>
      <c r="K284" s="144" t="s">
        <v>3</v>
      </c>
      <c r="L284" s="66" t="s">
        <v>6</v>
      </c>
      <c r="M284" s="65" t="s">
        <v>723</v>
      </c>
      <c r="N284" s="187"/>
      <c r="O284" s="187"/>
      <c r="P284" s="187"/>
      <c r="Q284" s="144" t="s">
        <v>140</v>
      </c>
      <c r="R284" s="89"/>
      <c r="S284" s="89"/>
      <c r="T284" s="65" t="s">
        <v>771</v>
      </c>
      <c r="U284" s="144">
        <v>2026</v>
      </c>
      <c r="V284" s="99">
        <v>46387</v>
      </c>
      <c r="W284" s="89"/>
      <c r="X284" s="99">
        <v>46024</v>
      </c>
      <c r="Y284" s="188">
        <v>60000</v>
      </c>
      <c r="Z284" s="189"/>
      <c r="AA284" s="188">
        <f t="shared" si="31"/>
        <v>60000</v>
      </c>
      <c r="AB284" s="188"/>
      <c r="AC284" s="188">
        <f t="shared" si="32"/>
        <v>60000</v>
      </c>
      <c r="AD284" s="188">
        <f t="shared" si="33"/>
        <v>60000</v>
      </c>
      <c r="AE284" s="68" t="s">
        <v>102</v>
      </c>
      <c r="AF284" s="68"/>
      <c r="AG284" s="68"/>
      <c r="AH284" s="190"/>
      <c r="AI284" s="191"/>
      <c r="AJ284" s="190"/>
      <c r="AK284" s="192"/>
      <c r="AL284" s="190"/>
      <c r="AM284" s="193" t="s">
        <v>202</v>
      </c>
      <c r="AN284" s="194"/>
      <c r="AO284" s="195"/>
      <c r="AP284" s="31"/>
      <c r="AQ284" s="31"/>
      <c r="AR284" s="30"/>
      <c r="AS284" s="31"/>
    </row>
    <row r="285" spans="1:45" ht="30" hidden="1" customHeight="1" x14ac:dyDescent="0.25">
      <c r="A285" s="46">
        <v>2026</v>
      </c>
      <c r="B285" s="66" t="s">
        <v>72</v>
      </c>
      <c r="C285" s="65" t="s">
        <v>721</v>
      </c>
      <c r="D285" s="144" t="s">
        <v>114</v>
      </c>
      <c r="E285" s="141"/>
      <c r="F285" s="65" t="s">
        <v>772</v>
      </c>
      <c r="G285" s="144" t="s">
        <v>121</v>
      </c>
      <c r="H285" s="66" t="s">
        <v>126</v>
      </c>
      <c r="I285" s="74"/>
      <c r="J285" s="144" t="s">
        <v>132</v>
      </c>
      <c r="K285" s="144" t="s">
        <v>3</v>
      </c>
      <c r="L285" s="66" t="s">
        <v>6</v>
      </c>
      <c r="M285" s="65" t="s">
        <v>723</v>
      </c>
      <c r="N285" s="187"/>
      <c r="O285" s="187"/>
      <c r="P285" s="187"/>
      <c r="Q285" s="144" t="s">
        <v>140</v>
      </c>
      <c r="R285" s="89"/>
      <c r="S285" s="89"/>
      <c r="T285" s="65" t="s">
        <v>773</v>
      </c>
      <c r="U285" s="144">
        <v>2026</v>
      </c>
      <c r="V285" s="99">
        <v>46387</v>
      </c>
      <c r="W285" s="89"/>
      <c r="X285" s="99">
        <v>46024</v>
      </c>
      <c r="Y285" s="188">
        <v>100000</v>
      </c>
      <c r="Z285" s="189"/>
      <c r="AA285" s="188">
        <f t="shared" si="31"/>
        <v>100000</v>
      </c>
      <c r="AB285" s="188"/>
      <c r="AC285" s="188">
        <f t="shared" si="32"/>
        <v>100000</v>
      </c>
      <c r="AD285" s="188">
        <f t="shared" si="33"/>
        <v>100000</v>
      </c>
      <c r="AE285" s="68" t="s">
        <v>102</v>
      </c>
      <c r="AF285" s="68"/>
      <c r="AG285" s="68"/>
      <c r="AH285" s="190"/>
      <c r="AI285" s="191"/>
      <c r="AJ285" s="190"/>
      <c r="AK285" s="192"/>
      <c r="AL285" s="190"/>
      <c r="AM285" s="193" t="s">
        <v>202</v>
      </c>
      <c r="AN285" s="194"/>
      <c r="AO285" s="195"/>
      <c r="AP285" s="31"/>
      <c r="AQ285" s="31"/>
      <c r="AR285" s="30"/>
      <c r="AS285" s="31"/>
    </row>
    <row r="286" spans="1:45" ht="30" hidden="1" customHeight="1" x14ac:dyDescent="0.25">
      <c r="A286" s="46">
        <v>2026</v>
      </c>
      <c r="B286" s="66" t="s">
        <v>72</v>
      </c>
      <c r="C286" s="65" t="s">
        <v>721</v>
      </c>
      <c r="D286" s="144" t="s">
        <v>114</v>
      </c>
      <c r="E286" s="141"/>
      <c r="F286" s="65" t="s">
        <v>774</v>
      </c>
      <c r="G286" s="144" t="s">
        <v>121</v>
      </c>
      <c r="H286" s="66" t="s">
        <v>126</v>
      </c>
      <c r="I286" s="74"/>
      <c r="J286" s="144" t="s">
        <v>132</v>
      </c>
      <c r="K286" s="144" t="s">
        <v>3</v>
      </c>
      <c r="L286" s="66" t="s">
        <v>6</v>
      </c>
      <c r="M286" s="65" t="s">
        <v>723</v>
      </c>
      <c r="N286" s="187"/>
      <c r="O286" s="187"/>
      <c r="P286" s="187"/>
      <c r="Q286" s="144" t="s">
        <v>140</v>
      </c>
      <c r="R286" s="89"/>
      <c r="S286" s="89"/>
      <c r="T286" s="65" t="s">
        <v>775</v>
      </c>
      <c r="U286" s="144">
        <v>2026</v>
      </c>
      <c r="V286" s="99">
        <v>46387</v>
      </c>
      <c r="W286" s="89"/>
      <c r="X286" s="99">
        <v>46024</v>
      </c>
      <c r="Y286" s="188">
        <v>26000</v>
      </c>
      <c r="Z286" s="189"/>
      <c r="AA286" s="188">
        <f t="shared" si="31"/>
        <v>26000</v>
      </c>
      <c r="AB286" s="188"/>
      <c r="AC286" s="188">
        <f t="shared" si="32"/>
        <v>26000</v>
      </c>
      <c r="AD286" s="188">
        <f t="shared" si="33"/>
        <v>26000</v>
      </c>
      <c r="AE286" s="68" t="s">
        <v>102</v>
      </c>
      <c r="AF286" s="68"/>
      <c r="AG286" s="68"/>
      <c r="AH286" s="190"/>
      <c r="AI286" s="191"/>
      <c r="AJ286" s="190"/>
      <c r="AK286" s="192"/>
      <c r="AL286" s="190"/>
      <c r="AM286" s="193" t="s">
        <v>202</v>
      </c>
      <c r="AN286" s="194"/>
      <c r="AO286" s="195"/>
      <c r="AP286" s="31"/>
      <c r="AQ286" s="31"/>
      <c r="AR286" s="30"/>
      <c r="AS286" s="31"/>
    </row>
    <row r="287" spans="1:45" ht="30" hidden="1" customHeight="1" x14ac:dyDescent="0.25">
      <c r="A287" s="46">
        <v>2026</v>
      </c>
      <c r="B287" s="66" t="s">
        <v>72</v>
      </c>
      <c r="C287" s="65" t="s">
        <v>721</v>
      </c>
      <c r="D287" s="144" t="s">
        <v>114</v>
      </c>
      <c r="E287" s="141"/>
      <c r="F287" s="65" t="s">
        <v>776</v>
      </c>
      <c r="G287" s="144" t="s">
        <v>121</v>
      </c>
      <c r="H287" s="66" t="s">
        <v>126</v>
      </c>
      <c r="I287" s="74"/>
      <c r="J287" s="144" t="s">
        <v>132</v>
      </c>
      <c r="K287" s="144" t="s">
        <v>3</v>
      </c>
      <c r="L287" s="66" t="s">
        <v>6</v>
      </c>
      <c r="M287" s="65" t="s">
        <v>723</v>
      </c>
      <c r="N287" s="187"/>
      <c r="O287" s="187"/>
      <c r="P287" s="187"/>
      <c r="Q287" s="144" t="s">
        <v>140</v>
      </c>
      <c r="R287" s="89"/>
      <c r="S287" s="89"/>
      <c r="T287" s="65" t="s">
        <v>777</v>
      </c>
      <c r="U287" s="144">
        <v>2026</v>
      </c>
      <c r="V287" s="99">
        <v>46387</v>
      </c>
      <c r="W287" s="89"/>
      <c r="X287" s="99">
        <v>46024</v>
      </c>
      <c r="Y287" s="188">
        <v>72000</v>
      </c>
      <c r="Z287" s="189"/>
      <c r="AA287" s="188">
        <f t="shared" si="31"/>
        <v>72000</v>
      </c>
      <c r="AB287" s="188"/>
      <c r="AC287" s="188">
        <f t="shared" si="32"/>
        <v>72000</v>
      </c>
      <c r="AD287" s="188">
        <f t="shared" si="33"/>
        <v>72000</v>
      </c>
      <c r="AE287" s="68" t="s">
        <v>102</v>
      </c>
      <c r="AF287" s="68"/>
      <c r="AG287" s="68"/>
      <c r="AH287" s="190"/>
      <c r="AI287" s="191"/>
      <c r="AJ287" s="190"/>
      <c r="AK287" s="192"/>
      <c r="AL287" s="190"/>
      <c r="AM287" s="193" t="s">
        <v>202</v>
      </c>
      <c r="AN287" s="194"/>
      <c r="AO287" s="195"/>
      <c r="AP287" s="31"/>
      <c r="AQ287" s="31"/>
      <c r="AR287" s="30"/>
      <c r="AS287" s="31"/>
    </row>
    <row r="288" spans="1:45" ht="30" hidden="1" customHeight="1" x14ac:dyDescent="0.25">
      <c r="A288" s="46">
        <v>2026</v>
      </c>
      <c r="B288" s="66" t="s">
        <v>72</v>
      </c>
      <c r="C288" s="65" t="s">
        <v>721</v>
      </c>
      <c r="D288" s="144" t="s">
        <v>114</v>
      </c>
      <c r="E288" s="141"/>
      <c r="F288" s="65" t="s">
        <v>778</v>
      </c>
      <c r="G288" s="144" t="s">
        <v>121</v>
      </c>
      <c r="H288" s="66" t="s">
        <v>126</v>
      </c>
      <c r="I288" s="74"/>
      <c r="J288" s="144" t="s">
        <v>132</v>
      </c>
      <c r="K288" s="144" t="s">
        <v>3</v>
      </c>
      <c r="L288" s="66" t="s">
        <v>6</v>
      </c>
      <c r="M288" s="65" t="s">
        <v>723</v>
      </c>
      <c r="N288" s="187"/>
      <c r="O288" s="187"/>
      <c r="P288" s="187"/>
      <c r="Q288" s="144" t="s">
        <v>140</v>
      </c>
      <c r="R288" s="89"/>
      <c r="S288" s="89"/>
      <c r="T288" s="65" t="s">
        <v>779</v>
      </c>
      <c r="U288" s="144">
        <v>2026</v>
      </c>
      <c r="V288" s="99">
        <v>46387</v>
      </c>
      <c r="W288" s="89"/>
      <c r="X288" s="99">
        <v>46024</v>
      </c>
      <c r="Y288" s="188">
        <v>208000</v>
      </c>
      <c r="Z288" s="189"/>
      <c r="AA288" s="188">
        <f t="shared" si="31"/>
        <v>208000</v>
      </c>
      <c r="AB288" s="188"/>
      <c r="AC288" s="188">
        <f t="shared" si="32"/>
        <v>208000</v>
      </c>
      <c r="AD288" s="188">
        <f t="shared" si="33"/>
        <v>208000</v>
      </c>
      <c r="AE288" s="68" t="s">
        <v>102</v>
      </c>
      <c r="AF288" s="68"/>
      <c r="AG288" s="68"/>
      <c r="AH288" s="190"/>
      <c r="AI288" s="191"/>
      <c r="AJ288" s="190"/>
      <c r="AK288" s="192"/>
      <c r="AL288" s="190"/>
      <c r="AM288" s="193" t="s">
        <v>202</v>
      </c>
      <c r="AN288" s="194"/>
      <c r="AO288" s="195"/>
      <c r="AP288" s="31"/>
      <c r="AQ288" s="31"/>
      <c r="AR288" s="30"/>
      <c r="AS288" s="31"/>
    </row>
    <row r="289" spans="1:45" ht="30" hidden="1" customHeight="1" x14ac:dyDescent="0.25">
      <c r="A289" s="46">
        <v>2026</v>
      </c>
      <c r="B289" s="66" t="s">
        <v>72</v>
      </c>
      <c r="C289" s="65" t="s">
        <v>721</v>
      </c>
      <c r="D289" s="144" t="s">
        <v>114</v>
      </c>
      <c r="E289" s="141"/>
      <c r="F289" s="65" t="s">
        <v>780</v>
      </c>
      <c r="G289" s="144" t="s">
        <v>121</v>
      </c>
      <c r="H289" s="66" t="s">
        <v>126</v>
      </c>
      <c r="I289" s="74"/>
      <c r="J289" s="144" t="s">
        <v>132</v>
      </c>
      <c r="K289" s="144" t="s">
        <v>3</v>
      </c>
      <c r="L289" s="66" t="s">
        <v>6</v>
      </c>
      <c r="M289" s="65" t="s">
        <v>723</v>
      </c>
      <c r="N289" s="187"/>
      <c r="O289" s="187"/>
      <c r="P289" s="187"/>
      <c r="Q289" s="144" t="s">
        <v>140</v>
      </c>
      <c r="R289" s="89"/>
      <c r="S289" s="89"/>
      <c r="T289" s="65" t="s">
        <v>781</v>
      </c>
      <c r="U289" s="144">
        <v>2026</v>
      </c>
      <c r="V289" s="99">
        <v>46387</v>
      </c>
      <c r="W289" s="89"/>
      <c r="X289" s="99">
        <v>46024</v>
      </c>
      <c r="Y289" s="188">
        <v>130000</v>
      </c>
      <c r="Z289" s="189"/>
      <c r="AA289" s="188">
        <f t="shared" si="31"/>
        <v>130000</v>
      </c>
      <c r="AB289" s="188"/>
      <c r="AC289" s="188">
        <f t="shared" si="32"/>
        <v>130000</v>
      </c>
      <c r="AD289" s="188">
        <f t="shared" si="33"/>
        <v>130000</v>
      </c>
      <c r="AE289" s="68" t="s">
        <v>102</v>
      </c>
      <c r="AF289" s="68"/>
      <c r="AG289" s="68"/>
      <c r="AH289" s="190"/>
      <c r="AI289" s="191"/>
      <c r="AJ289" s="190"/>
      <c r="AK289" s="192"/>
      <c r="AL289" s="190"/>
      <c r="AM289" s="193" t="s">
        <v>202</v>
      </c>
      <c r="AN289" s="194"/>
      <c r="AO289" s="195"/>
      <c r="AP289" s="31"/>
      <c r="AQ289" s="31"/>
      <c r="AR289" s="30"/>
      <c r="AS289" s="31"/>
    </row>
    <row r="290" spans="1:45" ht="30" hidden="1" customHeight="1" x14ac:dyDescent="0.25">
      <c r="A290" s="46">
        <v>2026</v>
      </c>
      <c r="B290" s="66" t="s">
        <v>72</v>
      </c>
      <c r="C290" s="65" t="s">
        <v>721</v>
      </c>
      <c r="D290" s="144" t="s">
        <v>114</v>
      </c>
      <c r="E290" s="141"/>
      <c r="F290" s="65" t="s">
        <v>782</v>
      </c>
      <c r="G290" s="144" t="s">
        <v>121</v>
      </c>
      <c r="H290" s="66" t="s">
        <v>126</v>
      </c>
      <c r="I290" s="74"/>
      <c r="J290" s="144" t="s">
        <v>132</v>
      </c>
      <c r="K290" s="144" t="s">
        <v>3</v>
      </c>
      <c r="L290" s="66" t="s">
        <v>6</v>
      </c>
      <c r="M290" s="65" t="s">
        <v>723</v>
      </c>
      <c r="N290" s="187"/>
      <c r="O290" s="187"/>
      <c r="P290" s="187"/>
      <c r="Q290" s="144" t="s">
        <v>140</v>
      </c>
      <c r="R290" s="89"/>
      <c r="S290" s="89"/>
      <c r="T290" s="65" t="s">
        <v>783</v>
      </c>
      <c r="U290" s="144">
        <v>2026</v>
      </c>
      <c r="V290" s="99">
        <v>46387</v>
      </c>
      <c r="W290" s="89"/>
      <c r="X290" s="99">
        <v>46024</v>
      </c>
      <c r="Y290" s="188">
        <v>208000</v>
      </c>
      <c r="Z290" s="189"/>
      <c r="AA290" s="188">
        <f t="shared" si="31"/>
        <v>208000</v>
      </c>
      <c r="AB290" s="188"/>
      <c r="AC290" s="188">
        <f t="shared" si="32"/>
        <v>208000</v>
      </c>
      <c r="AD290" s="188">
        <f t="shared" si="33"/>
        <v>208000</v>
      </c>
      <c r="AE290" s="68" t="s">
        <v>102</v>
      </c>
      <c r="AF290" s="68"/>
      <c r="AG290" s="68"/>
      <c r="AH290" s="190"/>
      <c r="AI290" s="191"/>
      <c r="AJ290" s="190"/>
      <c r="AK290" s="192"/>
      <c r="AL290" s="190"/>
      <c r="AM290" s="193" t="s">
        <v>202</v>
      </c>
      <c r="AN290" s="194"/>
      <c r="AO290" s="195"/>
      <c r="AP290" s="31"/>
      <c r="AQ290" s="31"/>
      <c r="AR290" s="30"/>
      <c r="AS290" s="31"/>
    </row>
    <row r="291" spans="1:45" ht="30" hidden="1" customHeight="1" x14ac:dyDescent="0.25">
      <c r="A291" s="46">
        <v>2026</v>
      </c>
      <c r="B291" s="66" t="s">
        <v>72</v>
      </c>
      <c r="C291" s="65" t="s">
        <v>721</v>
      </c>
      <c r="D291" s="144" t="s">
        <v>114</v>
      </c>
      <c r="E291" s="141"/>
      <c r="F291" s="65" t="s">
        <v>784</v>
      </c>
      <c r="G291" s="144" t="s">
        <v>121</v>
      </c>
      <c r="H291" s="66" t="s">
        <v>126</v>
      </c>
      <c r="I291" s="74"/>
      <c r="J291" s="144" t="s">
        <v>132</v>
      </c>
      <c r="K291" s="144" t="s">
        <v>3</v>
      </c>
      <c r="L291" s="66" t="s">
        <v>6</v>
      </c>
      <c r="M291" s="65" t="s">
        <v>723</v>
      </c>
      <c r="N291" s="187"/>
      <c r="O291" s="187"/>
      <c r="P291" s="187"/>
      <c r="Q291" s="144" t="s">
        <v>140</v>
      </c>
      <c r="R291" s="89"/>
      <c r="S291" s="89"/>
      <c r="T291" s="65" t="s">
        <v>785</v>
      </c>
      <c r="U291" s="144">
        <v>2026</v>
      </c>
      <c r="V291" s="99">
        <v>46387</v>
      </c>
      <c r="W291" s="89"/>
      <c r="X291" s="99">
        <v>46024</v>
      </c>
      <c r="Y291" s="188">
        <v>148200</v>
      </c>
      <c r="Z291" s="189"/>
      <c r="AA291" s="188">
        <f t="shared" si="31"/>
        <v>148200</v>
      </c>
      <c r="AB291" s="188"/>
      <c r="AC291" s="188">
        <f t="shared" si="32"/>
        <v>148200</v>
      </c>
      <c r="AD291" s="188">
        <f t="shared" si="33"/>
        <v>148200</v>
      </c>
      <c r="AE291" s="68" t="s">
        <v>102</v>
      </c>
      <c r="AF291" s="68"/>
      <c r="AG291" s="68"/>
      <c r="AH291" s="190"/>
      <c r="AI291" s="191"/>
      <c r="AJ291" s="190"/>
      <c r="AK291" s="192"/>
      <c r="AL291" s="190"/>
      <c r="AM291" s="193" t="s">
        <v>202</v>
      </c>
      <c r="AN291" s="194"/>
      <c r="AO291" s="195"/>
      <c r="AP291" s="31"/>
      <c r="AQ291" s="31"/>
      <c r="AR291" s="30"/>
      <c r="AS291" s="31"/>
    </row>
    <row r="292" spans="1:45" ht="30" hidden="1" customHeight="1" x14ac:dyDescent="0.25">
      <c r="A292" s="46">
        <v>2026</v>
      </c>
      <c r="B292" s="66" t="s">
        <v>72</v>
      </c>
      <c r="C292" s="65" t="s">
        <v>721</v>
      </c>
      <c r="D292" s="144" t="s">
        <v>114</v>
      </c>
      <c r="E292" s="141"/>
      <c r="F292" s="65" t="s">
        <v>786</v>
      </c>
      <c r="G292" s="144" t="s">
        <v>121</v>
      </c>
      <c r="H292" s="66" t="s">
        <v>126</v>
      </c>
      <c r="I292" s="74"/>
      <c r="J292" s="144" t="s">
        <v>132</v>
      </c>
      <c r="K292" s="144" t="s">
        <v>3</v>
      </c>
      <c r="L292" s="66" t="s">
        <v>6</v>
      </c>
      <c r="M292" s="65" t="s">
        <v>723</v>
      </c>
      <c r="N292" s="187"/>
      <c r="O292" s="187"/>
      <c r="P292" s="187"/>
      <c r="Q292" s="144" t="s">
        <v>140</v>
      </c>
      <c r="R292" s="89"/>
      <c r="S292" s="89"/>
      <c r="T292" s="65" t="s">
        <v>787</v>
      </c>
      <c r="U292" s="144">
        <v>2026</v>
      </c>
      <c r="V292" s="99">
        <v>46387</v>
      </c>
      <c r="W292" s="89"/>
      <c r="X292" s="99">
        <v>46024</v>
      </c>
      <c r="Y292" s="188">
        <v>85800</v>
      </c>
      <c r="Z292" s="189"/>
      <c r="AA292" s="188">
        <f t="shared" si="31"/>
        <v>85800</v>
      </c>
      <c r="AB292" s="188"/>
      <c r="AC292" s="188">
        <f t="shared" si="32"/>
        <v>85800</v>
      </c>
      <c r="AD292" s="188">
        <f t="shared" si="33"/>
        <v>85800</v>
      </c>
      <c r="AE292" s="68" t="s">
        <v>102</v>
      </c>
      <c r="AF292" s="68"/>
      <c r="AG292" s="68"/>
      <c r="AH292" s="190"/>
      <c r="AI292" s="191"/>
      <c r="AJ292" s="190"/>
      <c r="AK292" s="192"/>
      <c r="AL292" s="190"/>
      <c r="AM292" s="193" t="s">
        <v>202</v>
      </c>
      <c r="AN292" s="194"/>
      <c r="AO292" s="195"/>
      <c r="AP292" s="31"/>
      <c r="AQ292" s="31"/>
      <c r="AR292" s="30"/>
      <c r="AS292" s="31"/>
    </row>
    <row r="293" spans="1:45" ht="30" hidden="1" customHeight="1" x14ac:dyDescent="0.25">
      <c r="A293" s="46">
        <v>2026</v>
      </c>
      <c r="B293" s="66" t="s">
        <v>72</v>
      </c>
      <c r="C293" s="65" t="s">
        <v>721</v>
      </c>
      <c r="D293" s="144" t="s">
        <v>114</v>
      </c>
      <c r="E293" s="141"/>
      <c r="F293" s="65" t="s">
        <v>788</v>
      </c>
      <c r="G293" s="144" t="s">
        <v>121</v>
      </c>
      <c r="H293" s="66" t="s">
        <v>126</v>
      </c>
      <c r="I293" s="74"/>
      <c r="J293" s="144" t="s">
        <v>132</v>
      </c>
      <c r="K293" s="144" t="s">
        <v>3</v>
      </c>
      <c r="L293" s="66" t="s">
        <v>6</v>
      </c>
      <c r="M293" s="65" t="s">
        <v>723</v>
      </c>
      <c r="N293" s="187"/>
      <c r="O293" s="187"/>
      <c r="P293" s="187"/>
      <c r="Q293" s="144" t="s">
        <v>140</v>
      </c>
      <c r="R293" s="89"/>
      <c r="S293" s="89"/>
      <c r="T293" s="65" t="s">
        <v>789</v>
      </c>
      <c r="U293" s="144">
        <v>2026</v>
      </c>
      <c r="V293" s="99">
        <v>46387</v>
      </c>
      <c r="W293" s="89"/>
      <c r="X293" s="99">
        <v>46024</v>
      </c>
      <c r="Y293" s="188">
        <v>72000</v>
      </c>
      <c r="Z293" s="189"/>
      <c r="AA293" s="188">
        <f t="shared" si="31"/>
        <v>72000</v>
      </c>
      <c r="AB293" s="188"/>
      <c r="AC293" s="188">
        <f t="shared" si="32"/>
        <v>72000</v>
      </c>
      <c r="AD293" s="188">
        <f t="shared" si="33"/>
        <v>72000</v>
      </c>
      <c r="AE293" s="68" t="s">
        <v>102</v>
      </c>
      <c r="AF293" s="68"/>
      <c r="AG293" s="68"/>
      <c r="AH293" s="190"/>
      <c r="AI293" s="191"/>
      <c r="AJ293" s="190"/>
      <c r="AK293" s="192"/>
      <c r="AL293" s="190"/>
      <c r="AM293" s="193" t="s">
        <v>202</v>
      </c>
      <c r="AN293" s="194"/>
      <c r="AO293" s="195"/>
      <c r="AP293" s="31"/>
      <c r="AQ293" s="31"/>
      <c r="AR293" s="30"/>
      <c r="AS293" s="31"/>
    </row>
    <row r="294" spans="1:45" ht="30" hidden="1" customHeight="1" x14ac:dyDescent="0.25">
      <c r="A294" s="46">
        <v>2026</v>
      </c>
      <c r="B294" s="66" t="s">
        <v>72</v>
      </c>
      <c r="C294" s="65" t="s">
        <v>721</v>
      </c>
      <c r="D294" s="144" t="s">
        <v>114</v>
      </c>
      <c r="E294" s="141"/>
      <c r="F294" s="65" t="s">
        <v>790</v>
      </c>
      <c r="G294" s="144" t="s">
        <v>121</v>
      </c>
      <c r="H294" s="66" t="s">
        <v>126</v>
      </c>
      <c r="I294" s="74"/>
      <c r="J294" s="144" t="s">
        <v>132</v>
      </c>
      <c r="K294" s="144" t="s">
        <v>3</v>
      </c>
      <c r="L294" s="66" t="s">
        <v>6</v>
      </c>
      <c r="M294" s="65" t="s">
        <v>723</v>
      </c>
      <c r="N294" s="187"/>
      <c r="O294" s="187"/>
      <c r="P294" s="187"/>
      <c r="Q294" s="144" t="s">
        <v>140</v>
      </c>
      <c r="R294" s="89"/>
      <c r="S294" s="89"/>
      <c r="T294" s="65" t="s">
        <v>791</v>
      </c>
      <c r="U294" s="144">
        <v>2026</v>
      </c>
      <c r="V294" s="99">
        <v>46387</v>
      </c>
      <c r="W294" s="89"/>
      <c r="X294" s="99">
        <v>46024</v>
      </c>
      <c r="Y294" s="188">
        <v>156000</v>
      </c>
      <c r="Z294" s="189"/>
      <c r="AA294" s="188">
        <f t="shared" si="31"/>
        <v>156000</v>
      </c>
      <c r="AB294" s="188"/>
      <c r="AC294" s="188">
        <f t="shared" si="32"/>
        <v>156000</v>
      </c>
      <c r="AD294" s="188">
        <f t="shared" si="33"/>
        <v>156000</v>
      </c>
      <c r="AE294" s="68" t="s">
        <v>102</v>
      </c>
      <c r="AF294" s="68"/>
      <c r="AG294" s="68"/>
      <c r="AH294" s="190"/>
      <c r="AI294" s="191"/>
      <c r="AJ294" s="190"/>
      <c r="AK294" s="192"/>
      <c r="AL294" s="190"/>
      <c r="AM294" s="193" t="s">
        <v>202</v>
      </c>
      <c r="AN294" s="194"/>
      <c r="AO294" s="195"/>
      <c r="AP294" s="31"/>
      <c r="AQ294" s="31"/>
      <c r="AR294" s="30"/>
      <c r="AS294" s="31"/>
    </row>
    <row r="295" spans="1:45" ht="30" hidden="1" customHeight="1" x14ac:dyDescent="0.25">
      <c r="A295" s="46">
        <v>2026</v>
      </c>
      <c r="B295" s="66" t="s">
        <v>72</v>
      </c>
      <c r="C295" s="65" t="s">
        <v>721</v>
      </c>
      <c r="D295" s="144" t="s">
        <v>114</v>
      </c>
      <c r="E295" s="141"/>
      <c r="F295" s="65" t="s">
        <v>792</v>
      </c>
      <c r="G295" s="144" t="s">
        <v>121</v>
      </c>
      <c r="H295" s="66" t="s">
        <v>126</v>
      </c>
      <c r="I295" s="74"/>
      <c r="J295" s="144" t="s">
        <v>132</v>
      </c>
      <c r="K295" s="144" t="s">
        <v>3</v>
      </c>
      <c r="L295" s="66" t="s">
        <v>6</v>
      </c>
      <c r="M295" s="65" t="s">
        <v>723</v>
      </c>
      <c r="N295" s="187"/>
      <c r="O295" s="187"/>
      <c r="P295" s="187"/>
      <c r="Q295" s="144" t="s">
        <v>140</v>
      </c>
      <c r="R295" s="89"/>
      <c r="S295" s="89"/>
      <c r="T295" s="65" t="s">
        <v>793</v>
      </c>
      <c r="U295" s="144">
        <v>2026</v>
      </c>
      <c r="V295" s="99">
        <v>46387</v>
      </c>
      <c r="W295" s="89"/>
      <c r="X295" s="99">
        <v>46024</v>
      </c>
      <c r="Y295" s="188">
        <v>128000</v>
      </c>
      <c r="Z295" s="189"/>
      <c r="AA295" s="188">
        <f t="shared" si="31"/>
        <v>128000</v>
      </c>
      <c r="AB295" s="188"/>
      <c r="AC295" s="188">
        <f t="shared" si="32"/>
        <v>128000</v>
      </c>
      <c r="AD295" s="188">
        <f t="shared" si="33"/>
        <v>128000</v>
      </c>
      <c r="AE295" s="68" t="s">
        <v>102</v>
      </c>
      <c r="AF295" s="68"/>
      <c r="AG295" s="68"/>
      <c r="AH295" s="190"/>
      <c r="AI295" s="191"/>
      <c r="AJ295" s="190"/>
      <c r="AK295" s="192"/>
      <c r="AL295" s="190"/>
      <c r="AM295" s="193" t="s">
        <v>202</v>
      </c>
      <c r="AN295" s="194"/>
      <c r="AO295" s="195"/>
      <c r="AP295" s="31"/>
      <c r="AQ295" s="31"/>
      <c r="AR295" s="30"/>
      <c r="AS295" s="31"/>
    </row>
    <row r="296" spans="1:45" ht="30" hidden="1" customHeight="1" x14ac:dyDescent="0.25">
      <c r="A296" s="46">
        <v>2026</v>
      </c>
      <c r="B296" s="66" t="s">
        <v>72</v>
      </c>
      <c r="C296" s="65" t="s">
        <v>721</v>
      </c>
      <c r="D296" s="144" t="s">
        <v>114</v>
      </c>
      <c r="E296" s="141"/>
      <c r="F296" s="65" t="s">
        <v>794</v>
      </c>
      <c r="G296" s="144" t="s">
        <v>121</v>
      </c>
      <c r="H296" s="66" t="s">
        <v>126</v>
      </c>
      <c r="I296" s="74"/>
      <c r="J296" s="144" t="s">
        <v>132</v>
      </c>
      <c r="K296" s="144" t="s">
        <v>3</v>
      </c>
      <c r="L296" s="66" t="s">
        <v>6</v>
      </c>
      <c r="M296" s="65" t="s">
        <v>723</v>
      </c>
      <c r="N296" s="187"/>
      <c r="O296" s="187"/>
      <c r="P296" s="187"/>
      <c r="Q296" s="144" t="s">
        <v>140</v>
      </c>
      <c r="R296" s="89"/>
      <c r="S296" s="89"/>
      <c r="T296" s="65" t="s">
        <v>795</v>
      </c>
      <c r="U296" s="144">
        <v>2026</v>
      </c>
      <c r="V296" s="99">
        <v>46387</v>
      </c>
      <c r="W296" s="89"/>
      <c r="X296" s="99">
        <v>46024</v>
      </c>
      <c r="Y296" s="188">
        <v>24000</v>
      </c>
      <c r="Z296" s="189"/>
      <c r="AA296" s="188">
        <f t="shared" si="31"/>
        <v>24000</v>
      </c>
      <c r="AB296" s="188"/>
      <c r="AC296" s="188">
        <f t="shared" si="32"/>
        <v>24000</v>
      </c>
      <c r="AD296" s="188">
        <f t="shared" si="33"/>
        <v>24000</v>
      </c>
      <c r="AE296" s="68" t="s">
        <v>102</v>
      </c>
      <c r="AF296" s="68"/>
      <c r="AG296" s="68"/>
      <c r="AH296" s="190"/>
      <c r="AI296" s="191"/>
      <c r="AJ296" s="190"/>
      <c r="AK296" s="192"/>
      <c r="AL296" s="190"/>
      <c r="AM296" s="193" t="s">
        <v>202</v>
      </c>
      <c r="AN296" s="194"/>
      <c r="AO296" s="195"/>
      <c r="AP296" s="31"/>
      <c r="AQ296" s="31"/>
      <c r="AR296" s="30"/>
      <c r="AS296" s="31"/>
    </row>
    <row r="297" spans="1:45" ht="30" hidden="1" customHeight="1" x14ac:dyDescent="0.25">
      <c r="A297" s="46">
        <v>2026</v>
      </c>
      <c r="B297" s="66" t="s">
        <v>72</v>
      </c>
      <c r="C297" s="65" t="s">
        <v>721</v>
      </c>
      <c r="D297" s="144" t="s">
        <v>114</v>
      </c>
      <c r="E297" s="141"/>
      <c r="F297" s="65" t="s">
        <v>796</v>
      </c>
      <c r="G297" s="144" t="s">
        <v>121</v>
      </c>
      <c r="H297" s="66" t="s">
        <v>126</v>
      </c>
      <c r="I297" s="74"/>
      <c r="J297" s="144" t="s">
        <v>132</v>
      </c>
      <c r="K297" s="144" t="s">
        <v>3</v>
      </c>
      <c r="L297" s="66" t="s">
        <v>6</v>
      </c>
      <c r="M297" s="65" t="s">
        <v>723</v>
      </c>
      <c r="N297" s="187"/>
      <c r="O297" s="187"/>
      <c r="P297" s="187"/>
      <c r="Q297" s="144" t="s">
        <v>140</v>
      </c>
      <c r="R297" s="89"/>
      <c r="S297" s="89"/>
      <c r="T297" s="65" t="s">
        <v>797</v>
      </c>
      <c r="U297" s="144">
        <v>2026</v>
      </c>
      <c r="V297" s="99">
        <v>46387</v>
      </c>
      <c r="W297" s="89"/>
      <c r="X297" s="99">
        <v>46024</v>
      </c>
      <c r="Y297" s="188">
        <v>45000</v>
      </c>
      <c r="Z297" s="189"/>
      <c r="AA297" s="188">
        <f t="shared" si="31"/>
        <v>45000</v>
      </c>
      <c r="AB297" s="188"/>
      <c r="AC297" s="188">
        <f t="shared" si="32"/>
        <v>45000</v>
      </c>
      <c r="AD297" s="188">
        <f t="shared" si="33"/>
        <v>45000</v>
      </c>
      <c r="AE297" s="68" t="s">
        <v>102</v>
      </c>
      <c r="AF297" s="68"/>
      <c r="AG297" s="68"/>
      <c r="AH297" s="190"/>
      <c r="AI297" s="191"/>
      <c r="AJ297" s="190"/>
      <c r="AK297" s="192"/>
      <c r="AL297" s="190"/>
      <c r="AM297" s="193" t="s">
        <v>202</v>
      </c>
      <c r="AN297" s="194"/>
      <c r="AO297" s="195"/>
      <c r="AP297" s="31"/>
      <c r="AQ297" s="31"/>
      <c r="AR297" s="30"/>
      <c r="AS297" s="31"/>
    </row>
    <row r="298" spans="1:45" ht="30" hidden="1" customHeight="1" x14ac:dyDescent="0.25">
      <c r="A298" s="46">
        <v>2026</v>
      </c>
      <c r="B298" s="66" t="s">
        <v>72</v>
      </c>
      <c r="C298" s="65" t="s">
        <v>721</v>
      </c>
      <c r="D298" s="144" t="s">
        <v>114</v>
      </c>
      <c r="E298" s="141"/>
      <c r="F298" s="65" t="s">
        <v>798</v>
      </c>
      <c r="G298" s="144" t="s">
        <v>121</v>
      </c>
      <c r="H298" s="66" t="s">
        <v>126</v>
      </c>
      <c r="I298" s="74"/>
      <c r="J298" s="144" t="s">
        <v>132</v>
      </c>
      <c r="K298" s="144" t="s">
        <v>3</v>
      </c>
      <c r="L298" s="66" t="s">
        <v>6</v>
      </c>
      <c r="M298" s="65" t="s">
        <v>723</v>
      </c>
      <c r="N298" s="187"/>
      <c r="O298" s="187"/>
      <c r="P298" s="187"/>
      <c r="Q298" s="144" t="s">
        <v>140</v>
      </c>
      <c r="R298" s="89"/>
      <c r="S298" s="89"/>
      <c r="T298" s="65" t="s">
        <v>799</v>
      </c>
      <c r="U298" s="144">
        <v>2026</v>
      </c>
      <c r="V298" s="99">
        <v>46387</v>
      </c>
      <c r="W298" s="89"/>
      <c r="X298" s="99">
        <v>46024</v>
      </c>
      <c r="Y298" s="188">
        <v>80000</v>
      </c>
      <c r="Z298" s="189"/>
      <c r="AA298" s="188">
        <f t="shared" si="31"/>
        <v>80000</v>
      </c>
      <c r="AB298" s="188"/>
      <c r="AC298" s="188">
        <f t="shared" si="32"/>
        <v>80000</v>
      </c>
      <c r="AD298" s="188">
        <f t="shared" si="33"/>
        <v>80000</v>
      </c>
      <c r="AE298" s="68" t="s">
        <v>102</v>
      </c>
      <c r="AF298" s="68"/>
      <c r="AG298" s="68"/>
      <c r="AH298" s="190"/>
      <c r="AI298" s="191"/>
      <c r="AJ298" s="190"/>
      <c r="AK298" s="192"/>
      <c r="AL298" s="190"/>
      <c r="AM298" s="193" t="s">
        <v>202</v>
      </c>
      <c r="AN298" s="194"/>
      <c r="AO298" s="195"/>
      <c r="AP298" s="31"/>
      <c r="AQ298" s="31"/>
      <c r="AR298" s="30"/>
      <c r="AS298" s="31"/>
    </row>
    <row r="299" spans="1:45" ht="30" hidden="1" customHeight="1" x14ac:dyDescent="0.25">
      <c r="A299" s="46">
        <v>2026</v>
      </c>
      <c r="B299" s="66" t="s">
        <v>72</v>
      </c>
      <c r="C299" s="65" t="s">
        <v>721</v>
      </c>
      <c r="D299" s="144" t="s">
        <v>114</v>
      </c>
      <c r="E299" s="141"/>
      <c r="F299" s="65" t="s">
        <v>800</v>
      </c>
      <c r="G299" s="144" t="s">
        <v>121</v>
      </c>
      <c r="H299" s="66" t="s">
        <v>126</v>
      </c>
      <c r="I299" s="74"/>
      <c r="J299" s="144" t="s">
        <v>132</v>
      </c>
      <c r="K299" s="144" t="s">
        <v>3</v>
      </c>
      <c r="L299" s="66" t="s">
        <v>6</v>
      </c>
      <c r="M299" s="65" t="s">
        <v>723</v>
      </c>
      <c r="N299" s="187"/>
      <c r="O299" s="187"/>
      <c r="P299" s="187"/>
      <c r="Q299" s="144" t="s">
        <v>140</v>
      </c>
      <c r="R299" s="89"/>
      <c r="S299" s="89"/>
      <c r="T299" s="65" t="s">
        <v>801</v>
      </c>
      <c r="U299" s="144">
        <v>2026</v>
      </c>
      <c r="V299" s="99">
        <v>46387</v>
      </c>
      <c r="W299" s="89"/>
      <c r="X299" s="99">
        <v>46024</v>
      </c>
      <c r="Y299" s="188">
        <v>72000</v>
      </c>
      <c r="Z299" s="189"/>
      <c r="AA299" s="188">
        <f t="shared" si="31"/>
        <v>72000</v>
      </c>
      <c r="AB299" s="188"/>
      <c r="AC299" s="188">
        <f t="shared" si="32"/>
        <v>72000</v>
      </c>
      <c r="AD299" s="188">
        <f t="shared" si="33"/>
        <v>72000</v>
      </c>
      <c r="AE299" s="68" t="s">
        <v>102</v>
      </c>
      <c r="AF299" s="68"/>
      <c r="AG299" s="68"/>
      <c r="AH299" s="190"/>
      <c r="AI299" s="191"/>
      <c r="AJ299" s="190"/>
      <c r="AK299" s="192"/>
      <c r="AL299" s="190"/>
      <c r="AM299" s="193" t="s">
        <v>202</v>
      </c>
      <c r="AN299" s="194"/>
      <c r="AO299" s="195"/>
      <c r="AP299" s="31"/>
      <c r="AQ299" s="31"/>
      <c r="AR299" s="30"/>
      <c r="AS299" s="31"/>
    </row>
    <row r="300" spans="1:45" ht="30" hidden="1" customHeight="1" x14ac:dyDescent="0.25">
      <c r="A300" s="46">
        <v>2026</v>
      </c>
      <c r="B300" s="66" t="s">
        <v>72</v>
      </c>
      <c r="C300" s="65" t="s">
        <v>721</v>
      </c>
      <c r="D300" s="144" t="s">
        <v>114</v>
      </c>
      <c r="E300" s="141"/>
      <c r="F300" s="65" t="s">
        <v>802</v>
      </c>
      <c r="G300" s="144" t="s">
        <v>121</v>
      </c>
      <c r="H300" s="66" t="s">
        <v>126</v>
      </c>
      <c r="I300" s="74"/>
      <c r="J300" s="144" t="s">
        <v>132</v>
      </c>
      <c r="K300" s="144" t="s">
        <v>3</v>
      </c>
      <c r="L300" s="66" t="s">
        <v>6</v>
      </c>
      <c r="M300" s="65" t="s">
        <v>723</v>
      </c>
      <c r="N300" s="187"/>
      <c r="O300" s="187"/>
      <c r="P300" s="187"/>
      <c r="Q300" s="144" t="s">
        <v>140</v>
      </c>
      <c r="R300" s="89"/>
      <c r="S300" s="89"/>
      <c r="T300" s="65" t="s">
        <v>803</v>
      </c>
      <c r="U300" s="144">
        <v>2026</v>
      </c>
      <c r="V300" s="99">
        <v>46387</v>
      </c>
      <c r="W300" s="89"/>
      <c r="X300" s="99">
        <v>46024</v>
      </c>
      <c r="Y300" s="188">
        <v>80000</v>
      </c>
      <c r="Z300" s="189"/>
      <c r="AA300" s="188">
        <f t="shared" si="31"/>
        <v>80000</v>
      </c>
      <c r="AB300" s="188"/>
      <c r="AC300" s="188">
        <f t="shared" si="32"/>
        <v>80000</v>
      </c>
      <c r="AD300" s="188">
        <f t="shared" si="33"/>
        <v>80000</v>
      </c>
      <c r="AE300" s="68" t="s">
        <v>102</v>
      </c>
      <c r="AF300" s="68"/>
      <c r="AG300" s="68"/>
      <c r="AH300" s="190"/>
      <c r="AI300" s="191"/>
      <c r="AJ300" s="190"/>
      <c r="AK300" s="192"/>
      <c r="AL300" s="190"/>
      <c r="AM300" s="193" t="s">
        <v>202</v>
      </c>
      <c r="AN300" s="194"/>
      <c r="AO300" s="195"/>
      <c r="AP300" s="31"/>
      <c r="AQ300" s="31"/>
      <c r="AR300" s="30"/>
      <c r="AS300" s="31"/>
    </row>
    <row r="301" spans="1:45" ht="30" hidden="1" customHeight="1" x14ac:dyDescent="0.25">
      <c r="A301" s="46">
        <v>2026</v>
      </c>
      <c r="B301" s="66" t="s">
        <v>72</v>
      </c>
      <c r="C301" s="65" t="s">
        <v>721</v>
      </c>
      <c r="D301" s="144" t="s">
        <v>114</v>
      </c>
      <c r="E301" s="141"/>
      <c r="F301" s="65" t="s">
        <v>804</v>
      </c>
      <c r="G301" s="144" t="s">
        <v>121</v>
      </c>
      <c r="H301" s="66" t="s">
        <v>126</v>
      </c>
      <c r="I301" s="74"/>
      <c r="J301" s="144" t="s">
        <v>132</v>
      </c>
      <c r="K301" s="144" t="s">
        <v>3</v>
      </c>
      <c r="L301" s="66" t="s">
        <v>6</v>
      </c>
      <c r="M301" s="65" t="s">
        <v>723</v>
      </c>
      <c r="N301" s="187"/>
      <c r="O301" s="187"/>
      <c r="P301" s="187"/>
      <c r="Q301" s="144" t="s">
        <v>140</v>
      </c>
      <c r="R301" s="89"/>
      <c r="S301" s="89"/>
      <c r="T301" s="65" t="s">
        <v>805</v>
      </c>
      <c r="U301" s="144">
        <v>2026</v>
      </c>
      <c r="V301" s="99">
        <v>46387</v>
      </c>
      <c r="W301" s="89"/>
      <c r="X301" s="99">
        <v>46024</v>
      </c>
      <c r="Y301" s="188">
        <v>96000</v>
      </c>
      <c r="Z301" s="189"/>
      <c r="AA301" s="188">
        <f t="shared" si="31"/>
        <v>96000</v>
      </c>
      <c r="AB301" s="188"/>
      <c r="AC301" s="188">
        <f t="shared" si="32"/>
        <v>96000</v>
      </c>
      <c r="AD301" s="188">
        <f t="shared" si="33"/>
        <v>96000</v>
      </c>
      <c r="AE301" s="68" t="s">
        <v>102</v>
      </c>
      <c r="AF301" s="68"/>
      <c r="AG301" s="68"/>
      <c r="AH301" s="190"/>
      <c r="AI301" s="191"/>
      <c r="AJ301" s="190"/>
      <c r="AK301" s="192"/>
      <c r="AL301" s="190"/>
      <c r="AM301" s="193" t="s">
        <v>202</v>
      </c>
      <c r="AN301" s="194"/>
      <c r="AO301" s="195"/>
      <c r="AP301" s="31"/>
      <c r="AQ301" s="31"/>
      <c r="AR301" s="30"/>
      <c r="AS301" s="31"/>
    </row>
    <row r="302" spans="1:45" ht="30" hidden="1" customHeight="1" x14ac:dyDescent="0.25">
      <c r="A302" s="46">
        <v>2026</v>
      </c>
      <c r="B302" s="66" t="s">
        <v>72</v>
      </c>
      <c r="C302" s="65" t="s">
        <v>721</v>
      </c>
      <c r="D302" s="144" t="s">
        <v>114</v>
      </c>
      <c r="E302" s="141"/>
      <c r="F302" s="65" t="s">
        <v>806</v>
      </c>
      <c r="G302" s="144" t="s">
        <v>121</v>
      </c>
      <c r="H302" s="66" t="s">
        <v>126</v>
      </c>
      <c r="I302" s="74"/>
      <c r="J302" s="144" t="s">
        <v>132</v>
      </c>
      <c r="K302" s="144" t="s">
        <v>3</v>
      </c>
      <c r="L302" s="66" t="s">
        <v>6</v>
      </c>
      <c r="M302" s="65" t="s">
        <v>723</v>
      </c>
      <c r="N302" s="187"/>
      <c r="O302" s="187"/>
      <c r="P302" s="187"/>
      <c r="Q302" s="144" t="s">
        <v>140</v>
      </c>
      <c r="R302" s="89"/>
      <c r="S302" s="89"/>
      <c r="T302" s="65" t="s">
        <v>807</v>
      </c>
      <c r="U302" s="144">
        <v>2026</v>
      </c>
      <c r="V302" s="99">
        <v>46387</v>
      </c>
      <c r="W302" s="89"/>
      <c r="X302" s="99">
        <v>46024</v>
      </c>
      <c r="Y302" s="188">
        <v>128000</v>
      </c>
      <c r="Z302" s="189"/>
      <c r="AA302" s="188">
        <f t="shared" si="31"/>
        <v>128000</v>
      </c>
      <c r="AB302" s="188"/>
      <c r="AC302" s="188">
        <f t="shared" si="32"/>
        <v>128000</v>
      </c>
      <c r="AD302" s="188">
        <f t="shared" si="33"/>
        <v>128000</v>
      </c>
      <c r="AE302" s="68" t="s">
        <v>102</v>
      </c>
      <c r="AF302" s="68"/>
      <c r="AG302" s="68"/>
      <c r="AH302" s="190"/>
      <c r="AI302" s="191"/>
      <c r="AJ302" s="190"/>
      <c r="AK302" s="192"/>
      <c r="AL302" s="190"/>
      <c r="AM302" s="193" t="s">
        <v>202</v>
      </c>
      <c r="AN302" s="194"/>
      <c r="AO302" s="195"/>
      <c r="AP302" s="31"/>
      <c r="AQ302" s="31"/>
      <c r="AR302" s="30"/>
      <c r="AS302" s="31"/>
    </row>
    <row r="303" spans="1:45" ht="30" hidden="1" customHeight="1" x14ac:dyDescent="0.25">
      <c r="A303" s="46">
        <v>2026</v>
      </c>
      <c r="B303" s="66" t="s">
        <v>72</v>
      </c>
      <c r="C303" s="65" t="s">
        <v>721</v>
      </c>
      <c r="D303" s="144" t="s">
        <v>114</v>
      </c>
      <c r="E303" s="141"/>
      <c r="F303" s="65" t="s">
        <v>808</v>
      </c>
      <c r="G303" s="144" t="s">
        <v>121</v>
      </c>
      <c r="H303" s="66" t="s">
        <v>126</v>
      </c>
      <c r="I303" s="74"/>
      <c r="J303" s="144" t="s">
        <v>132</v>
      </c>
      <c r="K303" s="144" t="s">
        <v>3</v>
      </c>
      <c r="L303" s="66" t="s">
        <v>6</v>
      </c>
      <c r="M303" s="65" t="s">
        <v>723</v>
      </c>
      <c r="N303" s="187"/>
      <c r="O303" s="187"/>
      <c r="P303" s="187"/>
      <c r="Q303" s="144" t="s">
        <v>140</v>
      </c>
      <c r="R303" s="89"/>
      <c r="S303" s="89"/>
      <c r="T303" s="65" t="s">
        <v>809</v>
      </c>
      <c r="U303" s="144">
        <v>2026</v>
      </c>
      <c r="V303" s="99">
        <v>46387</v>
      </c>
      <c r="W303" s="89"/>
      <c r="X303" s="99">
        <v>46024</v>
      </c>
      <c r="Y303" s="188">
        <v>80000</v>
      </c>
      <c r="Z303" s="189"/>
      <c r="AA303" s="188">
        <f t="shared" si="31"/>
        <v>80000</v>
      </c>
      <c r="AB303" s="188"/>
      <c r="AC303" s="188">
        <f t="shared" si="32"/>
        <v>80000</v>
      </c>
      <c r="AD303" s="188">
        <f t="shared" si="33"/>
        <v>80000</v>
      </c>
      <c r="AE303" s="68" t="s">
        <v>102</v>
      </c>
      <c r="AF303" s="68"/>
      <c r="AG303" s="68"/>
      <c r="AH303" s="190"/>
      <c r="AI303" s="191"/>
      <c r="AJ303" s="190"/>
      <c r="AK303" s="192"/>
      <c r="AL303" s="190"/>
      <c r="AM303" s="193" t="s">
        <v>202</v>
      </c>
      <c r="AN303" s="194"/>
      <c r="AO303" s="195"/>
      <c r="AP303" s="31"/>
      <c r="AQ303" s="31"/>
      <c r="AR303" s="30"/>
      <c r="AS303" s="31"/>
    </row>
    <row r="304" spans="1:45" ht="30" hidden="1" customHeight="1" x14ac:dyDescent="0.25">
      <c r="A304" s="46">
        <v>2026</v>
      </c>
      <c r="B304" s="66" t="s">
        <v>72</v>
      </c>
      <c r="C304" s="65" t="s">
        <v>721</v>
      </c>
      <c r="D304" s="144" t="s">
        <v>114</v>
      </c>
      <c r="E304" s="141"/>
      <c r="F304" s="65" t="s">
        <v>810</v>
      </c>
      <c r="G304" s="144" t="s">
        <v>121</v>
      </c>
      <c r="H304" s="66" t="s">
        <v>126</v>
      </c>
      <c r="I304" s="74"/>
      <c r="J304" s="144" t="s">
        <v>132</v>
      </c>
      <c r="K304" s="144" t="s">
        <v>3</v>
      </c>
      <c r="L304" s="66" t="s">
        <v>6</v>
      </c>
      <c r="M304" s="65" t="s">
        <v>723</v>
      </c>
      <c r="N304" s="187"/>
      <c r="O304" s="187"/>
      <c r="P304" s="187"/>
      <c r="Q304" s="144" t="s">
        <v>140</v>
      </c>
      <c r="R304" s="89"/>
      <c r="S304" s="89"/>
      <c r="T304" s="65" t="s">
        <v>811</v>
      </c>
      <c r="U304" s="144">
        <v>2026</v>
      </c>
      <c r="V304" s="99">
        <v>46387</v>
      </c>
      <c r="W304" s="89"/>
      <c r="X304" s="99">
        <v>46024</v>
      </c>
      <c r="Y304" s="188">
        <v>51428.52</v>
      </c>
      <c r="Z304" s="189"/>
      <c r="AA304" s="188">
        <f t="shared" si="31"/>
        <v>51428.52</v>
      </c>
      <c r="AB304" s="188"/>
      <c r="AC304" s="188">
        <f t="shared" si="32"/>
        <v>51428.52</v>
      </c>
      <c r="AD304" s="188">
        <f t="shared" si="33"/>
        <v>51428.52</v>
      </c>
      <c r="AE304" s="68" t="s">
        <v>102</v>
      </c>
      <c r="AF304" s="68"/>
      <c r="AG304" s="68"/>
      <c r="AH304" s="190"/>
      <c r="AI304" s="191"/>
      <c r="AJ304" s="190"/>
      <c r="AK304" s="192"/>
      <c r="AL304" s="190"/>
      <c r="AM304" s="193" t="s">
        <v>202</v>
      </c>
      <c r="AN304" s="194"/>
      <c r="AO304" s="195"/>
      <c r="AP304" s="31"/>
      <c r="AQ304" s="31"/>
      <c r="AR304" s="30"/>
      <c r="AS304" s="31"/>
    </row>
    <row r="305" spans="1:45" ht="30" hidden="1" customHeight="1" x14ac:dyDescent="0.25">
      <c r="A305" s="135">
        <v>2026</v>
      </c>
      <c r="B305" s="66" t="s">
        <v>64</v>
      </c>
      <c r="C305" s="85" t="s">
        <v>140</v>
      </c>
      <c r="D305" s="144" t="s">
        <v>107</v>
      </c>
      <c r="E305" s="144">
        <v>1</v>
      </c>
      <c r="F305" s="65" t="s">
        <v>812</v>
      </c>
      <c r="G305" s="144" t="s">
        <v>121</v>
      </c>
      <c r="H305" s="66" t="s">
        <v>126</v>
      </c>
      <c r="I305" s="79" t="s">
        <v>813</v>
      </c>
      <c r="J305" s="144" t="s">
        <v>132</v>
      </c>
      <c r="K305" s="144" t="s">
        <v>3</v>
      </c>
      <c r="L305" s="66" t="s">
        <v>6</v>
      </c>
      <c r="M305" s="67" t="s">
        <v>814</v>
      </c>
      <c r="N305" s="187"/>
      <c r="O305" s="187"/>
      <c r="P305" s="187"/>
      <c r="Q305" s="144" t="s">
        <v>140</v>
      </c>
      <c r="R305" s="90"/>
      <c r="S305" s="90"/>
      <c r="T305" s="65" t="s">
        <v>815</v>
      </c>
      <c r="U305" s="144">
        <v>2026</v>
      </c>
      <c r="V305" s="99">
        <v>46030</v>
      </c>
      <c r="W305" s="90"/>
      <c r="X305" s="99">
        <v>46038</v>
      </c>
      <c r="Y305" s="188">
        <v>1030959.9</v>
      </c>
      <c r="Z305" s="189">
        <v>0</v>
      </c>
      <c r="AA305" s="188">
        <v>1030959.9</v>
      </c>
      <c r="AB305" s="188">
        <v>0</v>
      </c>
      <c r="AC305" s="188">
        <v>1030959.9</v>
      </c>
      <c r="AD305" s="188">
        <v>1030959.9</v>
      </c>
      <c r="AE305" s="68" t="s">
        <v>102</v>
      </c>
      <c r="AF305" s="68"/>
      <c r="AG305" s="68"/>
      <c r="AH305" s="190"/>
      <c r="AI305" s="191"/>
      <c r="AJ305" s="190"/>
      <c r="AK305" s="192"/>
      <c r="AL305" s="190"/>
      <c r="AM305" s="196" t="s">
        <v>182</v>
      </c>
      <c r="AN305" s="197"/>
      <c r="AO305" s="198"/>
      <c r="AP305" s="32"/>
      <c r="AQ305" s="32"/>
      <c r="AR305" s="30"/>
      <c r="AS305" s="32"/>
    </row>
    <row r="306" spans="1:45" ht="30" hidden="1" customHeight="1" x14ac:dyDescent="0.25">
      <c r="A306" s="135">
        <v>2026</v>
      </c>
      <c r="B306" s="66" t="s">
        <v>64</v>
      </c>
      <c r="C306" s="85" t="s">
        <v>140</v>
      </c>
      <c r="D306" s="144" t="s">
        <v>107</v>
      </c>
      <c r="E306" s="144">
        <v>1</v>
      </c>
      <c r="F306" s="65" t="s">
        <v>816</v>
      </c>
      <c r="G306" s="144" t="s">
        <v>121</v>
      </c>
      <c r="H306" s="66" t="s">
        <v>126</v>
      </c>
      <c r="I306" s="79" t="s">
        <v>817</v>
      </c>
      <c r="J306" s="144" t="s">
        <v>132</v>
      </c>
      <c r="K306" s="144" t="s">
        <v>3</v>
      </c>
      <c r="L306" s="66" t="s">
        <v>6</v>
      </c>
      <c r="M306" s="67" t="s">
        <v>814</v>
      </c>
      <c r="N306" s="187"/>
      <c r="O306" s="187"/>
      <c r="P306" s="187"/>
      <c r="Q306" s="144" t="s">
        <v>140</v>
      </c>
      <c r="R306" s="90"/>
      <c r="S306" s="90"/>
      <c r="T306" s="65" t="s">
        <v>815</v>
      </c>
      <c r="U306" s="144">
        <v>2026</v>
      </c>
      <c r="V306" s="99">
        <v>46030</v>
      </c>
      <c r="W306" s="90"/>
      <c r="X306" s="99">
        <v>46038</v>
      </c>
      <c r="Y306" s="188">
        <v>696639.96</v>
      </c>
      <c r="Z306" s="189">
        <v>0</v>
      </c>
      <c r="AA306" s="188">
        <v>696639.96</v>
      </c>
      <c r="AB306" s="188">
        <v>0</v>
      </c>
      <c r="AC306" s="188">
        <v>696639.96</v>
      </c>
      <c r="AD306" s="188">
        <v>696639.96</v>
      </c>
      <c r="AE306" s="68" t="s">
        <v>102</v>
      </c>
      <c r="AF306" s="68"/>
      <c r="AG306" s="68"/>
      <c r="AH306" s="190"/>
      <c r="AI306" s="191"/>
      <c r="AJ306" s="190"/>
      <c r="AK306" s="192"/>
      <c r="AL306" s="190"/>
      <c r="AM306" s="196" t="s">
        <v>182</v>
      </c>
      <c r="AN306" s="197"/>
      <c r="AO306" s="198"/>
      <c r="AP306" s="32"/>
      <c r="AQ306" s="32"/>
      <c r="AR306" s="30"/>
      <c r="AS306" s="33"/>
    </row>
    <row r="307" spans="1:45" ht="30" hidden="1" customHeight="1" x14ac:dyDescent="0.25">
      <c r="A307" s="135">
        <v>2026</v>
      </c>
      <c r="B307" s="66" t="s">
        <v>64</v>
      </c>
      <c r="C307" s="85" t="s">
        <v>140</v>
      </c>
      <c r="D307" s="144" t="s">
        <v>107</v>
      </c>
      <c r="E307" s="144">
        <v>1</v>
      </c>
      <c r="F307" s="65" t="s">
        <v>818</v>
      </c>
      <c r="G307" s="144" t="s">
        <v>121</v>
      </c>
      <c r="H307" s="66" t="s">
        <v>126</v>
      </c>
      <c r="I307" s="79" t="s">
        <v>819</v>
      </c>
      <c r="J307" s="144" t="s">
        <v>132</v>
      </c>
      <c r="K307" s="144" t="s">
        <v>3</v>
      </c>
      <c r="L307" s="66" t="s">
        <v>6</v>
      </c>
      <c r="M307" s="67" t="s">
        <v>814</v>
      </c>
      <c r="N307" s="187"/>
      <c r="O307" s="187"/>
      <c r="P307" s="187"/>
      <c r="Q307" s="144" t="s">
        <v>140</v>
      </c>
      <c r="R307" s="90"/>
      <c r="S307" s="90"/>
      <c r="T307" s="65" t="s">
        <v>820</v>
      </c>
      <c r="U307" s="144">
        <v>2026</v>
      </c>
      <c r="V307" s="99">
        <v>46030</v>
      </c>
      <c r="W307" s="90"/>
      <c r="X307" s="99">
        <v>46038</v>
      </c>
      <c r="Y307" s="188">
        <v>1195599.8999999999</v>
      </c>
      <c r="Z307" s="189">
        <v>0</v>
      </c>
      <c r="AA307" s="188">
        <v>1195599.8999999999</v>
      </c>
      <c r="AB307" s="188">
        <v>0</v>
      </c>
      <c r="AC307" s="188">
        <v>1195599.8999999999</v>
      </c>
      <c r="AD307" s="188">
        <v>1195599.8999999999</v>
      </c>
      <c r="AE307" s="68" t="s">
        <v>102</v>
      </c>
      <c r="AF307" s="68"/>
      <c r="AG307" s="68"/>
      <c r="AH307" s="190"/>
      <c r="AI307" s="191"/>
      <c r="AJ307" s="190"/>
      <c r="AK307" s="192"/>
      <c r="AL307" s="190"/>
      <c r="AM307" s="196" t="s">
        <v>182</v>
      </c>
      <c r="AN307" s="197"/>
      <c r="AO307" s="198"/>
      <c r="AP307" s="32"/>
      <c r="AQ307" s="32"/>
      <c r="AR307" s="30"/>
      <c r="AS307" s="33"/>
    </row>
    <row r="308" spans="1:45" ht="30" hidden="1" customHeight="1" x14ac:dyDescent="0.25">
      <c r="A308" s="135">
        <v>2026</v>
      </c>
      <c r="B308" s="66" t="s">
        <v>64</v>
      </c>
      <c r="C308" s="85" t="s">
        <v>140</v>
      </c>
      <c r="D308" s="144" t="s">
        <v>107</v>
      </c>
      <c r="E308" s="144">
        <v>1</v>
      </c>
      <c r="F308" s="65" t="s">
        <v>821</v>
      </c>
      <c r="G308" s="144" t="s">
        <v>121</v>
      </c>
      <c r="H308" s="66" t="s">
        <v>126</v>
      </c>
      <c r="I308" s="79" t="s">
        <v>822</v>
      </c>
      <c r="J308" s="144" t="s">
        <v>132</v>
      </c>
      <c r="K308" s="144" t="s">
        <v>3</v>
      </c>
      <c r="L308" s="66" t="s">
        <v>6</v>
      </c>
      <c r="M308" s="67" t="s">
        <v>814</v>
      </c>
      <c r="N308" s="187"/>
      <c r="O308" s="187"/>
      <c r="P308" s="187"/>
      <c r="Q308" s="144" t="s">
        <v>140</v>
      </c>
      <c r="R308" s="90"/>
      <c r="S308" s="90"/>
      <c r="T308" s="65" t="s">
        <v>823</v>
      </c>
      <c r="U308" s="144">
        <v>2026</v>
      </c>
      <c r="V308" s="99">
        <v>46030</v>
      </c>
      <c r="W308" s="90"/>
      <c r="X308" s="99">
        <v>46035</v>
      </c>
      <c r="Y308" s="188">
        <v>1687503.9</v>
      </c>
      <c r="Z308" s="189">
        <v>0</v>
      </c>
      <c r="AA308" s="188">
        <v>1687503.9</v>
      </c>
      <c r="AB308" s="188">
        <v>0</v>
      </c>
      <c r="AC308" s="188">
        <v>1687503.9</v>
      </c>
      <c r="AD308" s="188">
        <v>1687503.9</v>
      </c>
      <c r="AE308" s="68" t="s">
        <v>102</v>
      </c>
      <c r="AF308" s="68"/>
      <c r="AG308" s="68"/>
      <c r="AH308" s="190"/>
      <c r="AI308" s="191"/>
      <c r="AJ308" s="190"/>
      <c r="AK308" s="192"/>
      <c r="AL308" s="190"/>
      <c r="AM308" s="196" t="s">
        <v>182</v>
      </c>
      <c r="AN308" s="197"/>
      <c r="AO308" s="198"/>
      <c r="AP308" s="32"/>
      <c r="AQ308" s="32"/>
      <c r="AR308" s="30"/>
      <c r="AS308" s="33"/>
    </row>
    <row r="309" spans="1:45" ht="30" hidden="1" customHeight="1" x14ac:dyDescent="0.25">
      <c r="A309" s="135">
        <v>2026</v>
      </c>
      <c r="B309" s="66" t="s">
        <v>64</v>
      </c>
      <c r="C309" s="85" t="s">
        <v>140</v>
      </c>
      <c r="D309" s="144" t="s">
        <v>107</v>
      </c>
      <c r="E309" s="144">
        <v>1</v>
      </c>
      <c r="F309" s="65" t="s">
        <v>824</v>
      </c>
      <c r="G309" s="144" t="s">
        <v>121</v>
      </c>
      <c r="H309" s="66" t="s">
        <v>126</v>
      </c>
      <c r="I309" s="79" t="s">
        <v>825</v>
      </c>
      <c r="J309" s="144" t="s">
        <v>132</v>
      </c>
      <c r="K309" s="144" t="s">
        <v>3</v>
      </c>
      <c r="L309" s="66" t="s">
        <v>6</v>
      </c>
      <c r="M309" s="67" t="s">
        <v>814</v>
      </c>
      <c r="N309" s="187"/>
      <c r="O309" s="187"/>
      <c r="P309" s="187"/>
      <c r="Q309" s="144" t="s">
        <v>140</v>
      </c>
      <c r="R309" s="90"/>
      <c r="S309" s="90"/>
      <c r="T309" s="65" t="s">
        <v>826</v>
      </c>
      <c r="U309" s="144">
        <v>2026</v>
      </c>
      <c r="V309" s="99">
        <v>46030</v>
      </c>
      <c r="W309" s="90"/>
      <c r="X309" s="99">
        <v>46035</v>
      </c>
      <c r="Y309" s="188">
        <v>933296.1</v>
      </c>
      <c r="Z309" s="189">
        <v>0</v>
      </c>
      <c r="AA309" s="188">
        <v>933296.1</v>
      </c>
      <c r="AB309" s="188">
        <v>0</v>
      </c>
      <c r="AC309" s="188">
        <v>933296.1</v>
      </c>
      <c r="AD309" s="188">
        <v>933296.1</v>
      </c>
      <c r="AE309" s="68" t="s">
        <v>102</v>
      </c>
      <c r="AF309" s="68"/>
      <c r="AG309" s="68"/>
      <c r="AH309" s="190"/>
      <c r="AI309" s="191"/>
      <c r="AJ309" s="190"/>
      <c r="AK309" s="192"/>
      <c r="AL309" s="190"/>
      <c r="AM309" s="196" t="s">
        <v>182</v>
      </c>
    </row>
    <row r="310" spans="1:45" ht="30" hidden="1" customHeight="1" x14ac:dyDescent="0.25">
      <c r="A310" s="135">
        <v>2026</v>
      </c>
      <c r="B310" s="66" t="s">
        <v>64</v>
      </c>
      <c r="C310" s="85" t="s">
        <v>140</v>
      </c>
      <c r="D310" s="144" t="s">
        <v>107</v>
      </c>
      <c r="E310" s="144">
        <v>1</v>
      </c>
      <c r="F310" s="65" t="s">
        <v>827</v>
      </c>
      <c r="G310" s="144" t="s">
        <v>121</v>
      </c>
      <c r="H310" s="66" t="s">
        <v>126</v>
      </c>
      <c r="I310" s="79" t="s">
        <v>828</v>
      </c>
      <c r="J310" s="144" t="s">
        <v>132</v>
      </c>
      <c r="K310" s="144" t="s">
        <v>3</v>
      </c>
      <c r="L310" s="66" t="s">
        <v>6</v>
      </c>
      <c r="M310" s="67" t="s">
        <v>814</v>
      </c>
      <c r="N310" s="187"/>
      <c r="O310" s="187"/>
      <c r="P310" s="187"/>
      <c r="Q310" s="144" t="s">
        <v>140</v>
      </c>
      <c r="R310" s="90"/>
      <c r="S310" s="90"/>
      <c r="T310" s="65" t="s">
        <v>829</v>
      </c>
      <c r="U310" s="144">
        <v>2026</v>
      </c>
      <c r="V310" s="99">
        <v>46030</v>
      </c>
      <c r="W310" s="90"/>
      <c r="X310" s="99">
        <v>46035</v>
      </c>
      <c r="Y310" s="188">
        <v>1184400</v>
      </c>
      <c r="Z310" s="189">
        <v>0</v>
      </c>
      <c r="AA310" s="188">
        <v>1184400</v>
      </c>
      <c r="AB310" s="188">
        <v>0</v>
      </c>
      <c r="AC310" s="188">
        <v>1184400</v>
      </c>
      <c r="AD310" s="188">
        <v>1184400</v>
      </c>
      <c r="AE310" s="68" t="s">
        <v>102</v>
      </c>
      <c r="AF310" s="68"/>
      <c r="AG310" s="68"/>
      <c r="AH310" s="190"/>
      <c r="AI310" s="191"/>
      <c r="AJ310" s="190"/>
      <c r="AK310" s="192"/>
      <c r="AL310" s="190"/>
      <c r="AM310" s="196" t="s">
        <v>182</v>
      </c>
    </row>
    <row r="311" spans="1:45" ht="30" hidden="1" customHeight="1" x14ac:dyDescent="0.25">
      <c r="A311" s="135">
        <v>2026</v>
      </c>
      <c r="B311" s="66" t="s">
        <v>64</v>
      </c>
      <c r="C311" s="85" t="s">
        <v>140</v>
      </c>
      <c r="D311" s="144" t="s">
        <v>107</v>
      </c>
      <c r="E311" s="144">
        <v>1</v>
      </c>
      <c r="F311" s="65" t="s">
        <v>830</v>
      </c>
      <c r="G311" s="144" t="s">
        <v>121</v>
      </c>
      <c r="H311" s="66" t="s">
        <v>126</v>
      </c>
      <c r="I311" s="79" t="s">
        <v>831</v>
      </c>
      <c r="J311" s="144" t="s">
        <v>132</v>
      </c>
      <c r="K311" s="144" t="s">
        <v>3</v>
      </c>
      <c r="L311" s="66" t="s">
        <v>6</v>
      </c>
      <c r="M311" s="67" t="s">
        <v>814</v>
      </c>
      <c r="N311" s="187"/>
      <c r="O311" s="187"/>
      <c r="P311" s="187"/>
      <c r="Q311" s="144" t="s">
        <v>140</v>
      </c>
      <c r="R311" s="90"/>
      <c r="S311" s="90"/>
      <c r="T311" s="65" t="s">
        <v>832</v>
      </c>
      <c r="U311" s="144">
        <v>2026</v>
      </c>
      <c r="V311" s="99">
        <v>46030</v>
      </c>
      <c r="W311" s="90"/>
      <c r="X311" s="99">
        <v>46035</v>
      </c>
      <c r="Y311" s="188">
        <v>875616</v>
      </c>
      <c r="Z311" s="189">
        <v>0</v>
      </c>
      <c r="AA311" s="188">
        <v>875616</v>
      </c>
      <c r="AB311" s="188">
        <v>0</v>
      </c>
      <c r="AC311" s="188">
        <v>875616</v>
      </c>
      <c r="AD311" s="188">
        <v>875616</v>
      </c>
      <c r="AE311" s="68" t="s">
        <v>102</v>
      </c>
      <c r="AF311" s="68"/>
      <c r="AG311" s="68"/>
      <c r="AH311" s="190"/>
      <c r="AI311" s="191"/>
      <c r="AJ311" s="190"/>
      <c r="AK311" s="192"/>
      <c r="AL311" s="190"/>
      <c r="AM311" s="196" t="s">
        <v>182</v>
      </c>
    </row>
    <row r="312" spans="1:45" ht="30" hidden="1" customHeight="1" x14ac:dyDescent="0.25">
      <c r="A312" s="135">
        <v>2026</v>
      </c>
      <c r="B312" s="66" t="s">
        <v>64</v>
      </c>
      <c r="C312" s="85" t="s">
        <v>140</v>
      </c>
      <c r="D312" s="144" t="s">
        <v>107</v>
      </c>
      <c r="E312" s="144">
        <v>1</v>
      </c>
      <c r="F312" s="65" t="s">
        <v>833</v>
      </c>
      <c r="G312" s="144" t="s">
        <v>121</v>
      </c>
      <c r="H312" s="66" t="s">
        <v>126</v>
      </c>
      <c r="I312" s="79" t="s">
        <v>834</v>
      </c>
      <c r="J312" s="144" t="s">
        <v>132</v>
      </c>
      <c r="K312" s="144" t="s">
        <v>3</v>
      </c>
      <c r="L312" s="66" t="s">
        <v>6</v>
      </c>
      <c r="M312" s="67" t="s">
        <v>814</v>
      </c>
      <c r="N312" s="187"/>
      <c r="O312" s="187"/>
      <c r="P312" s="187"/>
      <c r="Q312" s="144" t="s">
        <v>140</v>
      </c>
      <c r="R312" s="90"/>
      <c r="S312" s="90"/>
      <c r="T312" s="65" t="s">
        <v>835</v>
      </c>
      <c r="U312" s="144">
        <v>2026</v>
      </c>
      <c r="V312" s="99">
        <v>46030</v>
      </c>
      <c r="W312" s="90"/>
      <c r="X312" s="99">
        <v>46035</v>
      </c>
      <c r="Y312" s="188">
        <v>625408</v>
      </c>
      <c r="Z312" s="189">
        <v>0</v>
      </c>
      <c r="AA312" s="188">
        <v>625408</v>
      </c>
      <c r="AB312" s="188">
        <v>0</v>
      </c>
      <c r="AC312" s="188">
        <v>625408</v>
      </c>
      <c r="AD312" s="188">
        <v>625408</v>
      </c>
      <c r="AE312" s="68" t="s">
        <v>102</v>
      </c>
      <c r="AF312" s="68"/>
      <c r="AG312" s="68"/>
      <c r="AH312" s="190"/>
      <c r="AI312" s="191"/>
      <c r="AJ312" s="190"/>
      <c r="AK312" s="192"/>
      <c r="AL312" s="190"/>
      <c r="AM312" s="196" t="s">
        <v>182</v>
      </c>
    </row>
    <row r="313" spans="1:45" ht="30" hidden="1" customHeight="1" x14ac:dyDescent="0.25">
      <c r="A313" s="135">
        <v>2026</v>
      </c>
      <c r="B313" s="66" t="s">
        <v>64</v>
      </c>
      <c r="C313" s="85" t="s">
        <v>140</v>
      </c>
      <c r="D313" s="144" t="s">
        <v>107</v>
      </c>
      <c r="E313" s="144">
        <v>1</v>
      </c>
      <c r="F313" s="65" t="s">
        <v>836</v>
      </c>
      <c r="G313" s="144" t="s">
        <v>121</v>
      </c>
      <c r="H313" s="66" t="s">
        <v>126</v>
      </c>
      <c r="I313" s="79" t="s">
        <v>837</v>
      </c>
      <c r="J313" s="144" t="s">
        <v>132</v>
      </c>
      <c r="K313" s="144" t="s">
        <v>3</v>
      </c>
      <c r="L313" s="66" t="s">
        <v>6</v>
      </c>
      <c r="M313" s="67" t="s">
        <v>814</v>
      </c>
      <c r="N313" s="187"/>
      <c r="O313" s="187"/>
      <c r="P313" s="187"/>
      <c r="Q313" s="144" t="s">
        <v>140</v>
      </c>
      <c r="R313" s="90"/>
      <c r="S313" s="90"/>
      <c r="T313" s="65" t="s">
        <v>835</v>
      </c>
      <c r="U313" s="144">
        <v>2026</v>
      </c>
      <c r="V313" s="99">
        <v>46030</v>
      </c>
      <c r="W313" s="90"/>
      <c r="X313" s="99">
        <v>46035</v>
      </c>
      <c r="Y313" s="188">
        <v>1156108.8</v>
      </c>
      <c r="Z313" s="189">
        <v>0</v>
      </c>
      <c r="AA313" s="188">
        <v>1156108.8</v>
      </c>
      <c r="AB313" s="188">
        <v>0</v>
      </c>
      <c r="AC313" s="188">
        <v>1156108.8</v>
      </c>
      <c r="AD313" s="188">
        <v>1156108.8</v>
      </c>
      <c r="AE313" s="68" t="s">
        <v>102</v>
      </c>
      <c r="AF313" s="68"/>
      <c r="AG313" s="68"/>
      <c r="AH313" s="190"/>
      <c r="AI313" s="191"/>
      <c r="AJ313" s="190"/>
      <c r="AK313" s="192"/>
      <c r="AL313" s="190"/>
      <c r="AM313" s="196" t="s">
        <v>182</v>
      </c>
    </row>
    <row r="314" spans="1:45" ht="30" hidden="1" customHeight="1" x14ac:dyDescent="0.25">
      <c r="A314" s="135">
        <v>2026</v>
      </c>
      <c r="B314" s="66" t="s">
        <v>64</v>
      </c>
      <c r="C314" s="85" t="s">
        <v>140</v>
      </c>
      <c r="D314" s="144" t="s">
        <v>107</v>
      </c>
      <c r="E314" s="144">
        <v>1</v>
      </c>
      <c r="F314" s="65" t="s">
        <v>838</v>
      </c>
      <c r="G314" s="144" t="s">
        <v>121</v>
      </c>
      <c r="H314" s="66" t="s">
        <v>126</v>
      </c>
      <c r="I314" s="79" t="s">
        <v>839</v>
      </c>
      <c r="J314" s="144" t="s">
        <v>132</v>
      </c>
      <c r="K314" s="144" t="s">
        <v>3</v>
      </c>
      <c r="L314" s="66" t="s">
        <v>6</v>
      </c>
      <c r="M314" s="67" t="s">
        <v>814</v>
      </c>
      <c r="N314" s="187"/>
      <c r="O314" s="187"/>
      <c r="P314" s="187"/>
      <c r="Q314" s="144" t="s">
        <v>140</v>
      </c>
      <c r="R314" s="90"/>
      <c r="S314" s="90"/>
      <c r="T314" s="65" t="s">
        <v>840</v>
      </c>
      <c r="U314" s="144">
        <v>2026</v>
      </c>
      <c r="V314" s="99">
        <v>46030</v>
      </c>
      <c r="W314" s="90"/>
      <c r="X314" s="99">
        <v>46035</v>
      </c>
      <c r="Y314" s="188">
        <v>817935.9</v>
      </c>
      <c r="Z314" s="189">
        <v>0</v>
      </c>
      <c r="AA314" s="188">
        <v>817935.9</v>
      </c>
      <c r="AB314" s="188">
        <v>0</v>
      </c>
      <c r="AC314" s="188">
        <v>817935.9</v>
      </c>
      <c r="AD314" s="188">
        <v>817935.9</v>
      </c>
      <c r="AE314" s="68" t="s">
        <v>102</v>
      </c>
      <c r="AF314" s="68"/>
      <c r="AG314" s="68"/>
      <c r="AH314" s="190"/>
      <c r="AI314" s="191"/>
      <c r="AJ314" s="190"/>
      <c r="AK314" s="192"/>
      <c r="AL314" s="190"/>
      <c r="AM314" s="196" t="s">
        <v>182</v>
      </c>
    </row>
    <row r="315" spans="1:45" ht="30" hidden="1" customHeight="1" x14ac:dyDescent="0.25">
      <c r="A315" s="135">
        <v>2026</v>
      </c>
      <c r="B315" s="66" t="s">
        <v>64</v>
      </c>
      <c r="C315" s="85" t="s">
        <v>140</v>
      </c>
      <c r="D315" s="144" t="s">
        <v>107</v>
      </c>
      <c r="E315" s="144">
        <v>1</v>
      </c>
      <c r="F315" s="65" t="s">
        <v>841</v>
      </c>
      <c r="G315" s="144" t="s">
        <v>121</v>
      </c>
      <c r="H315" s="66" t="s">
        <v>126</v>
      </c>
      <c r="I315" s="79" t="s">
        <v>842</v>
      </c>
      <c r="J315" s="144" t="s">
        <v>132</v>
      </c>
      <c r="K315" s="144" t="s">
        <v>3</v>
      </c>
      <c r="L315" s="66" t="s">
        <v>6</v>
      </c>
      <c r="M315" s="67" t="s">
        <v>814</v>
      </c>
      <c r="N315" s="187"/>
      <c r="O315" s="187"/>
      <c r="P315" s="187"/>
      <c r="Q315" s="144" t="s">
        <v>140</v>
      </c>
      <c r="R315" s="90"/>
      <c r="S315" s="90"/>
      <c r="T315" s="65" t="s">
        <v>843</v>
      </c>
      <c r="U315" s="144">
        <v>2026</v>
      </c>
      <c r="V315" s="99">
        <v>46030</v>
      </c>
      <c r="W315" s="90"/>
      <c r="X315" s="99">
        <v>46035</v>
      </c>
      <c r="Y315" s="188">
        <v>882000</v>
      </c>
      <c r="Z315" s="189">
        <v>0</v>
      </c>
      <c r="AA315" s="188">
        <v>882000</v>
      </c>
      <c r="AB315" s="188">
        <v>0</v>
      </c>
      <c r="AC315" s="188">
        <v>882000</v>
      </c>
      <c r="AD315" s="188">
        <v>882000</v>
      </c>
      <c r="AE315" s="68" t="s">
        <v>102</v>
      </c>
      <c r="AF315" s="68"/>
      <c r="AG315" s="68"/>
      <c r="AH315" s="190"/>
      <c r="AI315" s="191"/>
      <c r="AJ315" s="190"/>
      <c r="AK315" s="192"/>
      <c r="AL315" s="190"/>
      <c r="AM315" s="196" t="s">
        <v>182</v>
      </c>
    </row>
    <row r="316" spans="1:45" ht="30" hidden="1" customHeight="1" x14ac:dyDescent="0.25">
      <c r="A316" s="135">
        <v>2026</v>
      </c>
      <c r="B316" s="66" t="s">
        <v>64</v>
      </c>
      <c r="C316" s="85" t="s">
        <v>140</v>
      </c>
      <c r="D316" s="144" t="s">
        <v>107</v>
      </c>
      <c r="E316" s="144">
        <v>1</v>
      </c>
      <c r="F316" s="65" t="s">
        <v>844</v>
      </c>
      <c r="G316" s="144" t="s">
        <v>121</v>
      </c>
      <c r="H316" s="66" t="s">
        <v>126</v>
      </c>
      <c r="I316" s="79" t="s">
        <v>845</v>
      </c>
      <c r="J316" s="144" t="s">
        <v>132</v>
      </c>
      <c r="K316" s="144" t="s">
        <v>3</v>
      </c>
      <c r="L316" s="66" t="s">
        <v>6</v>
      </c>
      <c r="M316" s="67" t="s">
        <v>814</v>
      </c>
      <c r="N316" s="187"/>
      <c r="O316" s="187"/>
      <c r="P316" s="187"/>
      <c r="Q316" s="144" t="s">
        <v>140</v>
      </c>
      <c r="R316" s="90"/>
      <c r="S316" s="90"/>
      <c r="T316" s="65" t="s">
        <v>846</v>
      </c>
      <c r="U316" s="144">
        <v>2026</v>
      </c>
      <c r="V316" s="99">
        <v>46030</v>
      </c>
      <c r="W316" s="90"/>
      <c r="X316" s="99">
        <v>46035</v>
      </c>
      <c r="Y316" s="188">
        <v>991872</v>
      </c>
      <c r="Z316" s="189">
        <v>0</v>
      </c>
      <c r="AA316" s="188">
        <v>1190246.3999999999</v>
      </c>
      <c r="AB316" s="188">
        <v>0</v>
      </c>
      <c r="AC316" s="188">
        <v>991872</v>
      </c>
      <c r="AD316" s="188">
        <v>1190246.3999999999</v>
      </c>
      <c r="AE316" s="68" t="s">
        <v>102</v>
      </c>
      <c r="AF316" s="68"/>
      <c r="AG316" s="68"/>
      <c r="AH316" s="190"/>
      <c r="AI316" s="191"/>
      <c r="AJ316" s="190"/>
      <c r="AK316" s="192"/>
      <c r="AL316" s="190"/>
      <c r="AM316" s="196" t="s">
        <v>182</v>
      </c>
    </row>
    <row r="317" spans="1:45" ht="30" hidden="1" customHeight="1" x14ac:dyDescent="0.25">
      <c r="A317" s="135">
        <v>2026</v>
      </c>
      <c r="B317" s="66" t="s">
        <v>64</v>
      </c>
      <c r="C317" s="85" t="s">
        <v>140</v>
      </c>
      <c r="D317" s="144" t="s">
        <v>107</v>
      </c>
      <c r="E317" s="144">
        <v>1</v>
      </c>
      <c r="F317" s="65" t="s">
        <v>847</v>
      </c>
      <c r="G317" s="144" t="s">
        <v>121</v>
      </c>
      <c r="H317" s="66" t="s">
        <v>126</v>
      </c>
      <c r="I317" s="79" t="s">
        <v>848</v>
      </c>
      <c r="J317" s="144" t="s">
        <v>132</v>
      </c>
      <c r="K317" s="144" t="s">
        <v>3</v>
      </c>
      <c r="L317" s="66" t="s">
        <v>6</v>
      </c>
      <c r="M317" s="67" t="s">
        <v>814</v>
      </c>
      <c r="N317" s="187"/>
      <c r="O317" s="187"/>
      <c r="P317" s="187"/>
      <c r="Q317" s="144" t="s">
        <v>140</v>
      </c>
      <c r="R317" s="90"/>
      <c r="S317" s="90"/>
      <c r="T317" s="65" t="s">
        <v>846</v>
      </c>
      <c r="U317" s="144">
        <v>2026</v>
      </c>
      <c r="V317" s="99">
        <v>46030</v>
      </c>
      <c r="W317" s="90"/>
      <c r="X317" s="99">
        <v>46035</v>
      </c>
      <c r="Y317" s="188">
        <v>2334998.4</v>
      </c>
      <c r="Z317" s="189">
        <v>0</v>
      </c>
      <c r="AA317" s="188">
        <v>2334998.4</v>
      </c>
      <c r="AB317" s="188">
        <v>0</v>
      </c>
      <c r="AC317" s="188">
        <v>2334998.4</v>
      </c>
      <c r="AD317" s="188">
        <v>2334998.4</v>
      </c>
      <c r="AE317" s="68" t="s">
        <v>102</v>
      </c>
      <c r="AF317" s="68"/>
      <c r="AG317" s="68"/>
      <c r="AH317" s="190"/>
      <c r="AI317" s="191"/>
      <c r="AJ317" s="190"/>
      <c r="AK317" s="192"/>
      <c r="AL317" s="190"/>
      <c r="AM317" s="196" t="s">
        <v>182</v>
      </c>
    </row>
    <row r="318" spans="1:45" ht="30" hidden="1" customHeight="1" x14ac:dyDescent="0.25">
      <c r="A318" s="135">
        <v>2026</v>
      </c>
      <c r="B318" s="66" t="s">
        <v>64</v>
      </c>
      <c r="C318" s="85" t="s">
        <v>140</v>
      </c>
      <c r="D318" s="144" t="s">
        <v>107</v>
      </c>
      <c r="E318" s="144">
        <v>1</v>
      </c>
      <c r="F318" s="65" t="s">
        <v>849</v>
      </c>
      <c r="G318" s="144" t="s">
        <v>121</v>
      </c>
      <c r="H318" s="66" t="s">
        <v>126</v>
      </c>
      <c r="I318" s="79" t="s">
        <v>850</v>
      </c>
      <c r="J318" s="144" t="s">
        <v>132</v>
      </c>
      <c r="K318" s="144" t="s">
        <v>3</v>
      </c>
      <c r="L318" s="66" t="s">
        <v>6</v>
      </c>
      <c r="M318" s="67" t="s">
        <v>814</v>
      </c>
      <c r="N318" s="187"/>
      <c r="O318" s="187"/>
      <c r="P318" s="187"/>
      <c r="Q318" s="144" t="s">
        <v>140</v>
      </c>
      <c r="R318" s="90"/>
      <c r="S318" s="90"/>
      <c r="T318" s="65" t="s">
        <v>846</v>
      </c>
      <c r="U318" s="144">
        <v>2026</v>
      </c>
      <c r="V318" s="99">
        <v>46030</v>
      </c>
      <c r="W318" s="90"/>
      <c r="X318" s="99">
        <v>46035</v>
      </c>
      <c r="Y318" s="188">
        <v>1003520.1</v>
      </c>
      <c r="Z318" s="189">
        <v>0</v>
      </c>
      <c r="AA318" s="188">
        <v>1204224.1200000001</v>
      </c>
      <c r="AB318" s="188">
        <v>0</v>
      </c>
      <c r="AC318" s="188">
        <v>1003520.1</v>
      </c>
      <c r="AD318" s="188">
        <v>1204224.1200000001</v>
      </c>
      <c r="AE318" s="68" t="s">
        <v>102</v>
      </c>
      <c r="AF318" s="68"/>
      <c r="AG318" s="68"/>
      <c r="AH318" s="190"/>
      <c r="AI318" s="191"/>
      <c r="AJ318" s="190"/>
      <c r="AK318" s="192"/>
      <c r="AL318" s="190"/>
      <c r="AM318" s="196" t="s">
        <v>182</v>
      </c>
    </row>
    <row r="319" spans="1:45" ht="30" hidden="1" customHeight="1" x14ac:dyDescent="0.25">
      <c r="A319" s="135">
        <v>2026</v>
      </c>
      <c r="B319" s="66" t="s">
        <v>64</v>
      </c>
      <c r="C319" s="85" t="s">
        <v>140</v>
      </c>
      <c r="D319" s="144" t="s">
        <v>107</v>
      </c>
      <c r="E319" s="144">
        <v>1</v>
      </c>
      <c r="F319" s="65" t="s">
        <v>851</v>
      </c>
      <c r="G319" s="144" t="s">
        <v>121</v>
      </c>
      <c r="H319" s="66" t="s">
        <v>126</v>
      </c>
      <c r="I319" s="79" t="s">
        <v>852</v>
      </c>
      <c r="J319" s="144" t="s">
        <v>132</v>
      </c>
      <c r="K319" s="144" t="s">
        <v>3</v>
      </c>
      <c r="L319" s="66" t="s">
        <v>6</v>
      </c>
      <c r="M319" s="67" t="s">
        <v>814</v>
      </c>
      <c r="N319" s="187"/>
      <c r="O319" s="187"/>
      <c r="P319" s="187"/>
      <c r="Q319" s="144" t="s">
        <v>140</v>
      </c>
      <c r="R319" s="90"/>
      <c r="S319" s="90"/>
      <c r="T319" s="65" t="s">
        <v>846</v>
      </c>
      <c r="U319" s="144">
        <v>2026</v>
      </c>
      <c r="V319" s="99">
        <v>46030</v>
      </c>
      <c r="W319" s="90"/>
      <c r="X319" s="99">
        <v>46035</v>
      </c>
      <c r="Y319" s="188">
        <v>857919.9</v>
      </c>
      <c r="Z319" s="189">
        <v>0</v>
      </c>
      <c r="AA319" s="188">
        <v>1029503.88</v>
      </c>
      <c r="AB319" s="188">
        <v>0</v>
      </c>
      <c r="AC319" s="188">
        <v>857919.9</v>
      </c>
      <c r="AD319" s="188">
        <v>1029503.88</v>
      </c>
      <c r="AE319" s="68" t="s">
        <v>102</v>
      </c>
      <c r="AF319" s="68"/>
      <c r="AG319" s="68"/>
      <c r="AH319" s="190"/>
      <c r="AI319" s="191"/>
      <c r="AJ319" s="190"/>
      <c r="AK319" s="192"/>
      <c r="AL319" s="190"/>
      <c r="AM319" s="196" t="s">
        <v>182</v>
      </c>
    </row>
    <row r="320" spans="1:45" ht="30" hidden="1" customHeight="1" x14ac:dyDescent="0.25">
      <c r="A320" s="135">
        <v>2026</v>
      </c>
      <c r="B320" s="66" t="s">
        <v>64</v>
      </c>
      <c r="C320" s="85" t="s">
        <v>140</v>
      </c>
      <c r="D320" s="144" t="s">
        <v>107</v>
      </c>
      <c r="E320" s="144">
        <v>1</v>
      </c>
      <c r="F320" s="65" t="s">
        <v>853</v>
      </c>
      <c r="G320" s="144" t="s">
        <v>121</v>
      </c>
      <c r="H320" s="66" t="s">
        <v>126</v>
      </c>
      <c r="I320" s="79" t="s">
        <v>854</v>
      </c>
      <c r="J320" s="144" t="s">
        <v>132</v>
      </c>
      <c r="K320" s="144" t="s">
        <v>3</v>
      </c>
      <c r="L320" s="66" t="s">
        <v>6</v>
      </c>
      <c r="M320" s="67" t="s">
        <v>814</v>
      </c>
      <c r="N320" s="187"/>
      <c r="O320" s="187"/>
      <c r="P320" s="187"/>
      <c r="Q320" s="144" t="s">
        <v>140</v>
      </c>
      <c r="R320" s="90"/>
      <c r="S320" s="90"/>
      <c r="T320" s="65" t="s">
        <v>855</v>
      </c>
      <c r="U320" s="144">
        <v>2026</v>
      </c>
      <c r="V320" s="99">
        <v>46030</v>
      </c>
      <c r="W320" s="90"/>
      <c r="X320" s="99">
        <v>46035</v>
      </c>
      <c r="Y320" s="188">
        <v>491736</v>
      </c>
      <c r="Z320" s="189">
        <v>0</v>
      </c>
      <c r="AA320" s="188">
        <v>491736</v>
      </c>
      <c r="AB320" s="188">
        <v>0</v>
      </c>
      <c r="AC320" s="188">
        <v>491736</v>
      </c>
      <c r="AD320" s="188">
        <v>491736</v>
      </c>
      <c r="AE320" s="68" t="s">
        <v>102</v>
      </c>
      <c r="AF320" s="68"/>
      <c r="AG320" s="68"/>
      <c r="AH320" s="190"/>
      <c r="AI320" s="191"/>
      <c r="AJ320" s="190"/>
      <c r="AK320" s="192"/>
      <c r="AL320" s="190"/>
      <c r="AM320" s="196" t="s">
        <v>182</v>
      </c>
    </row>
    <row r="321" spans="1:39" ht="30" hidden="1" customHeight="1" x14ac:dyDescent="0.25">
      <c r="A321" s="135">
        <v>2026</v>
      </c>
      <c r="B321" s="66" t="s">
        <v>64</v>
      </c>
      <c r="C321" s="85" t="s">
        <v>140</v>
      </c>
      <c r="D321" s="144" t="s">
        <v>107</v>
      </c>
      <c r="E321" s="144">
        <v>1</v>
      </c>
      <c r="F321" s="65" t="s">
        <v>856</v>
      </c>
      <c r="G321" s="144" t="s">
        <v>121</v>
      </c>
      <c r="H321" s="66" t="s">
        <v>126</v>
      </c>
      <c r="I321" s="79" t="s">
        <v>857</v>
      </c>
      <c r="J321" s="144" t="s">
        <v>132</v>
      </c>
      <c r="K321" s="144" t="s">
        <v>3</v>
      </c>
      <c r="L321" s="66" t="s">
        <v>6</v>
      </c>
      <c r="M321" s="67" t="s">
        <v>814</v>
      </c>
      <c r="N321" s="187"/>
      <c r="O321" s="187"/>
      <c r="P321" s="187"/>
      <c r="Q321" s="144" t="s">
        <v>140</v>
      </c>
      <c r="R321" s="90"/>
      <c r="S321" s="90"/>
      <c r="T321" s="65" t="s">
        <v>855</v>
      </c>
      <c r="U321" s="144">
        <v>2026</v>
      </c>
      <c r="V321" s="99">
        <v>46030</v>
      </c>
      <c r="W321" s="90"/>
      <c r="X321" s="99">
        <v>46038</v>
      </c>
      <c r="Y321" s="188">
        <v>2335872</v>
      </c>
      <c r="Z321" s="189">
        <v>0</v>
      </c>
      <c r="AA321" s="188">
        <v>2335872</v>
      </c>
      <c r="AB321" s="188">
        <v>0</v>
      </c>
      <c r="AC321" s="188">
        <v>2335872</v>
      </c>
      <c r="AD321" s="188">
        <v>2335872</v>
      </c>
      <c r="AE321" s="68" t="s">
        <v>102</v>
      </c>
      <c r="AF321" s="68"/>
      <c r="AG321" s="68"/>
      <c r="AH321" s="190"/>
      <c r="AI321" s="191"/>
      <c r="AJ321" s="190"/>
      <c r="AK321" s="192"/>
      <c r="AL321" s="190"/>
      <c r="AM321" s="196" t="s">
        <v>182</v>
      </c>
    </row>
    <row r="322" spans="1:39" ht="30" hidden="1" customHeight="1" x14ac:dyDescent="0.25">
      <c r="A322" s="135">
        <v>2026</v>
      </c>
      <c r="B322" s="66" t="s">
        <v>64</v>
      </c>
      <c r="C322" s="85" t="s">
        <v>140</v>
      </c>
      <c r="D322" s="144" t="s">
        <v>107</v>
      </c>
      <c r="E322" s="144">
        <v>1</v>
      </c>
      <c r="F322" s="65" t="s">
        <v>858</v>
      </c>
      <c r="G322" s="144" t="s">
        <v>121</v>
      </c>
      <c r="H322" s="66" t="s">
        <v>126</v>
      </c>
      <c r="I322" s="79" t="s">
        <v>859</v>
      </c>
      <c r="J322" s="144" t="s">
        <v>132</v>
      </c>
      <c r="K322" s="144" t="s">
        <v>3</v>
      </c>
      <c r="L322" s="66" t="s">
        <v>6</v>
      </c>
      <c r="M322" s="67" t="s">
        <v>814</v>
      </c>
      <c r="N322" s="187"/>
      <c r="O322" s="187"/>
      <c r="P322" s="187"/>
      <c r="Q322" s="144" t="s">
        <v>140</v>
      </c>
      <c r="R322" s="90"/>
      <c r="S322" s="90"/>
      <c r="T322" s="65" t="s">
        <v>860</v>
      </c>
      <c r="U322" s="144">
        <v>2026</v>
      </c>
      <c r="V322" s="99">
        <v>46030</v>
      </c>
      <c r="W322" s="90"/>
      <c r="X322" s="99">
        <v>46038</v>
      </c>
      <c r="Y322" s="188">
        <v>1713936</v>
      </c>
      <c r="Z322" s="189">
        <v>0</v>
      </c>
      <c r="AA322" s="188">
        <v>1713936</v>
      </c>
      <c r="AB322" s="188">
        <v>0</v>
      </c>
      <c r="AC322" s="188">
        <v>1713936</v>
      </c>
      <c r="AD322" s="188">
        <v>1713936</v>
      </c>
      <c r="AE322" s="68" t="s">
        <v>102</v>
      </c>
      <c r="AF322" s="68"/>
      <c r="AG322" s="68"/>
      <c r="AH322" s="190"/>
      <c r="AI322" s="191"/>
      <c r="AJ322" s="190"/>
      <c r="AK322" s="192"/>
      <c r="AL322" s="190"/>
      <c r="AM322" s="196" t="s">
        <v>182</v>
      </c>
    </row>
    <row r="323" spans="1:39" ht="30" hidden="1" customHeight="1" x14ac:dyDescent="0.25">
      <c r="A323" s="135">
        <v>2026</v>
      </c>
      <c r="B323" s="66" t="s">
        <v>69</v>
      </c>
      <c r="C323" s="73" t="s">
        <v>172</v>
      </c>
      <c r="D323" s="144" t="s">
        <v>114</v>
      </c>
      <c r="E323" s="144">
        <v>1</v>
      </c>
      <c r="F323" s="65" t="s">
        <v>861</v>
      </c>
      <c r="G323" s="144" t="s">
        <v>121</v>
      </c>
      <c r="H323" s="66" t="s">
        <v>126</v>
      </c>
      <c r="I323" s="79" t="s">
        <v>862</v>
      </c>
      <c r="J323" s="144" t="s">
        <v>132</v>
      </c>
      <c r="K323" s="144" t="s">
        <v>3</v>
      </c>
      <c r="L323" s="66" t="s">
        <v>6</v>
      </c>
      <c r="M323" s="67" t="s">
        <v>863</v>
      </c>
      <c r="N323" s="187"/>
      <c r="O323" s="187"/>
      <c r="P323" s="187"/>
      <c r="Q323" s="144" t="s">
        <v>140</v>
      </c>
      <c r="R323" s="90"/>
      <c r="S323" s="90"/>
      <c r="T323" s="65" t="s">
        <v>864</v>
      </c>
      <c r="U323" s="144">
        <v>2026</v>
      </c>
      <c r="V323" s="99">
        <v>46031</v>
      </c>
      <c r="W323" s="90"/>
      <c r="X323" s="99">
        <v>46031</v>
      </c>
      <c r="Y323" s="188">
        <v>5300</v>
      </c>
      <c r="Z323" s="189">
        <v>0</v>
      </c>
      <c r="AA323" s="188">
        <v>6360</v>
      </c>
      <c r="AB323" s="188">
        <v>0</v>
      </c>
      <c r="AC323" s="188">
        <v>5300</v>
      </c>
      <c r="AD323" s="188">
        <v>6360</v>
      </c>
      <c r="AE323" s="68" t="s">
        <v>102</v>
      </c>
      <c r="AF323" s="68"/>
      <c r="AG323" s="68"/>
      <c r="AH323" s="190"/>
      <c r="AI323" s="191"/>
      <c r="AJ323" s="190"/>
      <c r="AK323" s="192"/>
      <c r="AL323" s="190"/>
      <c r="AM323" s="196" t="s">
        <v>182</v>
      </c>
    </row>
    <row r="324" spans="1:39" ht="30" hidden="1" customHeight="1" x14ac:dyDescent="0.25">
      <c r="A324" s="135">
        <v>2026</v>
      </c>
      <c r="B324" s="66" t="s">
        <v>77</v>
      </c>
      <c r="C324" s="85" t="s">
        <v>172</v>
      </c>
      <c r="D324" s="144" t="s">
        <v>114</v>
      </c>
      <c r="E324" s="144">
        <v>1</v>
      </c>
      <c r="F324" s="65" t="s">
        <v>865</v>
      </c>
      <c r="G324" s="144" t="s">
        <v>121</v>
      </c>
      <c r="H324" s="66" t="s">
        <v>126</v>
      </c>
      <c r="I324" s="79" t="s">
        <v>866</v>
      </c>
      <c r="J324" s="144" t="s">
        <v>132</v>
      </c>
      <c r="K324" s="144" t="s">
        <v>3</v>
      </c>
      <c r="L324" s="66" t="s">
        <v>6</v>
      </c>
      <c r="M324" s="65" t="s">
        <v>180</v>
      </c>
      <c r="N324" s="187"/>
      <c r="O324" s="187"/>
      <c r="P324" s="187"/>
      <c r="Q324" s="144" t="s">
        <v>138</v>
      </c>
      <c r="R324" s="90"/>
      <c r="S324" s="90"/>
      <c r="T324" s="65" t="s">
        <v>867</v>
      </c>
      <c r="U324" s="144">
        <v>2026</v>
      </c>
      <c r="V324" s="99">
        <v>46041</v>
      </c>
      <c r="W324" s="90"/>
      <c r="X324" s="99">
        <v>46045</v>
      </c>
      <c r="Y324" s="188">
        <v>146341.46</v>
      </c>
      <c r="Z324" s="189">
        <v>0</v>
      </c>
      <c r="AA324" s="188">
        <v>146341.46</v>
      </c>
      <c r="AB324" s="188">
        <v>0</v>
      </c>
      <c r="AC324" s="188">
        <v>146341.46</v>
      </c>
      <c r="AD324" s="188">
        <v>146341.46</v>
      </c>
      <c r="AE324" s="68" t="s">
        <v>102</v>
      </c>
      <c r="AF324" s="68"/>
      <c r="AG324" s="68"/>
      <c r="AH324" s="190"/>
      <c r="AI324" s="191"/>
      <c r="AJ324" s="190"/>
      <c r="AK324" s="192"/>
      <c r="AL324" s="190"/>
      <c r="AM324" s="196" t="s">
        <v>182</v>
      </c>
    </row>
    <row r="325" spans="1:39" ht="30" hidden="1" customHeight="1" x14ac:dyDescent="0.25">
      <c r="A325" s="135">
        <v>2026</v>
      </c>
      <c r="B325" s="66" t="s">
        <v>66</v>
      </c>
      <c r="C325" s="85" t="s">
        <v>172</v>
      </c>
      <c r="D325" s="144" t="s">
        <v>114</v>
      </c>
      <c r="E325" s="144">
        <v>1</v>
      </c>
      <c r="F325" s="65" t="s">
        <v>868</v>
      </c>
      <c r="G325" s="144" t="s">
        <v>121</v>
      </c>
      <c r="H325" s="66" t="s">
        <v>126</v>
      </c>
      <c r="I325" s="79" t="s">
        <v>869</v>
      </c>
      <c r="J325" s="144" t="s">
        <v>132</v>
      </c>
      <c r="K325" s="144" t="s">
        <v>3</v>
      </c>
      <c r="L325" s="66" t="s">
        <v>6</v>
      </c>
      <c r="M325" s="67" t="s">
        <v>27</v>
      </c>
      <c r="N325" s="187"/>
      <c r="O325" s="187"/>
      <c r="P325" s="187"/>
      <c r="Q325" s="144" t="s">
        <v>140</v>
      </c>
      <c r="R325" s="90"/>
      <c r="S325" s="90"/>
      <c r="T325" s="65" t="s">
        <v>870</v>
      </c>
      <c r="U325" s="144">
        <v>2026</v>
      </c>
      <c r="V325" s="99">
        <v>46041</v>
      </c>
      <c r="W325" s="90"/>
      <c r="X325" s="99">
        <v>46042</v>
      </c>
      <c r="Y325" s="188">
        <v>5600001.5999999996</v>
      </c>
      <c r="Z325" s="189">
        <v>0</v>
      </c>
      <c r="AA325" s="188">
        <v>6720001.9199999999</v>
      </c>
      <c r="AB325" s="188">
        <v>0</v>
      </c>
      <c r="AC325" s="188">
        <v>5600001.5999999996</v>
      </c>
      <c r="AD325" s="188">
        <v>6720001.9199999999</v>
      </c>
      <c r="AE325" s="68" t="s">
        <v>102</v>
      </c>
      <c r="AF325" s="68"/>
      <c r="AG325" s="68"/>
      <c r="AH325" s="190"/>
      <c r="AI325" s="191"/>
      <c r="AJ325" s="190"/>
      <c r="AK325" s="192"/>
      <c r="AL325" s="190"/>
      <c r="AM325" s="196" t="s">
        <v>182</v>
      </c>
    </row>
    <row r="326" spans="1:39" ht="30" hidden="1" customHeight="1" x14ac:dyDescent="0.25">
      <c r="A326" s="135">
        <v>2025</v>
      </c>
      <c r="B326" s="66" t="s">
        <v>60</v>
      </c>
      <c r="C326" s="65" t="s">
        <v>871</v>
      </c>
      <c r="D326" s="144" t="s">
        <v>106</v>
      </c>
      <c r="E326" s="144">
        <v>1</v>
      </c>
      <c r="F326" s="65" t="s">
        <v>872</v>
      </c>
      <c r="G326" s="144" t="s">
        <v>121</v>
      </c>
      <c r="H326" s="66" t="s">
        <v>126</v>
      </c>
      <c r="I326" s="79" t="s">
        <v>873</v>
      </c>
      <c r="J326" s="144" t="s">
        <v>131</v>
      </c>
      <c r="K326" s="144" t="s">
        <v>3</v>
      </c>
      <c r="L326" s="66" t="s">
        <v>6</v>
      </c>
      <c r="M326" s="67" t="s">
        <v>874</v>
      </c>
      <c r="N326" s="199">
        <v>11848790.83</v>
      </c>
      <c r="O326" s="199">
        <v>10066942.08</v>
      </c>
      <c r="P326" s="199">
        <f t="shared" ref="P326:P334" si="34">O326/1.2</f>
        <v>8389118.4000000004</v>
      </c>
      <c r="Q326" s="144" t="s">
        <v>139</v>
      </c>
      <c r="R326" s="45">
        <v>46054</v>
      </c>
      <c r="S326" s="45">
        <v>47150</v>
      </c>
      <c r="T326" s="65" t="s">
        <v>875</v>
      </c>
      <c r="U326" s="144">
        <v>2026</v>
      </c>
      <c r="V326" s="99">
        <v>46044</v>
      </c>
      <c r="W326" s="90"/>
      <c r="X326" s="99">
        <v>46049</v>
      </c>
      <c r="Y326" s="188">
        <f>AA326/1.2</f>
        <v>7666035.5083333328</v>
      </c>
      <c r="Z326" s="189">
        <v>0</v>
      </c>
      <c r="AA326" s="188">
        <v>9199242.6099999994</v>
      </c>
      <c r="AB326" s="188">
        <v>0</v>
      </c>
      <c r="AC326" s="188">
        <f>Y326</f>
        <v>7666035.5083333328</v>
      </c>
      <c r="AD326" s="188">
        <f>AA326</f>
        <v>9199242.6099999994</v>
      </c>
      <c r="AE326" s="68" t="s">
        <v>102</v>
      </c>
      <c r="AF326" s="68"/>
      <c r="AG326" s="68"/>
      <c r="AH326" s="190"/>
      <c r="AI326" s="191"/>
      <c r="AJ326" s="190"/>
      <c r="AK326" s="192"/>
      <c r="AL326" s="190"/>
      <c r="AM326" s="196" t="s">
        <v>876</v>
      </c>
    </row>
    <row r="327" spans="1:39" ht="30" hidden="1" customHeight="1" x14ac:dyDescent="0.25">
      <c r="A327" s="48">
        <v>2026</v>
      </c>
      <c r="B327" s="66" t="s">
        <v>60</v>
      </c>
      <c r="C327" s="74" t="s">
        <v>877</v>
      </c>
      <c r="D327" s="144" t="s">
        <v>106</v>
      </c>
      <c r="E327" s="144">
        <v>1</v>
      </c>
      <c r="F327" s="65" t="s">
        <v>878</v>
      </c>
      <c r="G327" s="144" t="s">
        <v>121</v>
      </c>
      <c r="H327" s="66" t="s">
        <v>127</v>
      </c>
      <c r="I327" s="79"/>
      <c r="J327" s="144" t="s">
        <v>130</v>
      </c>
      <c r="K327" s="144" t="s">
        <v>1</v>
      </c>
      <c r="L327" s="66" t="s">
        <v>7</v>
      </c>
      <c r="M327" s="67" t="s">
        <v>36</v>
      </c>
      <c r="N327" s="199">
        <f t="shared" ref="N327:N334" si="35">O327*1.2</f>
        <v>1999670.4</v>
      </c>
      <c r="O327" s="199">
        <v>1666392</v>
      </c>
      <c r="P327" s="199">
        <f t="shared" si="34"/>
        <v>1388660</v>
      </c>
      <c r="Q327" s="144" t="s">
        <v>138</v>
      </c>
      <c r="R327" s="90"/>
      <c r="S327" s="90"/>
      <c r="T327" s="65"/>
      <c r="U327" s="144"/>
      <c r="V327" s="94">
        <v>46041</v>
      </c>
      <c r="W327" s="99"/>
      <c r="X327" s="99"/>
      <c r="Y327" s="188"/>
      <c r="Z327" s="189">
        <v>0</v>
      </c>
      <c r="AA327" s="188"/>
      <c r="AB327" s="188">
        <v>0</v>
      </c>
      <c r="AC327" s="200"/>
      <c r="AD327" s="200">
        <v>1959240</v>
      </c>
      <c r="AE327" s="68" t="s">
        <v>100</v>
      </c>
      <c r="AF327" s="68"/>
      <c r="AG327" s="68"/>
      <c r="AH327" s="190"/>
      <c r="AI327" s="191"/>
      <c r="AJ327" s="190"/>
      <c r="AK327" s="192"/>
      <c r="AL327" s="190"/>
      <c r="AM327" s="86" t="s">
        <v>879</v>
      </c>
    </row>
    <row r="328" spans="1:39" ht="30" hidden="1" customHeight="1" x14ac:dyDescent="0.25">
      <c r="A328" s="48">
        <v>2026</v>
      </c>
      <c r="B328" s="66" t="s">
        <v>60</v>
      </c>
      <c r="C328" s="74" t="s">
        <v>877</v>
      </c>
      <c r="D328" s="144" t="s">
        <v>106</v>
      </c>
      <c r="E328" s="144">
        <v>2</v>
      </c>
      <c r="F328" s="65" t="s">
        <v>880</v>
      </c>
      <c r="G328" s="144" t="s">
        <v>121</v>
      </c>
      <c r="H328" s="66" t="s">
        <v>118</v>
      </c>
      <c r="I328" s="79"/>
      <c r="J328" s="144" t="s">
        <v>130</v>
      </c>
      <c r="K328" s="144" t="s">
        <v>1</v>
      </c>
      <c r="L328" s="66" t="s">
        <v>7</v>
      </c>
      <c r="M328" s="67" t="s">
        <v>36</v>
      </c>
      <c r="N328" s="199">
        <f t="shared" si="35"/>
        <v>587419.19999999995</v>
      </c>
      <c r="O328" s="199">
        <v>489516</v>
      </c>
      <c r="P328" s="199">
        <f t="shared" si="34"/>
        <v>407930</v>
      </c>
      <c r="Q328" s="144" t="s">
        <v>138</v>
      </c>
      <c r="R328" s="90"/>
      <c r="S328" s="90"/>
      <c r="T328" s="65"/>
      <c r="U328" s="144"/>
      <c r="V328" s="94">
        <v>46041</v>
      </c>
      <c r="W328" s="99"/>
      <c r="X328" s="99"/>
      <c r="Y328" s="188"/>
      <c r="Z328" s="189">
        <v>0</v>
      </c>
      <c r="AA328" s="188"/>
      <c r="AB328" s="188">
        <v>0</v>
      </c>
      <c r="AC328" s="200"/>
      <c r="AD328" s="200"/>
      <c r="AE328" s="68" t="s">
        <v>103</v>
      </c>
      <c r="AF328" s="68"/>
      <c r="AG328" s="68"/>
      <c r="AH328" s="190"/>
      <c r="AI328" s="191"/>
      <c r="AJ328" s="190"/>
      <c r="AK328" s="192"/>
      <c r="AL328" s="190"/>
      <c r="AM328" s="86" t="s">
        <v>879</v>
      </c>
    </row>
    <row r="329" spans="1:39" ht="30" hidden="1" customHeight="1" x14ac:dyDescent="0.25">
      <c r="A329" s="48">
        <v>2026</v>
      </c>
      <c r="B329" s="66" t="s">
        <v>60</v>
      </c>
      <c r="C329" s="74" t="s">
        <v>881</v>
      </c>
      <c r="D329" s="144" t="s">
        <v>106</v>
      </c>
      <c r="E329" s="144">
        <v>1</v>
      </c>
      <c r="F329" s="65" t="s">
        <v>882</v>
      </c>
      <c r="G329" s="144" t="s">
        <v>121</v>
      </c>
      <c r="H329" s="66" t="s">
        <v>118</v>
      </c>
      <c r="I329" s="79"/>
      <c r="J329" s="144" t="s">
        <v>130</v>
      </c>
      <c r="K329" s="144" t="s">
        <v>1</v>
      </c>
      <c r="L329" s="66" t="s">
        <v>7</v>
      </c>
      <c r="M329" s="67" t="s">
        <v>36</v>
      </c>
      <c r="N329" s="199">
        <f t="shared" si="35"/>
        <v>1427148</v>
      </c>
      <c r="O329" s="199">
        <v>1189290</v>
      </c>
      <c r="P329" s="199">
        <f t="shared" si="34"/>
        <v>991075</v>
      </c>
      <c r="Q329" s="144" t="s">
        <v>138</v>
      </c>
      <c r="R329" s="90"/>
      <c r="S329" s="90"/>
      <c r="T329" s="65"/>
      <c r="U329" s="144"/>
      <c r="V329" s="94">
        <v>46154</v>
      </c>
      <c r="W329" s="99"/>
      <c r="X329" s="99"/>
      <c r="Y329" s="188"/>
      <c r="Z329" s="189">
        <v>0</v>
      </c>
      <c r="AA329" s="188"/>
      <c r="AB329" s="188">
        <v>0</v>
      </c>
      <c r="AC329" s="200"/>
      <c r="AD329" s="200"/>
      <c r="AE329" s="68" t="s">
        <v>103</v>
      </c>
      <c r="AF329" s="68"/>
      <c r="AG329" s="68"/>
      <c r="AH329" s="190"/>
      <c r="AI329" s="191"/>
      <c r="AJ329" s="190"/>
      <c r="AK329" s="192"/>
      <c r="AL329" s="190"/>
      <c r="AM329" s="86" t="s">
        <v>879</v>
      </c>
    </row>
    <row r="330" spans="1:39" ht="30" hidden="1" customHeight="1" x14ac:dyDescent="0.25">
      <c r="A330" s="135">
        <v>2026</v>
      </c>
      <c r="B330" s="66" t="s">
        <v>60</v>
      </c>
      <c r="C330" s="65" t="s">
        <v>883</v>
      </c>
      <c r="D330" s="144" t="s">
        <v>106</v>
      </c>
      <c r="E330" s="144">
        <v>1</v>
      </c>
      <c r="F330" s="65" t="s">
        <v>884</v>
      </c>
      <c r="G330" s="144" t="s">
        <v>121</v>
      </c>
      <c r="H330" s="66" t="s">
        <v>127</v>
      </c>
      <c r="I330" s="79" t="s">
        <v>885</v>
      </c>
      <c r="J330" s="144" t="s">
        <v>130</v>
      </c>
      <c r="K330" s="144" t="s">
        <v>1</v>
      </c>
      <c r="L330" s="66" t="s">
        <v>7</v>
      </c>
      <c r="M330" s="67" t="s">
        <v>36</v>
      </c>
      <c r="N330" s="199">
        <f t="shared" si="35"/>
        <v>978984</v>
      </c>
      <c r="O330" s="199">
        <v>815820</v>
      </c>
      <c r="P330" s="199">
        <f t="shared" si="34"/>
        <v>679850</v>
      </c>
      <c r="Q330" s="144" t="s">
        <v>138</v>
      </c>
      <c r="R330" s="90"/>
      <c r="S330" s="90"/>
      <c r="T330" s="65" t="s">
        <v>886</v>
      </c>
      <c r="U330" s="144">
        <v>2026</v>
      </c>
      <c r="V330" s="99">
        <v>46041</v>
      </c>
      <c r="W330" s="99">
        <v>46062</v>
      </c>
      <c r="X330" s="99">
        <v>46163</v>
      </c>
      <c r="Y330" s="188">
        <f>AA330/1.2</f>
        <v>682616</v>
      </c>
      <c r="Z330" s="189">
        <v>0</v>
      </c>
      <c r="AA330" s="188">
        <v>819139.2</v>
      </c>
      <c r="AB330" s="188">
        <v>0</v>
      </c>
      <c r="AC330" s="188">
        <f>Y330</f>
        <v>682616</v>
      </c>
      <c r="AD330" s="188">
        <f>AA330</f>
        <v>819139.2</v>
      </c>
      <c r="AE330" s="68" t="s">
        <v>102</v>
      </c>
      <c r="AF330" s="68"/>
      <c r="AG330" s="68"/>
      <c r="AH330" s="190"/>
      <c r="AI330" s="191"/>
      <c r="AJ330" s="190"/>
      <c r="AK330" s="192"/>
      <c r="AL330" s="190"/>
      <c r="AM330" s="196" t="s">
        <v>182</v>
      </c>
    </row>
    <row r="331" spans="1:39" ht="30" hidden="1" customHeight="1" x14ac:dyDescent="0.25">
      <c r="A331" s="49">
        <v>2026</v>
      </c>
      <c r="B331" s="66" t="s">
        <v>60</v>
      </c>
      <c r="C331" s="65" t="s">
        <v>887</v>
      </c>
      <c r="D331" s="144" t="s">
        <v>106</v>
      </c>
      <c r="E331" s="144">
        <v>1</v>
      </c>
      <c r="F331" s="65" t="s">
        <v>888</v>
      </c>
      <c r="G331" s="144" t="s">
        <v>118</v>
      </c>
      <c r="H331" s="66" t="s">
        <v>118</v>
      </c>
      <c r="I331" s="73"/>
      <c r="J331" s="144" t="s">
        <v>131</v>
      </c>
      <c r="K331" s="144" t="s">
        <v>1</v>
      </c>
      <c r="L331" s="66" t="s">
        <v>7</v>
      </c>
      <c r="M331" s="67" t="s">
        <v>41</v>
      </c>
      <c r="N331" s="199">
        <f t="shared" si="35"/>
        <v>938592</v>
      </c>
      <c r="O331" s="199">
        <v>782160</v>
      </c>
      <c r="P331" s="199">
        <f t="shared" si="34"/>
        <v>651800</v>
      </c>
      <c r="Q331" s="144" t="s">
        <v>139</v>
      </c>
      <c r="R331" s="90"/>
      <c r="S331" s="90"/>
      <c r="T331" s="73"/>
      <c r="U331" s="44"/>
      <c r="V331" s="99">
        <v>46105</v>
      </c>
      <c r="W331" s="99">
        <v>46108</v>
      </c>
      <c r="X331" s="90"/>
      <c r="Y331" s="187">
        <v>0</v>
      </c>
      <c r="Z331" s="201">
        <v>0</v>
      </c>
      <c r="AA331" s="187">
        <v>0</v>
      </c>
      <c r="AB331" s="187">
        <v>0</v>
      </c>
      <c r="AC331" s="187">
        <v>0</v>
      </c>
      <c r="AD331" s="187">
        <v>0</v>
      </c>
      <c r="AE331" s="68" t="s">
        <v>103</v>
      </c>
      <c r="AF331" s="68"/>
      <c r="AG331" s="68"/>
      <c r="AH331" s="190"/>
      <c r="AI331" s="191"/>
      <c r="AJ331" s="190"/>
      <c r="AK331" s="192"/>
      <c r="AL331" s="190"/>
      <c r="AM331" s="202" t="s">
        <v>118</v>
      </c>
    </row>
    <row r="332" spans="1:39" ht="30" hidden="1" customHeight="1" x14ac:dyDescent="0.25">
      <c r="A332" s="49">
        <v>2026</v>
      </c>
      <c r="B332" s="66" t="s">
        <v>60</v>
      </c>
      <c r="C332" s="65" t="s">
        <v>887</v>
      </c>
      <c r="D332" s="144" t="s">
        <v>106</v>
      </c>
      <c r="E332" s="144">
        <v>2</v>
      </c>
      <c r="F332" s="65" t="s">
        <v>889</v>
      </c>
      <c r="G332" s="144" t="s">
        <v>118</v>
      </c>
      <c r="H332" s="66" t="s">
        <v>118</v>
      </c>
      <c r="I332" s="73"/>
      <c r="J332" s="144" t="s">
        <v>131</v>
      </c>
      <c r="K332" s="144" t="s">
        <v>3</v>
      </c>
      <c r="L332" s="66" t="s">
        <v>6</v>
      </c>
      <c r="M332" s="67" t="s">
        <v>15</v>
      </c>
      <c r="N332" s="199">
        <f t="shared" si="35"/>
        <v>241200</v>
      </c>
      <c r="O332" s="199">
        <v>201000</v>
      </c>
      <c r="P332" s="199">
        <f t="shared" si="34"/>
        <v>167500</v>
      </c>
      <c r="Q332" s="144" t="s">
        <v>139</v>
      </c>
      <c r="R332" s="90"/>
      <c r="S332" s="90"/>
      <c r="T332" s="73"/>
      <c r="U332" s="44"/>
      <c r="V332" s="99">
        <v>46105</v>
      </c>
      <c r="W332" s="99">
        <v>46108</v>
      </c>
      <c r="X332" s="90"/>
      <c r="Y332" s="187">
        <v>0</v>
      </c>
      <c r="Z332" s="201">
        <v>0</v>
      </c>
      <c r="AA332" s="187">
        <v>0</v>
      </c>
      <c r="AB332" s="187">
        <v>0</v>
      </c>
      <c r="AC332" s="187">
        <v>0</v>
      </c>
      <c r="AD332" s="187">
        <v>0</v>
      </c>
      <c r="AE332" s="68" t="s">
        <v>103</v>
      </c>
      <c r="AF332" s="68"/>
      <c r="AG332" s="68"/>
      <c r="AH332" s="190"/>
      <c r="AI332" s="191"/>
      <c r="AJ332" s="190"/>
      <c r="AK332" s="192"/>
      <c r="AL332" s="190"/>
      <c r="AM332" s="202" t="s">
        <v>118</v>
      </c>
    </row>
    <row r="333" spans="1:39" ht="30" hidden="1" customHeight="1" x14ac:dyDescent="0.25">
      <c r="A333" s="135">
        <v>2025</v>
      </c>
      <c r="B333" s="66" t="s">
        <v>55</v>
      </c>
      <c r="C333" s="65" t="s">
        <v>890</v>
      </c>
      <c r="D333" s="144" t="s">
        <v>106</v>
      </c>
      <c r="E333" s="144">
        <v>1</v>
      </c>
      <c r="F333" s="65" t="s">
        <v>891</v>
      </c>
      <c r="G333" s="144" t="s">
        <v>121</v>
      </c>
      <c r="H333" s="66" t="s">
        <v>126</v>
      </c>
      <c r="I333" s="79" t="s">
        <v>892</v>
      </c>
      <c r="J333" s="144" t="s">
        <v>130</v>
      </c>
      <c r="K333" s="144" t="s">
        <v>1</v>
      </c>
      <c r="L333" s="66" t="s">
        <v>7</v>
      </c>
      <c r="M333" s="67" t="s">
        <v>36</v>
      </c>
      <c r="N333" s="199">
        <f t="shared" si="35"/>
        <v>3368440.8</v>
      </c>
      <c r="O333" s="199">
        <v>2807034</v>
      </c>
      <c r="P333" s="199">
        <f t="shared" si="34"/>
        <v>2339195</v>
      </c>
      <c r="Q333" s="144" t="s">
        <v>138</v>
      </c>
      <c r="R333" s="90"/>
      <c r="S333" s="90"/>
      <c r="T333" s="65" t="s">
        <v>893</v>
      </c>
      <c r="U333" s="144">
        <v>2026</v>
      </c>
      <c r="V333" s="99">
        <v>46044</v>
      </c>
      <c r="W333" s="90"/>
      <c r="X333" s="99">
        <v>46049</v>
      </c>
      <c r="Y333" s="188">
        <f>AA333/1.2</f>
        <v>2690000</v>
      </c>
      <c r="Z333" s="189">
        <v>0</v>
      </c>
      <c r="AA333" s="188">
        <v>3228000</v>
      </c>
      <c r="AB333" s="188">
        <v>0</v>
      </c>
      <c r="AC333" s="188">
        <f>Y333</f>
        <v>2690000</v>
      </c>
      <c r="AD333" s="188">
        <f>AA333</f>
        <v>3228000</v>
      </c>
      <c r="AE333" s="68" t="s">
        <v>102</v>
      </c>
      <c r="AF333" s="68"/>
      <c r="AG333" s="68"/>
      <c r="AH333" s="190"/>
      <c r="AI333" s="191"/>
      <c r="AJ333" s="190"/>
      <c r="AK333" s="192"/>
      <c r="AL333" s="190"/>
      <c r="AM333" s="196" t="s">
        <v>182</v>
      </c>
    </row>
    <row r="334" spans="1:39" ht="30" hidden="1" customHeight="1" x14ac:dyDescent="0.25">
      <c r="A334" s="135">
        <v>2025</v>
      </c>
      <c r="B334" s="66" t="s">
        <v>55</v>
      </c>
      <c r="C334" s="65" t="s">
        <v>894</v>
      </c>
      <c r="D334" s="144" t="s">
        <v>106</v>
      </c>
      <c r="E334" s="144">
        <v>1</v>
      </c>
      <c r="F334" s="65" t="s">
        <v>895</v>
      </c>
      <c r="G334" s="144" t="s">
        <v>121</v>
      </c>
      <c r="H334" s="66" t="s">
        <v>126</v>
      </c>
      <c r="I334" s="79" t="s">
        <v>896</v>
      </c>
      <c r="J334" s="144" t="s">
        <v>130</v>
      </c>
      <c r="K334" s="144" t="s">
        <v>1</v>
      </c>
      <c r="L334" s="66" t="s">
        <v>7</v>
      </c>
      <c r="M334" s="67" t="s">
        <v>36</v>
      </c>
      <c r="N334" s="199">
        <f t="shared" si="35"/>
        <v>3071462.4</v>
      </c>
      <c r="O334" s="199">
        <v>2559552</v>
      </c>
      <c r="P334" s="199">
        <f t="shared" si="34"/>
        <v>2132960</v>
      </c>
      <c r="Q334" s="144" t="s">
        <v>138</v>
      </c>
      <c r="R334" s="90"/>
      <c r="S334" s="90"/>
      <c r="T334" s="65" t="s">
        <v>897</v>
      </c>
      <c r="U334" s="144">
        <v>2026</v>
      </c>
      <c r="V334" s="99">
        <v>46044</v>
      </c>
      <c r="W334" s="90"/>
      <c r="X334" s="99">
        <v>46049</v>
      </c>
      <c r="Y334" s="188">
        <f>AA334/1.2</f>
        <v>2081040</v>
      </c>
      <c r="Z334" s="189">
        <v>0</v>
      </c>
      <c r="AA334" s="188">
        <v>2497248</v>
      </c>
      <c r="AB334" s="188">
        <v>0</v>
      </c>
      <c r="AC334" s="188">
        <f>Y334</f>
        <v>2081040</v>
      </c>
      <c r="AD334" s="188">
        <f>AA334</f>
        <v>2497248</v>
      </c>
      <c r="AE334" s="68" t="s">
        <v>102</v>
      </c>
      <c r="AF334" s="68"/>
      <c r="AG334" s="68"/>
      <c r="AH334" s="190"/>
      <c r="AI334" s="191"/>
      <c r="AJ334" s="190"/>
      <c r="AK334" s="192"/>
      <c r="AL334" s="190"/>
      <c r="AM334" s="196" t="s">
        <v>182</v>
      </c>
    </row>
    <row r="335" spans="1:39" ht="30" hidden="1" customHeight="1" x14ac:dyDescent="0.25">
      <c r="A335" s="135">
        <v>2026</v>
      </c>
      <c r="B335" s="66" t="s">
        <v>69</v>
      </c>
      <c r="C335" s="73" t="s">
        <v>172</v>
      </c>
      <c r="D335" s="144" t="s">
        <v>114</v>
      </c>
      <c r="E335" s="144">
        <v>1</v>
      </c>
      <c r="F335" s="65" t="s">
        <v>898</v>
      </c>
      <c r="G335" s="144" t="s">
        <v>121</v>
      </c>
      <c r="H335" s="66" t="s">
        <v>126</v>
      </c>
      <c r="I335" s="79" t="s">
        <v>899</v>
      </c>
      <c r="J335" s="144" t="s">
        <v>132</v>
      </c>
      <c r="K335" s="144" t="s">
        <v>3</v>
      </c>
      <c r="L335" s="66" t="s">
        <v>6</v>
      </c>
      <c r="M335" s="67" t="s">
        <v>900</v>
      </c>
      <c r="N335" s="187"/>
      <c r="O335" s="187"/>
      <c r="P335" s="187"/>
      <c r="Q335" s="144" t="s">
        <v>139</v>
      </c>
      <c r="R335" s="90"/>
      <c r="S335" s="90"/>
      <c r="T335" s="65" t="s">
        <v>901</v>
      </c>
      <c r="U335" s="144">
        <v>2026</v>
      </c>
      <c r="V335" s="99">
        <v>46022</v>
      </c>
      <c r="W335" s="90"/>
      <c r="X335" s="99">
        <v>46024</v>
      </c>
      <c r="Y335" s="188">
        <v>80000</v>
      </c>
      <c r="Z335" s="189">
        <v>0</v>
      </c>
      <c r="AA335" s="188">
        <v>96000</v>
      </c>
      <c r="AB335" s="188">
        <v>0</v>
      </c>
      <c r="AC335" s="188">
        <f>Y335</f>
        <v>80000</v>
      </c>
      <c r="AD335" s="188">
        <f>AA335</f>
        <v>96000</v>
      </c>
      <c r="AE335" s="68" t="s">
        <v>102</v>
      </c>
      <c r="AF335" s="68"/>
      <c r="AG335" s="68"/>
      <c r="AH335" s="190"/>
      <c r="AI335" s="191"/>
      <c r="AJ335" s="190"/>
      <c r="AK335" s="192"/>
      <c r="AL335" s="190"/>
      <c r="AM335" s="196" t="s">
        <v>182</v>
      </c>
    </row>
    <row r="336" spans="1:39" ht="30" hidden="1" customHeight="1" x14ac:dyDescent="0.25">
      <c r="A336" s="135">
        <v>2026</v>
      </c>
      <c r="B336" s="66" t="s">
        <v>69</v>
      </c>
      <c r="C336" s="73" t="s">
        <v>172</v>
      </c>
      <c r="D336" s="144" t="s">
        <v>114</v>
      </c>
      <c r="E336" s="144">
        <v>1</v>
      </c>
      <c r="F336" s="65" t="s">
        <v>902</v>
      </c>
      <c r="G336" s="144" t="s">
        <v>121</v>
      </c>
      <c r="H336" s="66" t="s">
        <v>126</v>
      </c>
      <c r="I336" s="79" t="s">
        <v>903</v>
      </c>
      <c r="J336" s="144" t="s">
        <v>132</v>
      </c>
      <c r="K336" s="144" t="s">
        <v>3</v>
      </c>
      <c r="L336" s="66" t="s">
        <v>6</v>
      </c>
      <c r="M336" s="67" t="s">
        <v>900</v>
      </c>
      <c r="N336" s="187"/>
      <c r="O336" s="187"/>
      <c r="P336" s="187"/>
      <c r="Q336" s="144" t="s">
        <v>139</v>
      </c>
      <c r="R336" s="90"/>
      <c r="S336" s="90"/>
      <c r="T336" s="65" t="s">
        <v>904</v>
      </c>
      <c r="U336" s="144">
        <v>2026</v>
      </c>
      <c r="V336" s="99">
        <v>46022</v>
      </c>
      <c r="W336" s="90"/>
      <c r="X336" s="99">
        <v>46024</v>
      </c>
      <c r="Y336" s="188">
        <v>151200</v>
      </c>
      <c r="Z336" s="189">
        <v>0</v>
      </c>
      <c r="AA336" s="188">
        <v>181400</v>
      </c>
      <c r="AB336" s="188">
        <v>0</v>
      </c>
      <c r="AC336" s="188">
        <f>Y336</f>
        <v>151200</v>
      </c>
      <c r="AD336" s="188">
        <f>AA336</f>
        <v>181400</v>
      </c>
      <c r="AE336" s="68" t="s">
        <v>102</v>
      </c>
      <c r="AF336" s="68"/>
      <c r="AG336" s="68"/>
      <c r="AH336" s="190"/>
      <c r="AI336" s="191"/>
      <c r="AJ336" s="190"/>
      <c r="AK336" s="192"/>
      <c r="AL336" s="190"/>
      <c r="AM336" s="196" t="s">
        <v>182</v>
      </c>
    </row>
    <row r="337" spans="1:39" ht="30" hidden="1" customHeight="1" x14ac:dyDescent="0.25">
      <c r="A337" s="135">
        <v>2026</v>
      </c>
      <c r="B337" s="66" t="s">
        <v>69</v>
      </c>
      <c r="C337" s="73" t="s">
        <v>172</v>
      </c>
      <c r="D337" s="144" t="s">
        <v>114</v>
      </c>
      <c r="E337" s="144">
        <v>1</v>
      </c>
      <c r="F337" s="65" t="s">
        <v>905</v>
      </c>
      <c r="G337" s="144" t="s">
        <v>121</v>
      </c>
      <c r="H337" s="66" t="s">
        <v>126</v>
      </c>
      <c r="I337" s="79" t="s">
        <v>906</v>
      </c>
      <c r="J337" s="144" t="s">
        <v>132</v>
      </c>
      <c r="K337" s="144" t="s">
        <v>3</v>
      </c>
      <c r="L337" s="66" t="s">
        <v>6</v>
      </c>
      <c r="M337" s="67" t="s">
        <v>900</v>
      </c>
      <c r="N337" s="187"/>
      <c r="O337" s="187"/>
      <c r="P337" s="187"/>
      <c r="Q337" s="144" t="s">
        <v>139</v>
      </c>
      <c r="R337" s="90"/>
      <c r="S337" s="90"/>
      <c r="T337" s="65" t="s">
        <v>907</v>
      </c>
      <c r="U337" s="144">
        <v>2026</v>
      </c>
      <c r="V337" s="99">
        <v>46022</v>
      </c>
      <c r="W337" s="90"/>
      <c r="X337" s="99">
        <v>46024</v>
      </c>
      <c r="Y337" s="188">
        <v>80000</v>
      </c>
      <c r="Z337" s="189"/>
      <c r="AA337" s="188">
        <v>96000</v>
      </c>
      <c r="AB337" s="188"/>
      <c r="AC337" s="188">
        <f>Y337</f>
        <v>80000</v>
      </c>
      <c r="AD337" s="188">
        <f>AA337</f>
        <v>96000</v>
      </c>
      <c r="AE337" s="68" t="s">
        <v>102</v>
      </c>
      <c r="AF337" s="68"/>
      <c r="AG337" s="68"/>
      <c r="AH337" s="190"/>
      <c r="AI337" s="191"/>
      <c r="AJ337" s="190"/>
      <c r="AK337" s="192"/>
      <c r="AL337" s="190"/>
      <c r="AM337" s="196" t="s">
        <v>182</v>
      </c>
    </row>
    <row r="338" spans="1:39" ht="30" hidden="1" customHeight="1" x14ac:dyDescent="0.25">
      <c r="A338" s="135">
        <v>2026</v>
      </c>
      <c r="B338" s="66" t="s">
        <v>69</v>
      </c>
      <c r="C338" s="73" t="s">
        <v>172</v>
      </c>
      <c r="D338" s="144" t="s">
        <v>114</v>
      </c>
      <c r="E338" s="144">
        <v>1</v>
      </c>
      <c r="F338" s="65" t="s">
        <v>908</v>
      </c>
      <c r="G338" s="144" t="s">
        <v>121</v>
      </c>
      <c r="H338" s="66" t="s">
        <v>126</v>
      </c>
      <c r="I338" s="79" t="s">
        <v>909</v>
      </c>
      <c r="J338" s="144" t="s">
        <v>132</v>
      </c>
      <c r="K338" s="144" t="s">
        <v>3</v>
      </c>
      <c r="L338" s="66" t="s">
        <v>6</v>
      </c>
      <c r="M338" s="67" t="s">
        <v>900</v>
      </c>
      <c r="N338" s="187"/>
      <c r="O338" s="187"/>
      <c r="P338" s="187"/>
      <c r="Q338" s="144" t="s">
        <v>139</v>
      </c>
      <c r="R338" s="90"/>
      <c r="S338" s="90"/>
      <c r="T338" s="65" t="s">
        <v>910</v>
      </c>
      <c r="U338" s="144">
        <v>2026</v>
      </c>
      <c r="V338" s="99">
        <v>46022</v>
      </c>
      <c r="W338" s="90"/>
      <c r="X338" s="99">
        <v>46024</v>
      </c>
      <c r="Y338" s="188">
        <v>40000</v>
      </c>
      <c r="Z338" s="189"/>
      <c r="AA338" s="188">
        <v>48000</v>
      </c>
      <c r="AB338" s="188"/>
      <c r="AC338" s="188">
        <f>+Y338</f>
        <v>40000</v>
      </c>
      <c r="AD338" s="188">
        <f>+AA338</f>
        <v>48000</v>
      </c>
      <c r="AE338" s="68" t="s">
        <v>102</v>
      </c>
      <c r="AF338" s="68"/>
      <c r="AG338" s="68"/>
      <c r="AH338" s="190"/>
      <c r="AI338" s="191"/>
      <c r="AJ338" s="190"/>
      <c r="AK338" s="192"/>
      <c r="AL338" s="190"/>
      <c r="AM338" s="196" t="s">
        <v>182</v>
      </c>
    </row>
    <row r="339" spans="1:39" ht="30" hidden="1" customHeight="1" x14ac:dyDescent="0.25">
      <c r="A339" s="135">
        <v>2026</v>
      </c>
      <c r="B339" s="66" t="s">
        <v>77</v>
      </c>
      <c r="C339" s="73" t="s">
        <v>140</v>
      </c>
      <c r="D339" s="144" t="s">
        <v>107</v>
      </c>
      <c r="E339" s="144">
        <v>1</v>
      </c>
      <c r="F339" s="65" t="s">
        <v>911</v>
      </c>
      <c r="G339" s="144" t="s">
        <v>121</v>
      </c>
      <c r="H339" s="66" t="s">
        <v>126</v>
      </c>
      <c r="I339" s="79" t="s">
        <v>912</v>
      </c>
      <c r="J339" s="144" t="s">
        <v>132</v>
      </c>
      <c r="K339" s="144" t="s">
        <v>3</v>
      </c>
      <c r="L339" s="66" t="s">
        <v>6</v>
      </c>
      <c r="M339" s="67" t="s">
        <v>913</v>
      </c>
      <c r="N339" s="187"/>
      <c r="O339" s="187"/>
      <c r="P339" s="187"/>
      <c r="Q339" s="144" t="s">
        <v>140</v>
      </c>
      <c r="R339" s="90"/>
      <c r="S339" s="90"/>
      <c r="T339" s="65" t="s">
        <v>914</v>
      </c>
      <c r="U339" s="144">
        <v>2026</v>
      </c>
      <c r="V339" s="99">
        <v>46052</v>
      </c>
      <c r="W339" s="90"/>
      <c r="X339" s="99">
        <v>46055</v>
      </c>
      <c r="Y339" s="188">
        <f>AA339/1.2</f>
        <v>10504285.016666668</v>
      </c>
      <c r="Z339" s="189">
        <v>0</v>
      </c>
      <c r="AA339" s="188">
        <v>12605142.02</v>
      </c>
      <c r="AB339" s="188">
        <v>0</v>
      </c>
      <c r="AC339" s="188">
        <f>Y339</f>
        <v>10504285.016666668</v>
      </c>
      <c r="AD339" s="188">
        <f>AA339</f>
        <v>12605142.02</v>
      </c>
      <c r="AE339" s="68" t="s">
        <v>102</v>
      </c>
      <c r="AF339" s="68"/>
      <c r="AG339" s="68"/>
      <c r="AH339" s="190"/>
      <c r="AI339" s="191"/>
      <c r="AJ339" s="190"/>
      <c r="AK339" s="192"/>
      <c r="AL339" s="190"/>
      <c r="AM339" s="196" t="s">
        <v>182</v>
      </c>
    </row>
    <row r="340" spans="1:39" ht="30" hidden="1" customHeight="1" x14ac:dyDescent="0.25">
      <c r="A340" s="135">
        <v>2026</v>
      </c>
      <c r="B340" s="66" t="s">
        <v>70</v>
      </c>
      <c r="C340" s="65" t="s">
        <v>915</v>
      </c>
      <c r="D340" s="144" t="s">
        <v>114</v>
      </c>
      <c r="E340" s="144">
        <v>1</v>
      </c>
      <c r="F340" s="65" t="s">
        <v>916</v>
      </c>
      <c r="G340" s="144" t="s">
        <v>121</v>
      </c>
      <c r="H340" s="66" t="s">
        <v>126</v>
      </c>
      <c r="I340" s="79" t="s">
        <v>917</v>
      </c>
      <c r="J340" s="144" t="s">
        <v>132</v>
      </c>
      <c r="K340" s="144" t="s">
        <v>3</v>
      </c>
      <c r="L340" s="66" t="s">
        <v>6</v>
      </c>
      <c r="M340" s="67" t="s">
        <v>31</v>
      </c>
      <c r="N340" s="187"/>
      <c r="O340" s="187"/>
      <c r="P340" s="187"/>
      <c r="Q340" s="144" t="s">
        <v>138</v>
      </c>
      <c r="R340" s="90"/>
      <c r="S340" s="90"/>
      <c r="T340" s="65" t="s">
        <v>918</v>
      </c>
      <c r="U340" s="144">
        <v>2026</v>
      </c>
      <c r="V340" s="99">
        <v>46054</v>
      </c>
      <c r="W340" s="90"/>
      <c r="X340" s="99">
        <v>46055</v>
      </c>
      <c r="Y340" s="188">
        <v>4365400</v>
      </c>
      <c r="Z340" s="189">
        <v>0</v>
      </c>
      <c r="AA340" s="188">
        <v>5042037</v>
      </c>
      <c r="AB340" s="188">
        <v>0</v>
      </c>
      <c r="AC340" s="188">
        <v>4365400</v>
      </c>
      <c r="AD340" s="188">
        <f>AA340</f>
        <v>5042037</v>
      </c>
      <c r="AE340" s="68" t="s">
        <v>102</v>
      </c>
      <c r="AF340" s="68"/>
      <c r="AG340" s="68"/>
      <c r="AH340" s="190"/>
      <c r="AI340" s="191"/>
      <c r="AJ340" s="190"/>
      <c r="AK340" s="192"/>
      <c r="AL340" s="190"/>
      <c r="AM340" s="196" t="s">
        <v>182</v>
      </c>
    </row>
    <row r="341" spans="1:39" ht="43.5" hidden="1" customHeight="1" x14ac:dyDescent="0.25">
      <c r="A341" s="135">
        <v>2026</v>
      </c>
      <c r="B341" s="66" t="s">
        <v>60</v>
      </c>
      <c r="C341" s="65" t="s">
        <v>919</v>
      </c>
      <c r="D341" s="144" t="s">
        <v>106</v>
      </c>
      <c r="E341" s="144">
        <v>1</v>
      </c>
      <c r="F341" s="65" t="s">
        <v>920</v>
      </c>
      <c r="G341" s="144" t="s">
        <v>121</v>
      </c>
      <c r="H341" s="66" t="s">
        <v>126</v>
      </c>
      <c r="I341" s="79" t="s">
        <v>921</v>
      </c>
      <c r="J341" s="144" t="s">
        <v>131</v>
      </c>
      <c r="K341" s="144" t="s">
        <v>3</v>
      </c>
      <c r="L341" s="66" t="s">
        <v>6</v>
      </c>
      <c r="M341" s="67" t="s">
        <v>922</v>
      </c>
      <c r="N341" s="199">
        <f>O341*1.2</f>
        <v>8173483.1999999993</v>
      </c>
      <c r="O341" s="199">
        <v>6811236</v>
      </c>
      <c r="P341" s="199">
        <f>O341/1.2</f>
        <v>5676030</v>
      </c>
      <c r="Q341" s="144" t="s">
        <v>139</v>
      </c>
      <c r="R341" s="90"/>
      <c r="S341" s="90"/>
      <c r="T341" s="65" t="s">
        <v>923</v>
      </c>
      <c r="U341" s="144">
        <v>2026</v>
      </c>
      <c r="V341" s="99">
        <v>46056</v>
      </c>
      <c r="W341" s="99">
        <v>46071</v>
      </c>
      <c r="X341" s="99">
        <v>46136</v>
      </c>
      <c r="Y341" s="188">
        <v>4680562.9000000004</v>
      </c>
      <c r="Z341" s="189">
        <v>0</v>
      </c>
      <c r="AA341" s="188">
        <v>5616675.4800000004</v>
      </c>
      <c r="AB341" s="188">
        <v>0</v>
      </c>
      <c r="AC341" s="188">
        <f>Y341</f>
        <v>4680562.9000000004</v>
      </c>
      <c r="AD341" s="188">
        <f>AA341</f>
        <v>5616675.4800000004</v>
      </c>
      <c r="AE341" s="68" t="s">
        <v>102</v>
      </c>
      <c r="AF341" s="68"/>
      <c r="AG341" s="68"/>
      <c r="AH341" s="190"/>
      <c r="AI341" s="191"/>
      <c r="AJ341" s="190"/>
      <c r="AK341" s="192"/>
      <c r="AL341" s="190"/>
      <c r="AM341" s="196" t="s">
        <v>924</v>
      </c>
    </row>
    <row r="342" spans="1:39" ht="30" hidden="1" customHeight="1" x14ac:dyDescent="0.25">
      <c r="A342" s="135">
        <v>2025</v>
      </c>
      <c r="B342" s="66" t="s">
        <v>60</v>
      </c>
      <c r="C342" s="65" t="s">
        <v>925</v>
      </c>
      <c r="D342" s="144" t="s">
        <v>114</v>
      </c>
      <c r="E342" s="144">
        <v>1</v>
      </c>
      <c r="F342" s="65" t="s">
        <v>926</v>
      </c>
      <c r="G342" s="144" t="s">
        <v>121</v>
      </c>
      <c r="H342" s="66" t="s">
        <v>126</v>
      </c>
      <c r="I342" s="79" t="s">
        <v>927</v>
      </c>
      <c r="J342" s="144" t="s">
        <v>132</v>
      </c>
      <c r="K342" s="144" t="s">
        <v>3</v>
      </c>
      <c r="L342" s="66" t="s">
        <v>6</v>
      </c>
      <c r="M342" s="67" t="s">
        <v>26</v>
      </c>
      <c r="N342" s="187"/>
      <c r="O342" s="187"/>
      <c r="P342" s="187"/>
      <c r="Q342" s="144" t="s">
        <v>139</v>
      </c>
      <c r="R342" s="90"/>
      <c r="S342" s="90"/>
      <c r="T342" s="65" t="s">
        <v>928</v>
      </c>
      <c r="U342" s="144">
        <v>2026</v>
      </c>
      <c r="V342" s="99">
        <v>46057</v>
      </c>
      <c r="W342" s="90"/>
      <c r="X342" s="99">
        <v>46057</v>
      </c>
      <c r="Y342" s="188">
        <v>1163100</v>
      </c>
      <c r="Z342" s="189">
        <v>0</v>
      </c>
      <c r="AA342" s="188">
        <v>1290060</v>
      </c>
      <c r="AB342" s="188">
        <v>0</v>
      </c>
      <c r="AC342" s="188">
        <f>Y342</f>
        <v>1163100</v>
      </c>
      <c r="AD342" s="188">
        <f>AA342</f>
        <v>1290060</v>
      </c>
      <c r="AE342" s="68" t="s">
        <v>102</v>
      </c>
      <c r="AF342" s="68"/>
      <c r="AG342" s="68"/>
      <c r="AH342" s="190"/>
      <c r="AI342" s="191"/>
      <c r="AJ342" s="190"/>
      <c r="AK342" s="192"/>
      <c r="AL342" s="190"/>
      <c r="AM342" s="196" t="s">
        <v>929</v>
      </c>
    </row>
    <row r="343" spans="1:39" ht="30" hidden="1" customHeight="1" x14ac:dyDescent="0.25">
      <c r="A343" s="135">
        <v>2026</v>
      </c>
      <c r="B343" s="66" t="s">
        <v>77</v>
      </c>
      <c r="C343" s="73" t="s">
        <v>172</v>
      </c>
      <c r="D343" s="144" t="s">
        <v>114</v>
      </c>
      <c r="E343" s="144">
        <v>1</v>
      </c>
      <c r="F343" s="65" t="s">
        <v>930</v>
      </c>
      <c r="G343" s="144" t="s">
        <v>121</v>
      </c>
      <c r="H343" s="66" t="s">
        <v>126</v>
      </c>
      <c r="I343" s="79" t="s">
        <v>931</v>
      </c>
      <c r="J343" s="144" t="s">
        <v>132</v>
      </c>
      <c r="K343" s="144" t="s">
        <v>3</v>
      </c>
      <c r="L343" s="66" t="s">
        <v>6</v>
      </c>
      <c r="M343" s="65" t="s">
        <v>180</v>
      </c>
      <c r="N343" s="187"/>
      <c r="O343" s="187"/>
      <c r="P343" s="187"/>
      <c r="Q343" s="144" t="s">
        <v>139</v>
      </c>
      <c r="R343" s="90"/>
      <c r="S343" s="90"/>
      <c r="T343" s="65" t="s">
        <v>867</v>
      </c>
      <c r="U343" s="144">
        <v>2026</v>
      </c>
      <c r="V343" s="99">
        <v>46064</v>
      </c>
      <c r="W343" s="90"/>
      <c r="X343" s="99">
        <v>46066</v>
      </c>
      <c r="Y343" s="188">
        <v>60975.61</v>
      </c>
      <c r="Z343" s="189">
        <v>0</v>
      </c>
      <c r="AA343" s="188">
        <v>60975.61</v>
      </c>
      <c r="AB343" s="188">
        <v>0</v>
      </c>
      <c r="AC343" s="188">
        <f>+Y343</f>
        <v>60975.61</v>
      </c>
      <c r="AD343" s="188">
        <f>+Y343</f>
        <v>60975.61</v>
      </c>
      <c r="AE343" s="68" t="s">
        <v>102</v>
      </c>
      <c r="AF343" s="68"/>
      <c r="AG343" s="68"/>
      <c r="AH343" s="190"/>
      <c r="AI343" s="191"/>
      <c r="AJ343" s="190"/>
      <c r="AK343" s="192"/>
      <c r="AL343" s="190"/>
      <c r="AM343" s="196" t="s">
        <v>182</v>
      </c>
    </row>
    <row r="344" spans="1:39" ht="30" hidden="1" customHeight="1" x14ac:dyDescent="0.25">
      <c r="A344" s="135">
        <v>2026</v>
      </c>
      <c r="B344" s="66" t="s">
        <v>77</v>
      </c>
      <c r="C344" s="73" t="s">
        <v>172</v>
      </c>
      <c r="D344" s="144" t="s">
        <v>114</v>
      </c>
      <c r="E344" s="144">
        <v>1</v>
      </c>
      <c r="F344" s="65" t="s">
        <v>930</v>
      </c>
      <c r="G344" s="144" t="s">
        <v>121</v>
      </c>
      <c r="H344" s="66" t="s">
        <v>126</v>
      </c>
      <c r="I344" s="79" t="s">
        <v>932</v>
      </c>
      <c r="J344" s="144" t="s">
        <v>132</v>
      </c>
      <c r="K344" s="144" t="s">
        <v>3</v>
      </c>
      <c r="L344" s="66" t="s">
        <v>6</v>
      </c>
      <c r="M344" s="65" t="s">
        <v>180</v>
      </c>
      <c r="N344" s="187"/>
      <c r="O344" s="187"/>
      <c r="P344" s="187"/>
      <c r="Q344" s="144" t="s">
        <v>139</v>
      </c>
      <c r="R344" s="90"/>
      <c r="S344" s="90"/>
      <c r="T344" s="65" t="s">
        <v>933</v>
      </c>
      <c r="U344" s="144">
        <v>2026</v>
      </c>
      <c r="V344" s="99">
        <v>46064</v>
      </c>
      <c r="W344" s="90"/>
      <c r="X344" s="99">
        <v>46066</v>
      </c>
      <c r="Y344" s="188">
        <v>60975.61</v>
      </c>
      <c r="Z344" s="189">
        <v>0</v>
      </c>
      <c r="AA344" s="188">
        <v>60975.61</v>
      </c>
      <c r="AB344" s="188">
        <v>0</v>
      </c>
      <c r="AC344" s="188">
        <f>+Y344</f>
        <v>60975.61</v>
      </c>
      <c r="AD344" s="188">
        <f>+Y344</f>
        <v>60975.61</v>
      </c>
      <c r="AE344" s="68" t="s">
        <v>102</v>
      </c>
      <c r="AF344" s="68"/>
      <c r="AG344" s="68"/>
      <c r="AH344" s="190"/>
      <c r="AI344" s="191"/>
      <c r="AJ344" s="190"/>
      <c r="AK344" s="192"/>
      <c r="AL344" s="190"/>
      <c r="AM344" s="196" t="s">
        <v>182</v>
      </c>
    </row>
    <row r="345" spans="1:39" ht="30" hidden="1" customHeight="1" x14ac:dyDescent="0.25">
      <c r="A345" s="135">
        <v>2026</v>
      </c>
      <c r="B345" s="66" t="s">
        <v>77</v>
      </c>
      <c r="C345" s="73" t="s">
        <v>172</v>
      </c>
      <c r="D345" s="144" t="s">
        <v>114</v>
      </c>
      <c r="E345" s="144">
        <v>1</v>
      </c>
      <c r="F345" s="65" t="s">
        <v>934</v>
      </c>
      <c r="G345" s="144" t="s">
        <v>121</v>
      </c>
      <c r="H345" s="66" t="s">
        <v>126</v>
      </c>
      <c r="I345" s="79" t="s">
        <v>935</v>
      </c>
      <c r="J345" s="144" t="s">
        <v>132</v>
      </c>
      <c r="K345" s="144" t="s">
        <v>3</v>
      </c>
      <c r="L345" s="66" t="s">
        <v>6</v>
      </c>
      <c r="M345" s="65" t="s">
        <v>180</v>
      </c>
      <c r="N345" s="187"/>
      <c r="O345" s="187"/>
      <c r="P345" s="187"/>
      <c r="Q345" s="144" t="s">
        <v>139</v>
      </c>
      <c r="R345" s="90"/>
      <c r="S345" s="90"/>
      <c r="T345" s="65" t="s">
        <v>936</v>
      </c>
      <c r="U345" s="144">
        <v>2026</v>
      </c>
      <c r="V345" s="99">
        <v>46064</v>
      </c>
      <c r="W345" s="90"/>
      <c r="X345" s="99">
        <v>46066</v>
      </c>
      <c r="Y345" s="188">
        <v>317073.17</v>
      </c>
      <c r="Z345" s="189">
        <v>0</v>
      </c>
      <c r="AA345" s="188">
        <f>317073.17</f>
        <v>317073.17</v>
      </c>
      <c r="AB345" s="188">
        <v>0</v>
      </c>
      <c r="AC345" s="188">
        <f>Y345</f>
        <v>317073.17</v>
      </c>
      <c r="AD345" s="188">
        <f>AA345</f>
        <v>317073.17</v>
      </c>
      <c r="AE345" s="68" t="s">
        <v>102</v>
      </c>
      <c r="AF345" s="68"/>
      <c r="AG345" s="68"/>
      <c r="AH345" s="190"/>
      <c r="AI345" s="191"/>
      <c r="AJ345" s="190"/>
      <c r="AK345" s="192"/>
      <c r="AL345" s="190"/>
      <c r="AM345" s="196" t="s">
        <v>182</v>
      </c>
    </row>
    <row r="346" spans="1:39" ht="30" hidden="1" customHeight="1" x14ac:dyDescent="0.25">
      <c r="A346" s="135">
        <v>2026</v>
      </c>
      <c r="B346" s="66" t="s">
        <v>77</v>
      </c>
      <c r="C346" s="73" t="s">
        <v>172</v>
      </c>
      <c r="D346" s="144" t="s">
        <v>114</v>
      </c>
      <c r="E346" s="144">
        <v>1</v>
      </c>
      <c r="F346" s="65" t="s">
        <v>934</v>
      </c>
      <c r="G346" s="144" t="s">
        <v>121</v>
      </c>
      <c r="H346" s="66" t="s">
        <v>126</v>
      </c>
      <c r="I346" s="79" t="s">
        <v>937</v>
      </c>
      <c r="J346" s="144" t="s">
        <v>132</v>
      </c>
      <c r="K346" s="144" t="s">
        <v>3</v>
      </c>
      <c r="L346" s="66" t="s">
        <v>6</v>
      </c>
      <c r="M346" s="65" t="s">
        <v>180</v>
      </c>
      <c r="N346" s="187"/>
      <c r="O346" s="187"/>
      <c r="P346" s="187"/>
      <c r="Q346" s="144" t="s">
        <v>139</v>
      </c>
      <c r="R346" s="90"/>
      <c r="S346" s="90"/>
      <c r="T346" s="65" t="s">
        <v>938</v>
      </c>
      <c r="U346" s="144">
        <v>2026</v>
      </c>
      <c r="V346" s="99">
        <v>46064</v>
      </c>
      <c r="W346" s="90"/>
      <c r="X346" s="99">
        <v>46066</v>
      </c>
      <c r="Y346" s="188">
        <v>317073.17</v>
      </c>
      <c r="Z346" s="189">
        <v>0</v>
      </c>
      <c r="AA346" s="188">
        <f>317073.17</f>
        <v>317073.17</v>
      </c>
      <c r="AB346" s="188">
        <v>0</v>
      </c>
      <c r="AC346" s="188">
        <f>Y346</f>
        <v>317073.17</v>
      </c>
      <c r="AD346" s="188">
        <f>AA346</f>
        <v>317073.17</v>
      </c>
      <c r="AE346" s="68" t="s">
        <v>102</v>
      </c>
      <c r="AF346" s="68"/>
      <c r="AG346" s="68"/>
      <c r="AH346" s="190"/>
      <c r="AI346" s="191"/>
      <c r="AJ346" s="190"/>
      <c r="AK346" s="192"/>
      <c r="AL346" s="190"/>
      <c r="AM346" s="196" t="s">
        <v>182</v>
      </c>
    </row>
    <row r="347" spans="1:39" ht="30" hidden="1" customHeight="1" x14ac:dyDescent="0.25">
      <c r="A347" s="135">
        <v>2026</v>
      </c>
      <c r="B347" s="66" t="s">
        <v>77</v>
      </c>
      <c r="C347" s="73" t="s">
        <v>172</v>
      </c>
      <c r="D347" s="144" t="s">
        <v>114</v>
      </c>
      <c r="E347" s="144">
        <v>1</v>
      </c>
      <c r="F347" s="65" t="s">
        <v>934</v>
      </c>
      <c r="G347" s="144" t="s">
        <v>121</v>
      </c>
      <c r="H347" s="66" t="s">
        <v>126</v>
      </c>
      <c r="I347" s="79" t="s">
        <v>939</v>
      </c>
      <c r="J347" s="144" t="s">
        <v>132</v>
      </c>
      <c r="K347" s="144" t="s">
        <v>3</v>
      </c>
      <c r="L347" s="66" t="s">
        <v>6</v>
      </c>
      <c r="M347" s="65" t="s">
        <v>180</v>
      </c>
      <c r="N347" s="187"/>
      <c r="O347" s="187"/>
      <c r="P347" s="187"/>
      <c r="Q347" s="144" t="s">
        <v>139</v>
      </c>
      <c r="R347" s="90"/>
      <c r="S347" s="90"/>
      <c r="T347" s="65" t="s">
        <v>940</v>
      </c>
      <c r="U347" s="144">
        <v>2026</v>
      </c>
      <c r="V347" s="99">
        <v>46064</v>
      </c>
      <c r="W347" s="90"/>
      <c r="X347" s="99">
        <v>46066</v>
      </c>
      <c r="Y347" s="188">
        <v>260000</v>
      </c>
      <c r="Z347" s="189">
        <v>0</v>
      </c>
      <c r="AA347" s="188">
        <v>260000</v>
      </c>
      <c r="AB347" s="188">
        <v>0</v>
      </c>
      <c r="AC347" s="188">
        <v>260000</v>
      </c>
      <c r="AD347" s="188">
        <f>AA347</f>
        <v>260000</v>
      </c>
      <c r="AE347" s="68" t="s">
        <v>102</v>
      </c>
      <c r="AF347" s="68"/>
      <c r="AG347" s="68"/>
      <c r="AH347" s="190"/>
      <c r="AI347" s="191"/>
      <c r="AJ347" s="190"/>
      <c r="AK347" s="192"/>
      <c r="AL347" s="190"/>
      <c r="AM347" s="196" t="s">
        <v>182</v>
      </c>
    </row>
    <row r="348" spans="1:39" ht="30" hidden="1" customHeight="1" x14ac:dyDescent="0.25">
      <c r="A348" s="135">
        <v>2025</v>
      </c>
      <c r="B348" s="66" t="s">
        <v>60</v>
      </c>
      <c r="C348" s="65" t="s">
        <v>941</v>
      </c>
      <c r="D348" s="144" t="s">
        <v>106</v>
      </c>
      <c r="E348" s="144">
        <v>1</v>
      </c>
      <c r="F348" s="65" t="s">
        <v>942</v>
      </c>
      <c r="G348" s="144" t="s">
        <v>121</v>
      </c>
      <c r="H348" s="66" t="s">
        <v>126</v>
      </c>
      <c r="I348" s="79" t="s">
        <v>943</v>
      </c>
      <c r="J348" s="144" t="s">
        <v>131</v>
      </c>
      <c r="K348" s="144" t="s">
        <v>1</v>
      </c>
      <c r="L348" s="66" t="s">
        <v>7</v>
      </c>
      <c r="M348" s="67" t="s">
        <v>95</v>
      </c>
      <c r="N348" s="199">
        <f>O348*1.2</f>
        <v>1572336</v>
      </c>
      <c r="O348" s="199">
        <v>1310280</v>
      </c>
      <c r="P348" s="199">
        <f>O348/1.2</f>
        <v>1091900</v>
      </c>
      <c r="Q348" s="144" t="s">
        <v>138</v>
      </c>
      <c r="R348" s="90"/>
      <c r="S348" s="90"/>
      <c r="T348" s="65" t="s">
        <v>944</v>
      </c>
      <c r="U348" s="144">
        <v>2026</v>
      </c>
      <c r="V348" s="99">
        <v>46057</v>
      </c>
      <c r="W348" s="90"/>
      <c r="X348" s="99">
        <v>46063</v>
      </c>
      <c r="Y348" s="188">
        <f>AA348/1.2</f>
        <v>1307690</v>
      </c>
      <c r="Z348" s="189">
        <v>0</v>
      </c>
      <c r="AA348" s="188">
        <v>1569228</v>
      </c>
      <c r="AB348" s="188">
        <v>0</v>
      </c>
      <c r="AC348" s="188">
        <f>Y348</f>
        <v>1307690</v>
      </c>
      <c r="AD348" s="188">
        <f>AA348</f>
        <v>1569228</v>
      </c>
      <c r="AE348" s="68" t="s">
        <v>102</v>
      </c>
      <c r="AF348" s="68"/>
      <c r="AG348" s="68"/>
      <c r="AH348" s="190"/>
      <c r="AI348" s="191"/>
      <c r="AJ348" s="190"/>
      <c r="AK348" s="192"/>
      <c r="AL348" s="190"/>
      <c r="AM348" s="196" t="s">
        <v>182</v>
      </c>
    </row>
    <row r="349" spans="1:39" ht="30" hidden="1" customHeight="1" x14ac:dyDescent="0.25">
      <c r="A349" s="135">
        <v>2026</v>
      </c>
      <c r="B349" s="66" t="s">
        <v>63</v>
      </c>
      <c r="C349" s="73" t="s">
        <v>172</v>
      </c>
      <c r="D349" s="144" t="s">
        <v>114</v>
      </c>
      <c r="E349" s="144">
        <v>1</v>
      </c>
      <c r="F349" s="65" t="s">
        <v>945</v>
      </c>
      <c r="G349" s="144" t="s">
        <v>121</v>
      </c>
      <c r="H349" s="66" t="s">
        <v>126</v>
      </c>
      <c r="I349" s="79" t="s">
        <v>946</v>
      </c>
      <c r="J349" s="144" t="s">
        <v>132</v>
      </c>
      <c r="K349" s="144" t="s">
        <v>3</v>
      </c>
      <c r="L349" s="66" t="s">
        <v>6</v>
      </c>
      <c r="M349" s="67" t="s">
        <v>947</v>
      </c>
      <c r="N349" s="187"/>
      <c r="O349" s="187"/>
      <c r="P349" s="187"/>
      <c r="Q349" s="144" t="s">
        <v>140</v>
      </c>
      <c r="R349" s="90"/>
      <c r="S349" s="90"/>
      <c r="T349" s="65" t="s">
        <v>948</v>
      </c>
      <c r="U349" s="144">
        <v>2026</v>
      </c>
      <c r="V349" s="99">
        <v>46051</v>
      </c>
      <c r="W349" s="90"/>
      <c r="X349" s="99">
        <v>46052</v>
      </c>
      <c r="Y349" s="188">
        <v>150000</v>
      </c>
      <c r="Z349" s="189">
        <v>0</v>
      </c>
      <c r="AA349" s="188">
        <v>150000</v>
      </c>
      <c r="AB349" s="188">
        <v>0</v>
      </c>
      <c r="AC349" s="188">
        <f>AA349</f>
        <v>150000</v>
      </c>
      <c r="AD349" s="203">
        <f>AA349</f>
        <v>150000</v>
      </c>
      <c r="AE349" s="68" t="s">
        <v>102</v>
      </c>
      <c r="AF349" s="68"/>
      <c r="AG349" s="68"/>
      <c r="AH349" s="190"/>
      <c r="AI349" s="191"/>
      <c r="AJ349" s="190"/>
      <c r="AK349" s="192"/>
      <c r="AL349" s="190"/>
      <c r="AM349" s="196" t="s">
        <v>182</v>
      </c>
    </row>
    <row r="350" spans="1:39" ht="30" hidden="1" customHeight="1" x14ac:dyDescent="0.25">
      <c r="A350" s="135">
        <v>2026</v>
      </c>
      <c r="B350" s="66" t="s">
        <v>66</v>
      </c>
      <c r="C350" s="65" t="s">
        <v>949</v>
      </c>
      <c r="D350" s="144" t="s">
        <v>114</v>
      </c>
      <c r="E350" s="144">
        <v>1</v>
      </c>
      <c r="F350" s="65" t="s">
        <v>950</v>
      </c>
      <c r="G350" s="144" t="s">
        <v>121</v>
      </c>
      <c r="H350" s="66" t="s">
        <v>126</v>
      </c>
      <c r="I350" s="65" t="s">
        <v>951</v>
      </c>
      <c r="J350" s="144" t="s">
        <v>132</v>
      </c>
      <c r="K350" s="144" t="s">
        <v>3</v>
      </c>
      <c r="L350" s="66" t="s">
        <v>6</v>
      </c>
      <c r="M350" s="67" t="s">
        <v>27</v>
      </c>
      <c r="N350" s="187"/>
      <c r="O350" s="187"/>
      <c r="P350" s="187"/>
      <c r="Q350" s="144" t="s">
        <v>139</v>
      </c>
      <c r="R350" s="90"/>
      <c r="S350" s="90"/>
      <c r="T350" s="65" t="s">
        <v>952</v>
      </c>
      <c r="U350" s="144">
        <v>2026</v>
      </c>
      <c r="V350" s="99">
        <v>46062</v>
      </c>
      <c r="W350" s="90"/>
      <c r="X350" s="99">
        <v>46066</v>
      </c>
      <c r="Y350" s="188">
        <v>535000</v>
      </c>
      <c r="Z350" s="189">
        <v>0</v>
      </c>
      <c r="AA350" s="188">
        <v>642000</v>
      </c>
      <c r="AB350" s="188">
        <v>0</v>
      </c>
      <c r="AC350" s="188">
        <v>535000</v>
      </c>
      <c r="AD350" s="188">
        <v>642000</v>
      </c>
      <c r="AE350" s="68" t="s">
        <v>102</v>
      </c>
      <c r="AF350" s="68"/>
      <c r="AG350" s="68"/>
      <c r="AH350" s="190"/>
      <c r="AI350" s="191"/>
      <c r="AJ350" s="190"/>
      <c r="AK350" s="192"/>
      <c r="AL350" s="190"/>
      <c r="AM350" s="196" t="s">
        <v>182</v>
      </c>
    </row>
    <row r="351" spans="1:39" ht="30" hidden="1" customHeight="1" x14ac:dyDescent="0.25">
      <c r="A351" s="135">
        <v>2026</v>
      </c>
      <c r="B351" s="66" t="s">
        <v>55</v>
      </c>
      <c r="C351" s="65" t="s">
        <v>953</v>
      </c>
      <c r="D351" s="144" t="s">
        <v>106</v>
      </c>
      <c r="E351" s="144">
        <v>1</v>
      </c>
      <c r="F351" s="65" t="s">
        <v>954</v>
      </c>
      <c r="G351" s="144" t="s">
        <v>121</v>
      </c>
      <c r="H351" s="66" t="s">
        <v>126</v>
      </c>
      <c r="I351" s="79"/>
      <c r="J351" s="144" t="s">
        <v>131</v>
      </c>
      <c r="K351" s="144" t="s">
        <v>1</v>
      </c>
      <c r="L351" s="66" t="s">
        <v>7</v>
      </c>
      <c r="M351" s="67" t="s">
        <v>955</v>
      </c>
      <c r="N351" s="199">
        <f>O351*1.2</f>
        <v>1175040</v>
      </c>
      <c r="O351" s="199">
        <v>979200</v>
      </c>
      <c r="P351" s="199">
        <f>O351/1.2</f>
        <v>816000</v>
      </c>
      <c r="Q351" s="144" t="s">
        <v>138</v>
      </c>
      <c r="R351" s="90"/>
      <c r="S351" s="90"/>
      <c r="T351" s="65" t="s">
        <v>956</v>
      </c>
      <c r="U351" s="144"/>
      <c r="V351" s="99">
        <v>46064</v>
      </c>
      <c r="W351" s="99">
        <v>46084</v>
      </c>
      <c r="X351" s="99">
        <v>46213</v>
      </c>
      <c r="Y351" s="188">
        <f>AC351</f>
        <v>815810</v>
      </c>
      <c r="Z351" s="189">
        <v>0</v>
      </c>
      <c r="AA351" s="188">
        <f>AD351</f>
        <v>978972</v>
      </c>
      <c r="AB351" s="188">
        <v>0</v>
      </c>
      <c r="AC351" s="188">
        <f>AD351/1.2</f>
        <v>815810</v>
      </c>
      <c r="AD351" s="188">
        <v>978972</v>
      </c>
      <c r="AE351" s="68" t="s">
        <v>102</v>
      </c>
      <c r="AF351" s="68"/>
      <c r="AG351" s="68"/>
      <c r="AH351" s="190"/>
      <c r="AI351" s="191"/>
      <c r="AJ351" s="190"/>
      <c r="AK351" s="192"/>
      <c r="AL351" s="190"/>
      <c r="AM351" s="196" t="s">
        <v>182</v>
      </c>
    </row>
    <row r="352" spans="1:39" ht="30" hidden="1" customHeight="1" x14ac:dyDescent="0.25">
      <c r="A352" s="135">
        <v>2026</v>
      </c>
      <c r="B352" s="66" t="s">
        <v>55</v>
      </c>
      <c r="C352" s="65" t="s">
        <v>957</v>
      </c>
      <c r="D352" s="144" t="s">
        <v>106</v>
      </c>
      <c r="E352" s="144">
        <v>1</v>
      </c>
      <c r="F352" s="65" t="s">
        <v>958</v>
      </c>
      <c r="G352" s="144" t="s">
        <v>121</v>
      </c>
      <c r="H352" s="66" t="s">
        <v>127</v>
      </c>
      <c r="I352" s="79"/>
      <c r="J352" s="144" t="s">
        <v>130</v>
      </c>
      <c r="K352" s="144" t="s">
        <v>1</v>
      </c>
      <c r="L352" s="66" t="s">
        <v>7</v>
      </c>
      <c r="M352" s="67" t="s">
        <v>955</v>
      </c>
      <c r="N352" s="199">
        <f>O352*1.2</f>
        <v>3841200</v>
      </c>
      <c r="O352" s="199">
        <v>3201000</v>
      </c>
      <c r="P352" s="199">
        <f>O352/1.2</f>
        <v>2667500</v>
      </c>
      <c r="Q352" s="144" t="s">
        <v>138</v>
      </c>
      <c r="R352" s="90"/>
      <c r="S352" s="90"/>
      <c r="T352" s="65" t="s">
        <v>959</v>
      </c>
      <c r="U352" s="144"/>
      <c r="V352" s="99">
        <v>46064</v>
      </c>
      <c r="W352" s="99">
        <v>46077</v>
      </c>
      <c r="X352" s="99">
        <v>46188</v>
      </c>
      <c r="Y352" s="188">
        <f>AC352</f>
        <v>2334888</v>
      </c>
      <c r="Z352" s="189">
        <v>0</v>
      </c>
      <c r="AA352" s="188">
        <f>AD352</f>
        <v>2801865.6</v>
      </c>
      <c r="AB352" s="188">
        <v>0</v>
      </c>
      <c r="AC352" s="188">
        <f>AD352/1.2</f>
        <v>2334888</v>
      </c>
      <c r="AD352" s="188">
        <v>2801865.6</v>
      </c>
      <c r="AE352" s="68" t="s">
        <v>102</v>
      </c>
      <c r="AF352" s="68"/>
      <c r="AG352" s="68"/>
      <c r="AH352" s="190"/>
      <c r="AI352" s="191"/>
      <c r="AJ352" s="190"/>
      <c r="AK352" s="192"/>
      <c r="AL352" s="190"/>
      <c r="AM352" s="196" t="s">
        <v>182</v>
      </c>
    </row>
    <row r="353" spans="1:45" ht="30" hidden="1" customHeight="1" x14ac:dyDescent="0.25">
      <c r="A353" s="49">
        <v>2026</v>
      </c>
      <c r="B353" s="66" t="s">
        <v>55</v>
      </c>
      <c r="C353" s="65" t="s">
        <v>960</v>
      </c>
      <c r="D353" s="144" t="s">
        <v>106</v>
      </c>
      <c r="E353" s="144">
        <v>1</v>
      </c>
      <c r="F353" s="65" t="s">
        <v>961</v>
      </c>
      <c r="G353" s="144" t="s">
        <v>118</v>
      </c>
      <c r="H353" s="66" t="s">
        <v>118</v>
      </c>
      <c r="I353" s="73"/>
      <c r="J353" s="144" t="s">
        <v>130</v>
      </c>
      <c r="K353" s="144" t="s">
        <v>1</v>
      </c>
      <c r="L353" s="66" t="s">
        <v>7</v>
      </c>
      <c r="M353" s="67" t="s">
        <v>955</v>
      </c>
      <c r="N353" s="199">
        <f>O353*1.2</f>
        <v>1440000</v>
      </c>
      <c r="O353" s="199">
        <v>1200000</v>
      </c>
      <c r="P353" s="199">
        <f>O353/1.2</f>
        <v>1000000</v>
      </c>
      <c r="Q353" s="144" t="s">
        <v>138</v>
      </c>
      <c r="R353" s="90"/>
      <c r="S353" s="90"/>
      <c r="T353" s="73"/>
      <c r="U353" s="44"/>
      <c r="V353" s="99">
        <v>46064</v>
      </c>
      <c r="W353" s="99">
        <v>46077</v>
      </c>
      <c r="X353" s="90"/>
      <c r="Y353" s="187">
        <v>0</v>
      </c>
      <c r="Z353" s="201">
        <v>0</v>
      </c>
      <c r="AA353" s="187">
        <v>0</v>
      </c>
      <c r="AB353" s="187">
        <v>0</v>
      </c>
      <c r="AC353" s="187">
        <v>0</v>
      </c>
      <c r="AD353" s="187">
        <v>0</v>
      </c>
      <c r="AE353" s="68" t="s">
        <v>103</v>
      </c>
      <c r="AF353" s="68"/>
      <c r="AG353" s="68"/>
      <c r="AH353" s="190"/>
      <c r="AI353" s="191"/>
      <c r="AJ353" s="190"/>
      <c r="AK353" s="192"/>
      <c r="AL353" s="190"/>
      <c r="AM353" s="196" t="s">
        <v>182</v>
      </c>
    </row>
    <row r="354" spans="1:45" ht="30" hidden="1" customHeight="1" x14ac:dyDescent="0.25">
      <c r="A354" s="135">
        <v>2025</v>
      </c>
      <c r="B354" s="66" t="s">
        <v>705</v>
      </c>
      <c r="C354" s="65" t="s">
        <v>962</v>
      </c>
      <c r="D354" s="144" t="s">
        <v>106</v>
      </c>
      <c r="E354" s="144">
        <v>1</v>
      </c>
      <c r="F354" s="65" t="s">
        <v>963</v>
      </c>
      <c r="G354" s="144" t="s">
        <v>121</v>
      </c>
      <c r="H354" s="66" t="s">
        <v>126</v>
      </c>
      <c r="I354" s="65" t="s">
        <v>964</v>
      </c>
      <c r="J354" s="144" t="s">
        <v>131</v>
      </c>
      <c r="K354" s="144" t="s">
        <v>2</v>
      </c>
      <c r="L354" s="66" t="s">
        <v>7</v>
      </c>
      <c r="M354" s="67" t="s">
        <v>965</v>
      </c>
      <c r="N354" s="199">
        <f>O354*1.2</f>
        <v>2699409.6</v>
      </c>
      <c r="O354" s="199">
        <v>2249508</v>
      </c>
      <c r="P354" s="199">
        <f>O354/1.2</f>
        <v>1874590</v>
      </c>
      <c r="Q354" s="144" t="s">
        <v>138</v>
      </c>
      <c r="R354" s="90"/>
      <c r="S354" s="90"/>
      <c r="T354" s="65" t="s">
        <v>966</v>
      </c>
      <c r="U354" s="144">
        <v>2026</v>
      </c>
      <c r="V354" s="99">
        <v>46065</v>
      </c>
      <c r="W354" s="90"/>
      <c r="X354" s="99">
        <v>46066</v>
      </c>
      <c r="Y354" s="188">
        <f>AA354/1.2</f>
        <v>2240530</v>
      </c>
      <c r="Z354" s="189">
        <v>0</v>
      </c>
      <c r="AA354" s="188">
        <v>2688636</v>
      </c>
      <c r="AB354" s="188">
        <v>0</v>
      </c>
      <c r="AC354" s="188">
        <f>Y354</f>
        <v>2240530</v>
      </c>
      <c r="AD354" s="188">
        <f>AA354</f>
        <v>2688636</v>
      </c>
      <c r="AE354" s="68" t="s">
        <v>102</v>
      </c>
      <c r="AF354" s="68"/>
      <c r="AG354" s="68"/>
      <c r="AH354" s="190"/>
      <c r="AI354" s="191"/>
      <c r="AJ354" s="190"/>
      <c r="AK354" s="192"/>
      <c r="AL354" s="190"/>
      <c r="AM354" s="196" t="s">
        <v>182</v>
      </c>
    </row>
    <row r="355" spans="1:45" ht="30" hidden="1" customHeight="1" x14ac:dyDescent="0.25">
      <c r="A355" s="135" t="s">
        <v>354</v>
      </c>
      <c r="B355" s="66" t="s">
        <v>61</v>
      </c>
      <c r="C355" s="73" t="s">
        <v>141</v>
      </c>
      <c r="D355" s="144" t="s">
        <v>114</v>
      </c>
      <c r="E355" s="144">
        <v>1</v>
      </c>
      <c r="F355" s="65" t="s">
        <v>967</v>
      </c>
      <c r="G355" s="144" t="s">
        <v>121</v>
      </c>
      <c r="H355" s="66" t="s">
        <v>126</v>
      </c>
      <c r="I355" s="65">
        <v>21000544</v>
      </c>
      <c r="J355" s="144" t="s">
        <v>132</v>
      </c>
      <c r="K355" s="144" t="s">
        <v>3</v>
      </c>
      <c r="L355" s="66" t="s">
        <v>6</v>
      </c>
      <c r="M355" s="67" t="s">
        <v>25</v>
      </c>
      <c r="N355" s="187"/>
      <c r="O355" s="187"/>
      <c r="P355" s="187"/>
      <c r="Q355" s="144" t="s">
        <v>141</v>
      </c>
      <c r="R355" s="90"/>
      <c r="S355" s="90"/>
      <c r="T355" s="65" t="s">
        <v>968</v>
      </c>
      <c r="U355" s="144" t="s">
        <v>354</v>
      </c>
      <c r="V355" s="90"/>
      <c r="W355" s="90"/>
      <c r="X355" s="90"/>
      <c r="Y355" s="188">
        <f>AC355</f>
        <v>1476666.6666666667</v>
      </c>
      <c r="Z355" s="189">
        <v>0</v>
      </c>
      <c r="AA355" s="188">
        <f>AD355</f>
        <v>1772000</v>
      </c>
      <c r="AB355" s="188">
        <v>0</v>
      </c>
      <c r="AC355" s="188">
        <f>AD355/1.2</f>
        <v>1476666.6666666667</v>
      </c>
      <c r="AD355" s="188">
        <v>1772000</v>
      </c>
      <c r="AE355" s="68" t="s">
        <v>102</v>
      </c>
      <c r="AF355" s="68"/>
      <c r="AG355" s="68"/>
      <c r="AH355" s="190"/>
      <c r="AI355" s="191"/>
      <c r="AJ355" s="190"/>
      <c r="AK355" s="192"/>
      <c r="AL355" s="190"/>
      <c r="AM355" s="196" t="s">
        <v>182</v>
      </c>
    </row>
    <row r="356" spans="1:45" ht="30" hidden="1" customHeight="1" x14ac:dyDescent="0.25">
      <c r="A356" s="135" t="s">
        <v>354</v>
      </c>
      <c r="B356" s="66" t="s">
        <v>61</v>
      </c>
      <c r="C356" s="73" t="s">
        <v>141</v>
      </c>
      <c r="D356" s="144" t="s">
        <v>114</v>
      </c>
      <c r="E356" s="144">
        <v>1</v>
      </c>
      <c r="F356" s="65" t="s">
        <v>969</v>
      </c>
      <c r="G356" s="144" t="s">
        <v>121</v>
      </c>
      <c r="H356" s="66" t="s">
        <v>126</v>
      </c>
      <c r="I356" s="65">
        <v>21000315</v>
      </c>
      <c r="J356" s="144" t="s">
        <v>132</v>
      </c>
      <c r="K356" s="144" t="s">
        <v>3</v>
      </c>
      <c r="L356" s="66" t="s">
        <v>6</v>
      </c>
      <c r="M356" s="67" t="s">
        <v>25</v>
      </c>
      <c r="N356" s="187"/>
      <c r="O356" s="187"/>
      <c r="P356" s="187"/>
      <c r="Q356" s="144" t="s">
        <v>141</v>
      </c>
      <c r="R356" s="90"/>
      <c r="S356" s="90"/>
      <c r="T356" s="65" t="s">
        <v>970</v>
      </c>
      <c r="U356" s="144" t="s">
        <v>354</v>
      </c>
      <c r="V356" s="90"/>
      <c r="W356" s="90"/>
      <c r="X356" s="90"/>
      <c r="Y356" s="188">
        <f>AC356</f>
        <v>7410458.333333334</v>
      </c>
      <c r="Z356" s="189">
        <v>0</v>
      </c>
      <c r="AA356" s="188">
        <f>AD356</f>
        <v>8892550</v>
      </c>
      <c r="AB356" s="188">
        <v>0</v>
      </c>
      <c r="AC356" s="188">
        <f>AD356/1.2</f>
        <v>7410458.333333334</v>
      </c>
      <c r="AD356" s="188">
        <v>8892550</v>
      </c>
      <c r="AE356" s="68" t="s">
        <v>102</v>
      </c>
      <c r="AF356" s="68"/>
      <c r="AG356" s="68"/>
      <c r="AH356" s="190"/>
      <c r="AI356" s="191"/>
      <c r="AJ356" s="190"/>
      <c r="AK356" s="192"/>
      <c r="AL356" s="190"/>
      <c r="AM356" s="196" t="s">
        <v>182</v>
      </c>
    </row>
    <row r="357" spans="1:45" ht="30" hidden="1" customHeight="1" x14ac:dyDescent="0.25">
      <c r="A357" s="135">
        <v>2024</v>
      </c>
      <c r="B357" s="66" t="s">
        <v>61</v>
      </c>
      <c r="C357" s="73" t="s">
        <v>141</v>
      </c>
      <c r="D357" s="144" t="s">
        <v>114</v>
      </c>
      <c r="E357" s="144">
        <v>1</v>
      </c>
      <c r="F357" s="65" t="s">
        <v>971</v>
      </c>
      <c r="G357" s="144" t="s">
        <v>121</v>
      </c>
      <c r="H357" s="66" t="s">
        <v>126</v>
      </c>
      <c r="I357" s="65" t="s">
        <v>972</v>
      </c>
      <c r="J357" s="144" t="s">
        <v>132</v>
      </c>
      <c r="K357" s="144" t="s">
        <v>3</v>
      </c>
      <c r="L357" s="66" t="s">
        <v>6</v>
      </c>
      <c r="M357" s="67" t="s">
        <v>973</v>
      </c>
      <c r="N357" s="187"/>
      <c r="O357" s="187"/>
      <c r="P357" s="187"/>
      <c r="Q357" s="144" t="s">
        <v>141</v>
      </c>
      <c r="R357" s="90"/>
      <c r="S357" s="90"/>
      <c r="T357" s="65" t="s">
        <v>974</v>
      </c>
      <c r="U357" s="144">
        <v>2024</v>
      </c>
      <c r="V357" s="90"/>
      <c r="W357" s="90"/>
      <c r="X357" s="90"/>
      <c r="Y357" s="188">
        <v>329600</v>
      </c>
      <c r="Z357" s="189">
        <v>0</v>
      </c>
      <c r="AA357" s="188">
        <v>395520</v>
      </c>
      <c r="AB357" s="188">
        <v>0</v>
      </c>
      <c r="AC357" s="188">
        <v>329600</v>
      </c>
      <c r="AD357" s="188">
        <v>395520</v>
      </c>
      <c r="AE357" s="68" t="s">
        <v>102</v>
      </c>
      <c r="AF357" s="68"/>
      <c r="AG357" s="68"/>
      <c r="AH357" s="190"/>
      <c r="AI357" s="191"/>
      <c r="AJ357" s="190"/>
      <c r="AK357" s="192"/>
      <c r="AL357" s="190"/>
      <c r="AM357" s="196" t="s">
        <v>182</v>
      </c>
    </row>
    <row r="358" spans="1:45" ht="30" hidden="1" customHeight="1" x14ac:dyDescent="0.25">
      <c r="A358" s="49">
        <v>2026</v>
      </c>
      <c r="B358" s="66" t="s">
        <v>61</v>
      </c>
      <c r="C358" s="73" t="s">
        <v>119</v>
      </c>
      <c r="D358" s="144" t="s">
        <v>106</v>
      </c>
      <c r="E358" s="144">
        <v>1</v>
      </c>
      <c r="F358" s="65" t="s">
        <v>975</v>
      </c>
      <c r="G358" s="144" t="s">
        <v>119</v>
      </c>
      <c r="H358" s="66" t="s">
        <v>119</v>
      </c>
      <c r="I358" s="73"/>
      <c r="J358" s="144" t="s">
        <v>131</v>
      </c>
      <c r="K358" s="144" t="s">
        <v>3</v>
      </c>
      <c r="L358" s="66" t="s">
        <v>6</v>
      </c>
      <c r="M358" s="67" t="s">
        <v>973</v>
      </c>
      <c r="N358" s="199">
        <f>O358*1.2</f>
        <v>240000</v>
      </c>
      <c r="O358" s="199">
        <v>200000</v>
      </c>
      <c r="P358" s="199">
        <f>O358/1.2</f>
        <v>166666.66666666669</v>
      </c>
      <c r="Q358" s="144" t="s">
        <v>138</v>
      </c>
      <c r="R358" s="90"/>
      <c r="S358" s="90"/>
      <c r="T358" s="73"/>
      <c r="U358" s="44"/>
      <c r="V358" s="99">
        <v>46064</v>
      </c>
      <c r="W358" s="90"/>
      <c r="X358" s="90"/>
      <c r="Y358" s="188">
        <v>0</v>
      </c>
      <c r="Z358" s="189">
        <v>0</v>
      </c>
      <c r="AA358" s="188">
        <v>0</v>
      </c>
      <c r="AB358" s="188">
        <v>0</v>
      </c>
      <c r="AC358" s="188">
        <v>0</v>
      </c>
      <c r="AD358" s="188">
        <v>0</v>
      </c>
      <c r="AE358" s="68" t="s">
        <v>103</v>
      </c>
      <c r="AF358" s="68"/>
      <c r="AG358" s="68"/>
      <c r="AH358" s="190"/>
      <c r="AI358" s="191"/>
      <c r="AJ358" s="190"/>
      <c r="AK358" s="192"/>
      <c r="AL358" s="190"/>
      <c r="AM358" s="196" t="s">
        <v>182</v>
      </c>
    </row>
    <row r="359" spans="1:45" ht="30" hidden="1" customHeight="1" x14ac:dyDescent="0.25">
      <c r="A359" s="48">
        <v>2026</v>
      </c>
      <c r="B359" s="66" t="s">
        <v>61</v>
      </c>
      <c r="C359" s="74"/>
      <c r="D359" s="144" t="s">
        <v>106</v>
      </c>
      <c r="E359" s="144">
        <v>1</v>
      </c>
      <c r="F359" s="65" t="s">
        <v>976</v>
      </c>
      <c r="G359" s="144" t="s">
        <v>120</v>
      </c>
      <c r="H359" s="66" t="s">
        <v>120</v>
      </c>
      <c r="I359" s="79"/>
      <c r="J359" s="144" t="s">
        <v>131</v>
      </c>
      <c r="K359" s="144" t="s">
        <v>3</v>
      </c>
      <c r="L359" s="66" t="s">
        <v>6</v>
      </c>
      <c r="M359" s="67" t="s">
        <v>23</v>
      </c>
      <c r="N359" s="199">
        <f>O359*1.2</f>
        <v>240000</v>
      </c>
      <c r="O359" s="199">
        <v>200000</v>
      </c>
      <c r="P359" s="199">
        <f>O359/1.2</f>
        <v>166666.66666666669</v>
      </c>
      <c r="Q359" s="144" t="s">
        <v>139</v>
      </c>
      <c r="R359" s="90"/>
      <c r="S359" s="90"/>
      <c r="T359" s="65"/>
      <c r="U359" s="144"/>
      <c r="V359" s="99">
        <v>46077</v>
      </c>
      <c r="W359" s="94"/>
      <c r="X359" s="99"/>
      <c r="Y359" s="188"/>
      <c r="Z359" s="189">
        <v>0</v>
      </c>
      <c r="AA359" s="188"/>
      <c r="AB359" s="188">
        <v>0</v>
      </c>
      <c r="AC359" s="188"/>
      <c r="AD359" s="188"/>
      <c r="AE359" s="68" t="s">
        <v>99</v>
      </c>
      <c r="AF359" s="68"/>
      <c r="AG359" s="68"/>
      <c r="AH359" s="190"/>
      <c r="AI359" s="191"/>
      <c r="AJ359" s="190"/>
      <c r="AK359" s="192"/>
      <c r="AL359" s="190"/>
      <c r="AM359" s="193" t="s">
        <v>977</v>
      </c>
    </row>
    <row r="360" spans="1:45" ht="30" hidden="1" customHeight="1" x14ac:dyDescent="0.25">
      <c r="A360" s="135">
        <v>2026</v>
      </c>
      <c r="B360" s="66" t="s">
        <v>64</v>
      </c>
      <c r="C360" s="73"/>
      <c r="D360" s="144" t="s">
        <v>109</v>
      </c>
      <c r="E360" s="144">
        <v>1</v>
      </c>
      <c r="F360" s="65" t="s">
        <v>978</v>
      </c>
      <c r="G360" s="144" t="s">
        <v>121</v>
      </c>
      <c r="H360" s="66" t="s">
        <v>126</v>
      </c>
      <c r="I360" s="65" t="s">
        <v>979</v>
      </c>
      <c r="J360" s="144" t="s">
        <v>131</v>
      </c>
      <c r="K360" s="144" t="s">
        <v>3</v>
      </c>
      <c r="L360" s="66" t="s">
        <v>6</v>
      </c>
      <c r="M360" s="67" t="s">
        <v>973</v>
      </c>
      <c r="N360" s="187"/>
      <c r="O360" s="187"/>
      <c r="P360" s="187"/>
      <c r="Q360" s="144" t="s">
        <v>138</v>
      </c>
      <c r="R360" s="90"/>
      <c r="S360" s="90"/>
      <c r="T360" s="65" t="s">
        <v>980</v>
      </c>
      <c r="U360" s="144">
        <v>2026</v>
      </c>
      <c r="V360" s="99">
        <v>46038</v>
      </c>
      <c r="W360" s="90"/>
      <c r="X360" s="99">
        <v>46041</v>
      </c>
      <c r="Y360" s="188">
        <v>13900</v>
      </c>
      <c r="Z360" s="189">
        <v>0</v>
      </c>
      <c r="AA360" s="188">
        <v>13900</v>
      </c>
      <c r="AB360" s="188">
        <v>0</v>
      </c>
      <c r="AC360" s="188">
        <f>Y360</f>
        <v>13900</v>
      </c>
      <c r="AD360" s="188">
        <f>AA360</f>
        <v>13900</v>
      </c>
      <c r="AE360" s="68" t="s">
        <v>102</v>
      </c>
      <c r="AF360" s="68"/>
      <c r="AG360" s="68"/>
      <c r="AH360" s="190"/>
      <c r="AI360" s="191"/>
      <c r="AJ360" s="190"/>
      <c r="AK360" s="192"/>
      <c r="AL360" s="190"/>
      <c r="AM360" s="196" t="s">
        <v>182</v>
      </c>
    </row>
    <row r="361" spans="1:45" ht="30" hidden="1" customHeight="1" x14ac:dyDescent="0.25">
      <c r="A361" s="135">
        <v>2026</v>
      </c>
      <c r="B361" s="66" t="s">
        <v>64</v>
      </c>
      <c r="C361" s="73"/>
      <c r="D361" s="144" t="s">
        <v>109</v>
      </c>
      <c r="E361" s="144"/>
      <c r="F361" s="65" t="s">
        <v>981</v>
      </c>
      <c r="G361" s="144" t="s">
        <v>121</v>
      </c>
      <c r="H361" s="66" t="s">
        <v>126</v>
      </c>
      <c r="I361" s="65" t="s">
        <v>982</v>
      </c>
      <c r="J361" s="144" t="s">
        <v>131</v>
      </c>
      <c r="K361" s="144" t="s">
        <v>3</v>
      </c>
      <c r="L361" s="66" t="s">
        <v>6</v>
      </c>
      <c r="M361" s="67" t="s">
        <v>16</v>
      </c>
      <c r="N361" s="187"/>
      <c r="O361" s="187"/>
      <c r="P361" s="187"/>
      <c r="Q361" s="144" t="s">
        <v>138</v>
      </c>
      <c r="R361" s="90"/>
      <c r="S361" s="90"/>
      <c r="T361" s="65" t="s">
        <v>983</v>
      </c>
      <c r="U361" s="144">
        <v>2026</v>
      </c>
      <c r="V361" s="99">
        <v>46038</v>
      </c>
      <c r="W361" s="90"/>
      <c r="X361" s="99">
        <v>46041</v>
      </c>
      <c r="Y361" s="188">
        <v>21600</v>
      </c>
      <c r="Z361" s="189">
        <v>0</v>
      </c>
      <c r="AA361" s="188">
        <v>21600</v>
      </c>
      <c r="AB361" s="188">
        <v>0</v>
      </c>
      <c r="AC361" s="188">
        <f>Y361</f>
        <v>21600</v>
      </c>
      <c r="AD361" s="188">
        <f>AA361</f>
        <v>21600</v>
      </c>
      <c r="AE361" s="68" t="s">
        <v>102</v>
      </c>
      <c r="AF361" s="68"/>
      <c r="AG361" s="68"/>
      <c r="AH361" s="190"/>
      <c r="AI361" s="191"/>
      <c r="AJ361" s="190"/>
      <c r="AK361" s="192"/>
      <c r="AL361" s="190"/>
      <c r="AM361" s="196" t="s">
        <v>182</v>
      </c>
    </row>
    <row r="362" spans="1:45" ht="30" hidden="1" customHeight="1" x14ac:dyDescent="0.25">
      <c r="A362" s="49">
        <v>2026</v>
      </c>
      <c r="B362" s="66" t="s">
        <v>60</v>
      </c>
      <c r="C362" s="73" t="s">
        <v>119</v>
      </c>
      <c r="D362" s="144" t="s">
        <v>106</v>
      </c>
      <c r="E362" s="144">
        <v>1</v>
      </c>
      <c r="F362" s="65" t="s">
        <v>984</v>
      </c>
      <c r="G362" s="144" t="s">
        <v>119</v>
      </c>
      <c r="H362" s="66" t="s">
        <v>119</v>
      </c>
      <c r="I362" s="73"/>
      <c r="J362" s="144" t="s">
        <v>130</v>
      </c>
      <c r="K362" s="144" t="s">
        <v>1</v>
      </c>
      <c r="L362" s="66" t="s">
        <v>7</v>
      </c>
      <c r="M362" s="67" t="s">
        <v>36</v>
      </c>
      <c r="N362" s="199">
        <f>O362*1.2</f>
        <v>576000</v>
      </c>
      <c r="O362" s="199">
        <v>480000</v>
      </c>
      <c r="P362" s="199">
        <f>O362/1.2</f>
        <v>400000</v>
      </c>
      <c r="Q362" s="144" t="s">
        <v>138</v>
      </c>
      <c r="R362" s="90"/>
      <c r="S362" s="90"/>
      <c r="T362" s="73"/>
      <c r="U362" s="44"/>
      <c r="V362" s="99">
        <v>46072</v>
      </c>
      <c r="W362" s="90"/>
      <c r="X362" s="90"/>
      <c r="Y362" s="188">
        <v>0</v>
      </c>
      <c r="Z362" s="189">
        <v>0</v>
      </c>
      <c r="AA362" s="188">
        <v>0</v>
      </c>
      <c r="AB362" s="188">
        <v>0</v>
      </c>
      <c r="AC362" s="188">
        <v>0</v>
      </c>
      <c r="AD362" s="188">
        <v>0</v>
      </c>
      <c r="AE362" s="68" t="s">
        <v>103</v>
      </c>
      <c r="AF362" s="68"/>
      <c r="AG362" s="68"/>
      <c r="AH362" s="190"/>
      <c r="AI362" s="191"/>
      <c r="AJ362" s="190"/>
      <c r="AK362" s="192"/>
      <c r="AL362" s="190"/>
      <c r="AM362" s="196" t="s">
        <v>985</v>
      </c>
    </row>
    <row r="363" spans="1:45" s="43" customFormat="1" ht="30" hidden="1" customHeight="1" x14ac:dyDescent="0.25">
      <c r="A363" s="50">
        <v>2026</v>
      </c>
      <c r="B363" s="52" t="s">
        <v>60</v>
      </c>
      <c r="C363" s="75"/>
      <c r="D363" s="142" t="s">
        <v>106</v>
      </c>
      <c r="E363" s="142">
        <v>2</v>
      </c>
      <c r="F363" s="51" t="s">
        <v>986</v>
      </c>
      <c r="G363" s="142" t="s">
        <v>120</v>
      </c>
      <c r="H363" s="52" t="s">
        <v>120</v>
      </c>
      <c r="I363" s="80"/>
      <c r="J363" s="142" t="s">
        <v>130</v>
      </c>
      <c r="K363" s="142" t="s">
        <v>3</v>
      </c>
      <c r="L363" s="52" t="s">
        <v>7</v>
      </c>
      <c r="M363" s="53" t="s">
        <v>36</v>
      </c>
      <c r="N363" s="204">
        <f>O363*1.2</f>
        <v>550080</v>
      </c>
      <c r="O363" s="204">
        <v>458400</v>
      </c>
      <c r="P363" s="204">
        <f>O363/1.2</f>
        <v>382000</v>
      </c>
      <c r="Q363" s="142" t="s">
        <v>138</v>
      </c>
      <c r="R363" s="91"/>
      <c r="S363" s="91"/>
      <c r="T363" s="51"/>
      <c r="U363" s="142"/>
      <c r="V363" s="95"/>
      <c r="W363" s="101"/>
      <c r="X363" s="101"/>
      <c r="Y363" s="205"/>
      <c r="Z363" s="206"/>
      <c r="AA363" s="205"/>
      <c r="AB363" s="205"/>
      <c r="AC363" s="205"/>
      <c r="AD363" s="205"/>
      <c r="AE363" s="54" t="s">
        <v>99</v>
      </c>
      <c r="AF363" s="68"/>
      <c r="AG363" s="68"/>
      <c r="AH363" s="190"/>
      <c r="AI363" s="191"/>
      <c r="AJ363" s="190"/>
      <c r="AK363" s="192"/>
      <c r="AL363" s="190"/>
      <c r="AM363" s="207" t="s">
        <v>987</v>
      </c>
      <c r="AN363" s="208"/>
      <c r="AO363" s="209"/>
      <c r="AP363" s="40"/>
      <c r="AQ363" s="40"/>
      <c r="AR363" s="41"/>
      <c r="AS363" s="42"/>
    </row>
    <row r="364" spans="1:45" ht="30" hidden="1" customHeight="1" x14ac:dyDescent="0.25">
      <c r="A364" s="135">
        <v>2023</v>
      </c>
      <c r="B364" s="66" t="s">
        <v>66</v>
      </c>
      <c r="C364" s="73" t="s">
        <v>140</v>
      </c>
      <c r="D364" s="144" t="s">
        <v>114</v>
      </c>
      <c r="E364" s="144">
        <v>1</v>
      </c>
      <c r="F364" s="65" t="s">
        <v>988</v>
      </c>
      <c r="G364" s="144" t="s">
        <v>121</v>
      </c>
      <c r="H364" s="66" t="s">
        <v>126</v>
      </c>
      <c r="I364" s="79" t="s">
        <v>989</v>
      </c>
      <c r="J364" s="144" t="s">
        <v>132</v>
      </c>
      <c r="K364" s="144" t="s">
        <v>3</v>
      </c>
      <c r="L364" s="66" t="s">
        <v>6</v>
      </c>
      <c r="M364" s="67" t="s">
        <v>27</v>
      </c>
      <c r="N364" s="187"/>
      <c r="O364" s="187"/>
      <c r="P364" s="187"/>
      <c r="Q364" s="144" t="s">
        <v>141</v>
      </c>
      <c r="R364" s="90"/>
      <c r="S364" s="90"/>
      <c r="T364" s="65" t="s">
        <v>990</v>
      </c>
      <c r="U364" s="144">
        <v>2023</v>
      </c>
      <c r="V364" s="94"/>
      <c r="W364" s="99"/>
      <c r="X364" s="99"/>
      <c r="Y364" s="188"/>
      <c r="Z364" s="189"/>
      <c r="AA364" s="188"/>
      <c r="AB364" s="188"/>
      <c r="AC364" s="188"/>
      <c r="AD364" s="188">
        <v>10200000</v>
      </c>
      <c r="AE364" s="68" t="s">
        <v>102</v>
      </c>
      <c r="AF364" s="68"/>
      <c r="AG364" s="68"/>
      <c r="AH364" s="190"/>
      <c r="AI364" s="191"/>
      <c r="AJ364" s="190"/>
      <c r="AK364" s="192"/>
      <c r="AL364" s="190"/>
      <c r="AM364" s="193"/>
    </row>
    <row r="365" spans="1:45" ht="30" hidden="1" customHeight="1" x14ac:dyDescent="0.25">
      <c r="A365" s="135">
        <v>2026</v>
      </c>
      <c r="B365" s="66" t="s">
        <v>66</v>
      </c>
      <c r="C365" s="73" t="s">
        <v>140</v>
      </c>
      <c r="D365" s="144" t="s">
        <v>114</v>
      </c>
      <c r="E365" s="144">
        <v>1</v>
      </c>
      <c r="F365" s="65" t="s">
        <v>991</v>
      </c>
      <c r="G365" s="144" t="s">
        <v>121</v>
      </c>
      <c r="H365" s="66" t="s">
        <v>126</v>
      </c>
      <c r="I365" s="65" t="s">
        <v>992</v>
      </c>
      <c r="J365" s="144" t="s">
        <v>132</v>
      </c>
      <c r="K365" s="144" t="s">
        <v>3</v>
      </c>
      <c r="L365" s="66" t="s">
        <v>6</v>
      </c>
      <c r="M365" s="67" t="s">
        <v>27</v>
      </c>
      <c r="N365" s="187"/>
      <c r="O365" s="187"/>
      <c r="P365" s="187"/>
      <c r="Q365" s="144" t="s">
        <v>139</v>
      </c>
      <c r="R365" s="90"/>
      <c r="S365" s="90"/>
      <c r="T365" s="65" t="s">
        <v>993</v>
      </c>
      <c r="U365" s="144">
        <v>2026</v>
      </c>
      <c r="V365" s="99">
        <v>46072</v>
      </c>
      <c r="W365" s="90"/>
      <c r="X365" s="99">
        <v>46077</v>
      </c>
      <c r="Y365" s="188">
        <f>AA365/1.2</f>
        <v>607069.54166666663</v>
      </c>
      <c r="Z365" s="189">
        <v>0</v>
      </c>
      <c r="AA365" s="188">
        <v>728483.45</v>
      </c>
      <c r="AB365" s="188">
        <v>0</v>
      </c>
      <c r="AC365" s="188">
        <f>Y365</f>
        <v>607069.54166666663</v>
      </c>
      <c r="AD365" s="188">
        <f>AA365</f>
        <v>728483.45</v>
      </c>
      <c r="AE365" s="68" t="s">
        <v>102</v>
      </c>
      <c r="AF365" s="68"/>
      <c r="AG365" s="68"/>
      <c r="AH365" s="190"/>
      <c r="AI365" s="191"/>
      <c r="AJ365" s="190"/>
      <c r="AK365" s="192"/>
      <c r="AL365" s="190"/>
      <c r="AM365" s="196" t="s">
        <v>994</v>
      </c>
    </row>
    <row r="366" spans="1:45" ht="30" hidden="1" customHeight="1" x14ac:dyDescent="0.25">
      <c r="A366" s="135">
        <v>2026</v>
      </c>
      <c r="B366" s="66" t="s">
        <v>66</v>
      </c>
      <c r="C366" s="73"/>
      <c r="D366" s="144" t="s">
        <v>109</v>
      </c>
      <c r="E366" s="144">
        <v>1</v>
      </c>
      <c r="F366" s="65" t="s">
        <v>995</v>
      </c>
      <c r="G366" s="144" t="s">
        <v>121</v>
      </c>
      <c r="H366" s="66" t="s">
        <v>126</v>
      </c>
      <c r="I366" s="65" t="s">
        <v>996</v>
      </c>
      <c r="J366" s="144" t="s">
        <v>132</v>
      </c>
      <c r="K366" s="144" t="s">
        <v>3</v>
      </c>
      <c r="L366" s="66" t="s">
        <v>6</v>
      </c>
      <c r="M366" s="67" t="s">
        <v>973</v>
      </c>
      <c r="N366" s="187"/>
      <c r="O366" s="187"/>
      <c r="P366" s="187"/>
      <c r="Q366" s="144" t="s">
        <v>139</v>
      </c>
      <c r="R366" s="90"/>
      <c r="S366" s="90"/>
      <c r="T366" s="65" t="s">
        <v>997</v>
      </c>
      <c r="U366" s="144">
        <v>2026</v>
      </c>
      <c r="V366" s="99">
        <v>46072</v>
      </c>
      <c r="W366" s="90"/>
      <c r="X366" s="99">
        <v>46072</v>
      </c>
      <c r="Y366" s="188">
        <v>94000</v>
      </c>
      <c r="Z366" s="189">
        <v>0</v>
      </c>
      <c r="AA366" s="188">
        <v>112800</v>
      </c>
      <c r="AB366" s="188">
        <v>0</v>
      </c>
      <c r="AC366" s="188">
        <f>Y366</f>
        <v>94000</v>
      </c>
      <c r="AD366" s="188">
        <f>AA366</f>
        <v>112800</v>
      </c>
      <c r="AE366" s="68" t="s">
        <v>102</v>
      </c>
      <c r="AF366" s="68"/>
      <c r="AG366" s="68"/>
      <c r="AH366" s="190"/>
      <c r="AI366" s="191"/>
      <c r="AJ366" s="190"/>
      <c r="AK366" s="192"/>
      <c r="AL366" s="190"/>
      <c r="AM366" s="196" t="s">
        <v>994</v>
      </c>
    </row>
    <row r="367" spans="1:45" ht="30" hidden="1" customHeight="1" x14ac:dyDescent="0.25">
      <c r="A367" s="135">
        <v>2026</v>
      </c>
      <c r="B367" s="66" t="s">
        <v>60</v>
      </c>
      <c r="C367" s="73"/>
      <c r="D367" s="144" t="s">
        <v>109</v>
      </c>
      <c r="E367" s="144">
        <v>1</v>
      </c>
      <c r="F367" s="65" t="s">
        <v>998</v>
      </c>
      <c r="G367" s="144" t="s">
        <v>121</v>
      </c>
      <c r="H367" s="66" t="s">
        <v>126</v>
      </c>
      <c r="I367" s="65" t="s">
        <v>999</v>
      </c>
      <c r="J367" s="144" t="s">
        <v>132</v>
      </c>
      <c r="K367" s="144" t="s">
        <v>3</v>
      </c>
      <c r="L367" s="66" t="s">
        <v>6</v>
      </c>
      <c r="M367" s="67" t="s">
        <v>15</v>
      </c>
      <c r="N367" s="187"/>
      <c r="O367" s="187"/>
      <c r="P367" s="187"/>
      <c r="Q367" s="144" t="s">
        <v>139</v>
      </c>
      <c r="R367" s="90"/>
      <c r="S367" s="90"/>
      <c r="T367" s="65" t="s">
        <v>1000</v>
      </c>
      <c r="U367" s="144">
        <v>2026</v>
      </c>
      <c r="V367" s="90"/>
      <c r="W367" s="90"/>
      <c r="X367" s="99">
        <v>46063</v>
      </c>
      <c r="Y367" s="188">
        <v>55180</v>
      </c>
      <c r="Z367" s="189">
        <v>0</v>
      </c>
      <c r="AA367" s="188">
        <v>66216</v>
      </c>
      <c r="AB367" s="188">
        <v>0</v>
      </c>
      <c r="AC367" s="188">
        <f>Y367</f>
        <v>55180</v>
      </c>
      <c r="AD367" s="188">
        <f>AA367</f>
        <v>66216</v>
      </c>
      <c r="AE367" s="68" t="s">
        <v>102</v>
      </c>
      <c r="AF367" s="68"/>
      <c r="AG367" s="68"/>
      <c r="AH367" s="190"/>
      <c r="AI367" s="191"/>
      <c r="AJ367" s="190"/>
      <c r="AK367" s="192"/>
      <c r="AL367" s="190"/>
      <c r="AM367" s="196" t="s">
        <v>994</v>
      </c>
    </row>
    <row r="368" spans="1:45" ht="30" hidden="1" customHeight="1" x14ac:dyDescent="0.25">
      <c r="A368" s="135">
        <v>2026</v>
      </c>
      <c r="B368" s="66" t="s">
        <v>60</v>
      </c>
      <c r="C368" s="73"/>
      <c r="D368" s="144" t="s">
        <v>109</v>
      </c>
      <c r="E368" s="144">
        <v>1</v>
      </c>
      <c r="F368" s="65" t="s">
        <v>1001</v>
      </c>
      <c r="G368" s="144" t="s">
        <v>121</v>
      </c>
      <c r="H368" s="66" t="s">
        <v>126</v>
      </c>
      <c r="I368" s="65" t="s">
        <v>1002</v>
      </c>
      <c r="J368" s="144" t="s">
        <v>132</v>
      </c>
      <c r="K368" s="144" t="s">
        <v>3</v>
      </c>
      <c r="L368" s="66" t="s">
        <v>6</v>
      </c>
      <c r="M368" s="67" t="s">
        <v>15</v>
      </c>
      <c r="N368" s="187"/>
      <c r="O368" s="187"/>
      <c r="P368" s="187"/>
      <c r="Q368" s="144" t="s">
        <v>139</v>
      </c>
      <c r="R368" s="90"/>
      <c r="S368" s="90"/>
      <c r="T368" s="65" t="s">
        <v>1000</v>
      </c>
      <c r="U368" s="144">
        <v>2026</v>
      </c>
      <c r="V368" s="90"/>
      <c r="W368" s="90"/>
      <c r="X368" s="99">
        <v>46063</v>
      </c>
      <c r="Y368" s="188">
        <v>7295</v>
      </c>
      <c r="Z368" s="189">
        <v>0</v>
      </c>
      <c r="AA368" s="188">
        <v>8754</v>
      </c>
      <c r="AB368" s="188">
        <v>0</v>
      </c>
      <c r="AC368" s="188">
        <f>Y368</f>
        <v>7295</v>
      </c>
      <c r="AD368" s="188">
        <f>AA368</f>
        <v>8754</v>
      </c>
      <c r="AE368" s="68" t="s">
        <v>102</v>
      </c>
      <c r="AF368" s="68"/>
      <c r="AG368" s="68"/>
      <c r="AH368" s="190"/>
      <c r="AI368" s="191"/>
      <c r="AJ368" s="190"/>
      <c r="AK368" s="192"/>
      <c r="AL368" s="190"/>
      <c r="AM368" s="196" t="s">
        <v>994</v>
      </c>
    </row>
    <row r="369" spans="1:39" ht="30" hidden="1" customHeight="1" x14ac:dyDescent="0.25">
      <c r="A369" s="135">
        <v>2026</v>
      </c>
      <c r="B369" s="66" t="s">
        <v>64</v>
      </c>
      <c r="C369" s="73"/>
      <c r="D369" s="144" t="s">
        <v>109</v>
      </c>
      <c r="E369" s="144">
        <v>1</v>
      </c>
      <c r="F369" s="65" t="s">
        <v>1003</v>
      </c>
      <c r="G369" s="144" t="s">
        <v>121</v>
      </c>
      <c r="H369" s="66" t="s">
        <v>126</v>
      </c>
      <c r="I369" s="65" t="s">
        <v>1004</v>
      </c>
      <c r="J369" s="144" t="s">
        <v>132</v>
      </c>
      <c r="K369" s="144" t="s">
        <v>3</v>
      </c>
      <c r="L369" s="66" t="s">
        <v>6</v>
      </c>
      <c r="M369" s="67" t="s">
        <v>26</v>
      </c>
      <c r="N369" s="187"/>
      <c r="O369" s="187"/>
      <c r="P369" s="187"/>
      <c r="Q369" s="144" t="s">
        <v>139</v>
      </c>
      <c r="R369" s="90"/>
      <c r="S369" s="90"/>
      <c r="T369" s="65" t="s">
        <v>1005</v>
      </c>
      <c r="U369" s="144">
        <v>2026</v>
      </c>
      <c r="V369" s="99">
        <v>46069</v>
      </c>
      <c r="W369" s="90"/>
      <c r="X369" s="99">
        <v>46069</v>
      </c>
      <c r="Y369" s="188">
        <v>109350</v>
      </c>
      <c r="Z369" s="189">
        <v>0</v>
      </c>
      <c r="AA369" s="188">
        <v>109350</v>
      </c>
      <c r="AB369" s="188">
        <v>0</v>
      </c>
      <c r="AC369" s="188">
        <f>Y369</f>
        <v>109350</v>
      </c>
      <c r="AD369" s="188">
        <f>AA369</f>
        <v>109350</v>
      </c>
      <c r="AE369" s="68" t="s">
        <v>102</v>
      </c>
      <c r="AF369" s="68"/>
      <c r="AG369" s="68"/>
      <c r="AH369" s="190"/>
      <c r="AI369" s="191"/>
      <c r="AJ369" s="190"/>
      <c r="AK369" s="192"/>
      <c r="AL369" s="190"/>
      <c r="AM369" s="196" t="s">
        <v>994</v>
      </c>
    </row>
    <row r="370" spans="1:39" ht="30" hidden="1" customHeight="1" x14ac:dyDescent="0.25">
      <c r="A370" s="49">
        <v>2026</v>
      </c>
      <c r="B370" s="66" t="s">
        <v>705</v>
      </c>
      <c r="C370" s="65" t="s">
        <v>1006</v>
      </c>
      <c r="D370" s="144" t="s">
        <v>106</v>
      </c>
      <c r="E370" s="144">
        <v>1</v>
      </c>
      <c r="F370" s="65" t="s">
        <v>1007</v>
      </c>
      <c r="G370" s="144" t="s">
        <v>119</v>
      </c>
      <c r="H370" s="66" t="s">
        <v>119</v>
      </c>
      <c r="I370" s="73"/>
      <c r="J370" s="144" t="s">
        <v>131</v>
      </c>
      <c r="K370" s="144" t="s">
        <v>3</v>
      </c>
      <c r="L370" s="66" t="s">
        <v>7</v>
      </c>
      <c r="M370" s="67" t="s">
        <v>1008</v>
      </c>
      <c r="N370" s="199">
        <f>O370*1.2</f>
        <v>2288044.7999999998</v>
      </c>
      <c r="O370" s="199">
        <v>1906704</v>
      </c>
      <c r="P370" s="199">
        <f>O370/1.2</f>
        <v>1588920</v>
      </c>
      <c r="Q370" s="144" t="s">
        <v>138</v>
      </c>
      <c r="R370" s="90"/>
      <c r="S370" s="90"/>
      <c r="T370" s="73"/>
      <c r="U370" s="44"/>
      <c r="V370" s="99">
        <v>46073</v>
      </c>
      <c r="W370" s="99">
        <v>46073</v>
      </c>
      <c r="X370" s="90"/>
      <c r="Y370" s="187">
        <f>AC370</f>
        <v>0</v>
      </c>
      <c r="Z370" s="201">
        <v>0</v>
      </c>
      <c r="AA370" s="187">
        <v>0</v>
      </c>
      <c r="AB370" s="187">
        <v>0</v>
      </c>
      <c r="AC370" s="187">
        <f>AD370/1.2</f>
        <v>0</v>
      </c>
      <c r="AD370" s="187">
        <v>0</v>
      </c>
      <c r="AE370" s="68" t="s">
        <v>103</v>
      </c>
      <c r="AF370" s="68"/>
      <c r="AG370" s="68"/>
      <c r="AH370" s="190"/>
      <c r="AI370" s="191"/>
      <c r="AJ370" s="190"/>
      <c r="AK370" s="192"/>
      <c r="AL370" s="190"/>
      <c r="AM370" s="196" t="s">
        <v>994</v>
      </c>
    </row>
    <row r="371" spans="1:39" ht="30" hidden="1" customHeight="1" x14ac:dyDescent="0.25">
      <c r="A371" s="49">
        <v>2026</v>
      </c>
      <c r="B371" s="66" t="s">
        <v>705</v>
      </c>
      <c r="C371" s="65" t="s">
        <v>1006</v>
      </c>
      <c r="D371" s="144" t="s">
        <v>106</v>
      </c>
      <c r="E371" s="144">
        <v>2</v>
      </c>
      <c r="F371" s="65" t="s">
        <v>1009</v>
      </c>
      <c r="G371" s="144" t="s">
        <v>118</v>
      </c>
      <c r="H371" s="66" t="s">
        <v>118</v>
      </c>
      <c r="I371" s="73"/>
      <c r="J371" s="144" t="s">
        <v>131</v>
      </c>
      <c r="K371" s="144" t="s">
        <v>3</v>
      </c>
      <c r="L371" s="66" t="s">
        <v>7</v>
      </c>
      <c r="M371" s="67" t="s">
        <v>1008</v>
      </c>
      <c r="N371" s="199">
        <f>O371*1.2</f>
        <v>812980.79999999993</v>
      </c>
      <c r="O371" s="199">
        <v>677484</v>
      </c>
      <c r="P371" s="199">
        <f>O371/1.2</f>
        <v>564570</v>
      </c>
      <c r="Q371" s="144" t="s">
        <v>138</v>
      </c>
      <c r="R371" s="90"/>
      <c r="S371" s="90"/>
      <c r="T371" s="73"/>
      <c r="U371" s="44"/>
      <c r="V371" s="99">
        <v>46073</v>
      </c>
      <c r="W371" s="99">
        <v>46073</v>
      </c>
      <c r="X371" s="90"/>
      <c r="Y371" s="188">
        <f>AC371</f>
        <v>0</v>
      </c>
      <c r="Z371" s="210"/>
      <c r="AA371" s="188" t="str">
        <f>AE371</f>
        <v>NON ENGAGE</v>
      </c>
      <c r="AB371" s="200"/>
      <c r="AC371" s="188">
        <f>AG371</f>
        <v>0</v>
      </c>
      <c r="AD371" s="188">
        <f>AH371</f>
        <v>0</v>
      </c>
      <c r="AE371" s="68" t="s">
        <v>103</v>
      </c>
      <c r="AF371" s="68"/>
      <c r="AG371" s="68"/>
      <c r="AH371" s="190"/>
      <c r="AI371" s="191"/>
      <c r="AJ371" s="190"/>
      <c r="AK371" s="192"/>
      <c r="AL371" s="190"/>
      <c r="AM371" s="196" t="s">
        <v>994</v>
      </c>
    </row>
    <row r="372" spans="1:39" ht="30" hidden="1" customHeight="1" x14ac:dyDescent="0.25">
      <c r="A372" s="135">
        <v>2026</v>
      </c>
      <c r="B372" s="66" t="s">
        <v>705</v>
      </c>
      <c r="C372" s="65" t="s">
        <v>1010</v>
      </c>
      <c r="D372" s="144" t="s">
        <v>106</v>
      </c>
      <c r="E372" s="144">
        <v>1</v>
      </c>
      <c r="F372" s="65" t="s">
        <v>1011</v>
      </c>
      <c r="G372" s="144" t="s">
        <v>121</v>
      </c>
      <c r="H372" s="66" t="s">
        <v>126</v>
      </c>
      <c r="I372" s="79" t="s">
        <v>1012</v>
      </c>
      <c r="J372" s="144" t="s">
        <v>130</v>
      </c>
      <c r="K372" s="144" t="s">
        <v>1</v>
      </c>
      <c r="L372" s="66" t="s">
        <v>7</v>
      </c>
      <c r="M372" s="67" t="s">
        <v>35</v>
      </c>
      <c r="N372" s="199">
        <f>O372*1.2</f>
        <v>171446.39999999999</v>
      </c>
      <c r="O372" s="199">
        <v>142872</v>
      </c>
      <c r="P372" s="199">
        <f>O372/1.2</f>
        <v>119060</v>
      </c>
      <c r="Q372" s="144" t="s">
        <v>138</v>
      </c>
      <c r="R372" s="90"/>
      <c r="S372" s="90"/>
      <c r="T372" s="65" t="s">
        <v>1013</v>
      </c>
      <c r="U372" s="144">
        <v>2026</v>
      </c>
      <c r="V372" s="99">
        <v>46073</v>
      </c>
      <c r="W372" s="99">
        <v>46073</v>
      </c>
      <c r="X372" s="99">
        <v>46141</v>
      </c>
      <c r="Y372" s="188">
        <f>AC372</f>
        <v>139000</v>
      </c>
      <c r="Z372" s="189">
        <v>0</v>
      </c>
      <c r="AA372" s="188">
        <f>AD372</f>
        <v>166800</v>
      </c>
      <c r="AB372" s="188">
        <v>0</v>
      </c>
      <c r="AC372" s="188">
        <f>AD372/1.2</f>
        <v>139000</v>
      </c>
      <c r="AD372" s="188">
        <v>166800</v>
      </c>
      <c r="AE372" s="68" t="s">
        <v>102</v>
      </c>
      <c r="AF372" s="68"/>
      <c r="AG372" s="68"/>
      <c r="AH372" s="190"/>
      <c r="AI372" s="191"/>
      <c r="AJ372" s="190"/>
      <c r="AK372" s="192"/>
      <c r="AL372" s="190"/>
      <c r="AM372" s="196" t="s">
        <v>994</v>
      </c>
    </row>
    <row r="373" spans="1:39" ht="30" hidden="1" customHeight="1" x14ac:dyDescent="0.25">
      <c r="A373" s="135">
        <v>2025</v>
      </c>
      <c r="B373" s="66" t="s">
        <v>55</v>
      </c>
      <c r="C373" s="65" t="s">
        <v>1014</v>
      </c>
      <c r="D373" s="144" t="s">
        <v>106</v>
      </c>
      <c r="E373" s="144">
        <v>2</v>
      </c>
      <c r="F373" s="65" t="s">
        <v>1015</v>
      </c>
      <c r="G373" s="144" t="s">
        <v>121</v>
      </c>
      <c r="H373" s="66" t="s">
        <v>126</v>
      </c>
      <c r="I373" s="65" t="s">
        <v>1016</v>
      </c>
      <c r="J373" s="144" t="s">
        <v>131</v>
      </c>
      <c r="K373" s="144" t="s">
        <v>1</v>
      </c>
      <c r="L373" s="66" t="s">
        <v>7</v>
      </c>
      <c r="M373" s="67" t="s">
        <v>955</v>
      </c>
      <c r="N373" s="199">
        <f>O373*1.2</f>
        <v>1800000</v>
      </c>
      <c r="O373" s="199">
        <v>1500000</v>
      </c>
      <c r="P373" s="199">
        <f>O373/1.2</f>
        <v>1250000</v>
      </c>
      <c r="Q373" s="144" t="s">
        <v>138</v>
      </c>
      <c r="R373" s="90"/>
      <c r="S373" s="90"/>
      <c r="T373" s="65" t="s">
        <v>1017</v>
      </c>
      <c r="U373" s="144">
        <v>2026</v>
      </c>
      <c r="V373" s="99">
        <v>46073</v>
      </c>
      <c r="W373" s="90"/>
      <c r="X373" s="99">
        <v>46077</v>
      </c>
      <c r="Y373" s="188">
        <f>AA373/1.2</f>
        <v>1318000</v>
      </c>
      <c r="Z373" s="189">
        <v>0</v>
      </c>
      <c r="AA373" s="188">
        <v>1581600</v>
      </c>
      <c r="AB373" s="188">
        <v>0</v>
      </c>
      <c r="AC373" s="188">
        <f>Y373</f>
        <v>1318000</v>
      </c>
      <c r="AD373" s="188">
        <f>AA373</f>
        <v>1581600</v>
      </c>
      <c r="AE373" s="68" t="s">
        <v>102</v>
      </c>
      <c r="AF373" s="68"/>
      <c r="AG373" s="68"/>
      <c r="AH373" s="190"/>
      <c r="AI373" s="191"/>
      <c r="AJ373" s="190"/>
      <c r="AK373" s="192"/>
      <c r="AL373" s="190"/>
      <c r="AM373" s="196" t="s">
        <v>994</v>
      </c>
    </row>
    <row r="374" spans="1:39" ht="57" hidden="1" customHeight="1" x14ac:dyDescent="0.25">
      <c r="A374" s="135">
        <v>2026</v>
      </c>
      <c r="B374" s="66" t="s">
        <v>61</v>
      </c>
      <c r="C374" s="73" t="s">
        <v>172</v>
      </c>
      <c r="D374" s="144" t="s">
        <v>114</v>
      </c>
      <c r="E374" s="144">
        <v>1</v>
      </c>
      <c r="F374" s="65" t="s">
        <v>1018</v>
      </c>
      <c r="G374" s="144" t="s">
        <v>121</v>
      </c>
      <c r="H374" s="66" t="s">
        <v>126</v>
      </c>
      <c r="I374" s="65" t="s">
        <v>1019</v>
      </c>
      <c r="J374" s="144" t="s">
        <v>132</v>
      </c>
      <c r="K374" s="144" t="s">
        <v>3</v>
      </c>
      <c r="L374" s="66" t="s">
        <v>6</v>
      </c>
      <c r="M374" s="67" t="s">
        <v>973</v>
      </c>
      <c r="N374" s="187"/>
      <c r="O374" s="187"/>
      <c r="P374" s="187"/>
      <c r="Q374" s="144" t="s">
        <v>140</v>
      </c>
      <c r="R374" s="90"/>
      <c r="S374" s="90"/>
      <c r="T374" s="65" t="s">
        <v>1020</v>
      </c>
      <c r="U374" s="144">
        <v>2026</v>
      </c>
      <c r="V374" s="99">
        <v>46387</v>
      </c>
      <c r="W374" s="90"/>
      <c r="X374" s="99">
        <v>46024</v>
      </c>
      <c r="Y374" s="188">
        <v>308300</v>
      </c>
      <c r="Z374" s="189">
        <v>0</v>
      </c>
      <c r="AA374" s="188">
        <v>369960</v>
      </c>
      <c r="AB374" s="188">
        <v>0</v>
      </c>
      <c r="AC374" s="188">
        <f>Y374</f>
        <v>308300</v>
      </c>
      <c r="AD374" s="188">
        <f>AA374</f>
        <v>369960</v>
      </c>
      <c r="AE374" s="68" t="s">
        <v>102</v>
      </c>
      <c r="AF374" s="68"/>
      <c r="AG374" s="68"/>
      <c r="AH374" s="190"/>
      <c r="AI374" s="191"/>
      <c r="AJ374" s="190"/>
      <c r="AK374" s="192"/>
      <c r="AL374" s="190"/>
      <c r="AM374" s="196" t="s">
        <v>994</v>
      </c>
    </row>
    <row r="375" spans="1:39" ht="30" hidden="1" customHeight="1" x14ac:dyDescent="0.25">
      <c r="A375" s="135">
        <v>2026</v>
      </c>
      <c r="B375" s="66" t="s">
        <v>61</v>
      </c>
      <c r="C375" s="73" t="s">
        <v>172</v>
      </c>
      <c r="D375" s="144" t="s">
        <v>114</v>
      </c>
      <c r="E375" s="144">
        <v>1</v>
      </c>
      <c r="F375" s="65" t="s">
        <v>1021</v>
      </c>
      <c r="G375" s="144" t="s">
        <v>121</v>
      </c>
      <c r="H375" s="66" t="s">
        <v>126</v>
      </c>
      <c r="I375" s="65"/>
      <c r="J375" s="144" t="s">
        <v>132</v>
      </c>
      <c r="K375" s="144" t="s">
        <v>3</v>
      </c>
      <c r="L375" s="66" t="s">
        <v>6</v>
      </c>
      <c r="M375" s="67" t="s">
        <v>25</v>
      </c>
      <c r="N375" s="187"/>
      <c r="O375" s="187"/>
      <c r="P375" s="187"/>
      <c r="Q375" s="144" t="s">
        <v>140</v>
      </c>
      <c r="R375" s="90"/>
      <c r="S375" s="90"/>
      <c r="T375" s="65" t="s">
        <v>1022</v>
      </c>
      <c r="U375" s="144">
        <v>2026</v>
      </c>
      <c r="V375" s="99">
        <v>46022</v>
      </c>
      <c r="W375" s="90"/>
      <c r="X375" s="99">
        <v>46024</v>
      </c>
      <c r="Y375" s="188">
        <f>AC375</f>
        <v>113711.51</v>
      </c>
      <c r="Z375" s="189">
        <v>10639</v>
      </c>
      <c r="AA375" s="188">
        <f>AC375</f>
        <v>113711.51</v>
      </c>
      <c r="AB375" s="188">
        <v>10639</v>
      </c>
      <c r="AC375" s="188">
        <v>113711.51</v>
      </c>
      <c r="AD375" s="188">
        <v>113711.51</v>
      </c>
      <c r="AE375" s="68" t="s">
        <v>102</v>
      </c>
      <c r="AF375" s="68"/>
      <c r="AG375" s="68"/>
      <c r="AH375" s="190"/>
      <c r="AI375" s="191"/>
      <c r="AJ375" s="190"/>
      <c r="AK375" s="192"/>
      <c r="AL375" s="190"/>
      <c r="AM375" s="196" t="s">
        <v>1023</v>
      </c>
    </row>
    <row r="376" spans="1:39" ht="30" hidden="1" customHeight="1" x14ac:dyDescent="0.25">
      <c r="A376" s="49">
        <v>2026</v>
      </c>
      <c r="B376" s="66" t="s">
        <v>56</v>
      </c>
      <c r="C376" s="65" t="s">
        <v>1024</v>
      </c>
      <c r="D376" s="144" t="s">
        <v>106</v>
      </c>
      <c r="E376" s="144">
        <v>1</v>
      </c>
      <c r="F376" s="65" t="s">
        <v>1025</v>
      </c>
      <c r="G376" s="144" t="s">
        <v>118</v>
      </c>
      <c r="H376" s="66" t="s">
        <v>118</v>
      </c>
      <c r="I376" s="73"/>
      <c r="J376" s="144" t="s">
        <v>131</v>
      </c>
      <c r="K376" s="144" t="s">
        <v>1</v>
      </c>
      <c r="L376" s="66" t="s">
        <v>7</v>
      </c>
      <c r="M376" s="67" t="s">
        <v>955</v>
      </c>
      <c r="N376" s="199">
        <f>O376*1.2</f>
        <v>648000</v>
      </c>
      <c r="O376" s="199">
        <v>540000</v>
      </c>
      <c r="P376" s="199">
        <f>O376/1.2</f>
        <v>450000</v>
      </c>
      <c r="Q376" s="144" t="s">
        <v>138</v>
      </c>
      <c r="R376" s="90"/>
      <c r="S376" s="90"/>
      <c r="T376" s="73"/>
      <c r="U376" s="44"/>
      <c r="V376" s="99">
        <v>46080</v>
      </c>
      <c r="W376" s="99">
        <v>46084</v>
      </c>
      <c r="X376" s="90"/>
      <c r="Y376" s="187">
        <v>0</v>
      </c>
      <c r="Z376" s="201">
        <v>0</v>
      </c>
      <c r="AA376" s="187">
        <v>0</v>
      </c>
      <c r="AB376" s="187">
        <v>0</v>
      </c>
      <c r="AC376" s="187">
        <v>0</v>
      </c>
      <c r="AD376" s="187">
        <v>0</v>
      </c>
      <c r="AE376" s="68" t="s">
        <v>103</v>
      </c>
      <c r="AF376" s="68"/>
      <c r="AG376" s="68"/>
      <c r="AH376" s="190"/>
      <c r="AI376" s="191"/>
      <c r="AJ376" s="190"/>
      <c r="AK376" s="192"/>
      <c r="AL376" s="190"/>
      <c r="AM376" s="196" t="s">
        <v>1023</v>
      </c>
    </row>
    <row r="377" spans="1:39" ht="30" customHeight="1" x14ac:dyDescent="0.25">
      <c r="A377" s="135">
        <v>2025</v>
      </c>
      <c r="B377" s="66" t="s">
        <v>55</v>
      </c>
      <c r="C377" s="65" t="s">
        <v>1026</v>
      </c>
      <c r="D377" s="144" t="s">
        <v>106</v>
      </c>
      <c r="E377" s="144">
        <v>1</v>
      </c>
      <c r="F377" s="65" t="s">
        <v>1027</v>
      </c>
      <c r="G377" s="144" t="s">
        <v>121</v>
      </c>
      <c r="H377" s="66" t="s">
        <v>126</v>
      </c>
      <c r="I377" s="65" t="s">
        <v>1028</v>
      </c>
      <c r="J377" s="144" t="s">
        <v>130</v>
      </c>
      <c r="K377" s="144" t="s">
        <v>1</v>
      </c>
      <c r="L377" s="66" t="s">
        <v>7</v>
      </c>
      <c r="M377" s="67" t="s">
        <v>955</v>
      </c>
      <c r="N377" s="199">
        <f>O377*1.2</f>
        <v>918000</v>
      </c>
      <c r="O377" s="199">
        <v>765000</v>
      </c>
      <c r="P377" s="199">
        <f>O377/1.2</f>
        <v>637500</v>
      </c>
      <c r="Q377" s="144" t="s">
        <v>139</v>
      </c>
      <c r="R377" s="90"/>
      <c r="S377" s="90"/>
      <c r="T377" s="65" t="s">
        <v>1029</v>
      </c>
      <c r="U377" s="144">
        <v>2026</v>
      </c>
      <c r="V377" s="99">
        <v>46080</v>
      </c>
      <c r="W377" s="90"/>
      <c r="X377" s="99">
        <v>46084</v>
      </c>
      <c r="Y377" s="188">
        <v>500000</v>
      </c>
      <c r="Z377" s="189">
        <v>0</v>
      </c>
      <c r="AA377" s="188">
        <v>600000</v>
      </c>
      <c r="AB377" s="188">
        <v>0</v>
      </c>
      <c r="AC377" s="188">
        <v>500000</v>
      </c>
      <c r="AD377" s="188">
        <v>600000</v>
      </c>
      <c r="AE377" s="68" t="s">
        <v>102</v>
      </c>
      <c r="AF377" s="68"/>
      <c r="AG377" s="68"/>
      <c r="AH377" s="190"/>
      <c r="AI377" s="191"/>
      <c r="AJ377" s="190"/>
      <c r="AK377" s="192"/>
      <c r="AL377" s="190"/>
      <c r="AM377" s="196" t="s">
        <v>1023</v>
      </c>
    </row>
    <row r="378" spans="1:39" ht="30" hidden="1" customHeight="1" x14ac:dyDescent="0.25">
      <c r="A378" s="48">
        <v>2026</v>
      </c>
      <c r="B378" s="66" t="s">
        <v>60</v>
      </c>
      <c r="C378" s="74" t="s">
        <v>1030</v>
      </c>
      <c r="D378" s="144" t="s">
        <v>106</v>
      </c>
      <c r="E378" s="144">
        <v>1</v>
      </c>
      <c r="F378" s="65" t="s">
        <v>1031</v>
      </c>
      <c r="G378" s="144" t="s">
        <v>121</v>
      </c>
      <c r="H378" s="66" t="s">
        <v>127</v>
      </c>
      <c r="I378" s="65"/>
      <c r="J378" s="47" t="s">
        <v>130</v>
      </c>
      <c r="K378" s="144" t="s">
        <v>1</v>
      </c>
      <c r="L378" s="66" t="s">
        <v>7</v>
      </c>
      <c r="M378" s="67" t="s">
        <v>37</v>
      </c>
      <c r="N378" s="199">
        <f>O378*1.2</f>
        <v>1228896</v>
      </c>
      <c r="O378" s="199">
        <v>1024080</v>
      </c>
      <c r="P378" s="199">
        <f>O378/1.2</f>
        <v>853400</v>
      </c>
      <c r="Q378" s="144" t="s">
        <v>138</v>
      </c>
      <c r="R378" s="90"/>
      <c r="S378" s="90"/>
      <c r="T378" s="65" t="s">
        <v>1829</v>
      </c>
      <c r="U378" s="144"/>
      <c r="V378" s="93">
        <v>46086</v>
      </c>
      <c r="W378" s="99"/>
      <c r="X378" s="99"/>
      <c r="Y378" s="188"/>
      <c r="Z378" s="189"/>
      <c r="AA378" s="188"/>
      <c r="AB378" s="188"/>
      <c r="AC378" s="188"/>
      <c r="AD378" s="188">
        <v>1003598.4</v>
      </c>
      <c r="AE378" s="68" t="s">
        <v>100</v>
      </c>
      <c r="AF378" s="68"/>
      <c r="AG378" s="68"/>
      <c r="AH378" s="190"/>
      <c r="AI378" s="191"/>
      <c r="AJ378" s="190"/>
      <c r="AK378" s="192"/>
      <c r="AL378" s="190"/>
      <c r="AM378" s="211" t="s">
        <v>1032</v>
      </c>
    </row>
    <row r="379" spans="1:39" ht="30" hidden="1" customHeight="1" x14ac:dyDescent="0.25">
      <c r="A379" s="48">
        <v>2026</v>
      </c>
      <c r="B379" s="66" t="s">
        <v>60</v>
      </c>
      <c r="C379" s="74" t="s">
        <v>1030</v>
      </c>
      <c r="D379" s="144" t="s">
        <v>106</v>
      </c>
      <c r="E379" s="144">
        <v>2</v>
      </c>
      <c r="F379" s="65" t="s">
        <v>1033</v>
      </c>
      <c r="G379" s="144" t="s">
        <v>121</v>
      </c>
      <c r="H379" s="66" t="s">
        <v>127</v>
      </c>
      <c r="I379" s="65"/>
      <c r="J379" s="47" t="s">
        <v>130</v>
      </c>
      <c r="K379" s="144" t="s">
        <v>1</v>
      </c>
      <c r="L379" s="66" t="s">
        <v>7</v>
      </c>
      <c r="M379" s="67" t="s">
        <v>37</v>
      </c>
      <c r="N379" s="199">
        <f>O379*1.2</f>
        <v>651168</v>
      </c>
      <c r="O379" s="199">
        <v>542640</v>
      </c>
      <c r="P379" s="199">
        <f>O379/1.2</f>
        <v>452200</v>
      </c>
      <c r="Q379" s="144" t="s">
        <v>138</v>
      </c>
      <c r="R379" s="90"/>
      <c r="S379" s="90"/>
      <c r="T379" s="65" t="s">
        <v>1829</v>
      </c>
      <c r="U379" s="144"/>
      <c r="V379" s="93">
        <v>46086</v>
      </c>
      <c r="W379" s="99"/>
      <c r="X379" s="99"/>
      <c r="Y379" s="188"/>
      <c r="Z379" s="189"/>
      <c r="AA379" s="188"/>
      <c r="AB379" s="188"/>
      <c r="AC379" s="188"/>
      <c r="AD379" s="188">
        <v>531787.19999999995</v>
      </c>
      <c r="AE379" s="68" t="s">
        <v>100</v>
      </c>
      <c r="AF379" s="68"/>
      <c r="AG379" s="68"/>
      <c r="AH379" s="190"/>
      <c r="AI379" s="191"/>
      <c r="AJ379" s="190"/>
      <c r="AK379" s="192"/>
      <c r="AL379" s="190"/>
      <c r="AM379" s="211" t="s">
        <v>1032</v>
      </c>
    </row>
    <row r="380" spans="1:39" ht="30" hidden="1" customHeight="1" x14ac:dyDescent="0.25">
      <c r="A380" s="135">
        <v>2026</v>
      </c>
      <c r="B380" s="66" t="s">
        <v>71</v>
      </c>
      <c r="C380" s="73" t="s">
        <v>172</v>
      </c>
      <c r="D380" s="144" t="s">
        <v>114</v>
      </c>
      <c r="E380" s="144">
        <v>1</v>
      </c>
      <c r="F380" s="65" t="s">
        <v>1034</v>
      </c>
      <c r="G380" s="144" t="s">
        <v>121</v>
      </c>
      <c r="H380" s="66" t="s">
        <v>126</v>
      </c>
      <c r="I380" s="65" t="s">
        <v>1035</v>
      </c>
      <c r="J380" s="144" t="s">
        <v>132</v>
      </c>
      <c r="K380" s="144" t="s">
        <v>3</v>
      </c>
      <c r="L380" s="66" t="s">
        <v>6</v>
      </c>
      <c r="M380" s="67" t="s">
        <v>25</v>
      </c>
      <c r="N380" s="187"/>
      <c r="O380" s="187"/>
      <c r="P380" s="187"/>
      <c r="Q380" s="144" t="s">
        <v>140</v>
      </c>
      <c r="R380" s="90"/>
      <c r="S380" s="90"/>
      <c r="T380" s="65" t="s">
        <v>1036</v>
      </c>
      <c r="U380" s="144">
        <v>2026</v>
      </c>
      <c r="V380" s="99">
        <v>46027</v>
      </c>
      <c r="W380" s="90"/>
      <c r="X380" s="99">
        <v>46027</v>
      </c>
      <c r="Y380" s="188">
        <v>677850.68</v>
      </c>
      <c r="Z380" s="189">
        <v>37932.559999999998</v>
      </c>
      <c r="AA380" s="188">
        <f t="shared" ref="AA380:AC382" si="36">Y380</f>
        <v>677850.68</v>
      </c>
      <c r="AB380" s="188">
        <f t="shared" si="36"/>
        <v>37932.559999999998</v>
      </c>
      <c r="AC380" s="188">
        <f t="shared" si="36"/>
        <v>677850.68</v>
      </c>
      <c r="AD380" s="188">
        <f t="shared" ref="AD380:AD387" si="37">AA380</f>
        <v>677850.68</v>
      </c>
      <c r="AE380" s="68" t="s">
        <v>102</v>
      </c>
      <c r="AF380" s="68"/>
      <c r="AG380" s="68"/>
      <c r="AH380" s="190"/>
      <c r="AI380" s="191"/>
      <c r="AJ380" s="190"/>
      <c r="AK380" s="192"/>
      <c r="AL380" s="190"/>
      <c r="AM380" s="196" t="s">
        <v>1023</v>
      </c>
    </row>
    <row r="381" spans="1:39" ht="30" hidden="1" customHeight="1" x14ac:dyDescent="0.25">
      <c r="A381" s="135">
        <v>2026</v>
      </c>
      <c r="B381" s="66" t="s">
        <v>71</v>
      </c>
      <c r="C381" s="73" t="s">
        <v>172</v>
      </c>
      <c r="D381" s="144" t="s">
        <v>114</v>
      </c>
      <c r="E381" s="144">
        <v>1</v>
      </c>
      <c r="F381" s="65" t="s">
        <v>1037</v>
      </c>
      <c r="G381" s="144" t="s">
        <v>121</v>
      </c>
      <c r="H381" s="66" t="s">
        <v>126</v>
      </c>
      <c r="I381" s="65" t="s">
        <v>1038</v>
      </c>
      <c r="J381" s="144" t="s">
        <v>132</v>
      </c>
      <c r="K381" s="144" t="s">
        <v>3</v>
      </c>
      <c r="L381" s="66" t="s">
        <v>6</v>
      </c>
      <c r="M381" s="67" t="s">
        <v>25</v>
      </c>
      <c r="N381" s="187"/>
      <c r="O381" s="187"/>
      <c r="P381" s="187"/>
      <c r="Q381" s="144" t="s">
        <v>140</v>
      </c>
      <c r="R381" s="90"/>
      <c r="S381" s="90"/>
      <c r="T381" s="65" t="s">
        <v>1039</v>
      </c>
      <c r="U381" s="144">
        <v>2026</v>
      </c>
      <c r="V381" s="99">
        <v>46049</v>
      </c>
      <c r="W381" s="90"/>
      <c r="X381" s="99">
        <v>46049</v>
      </c>
      <c r="Y381" s="188">
        <v>1111110.72</v>
      </c>
      <c r="Z381" s="189">
        <v>122427</v>
      </c>
      <c r="AA381" s="188">
        <f t="shared" si="36"/>
        <v>1111110.72</v>
      </c>
      <c r="AB381" s="188">
        <f t="shared" si="36"/>
        <v>122427</v>
      </c>
      <c r="AC381" s="188">
        <f t="shared" si="36"/>
        <v>1111110.72</v>
      </c>
      <c r="AD381" s="188">
        <f t="shared" si="37"/>
        <v>1111110.72</v>
      </c>
      <c r="AE381" s="68" t="s">
        <v>102</v>
      </c>
      <c r="AF381" s="68"/>
      <c r="AG381" s="68"/>
      <c r="AH381" s="190"/>
      <c r="AI381" s="191"/>
      <c r="AJ381" s="190"/>
      <c r="AK381" s="192"/>
      <c r="AL381" s="190"/>
      <c r="AM381" s="196" t="s">
        <v>1023</v>
      </c>
    </row>
    <row r="382" spans="1:39" ht="30" hidden="1" customHeight="1" x14ac:dyDescent="0.25">
      <c r="A382" s="135">
        <v>2026</v>
      </c>
      <c r="B382" s="66" t="s">
        <v>71</v>
      </c>
      <c r="C382" s="73" t="s">
        <v>172</v>
      </c>
      <c r="D382" s="144" t="s">
        <v>114</v>
      </c>
      <c r="E382" s="144">
        <v>1</v>
      </c>
      <c r="F382" s="65" t="s">
        <v>1037</v>
      </c>
      <c r="G382" s="144" t="s">
        <v>121</v>
      </c>
      <c r="H382" s="66" t="s">
        <v>126</v>
      </c>
      <c r="I382" s="65" t="s">
        <v>1038</v>
      </c>
      <c r="J382" s="144" t="s">
        <v>132</v>
      </c>
      <c r="K382" s="144" t="s">
        <v>3</v>
      </c>
      <c r="L382" s="66" t="s">
        <v>6</v>
      </c>
      <c r="M382" s="67" t="s">
        <v>25</v>
      </c>
      <c r="N382" s="187"/>
      <c r="O382" s="187"/>
      <c r="P382" s="187"/>
      <c r="Q382" s="144" t="s">
        <v>140</v>
      </c>
      <c r="R382" s="90"/>
      <c r="S382" s="90"/>
      <c r="T382" s="65" t="s">
        <v>1039</v>
      </c>
      <c r="U382" s="144">
        <v>2026</v>
      </c>
      <c r="V382" s="99">
        <v>46049</v>
      </c>
      <c r="W382" s="90"/>
      <c r="X382" s="99">
        <v>46049</v>
      </c>
      <c r="Y382" s="188">
        <v>101358.96</v>
      </c>
      <c r="Z382" s="189">
        <v>11168.17</v>
      </c>
      <c r="AA382" s="188">
        <f t="shared" si="36"/>
        <v>101358.96</v>
      </c>
      <c r="AB382" s="188">
        <f t="shared" si="36"/>
        <v>11168.17</v>
      </c>
      <c r="AC382" s="188">
        <f t="shared" si="36"/>
        <v>101358.96</v>
      </c>
      <c r="AD382" s="188">
        <f t="shared" si="37"/>
        <v>101358.96</v>
      </c>
      <c r="AE382" s="68" t="s">
        <v>102</v>
      </c>
      <c r="AF382" s="68"/>
      <c r="AG382" s="68"/>
      <c r="AH382" s="190"/>
      <c r="AI382" s="191"/>
      <c r="AJ382" s="190"/>
      <c r="AK382" s="192"/>
      <c r="AL382" s="190"/>
      <c r="AM382" s="196" t="s">
        <v>1023</v>
      </c>
    </row>
    <row r="383" spans="1:39" ht="30" hidden="1" customHeight="1" x14ac:dyDescent="0.25">
      <c r="A383" s="135">
        <v>2026</v>
      </c>
      <c r="B383" s="66" t="s">
        <v>71</v>
      </c>
      <c r="C383" s="73" t="s">
        <v>172</v>
      </c>
      <c r="D383" s="144" t="s">
        <v>114</v>
      </c>
      <c r="E383" s="144">
        <v>1</v>
      </c>
      <c r="F383" s="65" t="s">
        <v>1040</v>
      </c>
      <c r="G383" s="144" t="s">
        <v>121</v>
      </c>
      <c r="H383" s="66" t="s">
        <v>126</v>
      </c>
      <c r="I383" s="65" t="s">
        <v>1041</v>
      </c>
      <c r="J383" s="144" t="s">
        <v>132</v>
      </c>
      <c r="K383" s="144" t="s">
        <v>3</v>
      </c>
      <c r="L383" s="66" t="s">
        <v>6</v>
      </c>
      <c r="M383" s="67" t="s">
        <v>25</v>
      </c>
      <c r="N383" s="187"/>
      <c r="O383" s="187"/>
      <c r="P383" s="187"/>
      <c r="Q383" s="144" t="s">
        <v>140</v>
      </c>
      <c r="R383" s="90"/>
      <c r="S383" s="90"/>
      <c r="T383" s="65" t="s">
        <v>1042</v>
      </c>
      <c r="U383" s="144">
        <v>2026</v>
      </c>
      <c r="V383" s="99">
        <v>46028</v>
      </c>
      <c r="W383" s="90"/>
      <c r="X383" s="99">
        <v>46028</v>
      </c>
      <c r="Y383" s="188">
        <v>69549.91</v>
      </c>
      <c r="Z383" s="189">
        <v>6470</v>
      </c>
      <c r="AA383" s="188">
        <f>Y383</f>
        <v>69549.91</v>
      </c>
      <c r="AB383" s="188">
        <v>6470</v>
      </c>
      <c r="AC383" s="188">
        <f>AA383</f>
        <v>69549.91</v>
      </c>
      <c r="AD383" s="188">
        <f t="shared" si="37"/>
        <v>69549.91</v>
      </c>
      <c r="AE383" s="68" t="s">
        <v>102</v>
      </c>
      <c r="AF383" s="68"/>
      <c r="AG383" s="68"/>
      <c r="AH383" s="190"/>
      <c r="AI383" s="191"/>
      <c r="AJ383" s="190"/>
      <c r="AK383" s="192"/>
      <c r="AL383" s="190"/>
      <c r="AM383" s="196" t="s">
        <v>1023</v>
      </c>
    </row>
    <row r="384" spans="1:39" ht="30" hidden="1" customHeight="1" x14ac:dyDescent="0.25">
      <c r="A384" s="135">
        <v>2026</v>
      </c>
      <c r="B384" s="66" t="s">
        <v>71</v>
      </c>
      <c r="C384" s="73" t="s">
        <v>172</v>
      </c>
      <c r="D384" s="144" t="s">
        <v>114</v>
      </c>
      <c r="E384" s="144">
        <v>1</v>
      </c>
      <c r="F384" s="65" t="s">
        <v>1043</v>
      </c>
      <c r="G384" s="144" t="s">
        <v>121</v>
      </c>
      <c r="H384" s="66" t="s">
        <v>126</v>
      </c>
      <c r="I384" s="65" t="s">
        <v>1044</v>
      </c>
      <c r="J384" s="144" t="s">
        <v>132</v>
      </c>
      <c r="K384" s="144" t="s">
        <v>3</v>
      </c>
      <c r="L384" s="66" t="s">
        <v>6</v>
      </c>
      <c r="M384" s="67" t="s">
        <v>25</v>
      </c>
      <c r="N384" s="187"/>
      <c r="O384" s="187"/>
      <c r="P384" s="187"/>
      <c r="Q384" s="144" t="s">
        <v>140</v>
      </c>
      <c r="R384" s="90"/>
      <c r="S384" s="90"/>
      <c r="T384" s="65" t="s">
        <v>1045</v>
      </c>
      <c r="U384" s="144">
        <v>2026</v>
      </c>
      <c r="V384" s="99">
        <v>46027</v>
      </c>
      <c r="W384" s="90"/>
      <c r="X384" s="99">
        <v>46057</v>
      </c>
      <c r="Y384" s="188">
        <v>6109952.7400000002</v>
      </c>
      <c r="Z384" s="189">
        <v>529780</v>
      </c>
      <c r="AA384" s="188">
        <f>Y384</f>
        <v>6109952.7400000002</v>
      </c>
      <c r="AB384" s="188">
        <v>6470</v>
      </c>
      <c r="AC384" s="188">
        <f>AA384</f>
        <v>6109952.7400000002</v>
      </c>
      <c r="AD384" s="188">
        <f t="shared" si="37"/>
        <v>6109952.7400000002</v>
      </c>
      <c r="AE384" s="68" t="s">
        <v>102</v>
      </c>
      <c r="AF384" s="68"/>
      <c r="AG384" s="68"/>
      <c r="AH384" s="190"/>
      <c r="AI384" s="191"/>
      <c r="AJ384" s="190"/>
      <c r="AK384" s="192"/>
      <c r="AL384" s="190"/>
      <c r="AM384" s="196" t="s">
        <v>1023</v>
      </c>
    </row>
    <row r="385" spans="1:39" ht="30" hidden="1" customHeight="1" x14ac:dyDescent="0.25">
      <c r="A385" s="135">
        <v>2026</v>
      </c>
      <c r="B385" s="66" t="s">
        <v>71</v>
      </c>
      <c r="C385" s="73" t="s">
        <v>172</v>
      </c>
      <c r="D385" s="144" t="s">
        <v>114</v>
      </c>
      <c r="E385" s="144">
        <v>1</v>
      </c>
      <c r="F385" s="65" t="s">
        <v>1046</v>
      </c>
      <c r="G385" s="144" t="s">
        <v>121</v>
      </c>
      <c r="H385" s="66" t="s">
        <v>126</v>
      </c>
      <c r="I385" s="65" t="s">
        <v>1047</v>
      </c>
      <c r="J385" s="144" t="s">
        <v>132</v>
      </c>
      <c r="K385" s="144" t="s">
        <v>3</v>
      </c>
      <c r="L385" s="66" t="s">
        <v>6</v>
      </c>
      <c r="M385" s="67" t="s">
        <v>25</v>
      </c>
      <c r="N385" s="187"/>
      <c r="O385" s="187"/>
      <c r="P385" s="187"/>
      <c r="Q385" s="144" t="s">
        <v>140</v>
      </c>
      <c r="R385" s="90"/>
      <c r="S385" s="90"/>
      <c r="T385" s="65" t="s">
        <v>1048</v>
      </c>
      <c r="U385" s="144">
        <v>2026</v>
      </c>
      <c r="V385" s="99">
        <v>46027</v>
      </c>
      <c r="W385" s="90"/>
      <c r="X385" s="99">
        <v>46027</v>
      </c>
      <c r="Y385" s="188">
        <v>275055</v>
      </c>
      <c r="Z385" s="189">
        <v>30000</v>
      </c>
      <c r="AA385" s="188">
        <f>Y385</f>
        <v>275055</v>
      </c>
      <c r="AB385" s="188">
        <v>30000</v>
      </c>
      <c r="AC385" s="188">
        <f>AA385</f>
        <v>275055</v>
      </c>
      <c r="AD385" s="188">
        <f t="shared" si="37"/>
        <v>275055</v>
      </c>
      <c r="AE385" s="68" t="s">
        <v>102</v>
      </c>
      <c r="AF385" s="68"/>
      <c r="AG385" s="68"/>
      <c r="AH385" s="190"/>
      <c r="AI385" s="191"/>
      <c r="AJ385" s="190"/>
      <c r="AK385" s="192"/>
      <c r="AL385" s="190"/>
      <c r="AM385" s="196" t="s">
        <v>1023</v>
      </c>
    </row>
    <row r="386" spans="1:39" ht="30" hidden="1" customHeight="1" x14ac:dyDescent="0.25">
      <c r="A386" s="135">
        <v>2026</v>
      </c>
      <c r="B386" s="66" t="s">
        <v>71</v>
      </c>
      <c r="C386" s="73" t="s">
        <v>172</v>
      </c>
      <c r="D386" s="144" t="s">
        <v>114</v>
      </c>
      <c r="E386" s="144">
        <v>1</v>
      </c>
      <c r="F386" s="65" t="s">
        <v>1049</v>
      </c>
      <c r="G386" s="144" t="s">
        <v>121</v>
      </c>
      <c r="H386" s="66" t="s">
        <v>126</v>
      </c>
      <c r="I386" s="65" t="s">
        <v>1050</v>
      </c>
      <c r="J386" s="144" t="s">
        <v>132</v>
      </c>
      <c r="K386" s="144" t="s">
        <v>3</v>
      </c>
      <c r="L386" s="66" t="s">
        <v>6</v>
      </c>
      <c r="M386" s="67" t="s">
        <v>25</v>
      </c>
      <c r="N386" s="187"/>
      <c r="O386" s="187"/>
      <c r="P386" s="187"/>
      <c r="Q386" s="144" t="s">
        <v>140</v>
      </c>
      <c r="R386" s="90"/>
      <c r="S386" s="90"/>
      <c r="T386" s="65" t="s">
        <v>1051</v>
      </c>
      <c r="U386" s="144">
        <v>2026</v>
      </c>
      <c r="V386" s="99">
        <v>46028</v>
      </c>
      <c r="W386" s="90"/>
      <c r="X386" s="99">
        <v>46028</v>
      </c>
      <c r="Y386" s="188">
        <v>67722.48</v>
      </c>
      <c r="Z386" s="189">
        <v>6300</v>
      </c>
      <c r="AA386" s="188">
        <f>Y386</f>
        <v>67722.48</v>
      </c>
      <c r="AB386" s="188">
        <v>6300</v>
      </c>
      <c r="AC386" s="188">
        <f>AA386</f>
        <v>67722.48</v>
      </c>
      <c r="AD386" s="188">
        <f t="shared" si="37"/>
        <v>67722.48</v>
      </c>
      <c r="AE386" s="68" t="s">
        <v>102</v>
      </c>
      <c r="AF386" s="68"/>
      <c r="AG386" s="68"/>
      <c r="AH386" s="190"/>
      <c r="AI386" s="191"/>
      <c r="AJ386" s="190"/>
      <c r="AK386" s="192"/>
      <c r="AL386" s="190"/>
      <c r="AM386" s="196" t="s">
        <v>1023</v>
      </c>
    </row>
    <row r="387" spans="1:39" ht="30" hidden="1" customHeight="1" x14ac:dyDescent="0.25">
      <c r="A387" s="135">
        <v>2026</v>
      </c>
      <c r="B387" s="66" t="s">
        <v>71</v>
      </c>
      <c r="C387" s="73" t="s">
        <v>172</v>
      </c>
      <c r="D387" s="144" t="s">
        <v>114</v>
      </c>
      <c r="E387" s="144">
        <v>1</v>
      </c>
      <c r="F387" s="65" t="s">
        <v>1052</v>
      </c>
      <c r="G387" s="144" t="s">
        <v>121</v>
      </c>
      <c r="H387" s="66" t="s">
        <v>126</v>
      </c>
      <c r="I387" s="65" t="s">
        <v>1053</v>
      </c>
      <c r="J387" s="144" t="s">
        <v>132</v>
      </c>
      <c r="K387" s="144" t="s">
        <v>3</v>
      </c>
      <c r="L387" s="66" t="s">
        <v>6</v>
      </c>
      <c r="M387" s="67" t="s">
        <v>25</v>
      </c>
      <c r="N387" s="187"/>
      <c r="O387" s="187"/>
      <c r="P387" s="187"/>
      <c r="Q387" s="144" t="s">
        <v>140</v>
      </c>
      <c r="R387" s="90"/>
      <c r="S387" s="90"/>
      <c r="T387" s="65" t="s">
        <v>1054</v>
      </c>
      <c r="U387" s="144">
        <v>2026</v>
      </c>
      <c r="V387" s="99">
        <v>46027</v>
      </c>
      <c r="W387" s="90"/>
      <c r="X387" s="99">
        <v>46027</v>
      </c>
      <c r="Y387" s="188">
        <v>139287.20000000001</v>
      </c>
      <c r="Z387" s="189">
        <v>13000</v>
      </c>
      <c r="AA387" s="188">
        <f>Y387</f>
        <v>139287.20000000001</v>
      </c>
      <c r="AB387" s="188">
        <f>Z387</f>
        <v>13000</v>
      </c>
      <c r="AC387" s="188">
        <f>AA387</f>
        <v>139287.20000000001</v>
      </c>
      <c r="AD387" s="188">
        <f t="shared" si="37"/>
        <v>139287.20000000001</v>
      </c>
      <c r="AE387" s="68" t="s">
        <v>102</v>
      </c>
      <c r="AF387" s="68"/>
      <c r="AG387" s="68"/>
      <c r="AH387" s="190"/>
      <c r="AI387" s="191"/>
      <c r="AJ387" s="190"/>
      <c r="AK387" s="192"/>
      <c r="AL387" s="190"/>
      <c r="AM387" s="196" t="s">
        <v>1023</v>
      </c>
    </row>
    <row r="388" spans="1:39" ht="30" hidden="1" customHeight="1" x14ac:dyDescent="0.25">
      <c r="A388" s="135">
        <v>2026</v>
      </c>
      <c r="B388" s="66" t="s">
        <v>60</v>
      </c>
      <c r="C388" s="65" t="s">
        <v>1055</v>
      </c>
      <c r="D388" s="144" t="s">
        <v>106</v>
      </c>
      <c r="E388" s="144">
        <v>1</v>
      </c>
      <c r="F388" s="65" t="s">
        <v>1056</v>
      </c>
      <c r="G388" s="144" t="s">
        <v>121</v>
      </c>
      <c r="H388" s="66" t="s">
        <v>126</v>
      </c>
      <c r="I388" s="81"/>
      <c r="J388" s="144" t="s">
        <v>130</v>
      </c>
      <c r="K388" s="144" t="s">
        <v>3</v>
      </c>
      <c r="L388" s="66" t="s">
        <v>6</v>
      </c>
      <c r="M388" s="67" t="s">
        <v>15</v>
      </c>
      <c r="N388" s="199">
        <f>O388*1.2</f>
        <v>416974.34399999998</v>
      </c>
      <c r="O388" s="199">
        <v>347478.62</v>
      </c>
      <c r="P388" s="199">
        <f>O388/1.2</f>
        <v>289565.51666666666</v>
      </c>
      <c r="Q388" s="144" t="s">
        <v>139</v>
      </c>
      <c r="R388" s="90"/>
      <c r="S388" s="90"/>
      <c r="T388" s="65" t="s">
        <v>1057</v>
      </c>
      <c r="U388" s="144"/>
      <c r="V388" s="99">
        <v>46085</v>
      </c>
      <c r="W388" s="99">
        <v>46087</v>
      </c>
      <c r="X388" s="99">
        <v>46157</v>
      </c>
      <c r="Y388" s="188">
        <v>253381</v>
      </c>
      <c r="Z388" s="189">
        <v>0</v>
      </c>
      <c r="AA388" s="188">
        <v>304057.2</v>
      </c>
      <c r="AB388" s="188">
        <v>0</v>
      </c>
      <c r="AC388" s="188">
        <f>+Y388</f>
        <v>253381</v>
      </c>
      <c r="AD388" s="188">
        <f>+AA388</f>
        <v>304057.2</v>
      </c>
      <c r="AE388" s="68" t="s">
        <v>102</v>
      </c>
      <c r="AF388" s="68"/>
      <c r="AG388" s="68"/>
      <c r="AH388" s="190"/>
      <c r="AI388" s="191"/>
      <c r="AJ388" s="190"/>
      <c r="AK388" s="192"/>
      <c r="AL388" s="190"/>
      <c r="AM388" s="196" t="s">
        <v>1023</v>
      </c>
    </row>
    <row r="389" spans="1:39" ht="30" hidden="1" customHeight="1" x14ac:dyDescent="0.25">
      <c r="A389" s="135">
        <v>2026</v>
      </c>
      <c r="B389" s="66" t="s">
        <v>60</v>
      </c>
      <c r="C389" s="65" t="s">
        <v>1055</v>
      </c>
      <c r="D389" s="144" t="s">
        <v>106</v>
      </c>
      <c r="E389" s="144">
        <v>2</v>
      </c>
      <c r="F389" s="65" t="s">
        <v>1058</v>
      </c>
      <c r="G389" s="144" t="s">
        <v>121</v>
      </c>
      <c r="H389" s="66" t="s">
        <v>126</v>
      </c>
      <c r="I389" s="82"/>
      <c r="J389" s="144" t="s">
        <v>130</v>
      </c>
      <c r="K389" s="144" t="s">
        <v>3</v>
      </c>
      <c r="L389" s="66" t="s">
        <v>6</v>
      </c>
      <c r="M389" s="67" t="s">
        <v>15</v>
      </c>
      <c r="N389" s="199">
        <f>O389*1.2</f>
        <v>360000</v>
      </c>
      <c r="O389" s="199">
        <v>300000</v>
      </c>
      <c r="P389" s="199">
        <f>O389/1.2</f>
        <v>250000</v>
      </c>
      <c r="Q389" s="144" t="s">
        <v>139</v>
      </c>
      <c r="R389" s="90"/>
      <c r="S389" s="90"/>
      <c r="T389" s="65" t="s">
        <v>1059</v>
      </c>
      <c r="U389" s="144"/>
      <c r="V389" s="99">
        <v>46085</v>
      </c>
      <c r="W389" s="99">
        <v>46087</v>
      </c>
      <c r="X389" s="99"/>
      <c r="Y389" s="188">
        <f>AC389</f>
        <v>200000</v>
      </c>
      <c r="Z389" s="189">
        <v>0</v>
      </c>
      <c r="AA389" s="188">
        <f>AD389</f>
        <v>240000</v>
      </c>
      <c r="AB389" s="188">
        <v>0</v>
      </c>
      <c r="AC389" s="188">
        <f>AD389/1.2</f>
        <v>200000</v>
      </c>
      <c r="AD389" s="188">
        <v>240000</v>
      </c>
      <c r="AE389" s="68" t="s">
        <v>102</v>
      </c>
      <c r="AF389" s="68"/>
      <c r="AG389" s="68"/>
      <c r="AH389" s="190"/>
      <c r="AI389" s="191"/>
      <c r="AJ389" s="190"/>
      <c r="AK389" s="192"/>
      <c r="AL389" s="190"/>
      <c r="AM389" s="196" t="s">
        <v>1023</v>
      </c>
    </row>
    <row r="390" spans="1:39" ht="30" hidden="1" customHeight="1" x14ac:dyDescent="0.25">
      <c r="A390" s="135">
        <v>2026</v>
      </c>
      <c r="B390" s="66" t="s">
        <v>63</v>
      </c>
      <c r="C390" s="73" t="s">
        <v>140</v>
      </c>
      <c r="D390" s="144" t="s">
        <v>114</v>
      </c>
      <c r="E390" s="144">
        <v>1</v>
      </c>
      <c r="F390" s="65" t="s">
        <v>1060</v>
      </c>
      <c r="G390" s="144" t="s">
        <v>121</v>
      </c>
      <c r="H390" s="66" t="s">
        <v>126</v>
      </c>
      <c r="I390" s="65" t="s">
        <v>1061</v>
      </c>
      <c r="J390" s="144" t="s">
        <v>132</v>
      </c>
      <c r="K390" s="144" t="s">
        <v>3</v>
      </c>
      <c r="L390" s="66" t="s">
        <v>6</v>
      </c>
      <c r="M390" s="67" t="s">
        <v>947</v>
      </c>
      <c r="N390" s="187"/>
      <c r="O390" s="187"/>
      <c r="P390" s="187"/>
      <c r="Q390" s="144" t="s">
        <v>140</v>
      </c>
      <c r="R390" s="90"/>
      <c r="S390" s="90"/>
      <c r="T390" s="65" t="s">
        <v>1062</v>
      </c>
      <c r="U390" s="144">
        <v>2026</v>
      </c>
      <c r="V390" s="99">
        <v>46041</v>
      </c>
      <c r="W390" s="90"/>
      <c r="X390" s="99">
        <v>46042</v>
      </c>
      <c r="Y390" s="188">
        <v>250000</v>
      </c>
      <c r="Z390" s="189">
        <v>0</v>
      </c>
      <c r="AA390" s="188">
        <f>+Y390</f>
        <v>250000</v>
      </c>
      <c r="AB390" s="188">
        <v>0</v>
      </c>
      <c r="AC390" s="188">
        <f>+AA390</f>
        <v>250000</v>
      </c>
      <c r="AD390" s="203">
        <f>+AC390</f>
        <v>250000</v>
      </c>
      <c r="AE390" s="68" t="s">
        <v>102</v>
      </c>
      <c r="AF390" s="68"/>
      <c r="AG390" s="68"/>
      <c r="AH390" s="190"/>
      <c r="AI390" s="191"/>
      <c r="AJ390" s="190"/>
      <c r="AK390" s="192"/>
      <c r="AL390" s="190"/>
      <c r="AM390" s="196" t="s">
        <v>1023</v>
      </c>
    </row>
    <row r="391" spans="1:39" ht="30" hidden="1" customHeight="1" x14ac:dyDescent="0.25">
      <c r="A391" s="135">
        <v>2026</v>
      </c>
      <c r="B391" s="66" t="s">
        <v>63</v>
      </c>
      <c r="C391" s="73" t="s">
        <v>140</v>
      </c>
      <c r="D391" s="144" t="s">
        <v>114</v>
      </c>
      <c r="E391" s="144">
        <v>1</v>
      </c>
      <c r="F391" s="65" t="s">
        <v>1063</v>
      </c>
      <c r="G391" s="144" t="s">
        <v>121</v>
      </c>
      <c r="H391" s="66" t="s">
        <v>126</v>
      </c>
      <c r="I391" s="65" t="s">
        <v>1064</v>
      </c>
      <c r="J391" s="144" t="s">
        <v>132</v>
      </c>
      <c r="K391" s="144" t="s">
        <v>3</v>
      </c>
      <c r="L391" s="66" t="s">
        <v>6</v>
      </c>
      <c r="M391" s="67" t="s">
        <v>947</v>
      </c>
      <c r="N391" s="187"/>
      <c r="O391" s="187"/>
      <c r="P391" s="187"/>
      <c r="Q391" s="144" t="s">
        <v>140</v>
      </c>
      <c r="R391" s="90"/>
      <c r="S391" s="90"/>
      <c r="T391" s="65" t="s">
        <v>1065</v>
      </c>
      <c r="U391" s="144">
        <v>2026</v>
      </c>
      <c r="V391" s="99">
        <v>46086</v>
      </c>
      <c r="W391" s="90"/>
      <c r="X391" s="99">
        <v>46106</v>
      </c>
      <c r="Y391" s="188">
        <v>1800000</v>
      </c>
      <c r="Z391" s="189">
        <v>0</v>
      </c>
      <c r="AA391" s="188">
        <v>1800000</v>
      </c>
      <c r="AB391" s="188">
        <v>0</v>
      </c>
      <c r="AC391" s="188">
        <f>Y391</f>
        <v>1800000</v>
      </c>
      <c r="AD391" s="203">
        <f t="shared" ref="AD391:AD404" si="38">AA391</f>
        <v>1800000</v>
      </c>
      <c r="AE391" s="68" t="s">
        <v>102</v>
      </c>
      <c r="AF391" s="68"/>
      <c r="AG391" s="68"/>
      <c r="AH391" s="190"/>
      <c r="AI391" s="191"/>
      <c r="AJ391" s="190"/>
      <c r="AK391" s="192"/>
      <c r="AL391" s="190"/>
      <c r="AM391" s="196" t="s">
        <v>1023</v>
      </c>
    </row>
    <row r="392" spans="1:39" ht="30" hidden="1" customHeight="1" x14ac:dyDescent="0.25">
      <c r="A392" s="135">
        <v>2026</v>
      </c>
      <c r="B392" s="66" t="s">
        <v>63</v>
      </c>
      <c r="C392" s="73" t="s">
        <v>140</v>
      </c>
      <c r="D392" s="144" t="s">
        <v>114</v>
      </c>
      <c r="E392" s="144">
        <v>1</v>
      </c>
      <c r="F392" s="65" t="s">
        <v>1066</v>
      </c>
      <c r="G392" s="144" t="s">
        <v>121</v>
      </c>
      <c r="H392" s="66" t="s">
        <v>126</v>
      </c>
      <c r="I392" s="65" t="s">
        <v>1067</v>
      </c>
      <c r="J392" s="144" t="s">
        <v>132</v>
      </c>
      <c r="K392" s="144" t="s">
        <v>3</v>
      </c>
      <c r="L392" s="66" t="s">
        <v>6</v>
      </c>
      <c r="M392" s="67" t="s">
        <v>947</v>
      </c>
      <c r="N392" s="187"/>
      <c r="O392" s="187"/>
      <c r="P392" s="187"/>
      <c r="Q392" s="144" t="s">
        <v>140</v>
      </c>
      <c r="R392" s="90"/>
      <c r="S392" s="90"/>
      <c r="T392" s="65" t="s">
        <v>1068</v>
      </c>
      <c r="U392" s="144">
        <v>2026</v>
      </c>
      <c r="V392" s="99">
        <v>46056</v>
      </c>
      <c r="W392" s="90"/>
      <c r="X392" s="99">
        <v>46057</v>
      </c>
      <c r="Y392" s="188">
        <v>1400000</v>
      </c>
      <c r="Z392" s="189">
        <v>0</v>
      </c>
      <c r="AA392" s="188">
        <v>1400000</v>
      </c>
      <c r="AB392" s="188">
        <v>0</v>
      </c>
      <c r="AC392" s="188">
        <f>Y392</f>
        <v>1400000</v>
      </c>
      <c r="AD392" s="203">
        <f t="shared" si="38"/>
        <v>1400000</v>
      </c>
      <c r="AE392" s="68" t="s">
        <v>102</v>
      </c>
      <c r="AF392" s="68"/>
      <c r="AG392" s="68"/>
      <c r="AH392" s="190"/>
      <c r="AI392" s="191"/>
      <c r="AJ392" s="190"/>
      <c r="AK392" s="192"/>
      <c r="AL392" s="190"/>
      <c r="AM392" s="196" t="s">
        <v>1023</v>
      </c>
    </row>
    <row r="393" spans="1:39" ht="30" hidden="1" customHeight="1" x14ac:dyDescent="0.25">
      <c r="A393" s="135">
        <v>2026</v>
      </c>
      <c r="B393" s="66" t="s">
        <v>63</v>
      </c>
      <c r="C393" s="73" t="s">
        <v>172</v>
      </c>
      <c r="D393" s="144" t="s">
        <v>114</v>
      </c>
      <c r="E393" s="144">
        <v>1</v>
      </c>
      <c r="F393" s="65" t="s">
        <v>1069</v>
      </c>
      <c r="G393" s="144" t="s">
        <v>121</v>
      </c>
      <c r="H393" s="66" t="s">
        <v>126</v>
      </c>
      <c r="I393" s="65" t="s">
        <v>1070</v>
      </c>
      <c r="J393" s="144" t="s">
        <v>132</v>
      </c>
      <c r="K393" s="144" t="s">
        <v>3</v>
      </c>
      <c r="L393" s="66" t="s">
        <v>6</v>
      </c>
      <c r="M393" s="67" t="s">
        <v>973</v>
      </c>
      <c r="N393" s="187"/>
      <c r="O393" s="187"/>
      <c r="P393" s="187"/>
      <c r="Q393" s="144" t="s">
        <v>138</v>
      </c>
      <c r="R393" s="90"/>
      <c r="S393" s="90"/>
      <c r="T393" s="65" t="s">
        <v>1071</v>
      </c>
      <c r="U393" s="144">
        <v>2026</v>
      </c>
      <c r="V393" s="99">
        <v>46084</v>
      </c>
      <c r="W393" s="90"/>
      <c r="X393" s="99">
        <v>46091</v>
      </c>
      <c r="Y393" s="188">
        <v>777671.4</v>
      </c>
      <c r="Z393" s="189">
        <v>71940</v>
      </c>
      <c r="AA393" s="188">
        <f>Y393</f>
        <v>777671.4</v>
      </c>
      <c r="AB393" s="188">
        <v>71940</v>
      </c>
      <c r="AC393" s="188">
        <f>AA393</f>
        <v>777671.4</v>
      </c>
      <c r="AD393" s="188">
        <f t="shared" si="38"/>
        <v>777671.4</v>
      </c>
      <c r="AE393" s="68" t="s">
        <v>102</v>
      </c>
      <c r="AF393" s="68"/>
      <c r="AG393" s="68"/>
      <c r="AH393" s="190"/>
      <c r="AI393" s="191"/>
      <c r="AJ393" s="190"/>
      <c r="AK393" s="192"/>
      <c r="AL393" s="190"/>
      <c r="AM393" s="196" t="s">
        <v>1023</v>
      </c>
    </row>
    <row r="394" spans="1:39" ht="30" hidden="1" customHeight="1" x14ac:dyDescent="0.25">
      <c r="A394" s="135">
        <v>2026</v>
      </c>
      <c r="B394" s="66" t="s">
        <v>66</v>
      </c>
      <c r="C394" s="73" t="s">
        <v>172</v>
      </c>
      <c r="D394" s="144" t="s">
        <v>114</v>
      </c>
      <c r="E394" s="144"/>
      <c r="F394" s="65" t="s">
        <v>1072</v>
      </c>
      <c r="G394" s="144" t="s">
        <v>121</v>
      </c>
      <c r="H394" s="66" t="s">
        <v>126</v>
      </c>
      <c r="I394" s="65" t="s">
        <v>1073</v>
      </c>
      <c r="J394" s="144" t="s">
        <v>132</v>
      </c>
      <c r="K394" s="144" t="s">
        <v>3</v>
      </c>
      <c r="L394" s="66" t="s">
        <v>6</v>
      </c>
      <c r="M394" s="67" t="s">
        <v>25</v>
      </c>
      <c r="N394" s="187"/>
      <c r="O394" s="187"/>
      <c r="P394" s="187"/>
      <c r="Q394" s="144" t="s">
        <v>140</v>
      </c>
      <c r="R394" s="90"/>
      <c r="S394" s="90"/>
      <c r="T394" s="65" t="s">
        <v>1020</v>
      </c>
      <c r="U394" s="144">
        <v>2026</v>
      </c>
      <c r="V394" s="99">
        <v>46387</v>
      </c>
      <c r="W394" s="90"/>
      <c r="X394" s="99">
        <v>46024</v>
      </c>
      <c r="Y394" s="188">
        <v>95000</v>
      </c>
      <c r="Z394" s="189"/>
      <c r="AA394" s="188">
        <v>114000</v>
      </c>
      <c r="AB394" s="188"/>
      <c r="AC394" s="188">
        <f t="shared" ref="AC394:AC404" si="39">Y394</f>
        <v>95000</v>
      </c>
      <c r="AD394" s="188">
        <f t="shared" si="38"/>
        <v>114000</v>
      </c>
      <c r="AE394" s="68" t="s">
        <v>102</v>
      </c>
      <c r="AF394" s="68"/>
      <c r="AG394" s="68"/>
      <c r="AH394" s="190"/>
      <c r="AI394" s="191"/>
      <c r="AJ394" s="190"/>
      <c r="AK394" s="192"/>
      <c r="AL394" s="190"/>
      <c r="AM394" s="196"/>
    </row>
    <row r="395" spans="1:39" ht="30" hidden="1" customHeight="1" x14ac:dyDescent="0.25">
      <c r="A395" s="135">
        <v>2026</v>
      </c>
      <c r="B395" s="66" t="s">
        <v>60</v>
      </c>
      <c r="C395" s="65" t="s">
        <v>1074</v>
      </c>
      <c r="D395" s="144" t="s">
        <v>106</v>
      </c>
      <c r="E395" s="144">
        <v>1</v>
      </c>
      <c r="F395" s="65" t="s">
        <v>1075</v>
      </c>
      <c r="G395" s="144" t="s">
        <v>121</v>
      </c>
      <c r="H395" s="66" t="s">
        <v>127</v>
      </c>
      <c r="I395" s="79" t="s">
        <v>1076</v>
      </c>
      <c r="J395" s="144" t="s">
        <v>130</v>
      </c>
      <c r="K395" s="144" t="s">
        <v>3</v>
      </c>
      <c r="L395" s="66" t="s">
        <v>6</v>
      </c>
      <c r="M395" s="67" t="s">
        <v>874</v>
      </c>
      <c r="N395" s="199">
        <f>O395*1.2</f>
        <v>151200</v>
      </c>
      <c r="O395" s="199">
        <v>126000</v>
      </c>
      <c r="P395" s="199">
        <f>O395/1.2</f>
        <v>105000</v>
      </c>
      <c r="Q395" s="144" t="s">
        <v>139</v>
      </c>
      <c r="R395" s="90"/>
      <c r="S395" s="90"/>
      <c r="T395" s="65" t="s">
        <v>1077</v>
      </c>
      <c r="U395" s="144"/>
      <c r="V395" s="99">
        <v>46066</v>
      </c>
      <c r="W395" s="99">
        <v>46084</v>
      </c>
      <c r="X395" s="99">
        <v>46163</v>
      </c>
      <c r="Y395" s="188">
        <f>AA395/1.2</f>
        <v>78500</v>
      </c>
      <c r="Z395" s="189">
        <v>0</v>
      </c>
      <c r="AA395" s="188">
        <v>94200</v>
      </c>
      <c r="AB395" s="188">
        <v>0</v>
      </c>
      <c r="AC395" s="188">
        <f t="shared" si="39"/>
        <v>78500</v>
      </c>
      <c r="AD395" s="188">
        <f t="shared" si="38"/>
        <v>94200</v>
      </c>
      <c r="AE395" s="68" t="s">
        <v>102</v>
      </c>
      <c r="AF395" s="68"/>
      <c r="AG395" s="68"/>
      <c r="AH395" s="190"/>
      <c r="AI395" s="191"/>
      <c r="AJ395" s="190"/>
      <c r="AK395" s="192"/>
      <c r="AL395" s="190"/>
      <c r="AM395" s="196" t="s">
        <v>1023</v>
      </c>
    </row>
    <row r="396" spans="1:39" ht="30" hidden="1" customHeight="1" x14ac:dyDescent="0.25">
      <c r="A396" s="135">
        <v>2026</v>
      </c>
      <c r="B396" s="66" t="s">
        <v>60</v>
      </c>
      <c r="C396" s="65" t="s">
        <v>1074</v>
      </c>
      <c r="D396" s="144" t="s">
        <v>106</v>
      </c>
      <c r="E396" s="144">
        <v>2</v>
      </c>
      <c r="F396" s="65" t="s">
        <v>1078</v>
      </c>
      <c r="G396" s="144" t="s">
        <v>121</v>
      </c>
      <c r="H396" s="66" t="s">
        <v>126</v>
      </c>
      <c r="I396" s="79" t="s">
        <v>1079</v>
      </c>
      <c r="J396" s="144" t="s">
        <v>130</v>
      </c>
      <c r="K396" s="144" t="s">
        <v>3</v>
      </c>
      <c r="L396" s="66" t="s">
        <v>6</v>
      </c>
      <c r="M396" s="67" t="s">
        <v>874</v>
      </c>
      <c r="N396" s="199">
        <f>O396*1.2</f>
        <v>139680</v>
      </c>
      <c r="O396" s="199">
        <v>116400</v>
      </c>
      <c r="P396" s="199">
        <f>O396/1.2</f>
        <v>97000</v>
      </c>
      <c r="Q396" s="144" t="s">
        <v>139</v>
      </c>
      <c r="R396" s="90"/>
      <c r="S396" s="90"/>
      <c r="T396" s="65" t="s">
        <v>1080</v>
      </c>
      <c r="U396" s="144">
        <v>2026</v>
      </c>
      <c r="V396" s="99">
        <v>46066</v>
      </c>
      <c r="W396" s="99">
        <v>46084</v>
      </c>
      <c r="X396" s="99">
        <v>46153</v>
      </c>
      <c r="Y396" s="188">
        <f>AA396/1.2</f>
        <v>75000</v>
      </c>
      <c r="Z396" s="189">
        <v>0</v>
      </c>
      <c r="AA396" s="188">
        <v>90000</v>
      </c>
      <c r="AB396" s="188">
        <v>0</v>
      </c>
      <c r="AC396" s="188">
        <f t="shared" si="39"/>
        <v>75000</v>
      </c>
      <c r="AD396" s="188">
        <f t="shared" si="38"/>
        <v>90000</v>
      </c>
      <c r="AE396" s="68" t="s">
        <v>102</v>
      </c>
      <c r="AF396" s="68"/>
      <c r="AG396" s="68"/>
      <c r="AH396" s="190"/>
      <c r="AI396" s="191"/>
      <c r="AJ396" s="190"/>
      <c r="AK396" s="192"/>
      <c r="AL396" s="190"/>
      <c r="AM396" s="196" t="s">
        <v>1023</v>
      </c>
    </row>
    <row r="397" spans="1:39" ht="30" hidden="1" customHeight="1" x14ac:dyDescent="0.25">
      <c r="A397" s="135">
        <v>2026</v>
      </c>
      <c r="B397" s="66" t="s">
        <v>77</v>
      </c>
      <c r="C397" s="65" t="s">
        <v>1081</v>
      </c>
      <c r="D397" s="144" t="s">
        <v>114</v>
      </c>
      <c r="E397" s="144">
        <v>1</v>
      </c>
      <c r="F397" s="65" t="s">
        <v>1082</v>
      </c>
      <c r="G397" s="144" t="s">
        <v>121</v>
      </c>
      <c r="H397" s="66" t="s">
        <v>126</v>
      </c>
      <c r="I397" s="79"/>
      <c r="J397" s="144" t="s">
        <v>132</v>
      </c>
      <c r="K397" s="144" t="s">
        <v>3</v>
      </c>
      <c r="L397" s="66" t="s">
        <v>6</v>
      </c>
      <c r="M397" s="65" t="s">
        <v>180</v>
      </c>
      <c r="N397" s="187"/>
      <c r="O397" s="187"/>
      <c r="P397" s="187"/>
      <c r="Q397" s="144" t="s">
        <v>138</v>
      </c>
      <c r="R397" s="90"/>
      <c r="S397" s="90"/>
      <c r="T397" s="65" t="s">
        <v>1083</v>
      </c>
      <c r="U397" s="144">
        <v>2026</v>
      </c>
      <c r="V397" s="99">
        <v>46091</v>
      </c>
      <c r="W397" s="90"/>
      <c r="X397" s="99">
        <v>46092</v>
      </c>
      <c r="Y397" s="188">
        <v>156000</v>
      </c>
      <c r="Z397" s="189">
        <v>0</v>
      </c>
      <c r="AA397" s="188">
        <v>156000</v>
      </c>
      <c r="AB397" s="188">
        <v>0</v>
      </c>
      <c r="AC397" s="188">
        <f t="shared" si="39"/>
        <v>156000</v>
      </c>
      <c r="AD397" s="188">
        <f t="shared" si="38"/>
        <v>156000</v>
      </c>
      <c r="AE397" s="68" t="s">
        <v>102</v>
      </c>
      <c r="AF397" s="68"/>
      <c r="AG397" s="68"/>
      <c r="AH397" s="190"/>
      <c r="AI397" s="191"/>
      <c r="AJ397" s="190"/>
      <c r="AK397" s="192"/>
      <c r="AL397" s="190"/>
      <c r="AM397" s="196" t="s">
        <v>1023</v>
      </c>
    </row>
    <row r="398" spans="1:39" ht="30" hidden="1" customHeight="1" x14ac:dyDescent="0.25">
      <c r="A398" s="135">
        <v>2026</v>
      </c>
      <c r="B398" s="66" t="s">
        <v>705</v>
      </c>
      <c r="C398" s="73" t="s">
        <v>1084</v>
      </c>
      <c r="D398" s="144" t="s">
        <v>109</v>
      </c>
      <c r="E398" s="144">
        <v>1</v>
      </c>
      <c r="F398" s="65" t="s">
        <v>1085</v>
      </c>
      <c r="G398" s="144" t="s">
        <v>121</v>
      </c>
      <c r="H398" s="66" t="s">
        <v>126</v>
      </c>
      <c r="I398" s="79" t="s">
        <v>1086</v>
      </c>
      <c r="J398" s="144" t="s">
        <v>132</v>
      </c>
      <c r="K398" s="144" t="s">
        <v>3</v>
      </c>
      <c r="L398" s="66" t="s">
        <v>6</v>
      </c>
      <c r="M398" s="67" t="s">
        <v>1087</v>
      </c>
      <c r="N398" s="187"/>
      <c r="O398" s="187"/>
      <c r="P398" s="187"/>
      <c r="Q398" s="144" t="s">
        <v>139</v>
      </c>
      <c r="R398" s="90"/>
      <c r="S398" s="90"/>
      <c r="T398" s="65" t="s">
        <v>1088</v>
      </c>
      <c r="U398" s="144">
        <v>2026</v>
      </c>
      <c r="V398" s="99">
        <v>46091</v>
      </c>
      <c r="W398" s="90"/>
      <c r="X398" s="99">
        <v>46091</v>
      </c>
      <c r="Y398" s="188">
        <f>AA398/1.2</f>
        <v>246385</v>
      </c>
      <c r="Z398" s="189">
        <v>0</v>
      </c>
      <c r="AA398" s="188">
        <v>295662</v>
      </c>
      <c r="AB398" s="188">
        <v>0</v>
      </c>
      <c r="AC398" s="188">
        <f t="shared" si="39"/>
        <v>246385</v>
      </c>
      <c r="AD398" s="188">
        <f t="shared" si="38"/>
        <v>295662</v>
      </c>
      <c r="AE398" s="68" t="s">
        <v>102</v>
      </c>
      <c r="AF398" s="68"/>
      <c r="AG398" s="68"/>
      <c r="AH398" s="190"/>
      <c r="AI398" s="191"/>
      <c r="AJ398" s="190"/>
      <c r="AK398" s="192"/>
      <c r="AL398" s="190"/>
      <c r="AM398" s="196" t="s">
        <v>1023</v>
      </c>
    </row>
    <row r="399" spans="1:39" ht="30" hidden="1" customHeight="1" x14ac:dyDescent="0.25">
      <c r="A399" s="135">
        <v>2025</v>
      </c>
      <c r="B399" s="66" t="s">
        <v>56</v>
      </c>
      <c r="C399" s="65" t="s">
        <v>1089</v>
      </c>
      <c r="D399" s="144" t="s">
        <v>106</v>
      </c>
      <c r="E399" s="144">
        <v>1</v>
      </c>
      <c r="F399" s="65" t="s">
        <v>1090</v>
      </c>
      <c r="G399" s="144" t="s">
        <v>121</v>
      </c>
      <c r="H399" s="66" t="s">
        <v>126</v>
      </c>
      <c r="I399" s="79" t="s">
        <v>1091</v>
      </c>
      <c r="J399" s="144" t="s">
        <v>131</v>
      </c>
      <c r="K399" s="144" t="s">
        <v>1</v>
      </c>
      <c r="L399" s="66" t="s">
        <v>7</v>
      </c>
      <c r="M399" s="67" t="s">
        <v>955</v>
      </c>
      <c r="N399" s="199">
        <f>O399*1.2</f>
        <v>2503440</v>
      </c>
      <c r="O399" s="199">
        <v>2086200</v>
      </c>
      <c r="P399" s="199">
        <f>O399/1.2</f>
        <v>1738500</v>
      </c>
      <c r="Q399" s="144" t="s">
        <v>138</v>
      </c>
      <c r="R399" s="90"/>
      <c r="S399" s="90"/>
      <c r="T399" s="65" t="s">
        <v>1017</v>
      </c>
      <c r="U399" s="144">
        <v>2026</v>
      </c>
      <c r="V399" s="99">
        <v>46094</v>
      </c>
      <c r="W399" s="90"/>
      <c r="X399" s="99">
        <v>46108</v>
      </c>
      <c r="Y399" s="188">
        <f>AA399/1.2</f>
        <v>2081500</v>
      </c>
      <c r="Z399" s="189">
        <v>0</v>
      </c>
      <c r="AA399" s="188">
        <v>2497800</v>
      </c>
      <c r="AB399" s="188">
        <v>0</v>
      </c>
      <c r="AC399" s="188">
        <f t="shared" si="39"/>
        <v>2081500</v>
      </c>
      <c r="AD399" s="188">
        <f t="shared" si="38"/>
        <v>2497800</v>
      </c>
      <c r="AE399" s="68" t="s">
        <v>102</v>
      </c>
      <c r="AF399" s="68"/>
      <c r="AG399" s="68"/>
      <c r="AH399" s="190"/>
      <c r="AI399" s="191"/>
      <c r="AJ399" s="190"/>
      <c r="AK399" s="192"/>
      <c r="AL399" s="190"/>
      <c r="AM399" s="196" t="s">
        <v>994</v>
      </c>
    </row>
    <row r="400" spans="1:39" ht="30" hidden="1" customHeight="1" x14ac:dyDescent="0.25">
      <c r="A400" s="135">
        <v>2026</v>
      </c>
      <c r="B400" s="66" t="s">
        <v>60</v>
      </c>
      <c r="C400" s="73" t="s">
        <v>1084</v>
      </c>
      <c r="D400" s="144" t="s">
        <v>109</v>
      </c>
      <c r="E400" s="144">
        <v>1</v>
      </c>
      <c r="F400" s="65" t="s">
        <v>1092</v>
      </c>
      <c r="G400" s="144" t="s">
        <v>121</v>
      </c>
      <c r="H400" s="66" t="s">
        <v>126</v>
      </c>
      <c r="I400" s="65" t="s">
        <v>1093</v>
      </c>
      <c r="J400" s="144" t="s">
        <v>132</v>
      </c>
      <c r="K400" s="144" t="s">
        <v>3</v>
      </c>
      <c r="L400" s="66" t="s">
        <v>7</v>
      </c>
      <c r="M400" s="67" t="s">
        <v>36</v>
      </c>
      <c r="N400" s="187"/>
      <c r="O400" s="187"/>
      <c r="P400" s="187"/>
      <c r="Q400" s="144" t="s">
        <v>139</v>
      </c>
      <c r="R400" s="90"/>
      <c r="S400" s="90"/>
      <c r="T400" s="65" t="s">
        <v>1094</v>
      </c>
      <c r="U400" s="144">
        <v>2026</v>
      </c>
      <c r="V400" s="90"/>
      <c r="W400" s="90"/>
      <c r="X400" s="99">
        <v>46098</v>
      </c>
      <c r="Y400" s="188">
        <v>199115</v>
      </c>
      <c r="Z400" s="189">
        <v>0</v>
      </c>
      <c r="AA400" s="188">
        <v>238938</v>
      </c>
      <c r="AB400" s="188">
        <v>0</v>
      </c>
      <c r="AC400" s="188">
        <f t="shared" si="39"/>
        <v>199115</v>
      </c>
      <c r="AD400" s="188">
        <f t="shared" si="38"/>
        <v>238938</v>
      </c>
      <c r="AE400" s="68" t="s">
        <v>102</v>
      </c>
      <c r="AF400" s="68"/>
      <c r="AG400" s="68"/>
      <c r="AH400" s="190"/>
      <c r="AI400" s="191"/>
      <c r="AJ400" s="190"/>
      <c r="AK400" s="192"/>
      <c r="AL400" s="190"/>
      <c r="AM400" s="196"/>
    </row>
    <row r="401" spans="1:39" ht="30" hidden="1" customHeight="1" x14ac:dyDescent="0.25">
      <c r="A401" s="135">
        <v>2026</v>
      </c>
      <c r="B401" s="66" t="s">
        <v>60</v>
      </c>
      <c r="C401" s="73" t="s">
        <v>1084</v>
      </c>
      <c r="D401" s="144" t="s">
        <v>109</v>
      </c>
      <c r="E401" s="144">
        <v>1</v>
      </c>
      <c r="F401" s="65" t="s">
        <v>1095</v>
      </c>
      <c r="G401" s="144" t="s">
        <v>121</v>
      </c>
      <c r="H401" s="66" t="s">
        <v>126</v>
      </c>
      <c r="I401" s="65" t="s">
        <v>1096</v>
      </c>
      <c r="J401" s="144" t="s">
        <v>132</v>
      </c>
      <c r="K401" s="144" t="s">
        <v>3</v>
      </c>
      <c r="L401" s="66" t="s">
        <v>6</v>
      </c>
      <c r="M401" s="67" t="s">
        <v>26</v>
      </c>
      <c r="N401" s="187"/>
      <c r="O401" s="187"/>
      <c r="P401" s="187"/>
      <c r="Q401" s="144" t="s">
        <v>139</v>
      </c>
      <c r="R401" s="90"/>
      <c r="S401" s="90"/>
      <c r="T401" s="65" t="s">
        <v>1097</v>
      </c>
      <c r="U401" s="144">
        <v>2026</v>
      </c>
      <c r="V401" s="90"/>
      <c r="W401" s="90"/>
      <c r="X401" s="99">
        <v>46111</v>
      </c>
      <c r="Y401" s="188">
        <v>109091.2</v>
      </c>
      <c r="Z401" s="189">
        <v>0</v>
      </c>
      <c r="AA401" s="188">
        <v>120000.32000000001</v>
      </c>
      <c r="AB401" s="188">
        <v>0</v>
      </c>
      <c r="AC401" s="188">
        <f t="shared" si="39"/>
        <v>109091.2</v>
      </c>
      <c r="AD401" s="188">
        <f t="shared" si="38"/>
        <v>120000.32000000001</v>
      </c>
      <c r="AE401" s="68" t="s">
        <v>102</v>
      </c>
      <c r="AF401" s="68"/>
      <c r="AG401" s="68"/>
      <c r="AH401" s="190"/>
      <c r="AI401" s="191"/>
      <c r="AJ401" s="190"/>
      <c r="AK401" s="192"/>
      <c r="AL401" s="190"/>
      <c r="AM401" s="196"/>
    </row>
    <row r="402" spans="1:39" ht="30" hidden="1" customHeight="1" x14ac:dyDescent="0.25">
      <c r="A402" s="135">
        <v>2026</v>
      </c>
      <c r="B402" s="66" t="s">
        <v>60</v>
      </c>
      <c r="C402" s="73" t="s">
        <v>1084</v>
      </c>
      <c r="D402" s="144" t="s">
        <v>109</v>
      </c>
      <c r="E402" s="144">
        <v>1</v>
      </c>
      <c r="F402" s="65" t="s">
        <v>1098</v>
      </c>
      <c r="G402" s="144" t="s">
        <v>121</v>
      </c>
      <c r="H402" s="66" t="s">
        <v>126</v>
      </c>
      <c r="I402" s="65" t="s">
        <v>1099</v>
      </c>
      <c r="J402" s="144" t="s">
        <v>132</v>
      </c>
      <c r="K402" s="144" t="s">
        <v>3</v>
      </c>
      <c r="L402" s="66" t="s">
        <v>6</v>
      </c>
      <c r="M402" s="67" t="s">
        <v>16</v>
      </c>
      <c r="N402" s="187"/>
      <c r="O402" s="187"/>
      <c r="P402" s="187"/>
      <c r="Q402" s="144" t="s">
        <v>139</v>
      </c>
      <c r="R402" s="90"/>
      <c r="S402" s="90"/>
      <c r="T402" s="65" t="s">
        <v>1100</v>
      </c>
      <c r="U402" s="144">
        <v>2026</v>
      </c>
      <c r="V402" s="90"/>
      <c r="W402" s="90"/>
      <c r="X402" s="99">
        <v>46112</v>
      </c>
      <c r="Y402" s="188">
        <v>382000</v>
      </c>
      <c r="Z402" s="189">
        <v>0</v>
      </c>
      <c r="AA402" s="188">
        <v>458400</v>
      </c>
      <c r="AB402" s="188">
        <v>0</v>
      </c>
      <c r="AC402" s="188">
        <f t="shared" si="39"/>
        <v>382000</v>
      </c>
      <c r="AD402" s="188">
        <f t="shared" si="38"/>
        <v>458400</v>
      </c>
      <c r="AE402" s="68" t="s">
        <v>102</v>
      </c>
      <c r="AF402" s="68"/>
      <c r="AG402" s="68"/>
      <c r="AH402" s="190"/>
      <c r="AI402" s="191"/>
      <c r="AJ402" s="190"/>
      <c r="AK402" s="192"/>
      <c r="AL402" s="190"/>
      <c r="AM402" s="196"/>
    </row>
    <row r="403" spans="1:39" ht="30" hidden="1" customHeight="1" x14ac:dyDescent="0.25">
      <c r="A403" s="135">
        <v>2025</v>
      </c>
      <c r="B403" s="66" t="s">
        <v>61</v>
      </c>
      <c r="C403" s="65" t="s">
        <v>1101</v>
      </c>
      <c r="D403" s="144" t="s">
        <v>106</v>
      </c>
      <c r="E403" s="144">
        <v>1</v>
      </c>
      <c r="F403" s="65" t="s">
        <v>1102</v>
      </c>
      <c r="G403" s="144" t="s">
        <v>121</v>
      </c>
      <c r="H403" s="66" t="s">
        <v>127</v>
      </c>
      <c r="I403" s="79"/>
      <c r="J403" s="144" t="s">
        <v>130</v>
      </c>
      <c r="K403" s="144" t="s">
        <v>3</v>
      </c>
      <c r="L403" s="66" t="s">
        <v>6</v>
      </c>
      <c r="M403" s="67" t="s">
        <v>973</v>
      </c>
      <c r="N403" s="199">
        <f>O403*1.2</f>
        <v>420000</v>
      </c>
      <c r="O403" s="199">
        <v>350000</v>
      </c>
      <c r="P403" s="199">
        <f>O403/1.2</f>
        <v>291666.66666666669</v>
      </c>
      <c r="Q403" s="144" t="s">
        <v>139</v>
      </c>
      <c r="R403" s="90"/>
      <c r="S403" s="90"/>
      <c r="T403" s="65" t="s">
        <v>1103</v>
      </c>
      <c r="U403" s="144">
        <v>2026</v>
      </c>
      <c r="V403" s="99">
        <v>46099</v>
      </c>
      <c r="W403" s="90"/>
      <c r="X403" s="99"/>
      <c r="Y403" s="188">
        <f>AA403/1.2</f>
        <v>291666.66666666669</v>
      </c>
      <c r="Z403" s="189">
        <v>0</v>
      </c>
      <c r="AA403" s="188">
        <v>350000</v>
      </c>
      <c r="AB403" s="188">
        <v>0</v>
      </c>
      <c r="AC403" s="188">
        <f t="shared" si="39"/>
        <v>291666.66666666669</v>
      </c>
      <c r="AD403" s="188">
        <f t="shared" si="38"/>
        <v>350000</v>
      </c>
      <c r="AE403" s="68" t="s">
        <v>102</v>
      </c>
      <c r="AF403" s="68"/>
      <c r="AG403" s="68"/>
      <c r="AH403" s="190"/>
      <c r="AI403" s="191"/>
      <c r="AJ403" s="190"/>
      <c r="AK403" s="192"/>
      <c r="AL403" s="190"/>
      <c r="AM403" s="193" t="s">
        <v>1104</v>
      </c>
    </row>
    <row r="404" spans="1:39" ht="30" hidden="1" customHeight="1" x14ac:dyDescent="0.25">
      <c r="A404" s="135">
        <v>2025</v>
      </c>
      <c r="B404" s="66" t="s">
        <v>56</v>
      </c>
      <c r="C404" s="65" t="s">
        <v>1105</v>
      </c>
      <c r="D404" s="144" t="s">
        <v>106</v>
      </c>
      <c r="E404" s="144">
        <v>1</v>
      </c>
      <c r="F404" s="65" t="s">
        <v>1106</v>
      </c>
      <c r="G404" s="144" t="s">
        <v>121</v>
      </c>
      <c r="H404" s="66" t="s">
        <v>126</v>
      </c>
      <c r="I404" s="79" t="s">
        <v>1107</v>
      </c>
      <c r="J404" s="144" t="s">
        <v>130</v>
      </c>
      <c r="K404" s="144" t="s">
        <v>1</v>
      </c>
      <c r="L404" s="66" t="s">
        <v>7</v>
      </c>
      <c r="M404" s="67" t="s">
        <v>36</v>
      </c>
      <c r="N404" s="199">
        <f>O404*1.2</f>
        <v>463680</v>
      </c>
      <c r="O404" s="199">
        <v>386400</v>
      </c>
      <c r="P404" s="199">
        <f>O404/1.2</f>
        <v>322000</v>
      </c>
      <c r="Q404" s="144" t="s">
        <v>138</v>
      </c>
      <c r="R404" s="90"/>
      <c r="S404" s="90"/>
      <c r="T404" s="65" t="s">
        <v>1017</v>
      </c>
      <c r="U404" s="144">
        <v>2026</v>
      </c>
      <c r="V404" s="99">
        <v>46099</v>
      </c>
      <c r="W404" s="90"/>
      <c r="X404" s="99">
        <v>46108</v>
      </c>
      <c r="Y404" s="188">
        <f>AA404/1.2</f>
        <v>383800</v>
      </c>
      <c r="Z404" s="189">
        <v>0</v>
      </c>
      <c r="AA404" s="188">
        <v>460560</v>
      </c>
      <c r="AB404" s="188">
        <v>0</v>
      </c>
      <c r="AC404" s="188">
        <f t="shared" si="39"/>
        <v>383800</v>
      </c>
      <c r="AD404" s="188">
        <f t="shared" si="38"/>
        <v>460560</v>
      </c>
      <c r="AE404" s="68" t="s">
        <v>102</v>
      </c>
      <c r="AF404" s="68"/>
      <c r="AG404" s="68"/>
      <c r="AH404" s="190"/>
      <c r="AI404" s="191"/>
      <c r="AJ404" s="190"/>
      <c r="AK404" s="192"/>
      <c r="AL404" s="190"/>
      <c r="AM404" s="196" t="s">
        <v>994</v>
      </c>
    </row>
    <row r="405" spans="1:39" ht="30" hidden="1" customHeight="1" x14ac:dyDescent="0.25">
      <c r="A405" s="135">
        <v>2021</v>
      </c>
      <c r="B405" s="66" t="s">
        <v>68</v>
      </c>
      <c r="C405" s="73" t="s">
        <v>141</v>
      </c>
      <c r="D405" s="144" t="s">
        <v>114</v>
      </c>
      <c r="E405" s="144">
        <v>1</v>
      </c>
      <c r="F405" s="65" t="s">
        <v>1108</v>
      </c>
      <c r="G405" s="144" t="s">
        <v>121</v>
      </c>
      <c r="H405" s="66" t="s">
        <v>126</v>
      </c>
      <c r="I405" s="79">
        <v>490</v>
      </c>
      <c r="J405" s="144" t="s">
        <v>132</v>
      </c>
      <c r="K405" s="144" t="s">
        <v>3</v>
      </c>
      <c r="L405" s="66" t="s">
        <v>6</v>
      </c>
      <c r="M405" s="67" t="s">
        <v>1109</v>
      </c>
      <c r="N405" s="187"/>
      <c r="O405" s="187"/>
      <c r="P405" s="187"/>
      <c r="Q405" s="144" t="s">
        <v>141</v>
      </c>
      <c r="R405" s="90"/>
      <c r="S405" s="90"/>
      <c r="T405" s="65" t="s">
        <v>1110</v>
      </c>
      <c r="U405" s="144">
        <v>2021</v>
      </c>
      <c r="V405" s="99" t="s">
        <v>354</v>
      </c>
      <c r="W405" s="90"/>
      <c r="X405" s="99" t="s">
        <v>354</v>
      </c>
      <c r="Y405" s="188"/>
      <c r="Z405" s="189"/>
      <c r="AA405" s="188"/>
      <c r="AB405" s="188"/>
      <c r="AC405" s="188"/>
      <c r="AD405" s="188">
        <v>1241174</v>
      </c>
      <c r="AE405" s="68" t="s">
        <v>102</v>
      </c>
      <c r="AF405" s="68"/>
      <c r="AG405" s="68"/>
      <c r="AH405" s="190"/>
      <c r="AI405" s="191"/>
      <c r="AJ405" s="190"/>
      <c r="AK405" s="192"/>
      <c r="AL405" s="190"/>
      <c r="AM405" s="196"/>
    </row>
    <row r="406" spans="1:39" ht="30" hidden="1" customHeight="1" x14ac:dyDescent="0.25">
      <c r="A406" s="135">
        <v>2023</v>
      </c>
      <c r="B406" s="66" t="s">
        <v>68</v>
      </c>
      <c r="C406" s="73" t="s">
        <v>141</v>
      </c>
      <c r="D406" s="144" t="s">
        <v>114</v>
      </c>
      <c r="E406" s="144">
        <v>1</v>
      </c>
      <c r="F406" s="65" t="s">
        <v>1111</v>
      </c>
      <c r="G406" s="144" t="s">
        <v>121</v>
      </c>
      <c r="H406" s="66" t="s">
        <v>126</v>
      </c>
      <c r="I406" s="79" t="s">
        <v>1112</v>
      </c>
      <c r="J406" s="144" t="s">
        <v>132</v>
      </c>
      <c r="K406" s="144" t="s">
        <v>3</v>
      </c>
      <c r="L406" s="66" t="s">
        <v>6</v>
      </c>
      <c r="M406" s="67" t="s">
        <v>1109</v>
      </c>
      <c r="N406" s="187"/>
      <c r="O406" s="187"/>
      <c r="P406" s="187"/>
      <c r="Q406" s="144" t="s">
        <v>141</v>
      </c>
      <c r="R406" s="90"/>
      <c r="S406" s="90"/>
      <c r="T406" s="65" t="s">
        <v>1113</v>
      </c>
      <c r="U406" s="144">
        <v>2023</v>
      </c>
      <c r="V406" s="99" t="s">
        <v>354</v>
      </c>
      <c r="W406" s="90"/>
      <c r="X406" s="99" t="s">
        <v>354</v>
      </c>
      <c r="Y406" s="188"/>
      <c r="Z406" s="189"/>
      <c r="AA406" s="188"/>
      <c r="AB406" s="188"/>
      <c r="AC406" s="188"/>
      <c r="AD406" s="188">
        <v>1122588</v>
      </c>
      <c r="AE406" s="68" t="s">
        <v>102</v>
      </c>
      <c r="AF406" s="68"/>
      <c r="AG406" s="68"/>
      <c r="AH406" s="190"/>
      <c r="AI406" s="191"/>
      <c r="AJ406" s="190"/>
      <c r="AK406" s="192"/>
      <c r="AL406" s="190"/>
      <c r="AM406" s="196"/>
    </row>
    <row r="407" spans="1:39" ht="30" hidden="1" customHeight="1" x14ac:dyDescent="0.25">
      <c r="A407" s="135">
        <v>2023</v>
      </c>
      <c r="B407" s="66" t="s">
        <v>68</v>
      </c>
      <c r="C407" s="73" t="s">
        <v>141</v>
      </c>
      <c r="D407" s="144" t="s">
        <v>114</v>
      </c>
      <c r="E407" s="144">
        <v>1</v>
      </c>
      <c r="F407" s="65" t="s">
        <v>1114</v>
      </c>
      <c r="G407" s="144" t="s">
        <v>121</v>
      </c>
      <c r="H407" s="66" t="s">
        <v>126</v>
      </c>
      <c r="I407" s="79" t="s">
        <v>1115</v>
      </c>
      <c r="J407" s="144" t="s">
        <v>132</v>
      </c>
      <c r="K407" s="144" t="s">
        <v>3</v>
      </c>
      <c r="L407" s="66" t="s">
        <v>6</v>
      </c>
      <c r="M407" s="67" t="s">
        <v>25</v>
      </c>
      <c r="N407" s="187"/>
      <c r="O407" s="187"/>
      <c r="P407" s="187"/>
      <c r="Q407" s="144" t="s">
        <v>141</v>
      </c>
      <c r="R407" s="90"/>
      <c r="S407" s="90"/>
      <c r="T407" s="65" t="s">
        <v>1116</v>
      </c>
      <c r="U407" s="144">
        <v>2023</v>
      </c>
      <c r="V407" s="99" t="s">
        <v>354</v>
      </c>
      <c r="W407" s="90"/>
      <c r="X407" s="99" t="s">
        <v>354</v>
      </c>
      <c r="Y407" s="188"/>
      <c r="Z407" s="189"/>
      <c r="AA407" s="188"/>
      <c r="AB407" s="188"/>
      <c r="AC407" s="188"/>
      <c r="AD407" s="188">
        <v>864000</v>
      </c>
      <c r="AE407" s="68" t="s">
        <v>102</v>
      </c>
      <c r="AF407" s="68"/>
      <c r="AG407" s="68"/>
      <c r="AH407" s="190"/>
      <c r="AI407" s="191"/>
      <c r="AJ407" s="190"/>
      <c r="AK407" s="192"/>
      <c r="AL407" s="190"/>
      <c r="AM407" s="196"/>
    </row>
    <row r="408" spans="1:39" ht="30" hidden="1" customHeight="1" x14ac:dyDescent="0.25">
      <c r="A408" s="135">
        <v>2021</v>
      </c>
      <c r="B408" s="66" t="s">
        <v>68</v>
      </c>
      <c r="C408" s="73" t="s">
        <v>141</v>
      </c>
      <c r="D408" s="144" t="s">
        <v>114</v>
      </c>
      <c r="E408" s="144">
        <v>1</v>
      </c>
      <c r="F408" s="65" t="s">
        <v>1117</v>
      </c>
      <c r="G408" s="144" t="s">
        <v>121</v>
      </c>
      <c r="H408" s="66" t="s">
        <v>126</v>
      </c>
      <c r="I408" s="65">
        <v>21000511</v>
      </c>
      <c r="J408" s="144" t="s">
        <v>132</v>
      </c>
      <c r="K408" s="144" t="s">
        <v>3</v>
      </c>
      <c r="L408" s="66" t="s">
        <v>6</v>
      </c>
      <c r="M408" s="67" t="s">
        <v>25</v>
      </c>
      <c r="N408" s="187"/>
      <c r="O408" s="187"/>
      <c r="P408" s="187"/>
      <c r="Q408" s="144" t="s">
        <v>141</v>
      </c>
      <c r="R408" s="90"/>
      <c r="S408" s="90"/>
      <c r="T408" s="65" t="s">
        <v>353</v>
      </c>
      <c r="U408" s="144">
        <v>2021</v>
      </c>
      <c r="V408" s="99" t="s">
        <v>354</v>
      </c>
      <c r="W408" s="90"/>
      <c r="X408" s="99" t="s">
        <v>354</v>
      </c>
      <c r="Y408" s="188"/>
      <c r="Z408" s="189"/>
      <c r="AA408" s="188"/>
      <c r="AB408" s="188"/>
      <c r="AC408" s="188" t="s">
        <v>354</v>
      </c>
      <c r="AD408" s="188">
        <v>2040000</v>
      </c>
      <c r="AE408" s="68" t="s">
        <v>102</v>
      </c>
      <c r="AF408" s="68"/>
      <c r="AG408" s="68"/>
      <c r="AH408" s="190"/>
      <c r="AI408" s="191"/>
      <c r="AJ408" s="190"/>
      <c r="AK408" s="192"/>
      <c r="AL408" s="190"/>
      <c r="AM408" s="196"/>
    </row>
    <row r="409" spans="1:39" ht="30" hidden="1" customHeight="1" x14ac:dyDescent="0.25">
      <c r="A409" s="135">
        <v>2023</v>
      </c>
      <c r="B409" s="66" t="s">
        <v>68</v>
      </c>
      <c r="C409" s="73" t="s">
        <v>141</v>
      </c>
      <c r="D409" s="144" t="s">
        <v>114</v>
      </c>
      <c r="E409" s="144">
        <v>1</v>
      </c>
      <c r="F409" s="65" t="s">
        <v>1118</v>
      </c>
      <c r="G409" s="144" t="s">
        <v>121</v>
      </c>
      <c r="H409" s="66" t="s">
        <v>126</v>
      </c>
      <c r="I409" s="79" t="s">
        <v>1119</v>
      </c>
      <c r="J409" s="144" t="s">
        <v>132</v>
      </c>
      <c r="K409" s="144" t="s">
        <v>3</v>
      </c>
      <c r="L409" s="66" t="s">
        <v>6</v>
      </c>
      <c r="M409" s="67" t="s">
        <v>1109</v>
      </c>
      <c r="N409" s="187"/>
      <c r="O409" s="187"/>
      <c r="P409" s="187"/>
      <c r="Q409" s="144" t="s">
        <v>141</v>
      </c>
      <c r="R409" s="90"/>
      <c r="S409" s="90"/>
      <c r="T409" s="65" t="s">
        <v>1120</v>
      </c>
      <c r="U409" s="144">
        <v>2023</v>
      </c>
      <c r="V409" s="99" t="s">
        <v>354</v>
      </c>
      <c r="W409" s="90"/>
      <c r="X409" s="99" t="s">
        <v>354</v>
      </c>
      <c r="Y409" s="188"/>
      <c r="Z409" s="189"/>
      <c r="AA409" s="188"/>
      <c r="AB409" s="188"/>
      <c r="AC409" s="188"/>
      <c r="AD409" s="188">
        <v>240480</v>
      </c>
      <c r="AE409" s="68" t="s">
        <v>102</v>
      </c>
      <c r="AF409" s="68"/>
      <c r="AG409" s="68"/>
      <c r="AH409" s="190"/>
      <c r="AI409" s="191"/>
      <c r="AJ409" s="190"/>
      <c r="AK409" s="192"/>
      <c r="AL409" s="190"/>
      <c r="AM409" s="196"/>
    </row>
    <row r="410" spans="1:39" ht="38.25" hidden="1" customHeight="1" x14ac:dyDescent="0.25">
      <c r="A410" s="135">
        <v>2026</v>
      </c>
      <c r="B410" s="66" t="s">
        <v>68</v>
      </c>
      <c r="C410" s="65" t="s">
        <v>1121</v>
      </c>
      <c r="D410" s="144" t="s">
        <v>106</v>
      </c>
      <c r="E410" s="144">
        <v>1</v>
      </c>
      <c r="F410" s="65" t="s">
        <v>1122</v>
      </c>
      <c r="G410" s="144" t="s">
        <v>121</v>
      </c>
      <c r="H410" s="66" t="s">
        <v>127</v>
      </c>
      <c r="I410" s="79"/>
      <c r="J410" s="144" t="s">
        <v>130</v>
      </c>
      <c r="K410" s="144" t="s">
        <v>3</v>
      </c>
      <c r="L410" s="66" t="s">
        <v>6</v>
      </c>
      <c r="M410" s="67" t="s">
        <v>973</v>
      </c>
      <c r="N410" s="199">
        <f>O410*1.2</f>
        <v>107208</v>
      </c>
      <c r="O410" s="199">
        <v>89340</v>
      </c>
      <c r="P410" s="199">
        <f>O410/1.2</f>
        <v>74450</v>
      </c>
      <c r="Q410" s="144" t="s">
        <v>139</v>
      </c>
      <c r="R410" s="90"/>
      <c r="S410" s="90"/>
      <c r="T410" s="65" t="s">
        <v>1123</v>
      </c>
      <c r="U410" s="144"/>
      <c r="V410" s="99">
        <v>46126</v>
      </c>
      <c r="W410" s="99">
        <v>46128</v>
      </c>
      <c r="X410" s="99"/>
      <c r="Y410" s="188">
        <f>AC410</f>
        <v>63720</v>
      </c>
      <c r="Z410" s="189">
        <v>0</v>
      </c>
      <c r="AA410" s="188">
        <f>AD410</f>
        <v>76464</v>
      </c>
      <c r="AB410" s="188">
        <v>0</v>
      </c>
      <c r="AC410" s="188">
        <f>AD410/1.2</f>
        <v>63720</v>
      </c>
      <c r="AD410" s="188">
        <v>76464</v>
      </c>
      <c r="AE410" s="68" t="s">
        <v>101</v>
      </c>
      <c r="AF410" s="68"/>
      <c r="AG410" s="68"/>
      <c r="AH410" s="190"/>
      <c r="AI410" s="191"/>
      <c r="AJ410" s="190"/>
      <c r="AK410" s="192"/>
      <c r="AL410" s="190"/>
      <c r="AM410" s="196" t="s">
        <v>994</v>
      </c>
    </row>
    <row r="411" spans="1:39" ht="30" hidden="1" customHeight="1" x14ac:dyDescent="0.25">
      <c r="A411" s="135">
        <v>2026</v>
      </c>
      <c r="B411" s="66" t="s">
        <v>55</v>
      </c>
      <c r="C411" s="65" t="s">
        <v>1124</v>
      </c>
      <c r="D411" s="144" t="s">
        <v>106</v>
      </c>
      <c r="E411" s="144">
        <v>1</v>
      </c>
      <c r="F411" s="65" t="s">
        <v>1125</v>
      </c>
      <c r="G411" s="144" t="s">
        <v>121</v>
      </c>
      <c r="H411" s="66" t="s">
        <v>127</v>
      </c>
      <c r="I411" s="79"/>
      <c r="J411" s="144" t="s">
        <v>130</v>
      </c>
      <c r="K411" s="144" t="s">
        <v>1</v>
      </c>
      <c r="L411" s="66" t="s">
        <v>7</v>
      </c>
      <c r="M411" s="67" t="s">
        <v>955</v>
      </c>
      <c r="N411" s="199">
        <f>O411*1.2</f>
        <v>6716160</v>
      </c>
      <c r="O411" s="199">
        <v>5596800</v>
      </c>
      <c r="P411" s="199">
        <f>O411/1.2</f>
        <v>4664000</v>
      </c>
      <c r="Q411" s="144" t="s">
        <v>138</v>
      </c>
      <c r="R411" s="90"/>
      <c r="S411" s="90"/>
      <c r="T411" s="65" t="s">
        <v>1126</v>
      </c>
      <c r="U411" s="144"/>
      <c r="V411" s="99">
        <v>46105</v>
      </c>
      <c r="W411" s="99">
        <v>46112</v>
      </c>
      <c r="X411" s="45">
        <v>46265</v>
      </c>
      <c r="Y411" s="188"/>
      <c r="Z411" s="189">
        <v>0</v>
      </c>
      <c r="AA411" s="188"/>
      <c r="AB411" s="188">
        <v>489919.2</v>
      </c>
      <c r="AC411" s="188"/>
      <c r="AD411" s="188">
        <v>5246250.76</v>
      </c>
      <c r="AE411" s="68" t="s">
        <v>102</v>
      </c>
      <c r="AF411" s="68"/>
      <c r="AG411" s="68"/>
      <c r="AH411" s="190"/>
      <c r="AI411" s="191"/>
      <c r="AJ411" s="190"/>
      <c r="AK411" s="192"/>
      <c r="AL411" s="190"/>
      <c r="AM411" s="196" t="s">
        <v>1127</v>
      </c>
    </row>
    <row r="412" spans="1:39" ht="30" hidden="1" customHeight="1" x14ac:dyDescent="0.25">
      <c r="A412" s="135">
        <v>2026</v>
      </c>
      <c r="B412" s="66" t="s">
        <v>77</v>
      </c>
      <c r="C412" s="65" t="s">
        <v>909</v>
      </c>
      <c r="D412" s="144" t="s">
        <v>114</v>
      </c>
      <c r="E412" s="144">
        <v>1</v>
      </c>
      <c r="F412" s="65" t="s">
        <v>1128</v>
      </c>
      <c r="G412" s="144" t="s">
        <v>121</v>
      </c>
      <c r="H412" s="66" t="s">
        <v>126</v>
      </c>
      <c r="I412" s="79" t="s">
        <v>1129</v>
      </c>
      <c r="J412" s="144" t="s">
        <v>132</v>
      </c>
      <c r="K412" s="144" t="s">
        <v>3</v>
      </c>
      <c r="L412" s="66" t="s">
        <v>6</v>
      </c>
      <c r="M412" s="65" t="s">
        <v>180</v>
      </c>
      <c r="N412" s="187"/>
      <c r="O412" s="187"/>
      <c r="P412" s="187"/>
      <c r="Q412" s="144" t="s">
        <v>138</v>
      </c>
      <c r="R412" s="90"/>
      <c r="S412" s="90"/>
      <c r="T412" s="65" t="s">
        <v>1130</v>
      </c>
      <c r="U412" s="144">
        <v>2026</v>
      </c>
      <c r="V412" s="99">
        <v>46106</v>
      </c>
      <c r="W412" s="90"/>
      <c r="X412" s="99">
        <v>46113</v>
      </c>
      <c r="Y412" s="188">
        <v>70400</v>
      </c>
      <c r="Z412" s="189">
        <v>0</v>
      </c>
      <c r="AA412" s="188">
        <v>84480</v>
      </c>
      <c r="AB412" s="188">
        <v>0</v>
      </c>
      <c r="AC412" s="188">
        <f>Y412</f>
        <v>70400</v>
      </c>
      <c r="AD412" s="188">
        <f>AA412</f>
        <v>84480</v>
      </c>
      <c r="AE412" s="68" t="s">
        <v>102</v>
      </c>
      <c r="AF412" s="68"/>
      <c r="AG412" s="68"/>
      <c r="AH412" s="190"/>
      <c r="AI412" s="191"/>
      <c r="AJ412" s="190"/>
      <c r="AK412" s="192"/>
      <c r="AL412" s="190"/>
      <c r="AM412" s="196" t="s">
        <v>1023</v>
      </c>
    </row>
    <row r="413" spans="1:39" ht="30" hidden="1" customHeight="1" x14ac:dyDescent="0.25">
      <c r="A413" s="135">
        <v>2026</v>
      </c>
      <c r="B413" s="66" t="s">
        <v>77</v>
      </c>
      <c r="C413" s="65" t="s">
        <v>1131</v>
      </c>
      <c r="D413" s="144" t="s">
        <v>114</v>
      </c>
      <c r="E413" s="144">
        <v>1</v>
      </c>
      <c r="F413" s="65" t="s">
        <v>1132</v>
      </c>
      <c r="G413" s="144" t="s">
        <v>121</v>
      </c>
      <c r="H413" s="66" t="s">
        <v>126</v>
      </c>
      <c r="I413" s="79" t="s">
        <v>1133</v>
      </c>
      <c r="J413" s="144" t="s">
        <v>132</v>
      </c>
      <c r="K413" s="144" t="s">
        <v>3</v>
      </c>
      <c r="L413" s="66" t="s">
        <v>6</v>
      </c>
      <c r="M413" s="65" t="s">
        <v>180</v>
      </c>
      <c r="N413" s="187"/>
      <c r="O413" s="187"/>
      <c r="P413" s="187"/>
      <c r="Q413" s="144" t="s">
        <v>138</v>
      </c>
      <c r="R413" s="90"/>
      <c r="S413" s="90"/>
      <c r="T413" s="65" t="s">
        <v>1130</v>
      </c>
      <c r="U413" s="144">
        <v>2026</v>
      </c>
      <c r="V413" s="99">
        <v>46119</v>
      </c>
      <c r="W413" s="90"/>
      <c r="X413" s="99">
        <v>46120</v>
      </c>
      <c r="Y413" s="188">
        <v>81900</v>
      </c>
      <c r="Z413" s="189">
        <v>0</v>
      </c>
      <c r="AA413" s="188">
        <v>90090</v>
      </c>
      <c r="AB413" s="188">
        <v>0</v>
      </c>
      <c r="AC413" s="188">
        <f>Y413</f>
        <v>81900</v>
      </c>
      <c r="AD413" s="188">
        <f>AA413</f>
        <v>90090</v>
      </c>
      <c r="AE413" s="68" t="s">
        <v>102</v>
      </c>
      <c r="AF413" s="68"/>
      <c r="AG413" s="68"/>
      <c r="AH413" s="190"/>
      <c r="AI413" s="191"/>
      <c r="AJ413" s="190"/>
      <c r="AK413" s="192"/>
      <c r="AL413" s="190"/>
      <c r="AM413" s="196" t="s">
        <v>1023</v>
      </c>
    </row>
    <row r="414" spans="1:39" ht="30" hidden="1" customHeight="1" x14ac:dyDescent="0.25">
      <c r="A414" s="135">
        <v>2026</v>
      </c>
      <c r="B414" s="66" t="s">
        <v>56</v>
      </c>
      <c r="C414" s="65" t="s">
        <v>1134</v>
      </c>
      <c r="D414" s="144" t="s">
        <v>106</v>
      </c>
      <c r="E414" s="144">
        <v>1</v>
      </c>
      <c r="F414" s="65" t="s">
        <v>1135</v>
      </c>
      <c r="G414" s="144" t="s">
        <v>121</v>
      </c>
      <c r="H414" s="66" t="s">
        <v>126</v>
      </c>
      <c r="I414" s="79"/>
      <c r="J414" s="144" t="s">
        <v>131</v>
      </c>
      <c r="K414" s="144" t="s">
        <v>3</v>
      </c>
      <c r="L414" s="66" t="s">
        <v>6</v>
      </c>
      <c r="M414" s="67" t="s">
        <v>15</v>
      </c>
      <c r="N414" s="199">
        <f>O414*1.2</f>
        <v>1140000</v>
      </c>
      <c r="O414" s="199">
        <v>950000</v>
      </c>
      <c r="P414" s="199">
        <f>O414/1.2</f>
        <v>791666.66666666674</v>
      </c>
      <c r="Q414" s="144" t="s">
        <v>139</v>
      </c>
      <c r="R414" s="90"/>
      <c r="S414" s="90"/>
      <c r="T414" s="65" t="s">
        <v>1136</v>
      </c>
      <c r="U414" s="144"/>
      <c r="V414" s="99">
        <v>46106</v>
      </c>
      <c r="W414" s="99">
        <v>46120</v>
      </c>
      <c r="X414" s="99">
        <v>46210</v>
      </c>
      <c r="Y414" s="188">
        <f>AC414</f>
        <v>693445</v>
      </c>
      <c r="Z414" s="189">
        <v>0</v>
      </c>
      <c r="AA414" s="188">
        <v>832134</v>
      </c>
      <c r="AB414" s="188">
        <v>0</v>
      </c>
      <c r="AC414" s="188">
        <f>AD414/1.2</f>
        <v>693445</v>
      </c>
      <c r="AD414" s="188">
        <v>832134</v>
      </c>
      <c r="AE414" s="68" t="s">
        <v>102</v>
      </c>
      <c r="AF414" s="68"/>
      <c r="AG414" s="68"/>
      <c r="AH414" s="190"/>
      <c r="AI414" s="191"/>
      <c r="AJ414" s="190"/>
      <c r="AK414" s="192"/>
      <c r="AL414" s="190"/>
      <c r="AM414" s="196" t="s">
        <v>1023</v>
      </c>
    </row>
    <row r="415" spans="1:39" ht="30" hidden="1" customHeight="1" x14ac:dyDescent="0.25">
      <c r="A415" s="49">
        <v>2026</v>
      </c>
      <c r="B415" s="66" t="s">
        <v>56</v>
      </c>
      <c r="C415" s="65" t="s">
        <v>1137</v>
      </c>
      <c r="D415" s="144" t="s">
        <v>106</v>
      </c>
      <c r="E415" s="144">
        <v>1</v>
      </c>
      <c r="F415" s="65" t="s">
        <v>1138</v>
      </c>
      <c r="G415" s="144" t="s">
        <v>118</v>
      </c>
      <c r="H415" s="66" t="s">
        <v>118</v>
      </c>
      <c r="I415" s="79"/>
      <c r="J415" s="144" t="s">
        <v>131</v>
      </c>
      <c r="K415" s="144" t="s">
        <v>3</v>
      </c>
      <c r="L415" s="66" t="s">
        <v>6</v>
      </c>
      <c r="M415" s="67" t="s">
        <v>23</v>
      </c>
      <c r="N415" s="199">
        <f>O415*1.2</f>
        <v>4320000</v>
      </c>
      <c r="O415" s="199">
        <v>3600000</v>
      </c>
      <c r="P415" s="199">
        <f>O415/1.2</f>
        <v>3000000</v>
      </c>
      <c r="Q415" s="144" t="s">
        <v>139</v>
      </c>
      <c r="R415" s="90"/>
      <c r="S415" s="90"/>
      <c r="T415" s="65"/>
      <c r="U415" s="144"/>
      <c r="V415" s="99">
        <v>46107</v>
      </c>
      <c r="W415" s="99">
        <v>46112</v>
      </c>
      <c r="X415" s="90"/>
      <c r="Y415" s="187">
        <v>0</v>
      </c>
      <c r="Z415" s="201">
        <v>0</v>
      </c>
      <c r="AA415" s="187">
        <v>0</v>
      </c>
      <c r="AB415" s="187">
        <v>0</v>
      </c>
      <c r="AC415" s="187">
        <v>0</v>
      </c>
      <c r="AD415" s="187">
        <v>0</v>
      </c>
      <c r="AE415" s="44" t="s">
        <v>103</v>
      </c>
      <c r="AF415" s="68"/>
      <c r="AG415" s="68"/>
      <c r="AH415" s="190"/>
      <c r="AI415" s="191"/>
      <c r="AJ415" s="190"/>
      <c r="AK415" s="192"/>
      <c r="AL415" s="190"/>
      <c r="AM415" s="196" t="s">
        <v>1023</v>
      </c>
    </row>
    <row r="416" spans="1:39" ht="30" hidden="1" customHeight="1" x14ac:dyDescent="0.25">
      <c r="A416" s="48">
        <v>2026</v>
      </c>
      <c r="B416" s="66" t="s">
        <v>63</v>
      </c>
      <c r="C416" s="73" t="s">
        <v>172</v>
      </c>
      <c r="D416" s="144" t="s">
        <v>114</v>
      </c>
      <c r="E416" s="144">
        <v>1</v>
      </c>
      <c r="F416" s="65" t="s">
        <v>1139</v>
      </c>
      <c r="G416" s="144" t="s">
        <v>121</v>
      </c>
      <c r="H416" s="66" t="s">
        <v>126</v>
      </c>
      <c r="I416" s="79"/>
      <c r="J416" s="144" t="s">
        <v>132</v>
      </c>
      <c r="K416" s="144" t="s">
        <v>3</v>
      </c>
      <c r="L416" s="66" t="s">
        <v>6</v>
      </c>
      <c r="M416" s="67" t="s">
        <v>947</v>
      </c>
      <c r="N416" s="187"/>
      <c r="O416" s="187"/>
      <c r="P416" s="187"/>
      <c r="Q416" s="144" t="s">
        <v>140</v>
      </c>
      <c r="R416" s="90"/>
      <c r="S416" s="90"/>
      <c r="T416" s="65" t="s">
        <v>1140</v>
      </c>
      <c r="U416" s="144">
        <v>2026</v>
      </c>
      <c r="V416" s="94"/>
      <c r="W416" s="90"/>
      <c r="X416" s="99">
        <v>46167</v>
      </c>
      <c r="Y416" s="188">
        <v>321020</v>
      </c>
      <c r="Z416" s="189">
        <v>35000</v>
      </c>
      <c r="AA416" s="188">
        <v>321020</v>
      </c>
      <c r="AB416" s="188">
        <v>35000</v>
      </c>
      <c r="AC416" s="188">
        <v>321020</v>
      </c>
      <c r="AD416" s="203">
        <v>321020</v>
      </c>
      <c r="AE416" s="68" t="s">
        <v>102</v>
      </c>
      <c r="AF416" s="68"/>
      <c r="AG416" s="68"/>
      <c r="AH416" s="190"/>
      <c r="AI416" s="191"/>
      <c r="AJ416" s="190"/>
      <c r="AK416" s="192"/>
      <c r="AL416" s="190"/>
      <c r="AM416" s="193" t="s">
        <v>1141</v>
      </c>
    </row>
    <row r="417" spans="1:39" ht="30" hidden="1" customHeight="1" x14ac:dyDescent="0.25">
      <c r="A417" s="48">
        <v>2026</v>
      </c>
      <c r="B417" s="66" t="s">
        <v>63</v>
      </c>
      <c r="C417" s="73" t="s">
        <v>172</v>
      </c>
      <c r="D417" s="144" t="s">
        <v>114</v>
      </c>
      <c r="E417" s="144">
        <v>1</v>
      </c>
      <c r="F417" s="65" t="s">
        <v>1142</v>
      </c>
      <c r="G417" s="144" t="s">
        <v>121</v>
      </c>
      <c r="H417" s="66" t="s">
        <v>126</v>
      </c>
      <c r="I417" s="79"/>
      <c r="J417" s="144" t="s">
        <v>132</v>
      </c>
      <c r="K417" s="144" t="s">
        <v>3</v>
      </c>
      <c r="L417" s="66" t="s">
        <v>6</v>
      </c>
      <c r="M417" s="67" t="s">
        <v>947</v>
      </c>
      <c r="N417" s="187"/>
      <c r="O417" s="187"/>
      <c r="P417" s="187"/>
      <c r="Q417" s="144" t="s">
        <v>140</v>
      </c>
      <c r="R417" s="90"/>
      <c r="S417" s="90"/>
      <c r="T417" s="65" t="s">
        <v>1140</v>
      </c>
      <c r="U417" s="144">
        <v>2026</v>
      </c>
      <c r="V417" s="94"/>
      <c r="W417" s="90"/>
      <c r="X417" s="99">
        <v>46167</v>
      </c>
      <c r="Y417" s="188">
        <v>321020</v>
      </c>
      <c r="Z417" s="189">
        <v>35000</v>
      </c>
      <c r="AA417" s="188">
        <v>321020</v>
      </c>
      <c r="AB417" s="188">
        <v>35000</v>
      </c>
      <c r="AC417" s="188">
        <v>321020</v>
      </c>
      <c r="AD417" s="203">
        <v>321020</v>
      </c>
      <c r="AE417" s="68" t="s">
        <v>102</v>
      </c>
      <c r="AF417" s="68"/>
      <c r="AG417" s="68"/>
      <c r="AH417" s="190"/>
      <c r="AI417" s="191"/>
      <c r="AJ417" s="190"/>
      <c r="AK417" s="192"/>
      <c r="AL417" s="190"/>
      <c r="AM417" s="193" t="s">
        <v>1141</v>
      </c>
    </row>
    <row r="418" spans="1:39" ht="30" hidden="1" customHeight="1" x14ac:dyDescent="0.25">
      <c r="A418" s="135">
        <v>2026</v>
      </c>
      <c r="B418" s="66" t="s">
        <v>63</v>
      </c>
      <c r="C418" s="73" t="s">
        <v>140</v>
      </c>
      <c r="D418" s="144" t="s">
        <v>114</v>
      </c>
      <c r="E418" s="144">
        <v>1</v>
      </c>
      <c r="F418" s="65" t="s">
        <v>1143</v>
      </c>
      <c r="G418" s="144" t="s">
        <v>121</v>
      </c>
      <c r="H418" s="66" t="s">
        <v>126</v>
      </c>
      <c r="I418" s="65" t="s">
        <v>1144</v>
      </c>
      <c r="J418" s="144" t="s">
        <v>132</v>
      </c>
      <c r="K418" s="144" t="s">
        <v>3</v>
      </c>
      <c r="L418" s="66" t="s">
        <v>6</v>
      </c>
      <c r="M418" s="67" t="s">
        <v>947</v>
      </c>
      <c r="N418" s="187"/>
      <c r="O418" s="187"/>
      <c r="P418" s="187"/>
      <c r="Q418" s="144" t="s">
        <v>140</v>
      </c>
      <c r="R418" s="90"/>
      <c r="S418" s="90"/>
      <c r="T418" s="65" t="s">
        <v>1145</v>
      </c>
      <c r="U418" s="144">
        <v>2026</v>
      </c>
      <c r="V418" s="99">
        <v>46118</v>
      </c>
      <c r="W418" s="90"/>
      <c r="X418" s="99">
        <v>46119</v>
      </c>
      <c r="Y418" s="188">
        <v>926100</v>
      </c>
      <c r="Z418" s="189">
        <v>0</v>
      </c>
      <c r="AA418" s="188">
        <f>+Y418</f>
        <v>926100</v>
      </c>
      <c r="AB418" s="188">
        <v>0</v>
      </c>
      <c r="AC418" s="188">
        <f>+AA418</f>
        <v>926100</v>
      </c>
      <c r="AD418" s="203">
        <f>+AC418</f>
        <v>926100</v>
      </c>
      <c r="AE418" s="68" t="s">
        <v>102</v>
      </c>
      <c r="AF418" s="68"/>
      <c r="AG418" s="68"/>
      <c r="AH418" s="190"/>
      <c r="AI418" s="191"/>
      <c r="AJ418" s="190"/>
      <c r="AK418" s="192"/>
      <c r="AL418" s="190"/>
      <c r="AM418" s="196" t="s">
        <v>1023</v>
      </c>
    </row>
    <row r="419" spans="1:39" ht="30" hidden="1" customHeight="1" x14ac:dyDescent="0.25">
      <c r="A419" s="135">
        <v>2024</v>
      </c>
      <c r="B419" s="66" t="s">
        <v>63</v>
      </c>
      <c r="C419" s="73" t="s">
        <v>141</v>
      </c>
      <c r="D419" s="144" t="s">
        <v>114</v>
      </c>
      <c r="E419" s="144">
        <v>1</v>
      </c>
      <c r="F419" s="65" t="s">
        <v>1146</v>
      </c>
      <c r="G419" s="144" t="s">
        <v>121</v>
      </c>
      <c r="H419" s="66" t="s">
        <v>126</v>
      </c>
      <c r="I419" s="65" t="s">
        <v>1147</v>
      </c>
      <c r="J419" s="144" t="s">
        <v>132</v>
      </c>
      <c r="K419" s="144" t="s">
        <v>3</v>
      </c>
      <c r="L419" s="66" t="s">
        <v>6</v>
      </c>
      <c r="M419" s="67" t="s">
        <v>947</v>
      </c>
      <c r="N419" s="187"/>
      <c r="O419" s="187"/>
      <c r="P419" s="187"/>
      <c r="Q419" s="144" t="s">
        <v>141</v>
      </c>
      <c r="R419" s="90"/>
      <c r="S419" s="90"/>
      <c r="T419" s="65" t="s">
        <v>1045</v>
      </c>
      <c r="U419" s="144">
        <v>2024</v>
      </c>
      <c r="V419" s="99" t="s">
        <v>354</v>
      </c>
      <c r="W419" s="90"/>
      <c r="X419" s="99" t="s">
        <v>354</v>
      </c>
      <c r="Y419" s="188">
        <v>1200000</v>
      </c>
      <c r="Z419" s="189">
        <v>0</v>
      </c>
      <c r="AA419" s="188">
        <v>1200000</v>
      </c>
      <c r="AB419" s="188">
        <v>0</v>
      </c>
      <c r="AC419" s="188">
        <v>1200000</v>
      </c>
      <c r="AD419" s="203">
        <v>1200000</v>
      </c>
      <c r="AE419" s="68" t="s">
        <v>102</v>
      </c>
      <c r="AF419" s="68"/>
      <c r="AG419" s="68"/>
      <c r="AH419" s="190"/>
      <c r="AI419" s="191"/>
      <c r="AJ419" s="190"/>
      <c r="AK419" s="192"/>
      <c r="AL419" s="190"/>
      <c r="AM419" s="196" t="s">
        <v>1023</v>
      </c>
    </row>
    <row r="420" spans="1:39" ht="30" hidden="1" customHeight="1" x14ac:dyDescent="0.25">
      <c r="A420" s="135">
        <v>2023</v>
      </c>
      <c r="B420" s="66" t="s">
        <v>63</v>
      </c>
      <c r="C420" s="73" t="s">
        <v>141</v>
      </c>
      <c r="D420" s="144" t="s">
        <v>114</v>
      </c>
      <c r="E420" s="144">
        <v>1</v>
      </c>
      <c r="F420" s="65" t="s">
        <v>1148</v>
      </c>
      <c r="G420" s="144" t="s">
        <v>121</v>
      </c>
      <c r="H420" s="66" t="s">
        <v>126</v>
      </c>
      <c r="I420" s="65" t="s">
        <v>1149</v>
      </c>
      <c r="J420" s="144" t="s">
        <v>132</v>
      </c>
      <c r="K420" s="144" t="s">
        <v>3</v>
      </c>
      <c r="L420" s="66" t="s">
        <v>6</v>
      </c>
      <c r="M420" s="67" t="s">
        <v>947</v>
      </c>
      <c r="N420" s="187"/>
      <c r="O420" s="187"/>
      <c r="P420" s="187"/>
      <c r="Q420" s="144" t="s">
        <v>141</v>
      </c>
      <c r="R420" s="90"/>
      <c r="S420" s="90"/>
      <c r="T420" s="65" t="s">
        <v>1150</v>
      </c>
      <c r="U420" s="144">
        <v>2023</v>
      </c>
      <c r="V420" s="99" t="s">
        <v>354</v>
      </c>
      <c r="W420" s="90"/>
      <c r="X420" s="99" t="s">
        <v>354</v>
      </c>
      <c r="Y420" s="188">
        <v>1000000</v>
      </c>
      <c r="Z420" s="189">
        <v>0</v>
      </c>
      <c r="AA420" s="188">
        <v>1000000</v>
      </c>
      <c r="AB420" s="188">
        <v>0</v>
      </c>
      <c r="AC420" s="188">
        <v>1000000</v>
      </c>
      <c r="AD420" s="203">
        <v>1000000</v>
      </c>
      <c r="AE420" s="68" t="s">
        <v>102</v>
      </c>
      <c r="AF420" s="68"/>
      <c r="AG420" s="68"/>
      <c r="AH420" s="190"/>
      <c r="AI420" s="191"/>
      <c r="AJ420" s="190"/>
      <c r="AK420" s="192"/>
      <c r="AL420" s="190"/>
      <c r="AM420" s="196" t="s">
        <v>1023</v>
      </c>
    </row>
    <row r="421" spans="1:39" ht="30" hidden="1" customHeight="1" x14ac:dyDescent="0.25">
      <c r="A421" s="135">
        <v>2022</v>
      </c>
      <c r="B421" s="66" t="s">
        <v>63</v>
      </c>
      <c r="C421" s="73" t="s">
        <v>141</v>
      </c>
      <c r="D421" s="144" t="s">
        <v>114</v>
      </c>
      <c r="E421" s="144">
        <v>1</v>
      </c>
      <c r="F421" s="65" t="s">
        <v>1151</v>
      </c>
      <c r="G421" s="144" t="s">
        <v>121</v>
      </c>
      <c r="H421" s="66" t="s">
        <v>126</v>
      </c>
      <c r="I421" s="65" t="s">
        <v>1152</v>
      </c>
      <c r="J421" s="144" t="s">
        <v>132</v>
      </c>
      <c r="K421" s="144" t="s">
        <v>3</v>
      </c>
      <c r="L421" s="66" t="s">
        <v>6</v>
      </c>
      <c r="M421" s="67" t="s">
        <v>947</v>
      </c>
      <c r="N421" s="187"/>
      <c r="O421" s="187"/>
      <c r="P421" s="187"/>
      <c r="Q421" s="144" t="s">
        <v>141</v>
      </c>
      <c r="R421" s="90"/>
      <c r="S421" s="90"/>
      <c r="T421" s="65" t="s">
        <v>1153</v>
      </c>
      <c r="U421" s="144">
        <v>2022</v>
      </c>
      <c r="V421" s="99" t="s">
        <v>354</v>
      </c>
      <c r="W421" s="90"/>
      <c r="X421" s="99" t="s">
        <v>354</v>
      </c>
      <c r="Y421" s="188">
        <v>155000000</v>
      </c>
      <c r="Z421" s="189">
        <v>0</v>
      </c>
      <c r="AA421" s="188">
        <v>155000000</v>
      </c>
      <c r="AB421" s="188">
        <v>0</v>
      </c>
      <c r="AC421" s="188">
        <v>155000000</v>
      </c>
      <c r="AD421" s="203">
        <v>155000000</v>
      </c>
      <c r="AE421" s="68" t="s">
        <v>102</v>
      </c>
      <c r="AF421" s="68"/>
      <c r="AG421" s="68"/>
      <c r="AH421" s="190"/>
      <c r="AI421" s="191"/>
      <c r="AJ421" s="190"/>
      <c r="AK421" s="192"/>
      <c r="AL421" s="190"/>
      <c r="AM421" s="196" t="s">
        <v>1023</v>
      </c>
    </row>
    <row r="422" spans="1:39" ht="30" hidden="1" customHeight="1" x14ac:dyDescent="0.25">
      <c r="A422" s="135">
        <v>2026</v>
      </c>
      <c r="B422" s="66" t="s">
        <v>63</v>
      </c>
      <c r="C422" s="73" t="s">
        <v>140</v>
      </c>
      <c r="D422" s="144" t="s">
        <v>114</v>
      </c>
      <c r="E422" s="144">
        <v>1</v>
      </c>
      <c r="F422" s="65" t="s">
        <v>1154</v>
      </c>
      <c r="G422" s="144" t="s">
        <v>121</v>
      </c>
      <c r="H422" s="66" t="s">
        <v>126</v>
      </c>
      <c r="I422" s="65" t="s">
        <v>1155</v>
      </c>
      <c r="J422" s="144" t="s">
        <v>132</v>
      </c>
      <c r="K422" s="144" t="s">
        <v>3</v>
      </c>
      <c r="L422" s="66" t="s">
        <v>6</v>
      </c>
      <c r="M422" s="67" t="s">
        <v>947</v>
      </c>
      <c r="N422" s="187"/>
      <c r="O422" s="187"/>
      <c r="P422" s="187"/>
      <c r="Q422" s="144" t="s">
        <v>140</v>
      </c>
      <c r="R422" s="90"/>
      <c r="S422" s="90"/>
      <c r="T422" s="65" t="s">
        <v>1156</v>
      </c>
      <c r="U422" s="144">
        <v>2026</v>
      </c>
      <c r="V422" s="99">
        <v>46118</v>
      </c>
      <c r="W422" s="90"/>
      <c r="X422" s="99">
        <v>46119</v>
      </c>
      <c r="Y422" s="188">
        <v>250000</v>
      </c>
      <c r="Z422" s="189">
        <v>0</v>
      </c>
      <c r="AA422" s="188">
        <f>+Y422</f>
        <v>250000</v>
      </c>
      <c r="AB422" s="188">
        <v>0</v>
      </c>
      <c r="AC422" s="188">
        <f>+AA422</f>
        <v>250000</v>
      </c>
      <c r="AD422" s="203">
        <f>+AC422</f>
        <v>250000</v>
      </c>
      <c r="AE422" s="68" t="s">
        <v>102</v>
      </c>
      <c r="AF422" s="68"/>
      <c r="AG422" s="68"/>
      <c r="AH422" s="190"/>
      <c r="AI422" s="191"/>
      <c r="AJ422" s="190"/>
      <c r="AK422" s="192"/>
      <c r="AL422" s="190"/>
      <c r="AM422" s="196" t="s">
        <v>1023</v>
      </c>
    </row>
    <row r="423" spans="1:39" ht="30" hidden="1" customHeight="1" x14ac:dyDescent="0.25">
      <c r="A423" s="135">
        <v>2026</v>
      </c>
      <c r="B423" s="66" t="s">
        <v>77</v>
      </c>
      <c r="C423" s="73" t="s">
        <v>172</v>
      </c>
      <c r="D423" s="144" t="s">
        <v>114</v>
      </c>
      <c r="E423" s="144">
        <v>1</v>
      </c>
      <c r="F423" s="65" t="s">
        <v>1157</v>
      </c>
      <c r="G423" s="144" t="s">
        <v>121</v>
      </c>
      <c r="H423" s="66" t="s">
        <v>126</v>
      </c>
      <c r="I423" s="79" t="s">
        <v>1158</v>
      </c>
      <c r="J423" s="144" t="s">
        <v>132</v>
      </c>
      <c r="K423" s="144" t="s">
        <v>3</v>
      </c>
      <c r="L423" s="66" t="s">
        <v>6</v>
      </c>
      <c r="M423" s="65" t="s">
        <v>1159</v>
      </c>
      <c r="N423" s="187"/>
      <c r="O423" s="187"/>
      <c r="P423" s="187"/>
      <c r="Q423" s="144" t="s">
        <v>138</v>
      </c>
      <c r="R423" s="90"/>
      <c r="S423" s="90"/>
      <c r="T423" s="65" t="s">
        <v>1160</v>
      </c>
      <c r="U423" s="144">
        <v>2026</v>
      </c>
      <c r="V423" s="99">
        <v>46113</v>
      </c>
      <c r="W423" s="90"/>
      <c r="X423" s="99">
        <v>46113</v>
      </c>
      <c r="Y423" s="188">
        <v>200000</v>
      </c>
      <c r="Z423" s="189">
        <v>0</v>
      </c>
      <c r="AA423" s="188">
        <v>200000</v>
      </c>
      <c r="AB423" s="188">
        <v>0</v>
      </c>
      <c r="AC423" s="188">
        <f>Y423</f>
        <v>200000</v>
      </c>
      <c r="AD423" s="188">
        <f>AA423</f>
        <v>200000</v>
      </c>
      <c r="AE423" s="68" t="s">
        <v>102</v>
      </c>
      <c r="AF423" s="68"/>
      <c r="AG423" s="68"/>
      <c r="AH423" s="190"/>
      <c r="AI423" s="191"/>
      <c r="AJ423" s="190"/>
      <c r="AK423" s="192"/>
      <c r="AL423" s="190"/>
      <c r="AM423" s="196" t="s">
        <v>1023</v>
      </c>
    </row>
    <row r="424" spans="1:39" ht="30" hidden="1" customHeight="1" x14ac:dyDescent="0.25">
      <c r="A424" s="135">
        <v>2026</v>
      </c>
      <c r="B424" s="66" t="s">
        <v>66</v>
      </c>
      <c r="C424" s="73" t="s">
        <v>172</v>
      </c>
      <c r="D424" s="144" t="s">
        <v>114</v>
      </c>
      <c r="E424" s="144">
        <v>1</v>
      </c>
      <c r="F424" s="65" t="s">
        <v>1161</v>
      </c>
      <c r="G424" s="144" t="s">
        <v>121</v>
      </c>
      <c r="H424" s="66" t="s">
        <v>126</v>
      </c>
      <c r="I424" s="79" t="s">
        <v>1162</v>
      </c>
      <c r="J424" s="144" t="s">
        <v>132</v>
      </c>
      <c r="K424" s="144" t="s">
        <v>3</v>
      </c>
      <c r="L424" s="66" t="s">
        <v>6</v>
      </c>
      <c r="M424" s="67" t="s">
        <v>27</v>
      </c>
      <c r="N424" s="187"/>
      <c r="O424" s="187"/>
      <c r="P424" s="187"/>
      <c r="Q424" s="144" t="s">
        <v>138</v>
      </c>
      <c r="R424" s="90"/>
      <c r="S424" s="90"/>
      <c r="T424" s="65" t="s">
        <v>1163</v>
      </c>
      <c r="U424" s="144">
        <v>2026</v>
      </c>
      <c r="V424" s="99">
        <v>46114</v>
      </c>
      <c r="W424" s="90"/>
      <c r="X424" s="99">
        <v>46135</v>
      </c>
      <c r="Y424" s="188">
        <v>60000</v>
      </c>
      <c r="Z424" s="189">
        <v>0</v>
      </c>
      <c r="AA424" s="188">
        <v>72000</v>
      </c>
      <c r="AB424" s="188">
        <v>0</v>
      </c>
      <c r="AC424" s="188">
        <f>Y424</f>
        <v>60000</v>
      </c>
      <c r="AD424" s="188">
        <f>AA424</f>
        <v>72000</v>
      </c>
      <c r="AE424" s="68" t="s">
        <v>102</v>
      </c>
      <c r="AF424" s="68"/>
      <c r="AG424" s="68"/>
      <c r="AH424" s="190"/>
      <c r="AI424" s="191"/>
      <c r="AJ424" s="190"/>
      <c r="AK424" s="192"/>
      <c r="AL424" s="190"/>
      <c r="AM424" s="196" t="s">
        <v>1023</v>
      </c>
    </row>
    <row r="425" spans="1:39" ht="30" hidden="1" customHeight="1" x14ac:dyDescent="0.25">
      <c r="A425" s="49">
        <v>2026</v>
      </c>
      <c r="B425" s="66" t="s">
        <v>705</v>
      </c>
      <c r="C425" s="79" t="s">
        <v>1164</v>
      </c>
      <c r="D425" s="144" t="s">
        <v>106</v>
      </c>
      <c r="E425" s="144">
        <v>1</v>
      </c>
      <c r="F425" s="65" t="s">
        <v>1165</v>
      </c>
      <c r="G425" s="144" t="s">
        <v>118</v>
      </c>
      <c r="H425" s="66" t="s">
        <v>118</v>
      </c>
      <c r="I425" s="79"/>
      <c r="J425" s="144" t="s">
        <v>130</v>
      </c>
      <c r="K425" s="144" t="s">
        <v>3</v>
      </c>
      <c r="L425" s="66" t="s">
        <v>7</v>
      </c>
      <c r="M425" s="67" t="s">
        <v>1008</v>
      </c>
      <c r="N425" s="199">
        <f>O425*1.2</f>
        <v>2276035.1999999997</v>
      </c>
      <c r="O425" s="199">
        <v>1896696</v>
      </c>
      <c r="P425" s="199">
        <f>O425/1.2</f>
        <v>1580580</v>
      </c>
      <c r="Q425" s="144" t="s">
        <v>138</v>
      </c>
      <c r="R425" s="90"/>
      <c r="S425" s="90"/>
      <c r="T425" s="73"/>
      <c r="U425" s="44"/>
      <c r="V425" s="99">
        <v>46114</v>
      </c>
      <c r="W425" s="99">
        <v>46118</v>
      </c>
      <c r="X425" s="90"/>
      <c r="Y425" s="187"/>
      <c r="Z425" s="201">
        <v>0</v>
      </c>
      <c r="AA425" s="187"/>
      <c r="AB425" s="187">
        <v>0</v>
      </c>
      <c r="AC425" s="187"/>
      <c r="AD425" s="187"/>
      <c r="AE425" s="68" t="s">
        <v>103</v>
      </c>
      <c r="AF425" s="68"/>
      <c r="AG425" s="68"/>
      <c r="AH425" s="190"/>
      <c r="AI425" s="191"/>
      <c r="AJ425" s="190"/>
      <c r="AK425" s="192"/>
      <c r="AL425" s="190"/>
      <c r="AM425" s="196" t="s">
        <v>1023</v>
      </c>
    </row>
    <row r="426" spans="1:39" ht="30" hidden="1" customHeight="1" x14ac:dyDescent="0.25">
      <c r="A426" s="135">
        <v>2026</v>
      </c>
      <c r="B426" s="66" t="s">
        <v>705</v>
      </c>
      <c r="C426" s="79" t="s">
        <v>1166</v>
      </c>
      <c r="D426" s="144" t="s">
        <v>106</v>
      </c>
      <c r="E426" s="144">
        <v>2</v>
      </c>
      <c r="F426" s="65" t="s">
        <v>1167</v>
      </c>
      <c r="G426" s="144" t="s">
        <v>121</v>
      </c>
      <c r="H426" s="66" t="s">
        <v>127</v>
      </c>
      <c r="I426" s="79"/>
      <c r="J426" s="144" t="s">
        <v>130</v>
      </c>
      <c r="K426" s="144" t="s">
        <v>3</v>
      </c>
      <c r="L426" s="66" t="s">
        <v>6</v>
      </c>
      <c r="M426" s="67" t="s">
        <v>1087</v>
      </c>
      <c r="N426" s="199">
        <f>O426*1.2</f>
        <v>340056</v>
      </c>
      <c r="O426" s="199">
        <v>283380</v>
      </c>
      <c r="P426" s="199">
        <f>O426/1.2</f>
        <v>236150</v>
      </c>
      <c r="Q426" s="144" t="s">
        <v>138</v>
      </c>
      <c r="R426" s="90"/>
      <c r="S426" s="90"/>
      <c r="T426" s="65" t="s">
        <v>1088</v>
      </c>
      <c r="U426" s="144"/>
      <c r="V426" s="99">
        <v>46114</v>
      </c>
      <c r="W426" s="99">
        <v>46118</v>
      </c>
      <c r="X426" s="99">
        <v>46189</v>
      </c>
      <c r="Y426" s="188">
        <f>+AC426</f>
        <v>280925</v>
      </c>
      <c r="Z426" s="189">
        <v>0</v>
      </c>
      <c r="AA426" s="188">
        <f>+AD426</f>
        <v>337110</v>
      </c>
      <c r="AB426" s="188">
        <v>0</v>
      </c>
      <c r="AC426" s="188">
        <f>+AD426/1.2</f>
        <v>280925</v>
      </c>
      <c r="AD426" s="188">
        <v>337110</v>
      </c>
      <c r="AE426" s="68" t="s">
        <v>102</v>
      </c>
      <c r="AF426" s="68"/>
      <c r="AG426" s="68"/>
      <c r="AH426" s="190"/>
      <c r="AI426" s="191"/>
      <c r="AJ426" s="190"/>
      <c r="AK426" s="192"/>
      <c r="AL426" s="190"/>
      <c r="AM426" s="196" t="s">
        <v>1023</v>
      </c>
    </row>
    <row r="427" spans="1:39" ht="30" hidden="1" customHeight="1" x14ac:dyDescent="0.25">
      <c r="A427" s="135">
        <v>2026</v>
      </c>
      <c r="B427" s="66" t="s">
        <v>705</v>
      </c>
      <c r="C427" s="79" t="s">
        <v>1168</v>
      </c>
      <c r="D427" s="144" t="s">
        <v>106</v>
      </c>
      <c r="E427" s="144">
        <v>1</v>
      </c>
      <c r="F427" s="65" t="s">
        <v>1169</v>
      </c>
      <c r="G427" s="144" t="s">
        <v>121</v>
      </c>
      <c r="H427" s="66" t="s">
        <v>126</v>
      </c>
      <c r="I427" s="79"/>
      <c r="J427" s="144" t="s">
        <v>130</v>
      </c>
      <c r="K427" s="144" t="s">
        <v>3</v>
      </c>
      <c r="L427" s="66" t="s">
        <v>6</v>
      </c>
      <c r="M427" s="67" t="s">
        <v>1087</v>
      </c>
      <c r="N427" s="199">
        <f>O427*1.2</f>
        <v>1523332.8</v>
      </c>
      <c r="O427" s="199">
        <v>1269444</v>
      </c>
      <c r="P427" s="199">
        <f>O427/1.2</f>
        <v>1057870</v>
      </c>
      <c r="Q427" s="144" t="s">
        <v>138</v>
      </c>
      <c r="R427" s="90"/>
      <c r="S427" s="90"/>
      <c r="T427" s="65" t="s">
        <v>1170</v>
      </c>
      <c r="U427" s="144"/>
      <c r="V427" s="99">
        <v>46114</v>
      </c>
      <c r="W427" s="99">
        <v>46120</v>
      </c>
      <c r="X427" s="99">
        <v>46197</v>
      </c>
      <c r="Y427" s="188">
        <f>AA427/1.2</f>
        <v>1149330</v>
      </c>
      <c r="Z427" s="189">
        <v>0</v>
      </c>
      <c r="AA427" s="188">
        <v>1379196</v>
      </c>
      <c r="AB427" s="188">
        <v>0</v>
      </c>
      <c r="AC427" s="188">
        <f>Y427</f>
        <v>1149330</v>
      </c>
      <c r="AD427" s="188">
        <f>AA427</f>
        <v>1379196</v>
      </c>
      <c r="AE427" s="68" t="s">
        <v>102</v>
      </c>
      <c r="AF427" s="68"/>
      <c r="AG427" s="68"/>
      <c r="AH427" s="190"/>
      <c r="AI427" s="191"/>
      <c r="AJ427" s="190"/>
      <c r="AK427" s="192"/>
      <c r="AL427" s="190"/>
      <c r="AM427" s="196" t="s">
        <v>1023</v>
      </c>
    </row>
    <row r="428" spans="1:39" ht="30" hidden="1" customHeight="1" x14ac:dyDescent="0.25">
      <c r="A428" s="49">
        <v>2026</v>
      </c>
      <c r="B428" s="66" t="s">
        <v>705</v>
      </c>
      <c r="C428" s="79" t="s">
        <v>1168</v>
      </c>
      <c r="D428" s="144" t="s">
        <v>106</v>
      </c>
      <c r="E428" s="144">
        <v>2</v>
      </c>
      <c r="F428" s="65" t="s">
        <v>1171</v>
      </c>
      <c r="G428" s="144" t="s">
        <v>118</v>
      </c>
      <c r="H428" s="66" t="s">
        <v>118</v>
      </c>
      <c r="I428" s="79"/>
      <c r="J428" s="144" t="s">
        <v>130</v>
      </c>
      <c r="K428" s="144" t="s">
        <v>3</v>
      </c>
      <c r="L428" s="66" t="s">
        <v>6</v>
      </c>
      <c r="M428" s="67" t="s">
        <v>1087</v>
      </c>
      <c r="N428" s="199">
        <f>O428*1.2</f>
        <v>488764.8</v>
      </c>
      <c r="O428" s="199">
        <v>407304</v>
      </c>
      <c r="P428" s="199">
        <f>O428/1.2</f>
        <v>339420</v>
      </c>
      <c r="Q428" s="144" t="s">
        <v>138</v>
      </c>
      <c r="R428" s="90"/>
      <c r="S428" s="90"/>
      <c r="T428" s="73"/>
      <c r="U428" s="44"/>
      <c r="V428" s="99">
        <v>46114</v>
      </c>
      <c r="W428" s="99">
        <v>46120</v>
      </c>
      <c r="X428" s="90">
        <v>0</v>
      </c>
      <c r="Y428" s="187">
        <v>0</v>
      </c>
      <c r="Z428" s="201">
        <v>0</v>
      </c>
      <c r="AA428" s="187">
        <v>0</v>
      </c>
      <c r="AB428" s="187">
        <v>0</v>
      </c>
      <c r="AC428" s="187">
        <v>0</v>
      </c>
      <c r="AD428" s="187">
        <v>0</v>
      </c>
      <c r="AE428" s="68" t="s">
        <v>103</v>
      </c>
      <c r="AF428" s="68"/>
      <c r="AG428" s="68"/>
      <c r="AH428" s="190"/>
      <c r="AI428" s="191"/>
      <c r="AJ428" s="190"/>
      <c r="AK428" s="192"/>
      <c r="AL428" s="190"/>
      <c r="AM428" s="196" t="s">
        <v>1023</v>
      </c>
    </row>
    <row r="429" spans="1:39" ht="30" hidden="1" customHeight="1" x14ac:dyDescent="0.25">
      <c r="A429" s="55">
        <v>2026</v>
      </c>
      <c r="B429" s="66" t="s">
        <v>60</v>
      </c>
      <c r="C429" s="73"/>
      <c r="D429" s="144" t="s">
        <v>109</v>
      </c>
      <c r="E429" s="144">
        <v>1</v>
      </c>
      <c r="F429" s="65" t="s">
        <v>1172</v>
      </c>
      <c r="G429" s="144" t="s">
        <v>119</v>
      </c>
      <c r="H429" s="66" t="s">
        <v>119</v>
      </c>
      <c r="I429" s="79" t="s">
        <v>1173</v>
      </c>
      <c r="J429" s="144" t="s">
        <v>132</v>
      </c>
      <c r="K429" s="144" t="s">
        <v>3</v>
      </c>
      <c r="L429" s="66" t="s">
        <v>7</v>
      </c>
      <c r="M429" s="67" t="s">
        <v>1174</v>
      </c>
      <c r="N429" s="187"/>
      <c r="O429" s="187"/>
      <c r="P429" s="187"/>
      <c r="Q429" s="144" t="s">
        <v>139</v>
      </c>
      <c r="R429" s="90"/>
      <c r="S429" s="90"/>
      <c r="T429" s="65" t="s">
        <v>1175</v>
      </c>
      <c r="U429" s="144"/>
      <c r="V429" s="99">
        <v>46118</v>
      </c>
      <c r="W429" s="90"/>
      <c r="X429" s="99"/>
      <c r="Y429" s="188">
        <v>55000</v>
      </c>
      <c r="Z429" s="189">
        <v>0</v>
      </c>
      <c r="AA429" s="188">
        <v>66000</v>
      </c>
      <c r="AB429" s="188">
        <v>0</v>
      </c>
      <c r="AC429" s="188">
        <v>55000</v>
      </c>
      <c r="AD429" s="188">
        <v>66000</v>
      </c>
      <c r="AE429" s="68" t="s">
        <v>103</v>
      </c>
      <c r="AF429" s="68"/>
      <c r="AG429" s="68"/>
      <c r="AH429" s="190"/>
      <c r="AI429" s="191"/>
      <c r="AJ429" s="190"/>
      <c r="AK429" s="192"/>
      <c r="AL429" s="190"/>
      <c r="AM429" s="196" t="s">
        <v>1176</v>
      </c>
    </row>
    <row r="430" spans="1:39" ht="30" hidden="1" customHeight="1" x14ac:dyDescent="0.25">
      <c r="A430" s="135">
        <v>2026</v>
      </c>
      <c r="B430" s="66" t="s">
        <v>705</v>
      </c>
      <c r="C430" s="79" t="s">
        <v>1177</v>
      </c>
      <c r="D430" s="144" t="s">
        <v>106</v>
      </c>
      <c r="E430" s="144">
        <v>1</v>
      </c>
      <c r="F430" s="65" t="s">
        <v>1178</v>
      </c>
      <c r="G430" s="144" t="s">
        <v>121</v>
      </c>
      <c r="H430" s="66" t="s">
        <v>127</v>
      </c>
      <c r="I430" s="79"/>
      <c r="J430" s="144" t="s">
        <v>131</v>
      </c>
      <c r="K430" s="144" t="s">
        <v>4</v>
      </c>
      <c r="L430" s="66" t="s">
        <v>7</v>
      </c>
      <c r="M430" s="67" t="s">
        <v>965</v>
      </c>
      <c r="N430" s="199">
        <f>O430*1.2</f>
        <v>2139292.7999999998</v>
      </c>
      <c r="O430" s="199">
        <v>1782744</v>
      </c>
      <c r="P430" s="199">
        <f>O430/1.2</f>
        <v>1485620</v>
      </c>
      <c r="Q430" s="144" t="s">
        <v>138</v>
      </c>
      <c r="R430" s="90"/>
      <c r="S430" s="90"/>
      <c r="T430" s="65" t="s">
        <v>966</v>
      </c>
      <c r="U430" s="144"/>
      <c r="V430" s="99">
        <v>46121</v>
      </c>
      <c r="W430" s="99">
        <v>46126</v>
      </c>
      <c r="X430" s="99"/>
      <c r="Y430" s="188">
        <f>AA430/1.2</f>
        <v>1681451</v>
      </c>
      <c r="Z430" s="189">
        <f>AB430/1.2</f>
        <v>165310.15</v>
      </c>
      <c r="AA430" s="188">
        <v>2017741.2</v>
      </c>
      <c r="AB430" s="188">
        <v>198372.18</v>
      </c>
      <c r="AC430" s="188">
        <f>Y430</f>
        <v>1681451</v>
      </c>
      <c r="AD430" s="188">
        <f>AA430</f>
        <v>2017741.2</v>
      </c>
      <c r="AE430" s="68" t="s">
        <v>101</v>
      </c>
      <c r="AF430" s="68"/>
      <c r="AG430" s="68"/>
      <c r="AH430" s="190"/>
      <c r="AI430" s="191"/>
      <c r="AJ430" s="190"/>
      <c r="AK430" s="192"/>
      <c r="AL430" s="190"/>
      <c r="AM430" s="196" t="s">
        <v>1023</v>
      </c>
    </row>
    <row r="431" spans="1:39" ht="30" hidden="1" customHeight="1" x14ac:dyDescent="0.25">
      <c r="A431" s="49">
        <v>2026</v>
      </c>
      <c r="B431" s="66" t="s">
        <v>705</v>
      </c>
      <c r="C431" s="79" t="s">
        <v>1179</v>
      </c>
      <c r="D431" s="144" t="s">
        <v>106</v>
      </c>
      <c r="E431" s="144">
        <v>1</v>
      </c>
      <c r="F431" s="65" t="s">
        <v>1180</v>
      </c>
      <c r="G431" s="144" t="s">
        <v>118</v>
      </c>
      <c r="H431" s="66" t="s">
        <v>118</v>
      </c>
      <c r="I431" s="83"/>
      <c r="J431" s="144" t="s">
        <v>131</v>
      </c>
      <c r="K431" s="144" t="s">
        <v>1</v>
      </c>
      <c r="L431" s="66" t="s">
        <v>7</v>
      </c>
      <c r="M431" s="67" t="s">
        <v>35</v>
      </c>
      <c r="N431" s="199">
        <f>O431*1.2</f>
        <v>349387.2</v>
      </c>
      <c r="O431" s="199">
        <v>291156</v>
      </c>
      <c r="P431" s="199">
        <f>O431/1.2</f>
        <v>242630</v>
      </c>
      <c r="Q431" s="144" t="s">
        <v>138</v>
      </c>
      <c r="R431" s="90"/>
      <c r="S431" s="90"/>
      <c r="T431" s="73"/>
      <c r="U431" s="44"/>
      <c r="V431" s="99">
        <v>46119</v>
      </c>
      <c r="W431" s="99">
        <v>46126</v>
      </c>
      <c r="X431" s="90"/>
      <c r="Y431" s="187">
        <v>0</v>
      </c>
      <c r="Z431" s="201">
        <v>0</v>
      </c>
      <c r="AA431" s="187">
        <v>0</v>
      </c>
      <c r="AB431" s="187">
        <v>0</v>
      </c>
      <c r="AC431" s="187">
        <v>0</v>
      </c>
      <c r="AD431" s="187">
        <v>0</v>
      </c>
      <c r="AE431" s="68" t="s">
        <v>103</v>
      </c>
      <c r="AF431" s="68"/>
      <c r="AG431" s="68"/>
      <c r="AH431" s="190"/>
      <c r="AI431" s="191"/>
      <c r="AJ431" s="190"/>
      <c r="AK431" s="192"/>
      <c r="AL431" s="190"/>
      <c r="AM431" s="196" t="s">
        <v>1023</v>
      </c>
    </row>
    <row r="432" spans="1:39" ht="30" hidden="1" customHeight="1" x14ac:dyDescent="0.25">
      <c r="A432" s="49">
        <v>2026</v>
      </c>
      <c r="B432" s="66" t="s">
        <v>705</v>
      </c>
      <c r="C432" s="79" t="s">
        <v>1181</v>
      </c>
      <c r="D432" s="144" t="s">
        <v>106</v>
      </c>
      <c r="E432" s="144">
        <v>1</v>
      </c>
      <c r="F432" s="65" t="s">
        <v>1182</v>
      </c>
      <c r="G432" s="144" t="s">
        <v>118</v>
      </c>
      <c r="H432" s="66" t="s">
        <v>118</v>
      </c>
      <c r="I432" s="83"/>
      <c r="J432" s="144" t="s">
        <v>130</v>
      </c>
      <c r="K432" s="144" t="s">
        <v>3</v>
      </c>
      <c r="L432" s="66" t="s">
        <v>7</v>
      </c>
      <c r="M432" s="67" t="s">
        <v>1008</v>
      </c>
      <c r="N432" s="199">
        <f>O432*1.2</f>
        <v>345211.2</v>
      </c>
      <c r="O432" s="199">
        <v>287676</v>
      </c>
      <c r="P432" s="199">
        <f>O432/1.2</f>
        <v>239730</v>
      </c>
      <c r="Q432" s="144" t="s">
        <v>138</v>
      </c>
      <c r="R432" s="90"/>
      <c r="S432" s="90"/>
      <c r="T432" s="73"/>
      <c r="U432" s="44"/>
      <c r="V432" s="99">
        <v>46121</v>
      </c>
      <c r="W432" s="99">
        <v>46126</v>
      </c>
      <c r="X432" s="90">
        <v>0</v>
      </c>
      <c r="Y432" s="187">
        <v>0</v>
      </c>
      <c r="Z432" s="201">
        <v>0</v>
      </c>
      <c r="AA432" s="187">
        <v>0</v>
      </c>
      <c r="AB432" s="187">
        <v>0</v>
      </c>
      <c r="AC432" s="187">
        <v>0</v>
      </c>
      <c r="AD432" s="187">
        <v>0</v>
      </c>
      <c r="AE432" s="68" t="s">
        <v>103</v>
      </c>
      <c r="AF432" s="68"/>
      <c r="AG432" s="68"/>
      <c r="AH432" s="190"/>
      <c r="AI432" s="191"/>
      <c r="AJ432" s="190"/>
      <c r="AK432" s="192"/>
      <c r="AL432" s="190"/>
      <c r="AM432" s="196" t="s">
        <v>1023</v>
      </c>
    </row>
    <row r="433" spans="1:39" ht="30" hidden="1" customHeight="1" x14ac:dyDescent="0.25">
      <c r="A433" s="135">
        <v>2026</v>
      </c>
      <c r="B433" s="66" t="s">
        <v>705</v>
      </c>
      <c r="C433" s="79" t="s">
        <v>1183</v>
      </c>
      <c r="D433" s="144" t="s">
        <v>106</v>
      </c>
      <c r="E433" s="144">
        <v>1</v>
      </c>
      <c r="F433" s="65" t="s">
        <v>1184</v>
      </c>
      <c r="G433" s="144" t="s">
        <v>121</v>
      </c>
      <c r="H433" s="66" t="s">
        <v>126</v>
      </c>
      <c r="I433" s="79"/>
      <c r="J433" s="144" t="s">
        <v>131</v>
      </c>
      <c r="K433" s="144" t="s">
        <v>3</v>
      </c>
      <c r="L433" s="66" t="s">
        <v>6</v>
      </c>
      <c r="M433" s="67" t="s">
        <v>1087</v>
      </c>
      <c r="N433" s="199">
        <f>O433*1.2</f>
        <v>311040</v>
      </c>
      <c r="O433" s="199">
        <v>259200</v>
      </c>
      <c r="P433" s="199">
        <f>O433/1.2</f>
        <v>216000</v>
      </c>
      <c r="Q433" s="144" t="s">
        <v>139</v>
      </c>
      <c r="R433" s="90"/>
      <c r="S433" s="90"/>
      <c r="T433" s="65" t="s">
        <v>1185</v>
      </c>
      <c r="U433" s="144"/>
      <c r="V433" s="99">
        <v>46126</v>
      </c>
      <c r="W433" s="99">
        <v>46129</v>
      </c>
      <c r="X433" s="99">
        <v>46206</v>
      </c>
      <c r="Y433" s="188">
        <f>AC433</f>
        <v>256272.00000000003</v>
      </c>
      <c r="Z433" s="189">
        <v>0</v>
      </c>
      <c r="AA433" s="188">
        <f>AD433</f>
        <v>307526.40000000002</v>
      </c>
      <c r="AB433" s="188">
        <v>0</v>
      </c>
      <c r="AC433" s="188">
        <f>AD433/1.2</f>
        <v>256272.00000000003</v>
      </c>
      <c r="AD433" s="188">
        <v>307526.40000000002</v>
      </c>
      <c r="AE433" s="68" t="s">
        <v>102</v>
      </c>
      <c r="AF433" s="68"/>
      <c r="AG433" s="68"/>
      <c r="AH433" s="190"/>
      <c r="AI433" s="191"/>
      <c r="AJ433" s="190"/>
      <c r="AK433" s="192"/>
      <c r="AL433" s="190"/>
      <c r="AM433" s="196" t="s">
        <v>1023</v>
      </c>
    </row>
    <row r="434" spans="1:39" ht="50.25" hidden="1" customHeight="1" x14ac:dyDescent="0.25">
      <c r="A434" s="48">
        <v>2026</v>
      </c>
      <c r="B434" s="66" t="s">
        <v>55</v>
      </c>
      <c r="C434" s="79" t="s">
        <v>1186</v>
      </c>
      <c r="D434" s="144" t="s">
        <v>106</v>
      </c>
      <c r="E434" s="144">
        <v>1</v>
      </c>
      <c r="F434" s="65" t="s">
        <v>1187</v>
      </c>
      <c r="G434" s="144" t="s">
        <v>120</v>
      </c>
      <c r="H434" s="66" t="s">
        <v>120</v>
      </c>
      <c r="I434" s="79"/>
      <c r="J434" s="144" t="s">
        <v>131</v>
      </c>
      <c r="K434" s="144" t="s">
        <v>3</v>
      </c>
      <c r="L434" s="66" t="s">
        <v>7</v>
      </c>
      <c r="M434" s="67" t="s">
        <v>1174</v>
      </c>
      <c r="N434" s="199">
        <f>O434*1.2</f>
        <v>86400</v>
      </c>
      <c r="O434" s="199">
        <v>72000</v>
      </c>
      <c r="P434" s="199">
        <f>O434/1.2</f>
        <v>60000</v>
      </c>
      <c r="Q434" s="144" t="s">
        <v>138</v>
      </c>
      <c r="R434" s="90"/>
      <c r="S434" s="90"/>
      <c r="T434" s="65"/>
      <c r="U434" s="144"/>
      <c r="V434" s="96">
        <v>46198</v>
      </c>
      <c r="W434" s="97"/>
      <c r="X434" s="99"/>
      <c r="Y434" s="188"/>
      <c r="Z434" s="189">
        <v>0</v>
      </c>
      <c r="AA434" s="188"/>
      <c r="AB434" s="188">
        <v>0</v>
      </c>
      <c r="AC434" s="188"/>
      <c r="AD434" s="188"/>
      <c r="AE434" s="68" t="s">
        <v>99</v>
      </c>
      <c r="AF434" s="68"/>
      <c r="AG434" s="68"/>
      <c r="AH434" s="190"/>
      <c r="AI434" s="191"/>
      <c r="AJ434" s="190"/>
      <c r="AK434" s="192"/>
      <c r="AL434" s="190"/>
      <c r="AM434" s="193" t="s">
        <v>1188</v>
      </c>
    </row>
    <row r="435" spans="1:39" ht="30" hidden="1" customHeight="1" x14ac:dyDescent="0.25">
      <c r="A435" s="135">
        <v>2026</v>
      </c>
      <c r="B435" s="66" t="s">
        <v>63</v>
      </c>
      <c r="C435" s="73" t="s">
        <v>140</v>
      </c>
      <c r="D435" s="144" t="s">
        <v>114</v>
      </c>
      <c r="E435" s="144">
        <v>1</v>
      </c>
      <c r="F435" s="65" t="s">
        <v>1189</v>
      </c>
      <c r="G435" s="144" t="s">
        <v>121</v>
      </c>
      <c r="H435" s="66" t="s">
        <v>126</v>
      </c>
      <c r="I435" s="79" t="s">
        <v>1190</v>
      </c>
      <c r="J435" s="144" t="s">
        <v>132</v>
      </c>
      <c r="K435" s="144" t="s">
        <v>3</v>
      </c>
      <c r="L435" s="66" t="s">
        <v>6</v>
      </c>
      <c r="M435" s="67" t="s">
        <v>947</v>
      </c>
      <c r="N435" s="187"/>
      <c r="O435" s="187"/>
      <c r="P435" s="187"/>
      <c r="Q435" s="144" t="s">
        <v>140</v>
      </c>
      <c r="R435" s="90"/>
      <c r="S435" s="90"/>
      <c r="T435" s="65" t="s">
        <v>1191</v>
      </c>
      <c r="U435" s="144">
        <v>2026</v>
      </c>
      <c r="V435" s="99">
        <v>46126</v>
      </c>
      <c r="W435" s="90"/>
      <c r="X435" s="99">
        <v>46127</v>
      </c>
      <c r="Y435" s="188">
        <f>AA435</f>
        <v>848337.5</v>
      </c>
      <c r="Z435" s="189">
        <v>0</v>
      </c>
      <c r="AA435" s="188">
        <f>AC435</f>
        <v>848337.5</v>
      </c>
      <c r="AB435" s="188">
        <v>0</v>
      </c>
      <c r="AC435" s="188">
        <f>AD435</f>
        <v>848337.5</v>
      </c>
      <c r="AD435" s="203">
        <v>848337.5</v>
      </c>
      <c r="AE435" s="68" t="s">
        <v>102</v>
      </c>
      <c r="AF435" s="68"/>
      <c r="AG435" s="68"/>
      <c r="AH435" s="190"/>
      <c r="AI435" s="191"/>
      <c r="AJ435" s="190"/>
      <c r="AK435" s="192"/>
      <c r="AL435" s="190"/>
      <c r="AM435" s="196" t="s">
        <v>1023</v>
      </c>
    </row>
    <row r="436" spans="1:39" ht="30" hidden="1" customHeight="1" x14ac:dyDescent="0.25">
      <c r="A436" s="135">
        <v>2026</v>
      </c>
      <c r="B436" s="66" t="s">
        <v>63</v>
      </c>
      <c r="C436" s="73" t="s">
        <v>172</v>
      </c>
      <c r="D436" s="144" t="s">
        <v>114</v>
      </c>
      <c r="E436" s="144">
        <v>1</v>
      </c>
      <c r="F436" s="65" t="s">
        <v>1192</v>
      </c>
      <c r="G436" s="144" t="s">
        <v>121</v>
      </c>
      <c r="H436" s="66" t="s">
        <v>126</v>
      </c>
      <c r="I436" s="79" t="s">
        <v>1193</v>
      </c>
      <c r="J436" s="144" t="s">
        <v>132</v>
      </c>
      <c r="K436" s="144" t="s">
        <v>3</v>
      </c>
      <c r="L436" s="66" t="s">
        <v>6</v>
      </c>
      <c r="M436" s="67" t="s">
        <v>947</v>
      </c>
      <c r="N436" s="187"/>
      <c r="O436" s="187"/>
      <c r="P436" s="187"/>
      <c r="Q436" s="144" t="s">
        <v>139</v>
      </c>
      <c r="R436" s="90"/>
      <c r="S436" s="90"/>
      <c r="T436" s="65" t="s">
        <v>1194</v>
      </c>
      <c r="U436" s="144">
        <v>2026</v>
      </c>
      <c r="V436" s="99">
        <v>46118</v>
      </c>
      <c r="W436" s="90"/>
      <c r="X436" s="99">
        <v>46119</v>
      </c>
      <c r="Y436" s="188">
        <v>1349674.56</v>
      </c>
      <c r="Z436" s="189">
        <v>124800</v>
      </c>
      <c r="AA436" s="188">
        <f>Y436</f>
        <v>1349674.56</v>
      </c>
      <c r="AB436" s="188">
        <f>Z436</f>
        <v>124800</v>
      </c>
      <c r="AC436" s="188">
        <f>AA436</f>
        <v>1349674.56</v>
      </c>
      <c r="AD436" s="203">
        <f>AA436</f>
        <v>1349674.56</v>
      </c>
      <c r="AE436" s="68" t="s">
        <v>102</v>
      </c>
      <c r="AF436" s="68"/>
      <c r="AG436" s="68"/>
      <c r="AH436" s="190"/>
      <c r="AI436" s="191"/>
      <c r="AJ436" s="190"/>
      <c r="AK436" s="192"/>
      <c r="AL436" s="190"/>
      <c r="AM436" s="196" t="s">
        <v>1023</v>
      </c>
    </row>
    <row r="437" spans="1:39" ht="30" hidden="1" customHeight="1" x14ac:dyDescent="0.25">
      <c r="A437" s="135">
        <v>2026</v>
      </c>
      <c r="B437" s="66" t="s">
        <v>63</v>
      </c>
      <c r="C437" s="73" t="s">
        <v>172</v>
      </c>
      <c r="D437" s="144" t="s">
        <v>114</v>
      </c>
      <c r="E437" s="144">
        <v>1</v>
      </c>
      <c r="F437" s="65" t="s">
        <v>1195</v>
      </c>
      <c r="G437" s="144" t="s">
        <v>121</v>
      </c>
      <c r="H437" s="66" t="s">
        <v>126</v>
      </c>
      <c r="I437" s="79" t="s">
        <v>1196</v>
      </c>
      <c r="J437" s="144" t="s">
        <v>132</v>
      </c>
      <c r="K437" s="144" t="s">
        <v>3</v>
      </c>
      <c r="L437" s="66" t="s">
        <v>6</v>
      </c>
      <c r="M437" s="67" t="s">
        <v>947</v>
      </c>
      <c r="N437" s="187"/>
      <c r="O437" s="187"/>
      <c r="P437" s="187"/>
      <c r="Q437" s="144" t="s">
        <v>139</v>
      </c>
      <c r="R437" s="90"/>
      <c r="S437" s="90"/>
      <c r="T437" s="65" t="s">
        <v>1197</v>
      </c>
      <c r="U437" s="144">
        <v>2026</v>
      </c>
      <c r="V437" s="99">
        <v>46118</v>
      </c>
      <c r="W437" s="90"/>
      <c r="X437" s="99">
        <v>46119</v>
      </c>
      <c r="Y437" s="188">
        <v>2335975.2000000002</v>
      </c>
      <c r="Z437" s="189">
        <v>216000</v>
      </c>
      <c r="AA437" s="188">
        <f>+Y437</f>
        <v>2335975.2000000002</v>
      </c>
      <c r="AB437" s="188">
        <f>+Z437</f>
        <v>216000</v>
      </c>
      <c r="AC437" s="188">
        <f>AA437</f>
        <v>2335975.2000000002</v>
      </c>
      <c r="AD437" s="203">
        <f>AC437</f>
        <v>2335975.2000000002</v>
      </c>
      <c r="AE437" s="68" t="s">
        <v>102</v>
      </c>
      <c r="AF437" s="68"/>
      <c r="AG437" s="68"/>
      <c r="AH437" s="190"/>
      <c r="AI437" s="191"/>
      <c r="AJ437" s="190"/>
      <c r="AK437" s="192"/>
      <c r="AL437" s="190"/>
      <c r="AM437" s="196" t="s">
        <v>1023</v>
      </c>
    </row>
    <row r="438" spans="1:39" ht="30" hidden="1" customHeight="1" x14ac:dyDescent="0.25">
      <c r="A438" s="135">
        <v>2026</v>
      </c>
      <c r="B438" s="66" t="s">
        <v>63</v>
      </c>
      <c r="C438" s="73" t="s">
        <v>172</v>
      </c>
      <c r="D438" s="144" t="s">
        <v>114</v>
      </c>
      <c r="E438" s="144">
        <v>1</v>
      </c>
      <c r="F438" s="65" t="s">
        <v>1198</v>
      </c>
      <c r="G438" s="144" t="s">
        <v>121</v>
      </c>
      <c r="H438" s="66" t="s">
        <v>126</v>
      </c>
      <c r="I438" s="79" t="s">
        <v>1199</v>
      </c>
      <c r="J438" s="144" t="s">
        <v>132</v>
      </c>
      <c r="K438" s="144" t="s">
        <v>3</v>
      </c>
      <c r="L438" s="66" t="s">
        <v>6</v>
      </c>
      <c r="M438" s="67" t="s">
        <v>947</v>
      </c>
      <c r="N438" s="187"/>
      <c r="O438" s="187"/>
      <c r="P438" s="187"/>
      <c r="Q438" s="144" t="s">
        <v>139</v>
      </c>
      <c r="R438" s="90"/>
      <c r="S438" s="90"/>
      <c r="T438" s="65" t="s">
        <v>1200</v>
      </c>
      <c r="U438" s="144">
        <v>2026</v>
      </c>
      <c r="V438" s="99">
        <v>46118</v>
      </c>
      <c r="W438" s="90"/>
      <c r="X438" s="99">
        <v>46119</v>
      </c>
      <c r="Y438" s="188">
        <v>150000</v>
      </c>
      <c r="Z438" s="189">
        <v>0</v>
      </c>
      <c r="AA438" s="188">
        <f>Y438</f>
        <v>150000</v>
      </c>
      <c r="AB438" s="188">
        <v>0</v>
      </c>
      <c r="AC438" s="188">
        <v>125000</v>
      </c>
      <c r="AD438" s="203">
        <f t="shared" ref="AD438:AD445" si="40">AA438</f>
        <v>150000</v>
      </c>
      <c r="AE438" s="68" t="s">
        <v>102</v>
      </c>
      <c r="AF438" s="68"/>
      <c r="AG438" s="68"/>
      <c r="AH438" s="190"/>
      <c r="AI438" s="191"/>
      <c r="AJ438" s="190"/>
      <c r="AK438" s="192"/>
      <c r="AL438" s="190"/>
      <c r="AM438" s="196" t="s">
        <v>1023</v>
      </c>
    </row>
    <row r="439" spans="1:39" ht="30" hidden="1" customHeight="1" x14ac:dyDescent="0.25">
      <c r="A439" s="135">
        <v>2025</v>
      </c>
      <c r="B439" s="66" t="s">
        <v>55</v>
      </c>
      <c r="C439" s="79" t="s">
        <v>1201</v>
      </c>
      <c r="D439" s="144" t="s">
        <v>106</v>
      </c>
      <c r="E439" s="144">
        <v>1</v>
      </c>
      <c r="F439" s="65" t="s">
        <v>1202</v>
      </c>
      <c r="G439" s="144" t="s">
        <v>121</v>
      </c>
      <c r="H439" s="66" t="s">
        <v>126</v>
      </c>
      <c r="I439" s="79" t="s">
        <v>1203</v>
      </c>
      <c r="J439" s="144" t="s">
        <v>131</v>
      </c>
      <c r="K439" s="144" t="s">
        <v>1</v>
      </c>
      <c r="L439" s="66" t="s">
        <v>7</v>
      </c>
      <c r="M439" s="67" t="s">
        <v>955</v>
      </c>
      <c r="N439" s="199">
        <f>O439*1.2</f>
        <v>3067200</v>
      </c>
      <c r="O439" s="199">
        <v>2556000</v>
      </c>
      <c r="P439" s="199">
        <f>O439/1.2</f>
        <v>2130000</v>
      </c>
      <c r="Q439" s="144" t="s">
        <v>138</v>
      </c>
      <c r="R439" s="90"/>
      <c r="S439" s="90"/>
      <c r="T439" s="65" t="s">
        <v>1204</v>
      </c>
      <c r="U439" s="144">
        <v>2026</v>
      </c>
      <c r="V439" s="99">
        <v>46120</v>
      </c>
      <c r="W439" s="90"/>
      <c r="X439" s="99">
        <v>46121</v>
      </c>
      <c r="Y439" s="188">
        <f>AA439/1.2</f>
        <v>1978042.9500000002</v>
      </c>
      <c r="Z439" s="189">
        <f>AB439/1.2</f>
        <v>184500</v>
      </c>
      <c r="AA439" s="188">
        <v>2373651.54</v>
      </c>
      <c r="AB439" s="188">
        <v>221400</v>
      </c>
      <c r="AC439" s="188">
        <f>Y439</f>
        <v>1978042.9500000002</v>
      </c>
      <c r="AD439" s="188">
        <f t="shared" si="40"/>
        <v>2373651.54</v>
      </c>
      <c r="AE439" s="68" t="s">
        <v>102</v>
      </c>
      <c r="AF439" s="68"/>
      <c r="AG439" s="68"/>
      <c r="AH439" s="190"/>
      <c r="AI439" s="191"/>
      <c r="AJ439" s="190"/>
      <c r="AK439" s="192"/>
      <c r="AL439" s="190"/>
      <c r="AM439" s="196" t="s">
        <v>1023</v>
      </c>
    </row>
    <row r="440" spans="1:39" ht="30" hidden="1" customHeight="1" x14ac:dyDescent="0.25">
      <c r="A440" s="135">
        <v>2026</v>
      </c>
      <c r="B440" s="66" t="s">
        <v>55</v>
      </c>
      <c r="C440" s="73" t="s">
        <v>354</v>
      </c>
      <c r="D440" s="144" t="s">
        <v>109</v>
      </c>
      <c r="E440" s="144">
        <v>1</v>
      </c>
      <c r="F440" s="65" t="s">
        <v>1205</v>
      </c>
      <c r="G440" s="144" t="s">
        <v>121</v>
      </c>
      <c r="H440" s="66" t="s">
        <v>126</v>
      </c>
      <c r="I440" s="79" t="s">
        <v>1206</v>
      </c>
      <c r="J440" s="144" t="s">
        <v>132</v>
      </c>
      <c r="K440" s="144" t="s">
        <v>3</v>
      </c>
      <c r="L440" s="66" t="s">
        <v>6</v>
      </c>
      <c r="M440" s="67" t="s">
        <v>23</v>
      </c>
      <c r="N440" s="187"/>
      <c r="O440" s="187"/>
      <c r="P440" s="187"/>
      <c r="Q440" s="144" t="s">
        <v>139</v>
      </c>
      <c r="R440" s="90"/>
      <c r="S440" s="90"/>
      <c r="T440" s="65" t="s">
        <v>1207</v>
      </c>
      <c r="U440" s="144">
        <v>2026</v>
      </c>
      <c r="V440" s="99">
        <v>46106</v>
      </c>
      <c r="W440" s="90"/>
      <c r="X440" s="99">
        <v>46133</v>
      </c>
      <c r="Y440" s="188">
        <v>89166.67</v>
      </c>
      <c r="Z440" s="189">
        <v>0</v>
      </c>
      <c r="AA440" s="188">
        <v>107000</v>
      </c>
      <c r="AB440" s="188">
        <v>0</v>
      </c>
      <c r="AC440" s="188">
        <f>Y440</f>
        <v>89166.67</v>
      </c>
      <c r="AD440" s="188">
        <f t="shared" si="40"/>
        <v>107000</v>
      </c>
      <c r="AE440" s="68" t="s">
        <v>102</v>
      </c>
      <c r="AF440" s="68"/>
      <c r="AG440" s="68"/>
      <c r="AH440" s="190"/>
      <c r="AI440" s="191"/>
      <c r="AJ440" s="190"/>
      <c r="AK440" s="192"/>
      <c r="AL440" s="190"/>
      <c r="AM440" s="196"/>
    </row>
    <row r="441" spans="1:39" ht="30" hidden="1" customHeight="1" x14ac:dyDescent="0.25">
      <c r="A441" s="135">
        <v>2026</v>
      </c>
      <c r="B441" s="66" t="s">
        <v>55</v>
      </c>
      <c r="C441" s="73" t="s">
        <v>354</v>
      </c>
      <c r="D441" s="144" t="s">
        <v>109</v>
      </c>
      <c r="E441" s="144">
        <v>1</v>
      </c>
      <c r="F441" s="65" t="s">
        <v>1208</v>
      </c>
      <c r="G441" s="144" t="s">
        <v>121</v>
      </c>
      <c r="H441" s="66" t="s">
        <v>126</v>
      </c>
      <c r="I441" s="79" t="s">
        <v>1209</v>
      </c>
      <c r="J441" s="144" t="s">
        <v>132</v>
      </c>
      <c r="K441" s="144" t="s">
        <v>3</v>
      </c>
      <c r="L441" s="66" t="s">
        <v>6</v>
      </c>
      <c r="M441" s="67" t="s">
        <v>23</v>
      </c>
      <c r="N441" s="187"/>
      <c r="O441" s="187"/>
      <c r="P441" s="187"/>
      <c r="Q441" s="144" t="s">
        <v>139</v>
      </c>
      <c r="R441" s="90"/>
      <c r="S441" s="90"/>
      <c r="T441" s="65" t="s">
        <v>1210</v>
      </c>
      <c r="U441" s="144">
        <v>2026</v>
      </c>
      <c r="V441" s="99">
        <v>46106</v>
      </c>
      <c r="W441" s="90"/>
      <c r="X441" s="99">
        <v>46133</v>
      </c>
      <c r="Y441" s="188">
        <v>31500</v>
      </c>
      <c r="Z441" s="189">
        <v>0</v>
      </c>
      <c r="AA441" s="188">
        <v>37800</v>
      </c>
      <c r="AB441" s="188">
        <v>0</v>
      </c>
      <c r="AC441" s="188">
        <f>Y441</f>
        <v>31500</v>
      </c>
      <c r="AD441" s="188">
        <f t="shared" si="40"/>
        <v>37800</v>
      </c>
      <c r="AE441" s="68" t="s">
        <v>102</v>
      </c>
      <c r="AF441" s="68"/>
      <c r="AG441" s="68"/>
      <c r="AH441" s="190"/>
      <c r="AI441" s="191"/>
      <c r="AJ441" s="190"/>
      <c r="AK441" s="192"/>
      <c r="AL441" s="190"/>
      <c r="AM441" s="196"/>
    </row>
    <row r="442" spans="1:39" ht="30" hidden="1" customHeight="1" x14ac:dyDescent="0.25">
      <c r="A442" s="135">
        <v>2026</v>
      </c>
      <c r="B442" s="66" t="s">
        <v>68</v>
      </c>
      <c r="C442" s="79" t="s">
        <v>1211</v>
      </c>
      <c r="D442" s="144" t="s">
        <v>114</v>
      </c>
      <c r="E442" s="144">
        <v>1</v>
      </c>
      <c r="F442" s="65" t="s">
        <v>1212</v>
      </c>
      <c r="G442" s="144" t="s">
        <v>121</v>
      </c>
      <c r="H442" s="66" t="s">
        <v>126</v>
      </c>
      <c r="I442" s="79"/>
      <c r="J442" s="144" t="s">
        <v>132</v>
      </c>
      <c r="K442" s="144" t="s">
        <v>3</v>
      </c>
      <c r="L442" s="66" t="s">
        <v>6</v>
      </c>
      <c r="M442" s="65" t="s">
        <v>368</v>
      </c>
      <c r="N442" s="187"/>
      <c r="O442" s="187"/>
      <c r="P442" s="187"/>
      <c r="Q442" s="144" t="s">
        <v>138</v>
      </c>
      <c r="R442" s="90"/>
      <c r="S442" s="90"/>
      <c r="T442" s="65" t="s">
        <v>1213</v>
      </c>
      <c r="U442" s="144"/>
      <c r="V442" s="99">
        <v>46082</v>
      </c>
      <c r="W442" s="90"/>
      <c r="X442" s="99">
        <v>46083</v>
      </c>
      <c r="Y442" s="188">
        <v>130000</v>
      </c>
      <c r="Z442" s="189">
        <v>0</v>
      </c>
      <c r="AA442" s="188">
        <f>Y442</f>
        <v>130000</v>
      </c>
      <c r="AB442" s="188">
        <v>0</v>
      </c>
      <c r="AC442" s="188">
        <f>AA442</f>
        <v>130000</v>
      </c>
      <c r="AD442" s="188">
        <f t="shared" si="40"/>
        <v>130000</v>
      </c>
      <c r="AE442" s="68" t="s">
        <v>102</v>
      </c>
      <c r="AF442" s="68"/>
      <c r="AG442" s="68"/>
      <c r="AH442" s="190"/>
      <c r="AI442" s="191"/>
      <c r="AJ442" s="190"/>
      <c r="AK442" s="192"/>
      <c r="AL442" s="190"/>
      <c r="AM442" s="196" t="s">
        <v>1023</v>
      </c>
    </row>
    <row r="443" spans="1:39" ht="30" hidden="1" customHeight="1" x14ac:dyDescent="0.25">
      <c r="A443" s="135">
        <v>2026</v>
      </c>
      <c r="B443" s="66" t="s">
        <v>68</v>
      </c>
      <c r="C443" s="79" t="s">
        <v>1211</v>
      </c>
      <c r="D443" s="144" t="s">
        <v>114</v>
      </c>
      <c r="E443" s="144">
        <v>1</v>
      </c>
      <c r="F443" s="65" t="s">
        <v>1214</v>
      </c>
      <c r="G443" s="144" t="s">
        <v>121</v>
      </c>
      <c r="H443" s="66" t="s">
        <v>126</v>
      </c>
      <c r="I443" s="79"/>
      <c r="J443" s="144" t="s">
        <v>132</v>
      </c>
      <c r="K443" s="144" t="s">
        <v>3</v>
      </c>
      <c r="L443" s="66" t="s">
        <v>6</v>
      </c>
      <c r="M443" s="65" t="s">
        <v>368</v>
      </c>
      <c r="N443" s="187"/>
      <c r="O443" s="187"/>
      <c r="P443" s="187"/>
      <c r="Q443" s="144" t="s">
        <v>138</v>
      </c>
      <c r="R443" s="90"/>
      <c r="S443" s="90"/>
      <c r="T443" s="65" t="s">
        <v>1215</v>
      </c>
      <c r="U443" s="144"/>
      <c r="V443" s="99">
        <v>46082</v>
      </c>
      <c r="W443" s="90"/>
      <c r="X443" s="99">
        <v>46083</v>
      </c>
      <c r="Y443" s="188">
        <v>130000</v>
      </c>
      <c r="Z443" s="189">
        <v>0</v>
      </c>
      <c r="AA443" s="188">
        <f>Y443</f>
        <v>130000</v>
      </c>
      <c r="AB443" s="188">
        <v>0</v>
      </c>
      <c r="AC443" s="188">
        <f>AA443</f>
        <v>130000</v>
      </c>
      <c r="AD443" s="188">
        <f t="shared" si="40"/>
        <v>130000</v>
      </c>
      <c r="AE443" s="68" t="s">
        <v>102</v>
      </c>
      <c r="AF443" s="68"/>
      <c r="AG443" s="68"/>
      <c r="AH443" s="190"/>
      <c r="AI443" s="191"/>
      <c r="AJ443" s="190"/>
      <c r="AK443" s="192"/>
      <c r="AL443" s="190"/>
      <c r="AM443" s="196" t="s">
        <v>1023</v>
      </c>
    </row>
    <row r="444" spans="1:39" ht="30" hidden="1" customHeight="1" x14ac:dyDescent="0.25">
      <c r="A444" s="135">
        <v>2026</v>
      </c>
      <c r="B444" s="66" t="s">
        <v>68</v>
      </c>
      <c r="C444" s="79" t="s">
        <v>1211</v>
      </c>
      <c r="D444" s="144" t="s">
        <v>114</v>
      </c>
      <c r="E444" s="144">
        <v>1</v>
      </c>
      <c r="F444" s="65" t="s">
        <v>1216</v>
      </c>
      <c r="G444" s="144" t="s">
        <v>121</v>
      </c>
      <c r="H444" s="66" t="s">
        <v>126</v>
      </c>
      <c r="I444" s="79"/>
      <c r="J444" s="144" t="s">
        <v>132</v>
      </c>
      <c r="K444" s="144" t="s">
        <v>3</v>
      </c>
      <c r="L444" s="66" t="s">
        <v>6</v>
      </c>
      <c r="M444" s="65" t="s">
        <v>368</v>
      </c>
      <c r="N444" s="187"/>
      <c r="O444" s="187"/>
      <c r="P444" s="187"/>
      <c r="Q444" s="144" t="s">
        <v>138</v>
      </c>
      <c r="R444" s="90"/>
      <c r="S444" s="90"/>
      <c r="T444" s="65" t="s">
        <v>1217</v>
      </c>
      <c r="U444" s="144"/>
      <c r="V444" s="99">
        <v>46082</v>
      </c>
      <c r="W444" s="90"/>
      <c r="X444" s="99">
        <v>46083</v>
      </c>
      <c r="Y444" s="188">
        <v>130000</v>
      </c>
      <c r="Z444" s="189">
        <v>0</v>
      </c>
      <c r="AA444" s="188">
        <f>Y444</f>
        <v>130000</v>
      </c>
      <c r="AB444" s="188">
        <v>0</v>
      </c>
      <c r="AC444" s="188">
        <f>AA444</f>
        <v>130000</v>
      </c>
      <c r="AD444" s="188">
        <f t="shared" si="40"/>
        <v>130000</v>
      </c>
      <c r="AE444" s="68" t="s">
        <v>102</v>
      </c>
      <c r="AF444" s="68"/>
      <c r="AG444" s="68"/>
      <c r="AH444" s="190"/>
      <c r="AI444" s="191"/>
      <c r="AJ444" s="190"/>
      <c r="AK444" s="192"/>
      <c r="AL444" s="190"/>
      <c r="AM444" s="196" t="s">
        <v>1023</v>
      </c>
    </row>
    <row r="445" spans="1:39" ht="30" hidden="1" customHeight="1" x14ac:dyDescent="0.25">
      <c r="A445" s="135">
        <v>2026</v>
      </c>
      <c r="B445" s="66" t="s">
        <v>705</v>
      </c>
      <c r="C445" s="79" t="s">
        <v>1218</v>
      </c>
      <c r="D445" s="144" t="s">
        <v>106</v>
      </c>
      <c r="E445" s="144">
        <v>1</v>
      </c>
      <c r="F445" s="65" t="s">
        <v>1009</v>
      </c>
      <c r="G445" s="144" t="s">
        <v>121</v>
      </c>
      <c r="H445" s="66" t="s">
        <v>126</v>
      </c>
      <c r="I445" s="79"/>
      <c r="J445" s="144" t="s">
        <v>131</v>
      </c>
      <c r="K445" s="144" t="s">
        <v>3</v>
      </c>
      <c r="L445" s="66" t="s">
        <v>7</v>
      </c>
      <c r="M445" s="67" t="s">
        <v>1008</v>
      </c>
      <c r="N445" s="199">
        <f>O445*1.2</f>
        <v>895579.2</v>
      </c>
      <c r="O445" s="199">
        <v>746316</v>
      </c>
      <c r="P445" s="199">
        <f>O445/1.2</f>
        <v>621930</v>
      </c>
      <c r="Q445" s="144" t="s">
        <v>139</v>
      </c>
      <c r="R445" s="90"/>
      <c r="S445" s="90"/>
      <c r="T445" s="65"/>
      <c r="U445" s="144"/>
      <c r="V445" s="99">
        <v>46128</v>
      </c>
      <c r="W445" s="99">
        <v>46126</v>
      </c>
      <c r="X445" s="99">
        <v>46212</v>
      </c>
      <c r="Y445" s="188"/>
      <c r="Z445" s="189"/>
      <c r="AA445" s="188">
        <v>641388</v>
      </c>
      <c r="AB445" s="188">
        <v>0</v>
      </c>
      <c r="AC445" s="188">
        <v>534490</v>
      </c>
      <c r="AD445" s="188">
        <f t="shared" si="40"/>
        <v>641388</v>
      </c>
      <c r="AE445" s="68" t="s">
        <v>102</v>
      </c>
      <c r="AF445" s="68"/>
      <c r="AG445" s="68"/>
      <c r="AH445" s="190"/>
      <c r="AI445" s="191"/>
      <c r="AJ445" s="190"/>
      <c r="AK445" s="192"/>
      <c r="AL445" s="190"/>
      <c r="AM445" s="196" t="s">
        <v>1219</v>
      </c>
    </row>
    <row r="446" spans="1:39" ht="30" hidden="1" customHeight="1" x14ac:dyDescent="0.25">
      <c r="A446" s="135">
        <v>2026</v>
      </c>
      <c r="B446" s="66" t="s">
        <v>60</v>
      </c>
      <c r="C446" s="73" t="s">
        <v>141</v>
      </c>
      <c r="D446" s="144" t="s">
        <v>114</v>
      </c>
      <c r="E446" s="144">
        <v>1</v>
      </c>
      <c r="F446" s="65" t="s">
        <v>1220</v>
      </c>
      <c r="G446" s="144" t="s">
        <v>121</v>
      </c>
      <c r="H446" s="66" t="s">
        <v>126</v>
      </c>
      <c r="I446" s="65">
        <v>20000459</v>
      </c>
      <c r="J446" s="144" t="s">
        <v>132</v>
      </c>
      <c r="K446" s="144" t="s">
        <v>3</v>
      </c>
      <c r="L446" s="66" t="s">
        <v>6</v>
      </c>
      <c r="M446" s="67" t="s">
        <v>22</v>
      </c>
      <c r="N446" s="187"/>
      <c r="O446" s="187"/>
      <c r="P446" s="187"/>
      <c r="Q446" s="144" t="s">
        <v>141</v>
      </c>
      <c r="R446" s="90"/>
      <c r="S446" s="90"/>
      <c r="T446" s="65" t="s">
        <v>1221</v>
      </c>
      <c r="U446" s="44"/>
      <c r="V446" s="90"/>
      <c r="W446" s="90"/>
      <c r="X446" s="90"/>
      <c r="Y446" s="188">
        <f t="shared" ref="Y446:Y476" si="41">AC446</f>
        <v>622864.76</v>
      </c>
      <c r="Z446" s="189">
        <v>0</v>
      </c>
      <c r="AA446" s="188">
        <f t="shared" ref="AA446:AA476" si="42">AC446</f>
        <v>622864.76</v>
      </c>
      <c r="AB446" s="188">
        <v>0</v>
      </c>
      <c r="AC446" s="188">
        <f t="shared" ref="AC446:AC476" si="43">AD446</f>
        <v>622864.76</v>
      </c>
      <c r="AD446" s="188">
        <v>622864.76</v>
      </c>
      <c r="AE446" s="68" t="s">
        <v>102</v>
      </c>
      <c r="AF446" s="68"/>
      <c r="AG446" s="68"/>
      <c r="AH446" s="190"/>
      <c r="AI446" s="191"/>
      <c r="AJ446" s="190"/>
      <c r="AK446" s="192"/>
      <c r="AL446" s="190"/>
      <c r="AM446" s="196" t="s">
        <v>1023</v>
      </c>
    </row>
    <row r="447" spans="1:39" ht="30" hidden="1" customHeight="1" x14ac:dyDescent="0.25">
      <c r="A447" s="135">
        <v>2026</v>
      </c>
      <c r="B447" s="66" t="s">
        <v>60</v>
      </c>
      <c r="C447" s="73" t="s">
        <v>141</v>
      </c>
      <c r="D447" s="144" t="s">
        <v>114</v>
      </c>
      <c r="E447" s="144">
        <v>1</v>
      </c>
      <c r="F447" s="65" t="s">
        <v>1220</v>
      </c>
      <c r="G447" s="144" t="s">
        <v>121</v>
      </c>
      <c r="H447" s="66" t="s">
        <v>126</v>
      </c>
      <c r="I447" s="65">
        <v>20000470</v>
      </c>
      <c r="J447" s="144" t="s">
        <v>132</v>
      </c>
      <c r="K447" s="144" t="s">
        <v>3</v>
      </c>
      <c r="L447" s="66" t="s">
        <v>6</v>
      </c>
      <c r="M447" s="67" t="s">
        <v>22</v>
      </c>
      <c r="N447" s="187"/>
      <c r="O447" s="187"/>
      <c r="P447" s="187"/>
      <c r="Q447" s="144" t="s">
        <v>141</v>
      </c>
      <c r="R447" s="90"/>
      <c r="S447" s="90"/>
      <c r="T447" s="65" t="s">
        <v>1222</v>
      </c>
      <c r="U447" s="44"/>
      <c r="V447" s="90"/>
      <c r="W447" s="90"/>
      <c r="X447" s="90"/>
      <c r="Y447" s="188">
        <f t="shared" si="41"/>
        <v>9116.24</v>
      </c>
      <c r="Z447" s="189">
        <v>0</v>
      </c>
      <c r="AA447" s="188">
        <f t="shared" si="42"/>
        <v>9116.24</v>
      </c>
      <c r="AB447" s="188">
        <v>0</v>
      </c>
      <c r="AC447" s="188">
        <f t="shared" si="43"/>
        <v>9116.24</v>
      </c>
      <c r="AD447" s="188">
        <v>9116.24</v>
      </c>
      <c r="AE447" s="68" t="s">
        <v>102</v>
      </c>
      <c r="AF447" s="68"/>
      <c r="AG447" s="68"/>
      <c r="AH447" s="190"/>
      <c r="AI447" s="191"/>
      <c r="AJ447" s="190"/>
      <c r="AK447" s="192"/>
      <c r="AL447" s="190"/>
      <c r="AM447" s="196" t="s">
        <v>1023</v>
      </c>
    </row>
    <row r="448" spans="1:39" ht="30" hidden="1" customHeight="1" x14ac:dyDescent="0.25">
      <c r="A448" s="135">
        <v>2026</v>
      </c>
      <c r="B448" s="66" t="s">
        <v>60</v>
      </c>
      <c r="C448" s="73" t="s">
        <v>141</v>
      </c>
      <c r="D448" s="144" t="s">
        <v>114</v>
      </c>
      <c r="E448" s="144">
        <v>1</v>
      </c>
      <c r="F448" s="65" t="s">
        <v>1220</v>
      </c>
      <c r="G448" s="144" t="s">
        <v>121</v>
      </c>
      <c r="H448" s="66" t="s">
        <v>126</v>
      </c>
      <c r="I448" s="65">
        <v>20000471</v>
      </c>
      <c r="J448" s="144" t="s">
        <v>132</v>
      </c>
      <c r="K448" s="144" t="s">
        <v>3</v>
      </c>
      <c r="L448" s="66" t="s">
        <v>6</v>
      </c>
      <c r="M448" s="67" t="s">
        <v>22</v>
      </c>
      <c r="N448" s="187"/>
      <c r="O448" s="187"/>
      <c r="P448" s="187"/>
      <c r="Q448" s="144" t="s">
        <v>141</v>
      </c>
      <c r="R448" s="90"/>
      <c r="S448" s="90"/>
      <c r="T448" s="65" t="s">
        <v>1223</v>
      </c>
      <c r="U448" s="44"/>
      <c r="V448" s="90"/>
      <c r="W448" s="90"/>
      <c r="X448" s="90"/>
      <c r="Y448" s="188">
        <f t="shared" si="41"/>
        <v>12762.72</v>
      </c>
      <c r="Z448" s="189">
        <v>0</v>
      </c>
      <c r="AA448" s="188">
        <f t="shared" si="42"/>
        <v>12762.72</v>
      </c>
      <c r="AB448" s="188">
        <v>0</v>
      </c>
      <c r="AC448" s="188">
        <f t="shared" si="43"/>
        <v>12762.72</v>
      </c>
      <c r="AD448" s="188">
        <v>12762.72</v>
      </c>
      <c r="AE448" s="68" t="s">
        <v>102</v>
      </c>
      <c r="AF448" s="68"/>
      <c r="AG448" s="68"/>
      <c r="AH448" s="190"/>
      <c r="AI448" s="191"/>
      <c r="AJ448" s="190"/>
      <c r="AK448" s="192"/>
      <c r="AL448" s="190"/>
      <c r="AM448" s="196" t="s">
        <v>1023</v>
      </c>
    </row>
    <row r="449" spans="1:39" ht="30" hidden="1" customHeight="1" x14ac:dyDescent="0.25">
      <c r="A449" s="135">
        <v>2026</v>
      </c>
      <c r="B449" s="66" t="s">
        <v>60</v>
      </c>
      <c r="C449" s="73" t="s">
        <v>141</v>
      </c>
      <c r="D449" s="144" t="s">
        <v>114</v>
      </c>
      <c r="E449" s="144">
        <v>1</v>
      </c>
      <c r="F449" s="65" t="s">
        <v>1220</v>
      </c>
      <c r="G449" s="144" t="s">
        <v>121</v>
      </c>
      <c r="H449" s="66" t="s">
        <v>126</v>
      </c>
      <c r="I449" s="65">
        <v>20000454</v>
      </c>
      <c r="J449" s="144" t="s">
        <v>132</v>
      </c>
      <c r="K449" s="144" t="s">
        <v>3</v>
      </c>
      <c r="L449" s="66" t="s">
        <v>6</v>
      </c>
      <c r="M449" s="67" t="s">
        <v>22</v>
      </c>
      <c r="N449" s="187"/>
      <c r="O449" s="187"/>
      <c r="P449" s="187"/>
      <c r="Q449" s="144" t="s">
        <v>141</v>
      </c>
      <c r="R449" s="90"/>
      <c r="S449" s="90"/>
      <c r="T449" s="65" t="s">
        <v>1224</v>
      </c>
      <c r="U449" s="44"/>
      <c r="V449" s="90"/>
      <c r="W449" s="90"/>
      <c r="X449" s="90"/>
      <c r="Y449" s="188">
        <f t="shared" si="41"/>
        <v>1896356.04</v>
      </c>
      <c r="Z449" s="189">
        <v>0</v>
      </c>
      <c r="AA449" s="188">
        <f t="shared" si="42"/>
        <v>1896356.04</v>
      </c>
      <c r="AB449" s="188">
        <v>0</v>
      </c>
      <c r="AC449" s="188">
        <f t="shared" si="43"/>
        <v>1896356.04</v>
      </c>
      <c r="AD449" s="188">
        <v>1896356.04</v>
      </c>
      <c r="AE449" s="68" t="s">
        <v>102</v>
      </c>
      <c r="AF449" s="68"/>
      <c r="AG449" s="68"/>
      <c r="AH449" s="190"/>
      <c r="AI449" s="191"/>
      <c r="AJ449" s="190"/>
      <c r="AK449" s="192"/>
      <c r="AL449" s="190"/>
      <c r="AM449" s="196" t="s">
        <v>1023</v>
      </c>
    </row>
    <row r="450" spans="1:39" ht="30" hidden="1" customHeight="1" x14ac:dyDescent="0.25">
      <c r="A450" s="135">
        <v>2026</v>
      </c>
      <c r="B450" s="66" t="s">
        <v>60</v>
      </c>
      <c r="C450" s="73" t="s">
        <v>141</v>
      </c>
      <c r="D450" s="144" t="s">
        <v>114</v>
      </c>
      <c r="E450" s="144">
        <v>1</v>
      </c>
      <c r="F450" s="65" t="s">
        <v>1220</v>
      </c>
      <c r="G450" s="144" t="s">
        <v>121</v>
      </c>
      <c r="H450" s="66" t="s">
        <v>126</v>
      </c>
      <c r="I450" s="65">
        <v>20000481</v>
      </c>
      <c r="J450" s="144" t="s">
        <v>132</v>
      </c>
      <c r="K450" s="144" t="s">
        <v>3</v>
      </c>
      <c r="L450" s="66" t="s">
        <v>6</v>
      </c>
      <c r="M450" s="67" t="s">
        <v>22</v>
      </c>
      <c r="N450" s="187"/>
      <c r="O450" s="187"/>
      <c r="P450" s="187"/>
      <c r="Q450" s="144" t="s">
        <v>141</v>
      </c>
      <c r="R450" s="90"/>
      <c r="S450" s="90"/>
      <c r="T450" s="65" t="s">
        <v>1225</v>
      </c>
      <c r="U450" s="44"/>
      <c r="V450" s="90"/>
      <c r="W450" s="90"/>
      <c r="X450" s="90"/>
      <c r="Y450" s="188">
        <f t="shared" si="41"/>
        <v>190540.92</v>
      </c>
      <c r="Z450" s="189">
        <v>0</v>
      </c>
      <c r="AA450" s="188">
        <f t="shared" si="42"/>
        <v>190540.92</v>
      </c>
      <c r="AB450" s="188">
        <v>0</v>
      </c>
      <c r="AC450" s="188">
        <f t="shared" si="43"/>
        <v>190540.92</v>
      </c>
      <c r="AD450" s="188">
        <v>190540.92</v>
      </c>
      <c r="AE450" s="68" t="s">
        <v>102</v>
      </c>
      <c r="AF450" s="68"/>
      <c r="AG450" s="68"/>
      <c r="AH450" s="190"/>
      <c r="AI450" s="191"/>
      <c r="AJ450" s="190"/>
      <c r="AK450" s="192"/>
      <c r="AL450" s="190"/>
      <c r="AM450" s="196" t="s">
        <v>1023</v>
      </c>
    </row>
    <row r="451" spans="1:39" ht="30" hidden="1" customHeight="1" x14ac:dyDescent="0.25">
      <c r="A451" s="135">
        <v>2026</v>
      </c>
      <c r="B451" s="66" t="s">
        <v>60</v>
      </c>
      <c r="C451" s="73" t="s">
        <v>141</v>
      </c>
      <c r="D451" s="144" t="s">
        <v>114</v>
      </c>
      <c r="E451" s="144">
        <v>1</v>
      </c>
      <c r="F451" s="65" t="s">
        <v>1220</v>
      </c>
      <c r="G451" s="144" t="s">
        <v>121</v>
      </c>
      <c r="H451" s="66" t="s">
        <v>126</v>
      </c>
      <c r="I451" s="65">
        <v>20000669</v>
      </c>
      <c r="J451" s="144" t="s">
        <v>132</v>
      </c>
      <c r="K451" s="144" t="s">
        <v>3</v>
      </c>
      <c r="L451" s="66" t="s">
        <v>6</v>
      </c>
      <c r="M451" s="67" t="s">
        <v>22</v>
      </c>
      <c r="N451" s="187"/>
      <c r="O451" s="187"/>
      <c r="P451" s="187"/>
      <c r="Q451" s="144" t="s">
        <v>141</v>
      </c>
      <c r="R451" s="90"/>
      <c r="S451" s="90"/>
      <c r="T451" s="65" t="s">
        <v>1226</v>
      </c>
      <c r="U451" s="44"/>
      <c r="V451" s="90"/>
      <c r="W451" s="90"/>
      <c r="X451" s="90"/>
      <c r="Y451" s="188">
        <f t="shared" si="41"/>
        <v>144079.24</v>
      </c>
      <c r="Z451" s="189">
        <v>0</v>
      </c>
      <c r="AA451" s="188">
        <f t="shared" si="42"/>
        <v>144079.24</v>
      </c>
      <c r="AB451" s="188">
        <v>0</v>
      </c>
      <c r="AC451" s="188">
        <f t="shared" si="43"/>
        <v>144079.24</v>
      </c>
      <c r="AD451" s="188">
        <v>144079.24</v>
      </c>
      <c r="AE451" s="68" t="s">
        <v>102</v>
      </c>
      <c r="AF451" s="68"/>
      <c r="AG451" s="68"/>
      <c r="AH451" s="190"/>
      <c r="AI451" s="191"/>
      <c r="AJ451" s="190"/>
      <c r="AK451" s="192"/>
      <c r="AL451" s="190"/>
      <c r="AM451" s="196" t="s">
        <v>1023</v>
      </c>
    </row>
    <row r="452" spans="1:39" ht="30" hidden="1" customHeight="1" x14ac:dyDescent="0.25">
      <c r="A452" s="135">
        <v>2026</v>
      </c>
      <c r="B452" s="66" t="s">
        <v>60</v>
      </c>
      <c r="C452" s="73" t="s">
        <v>141</v>
      </c>
      <c r="D452" s="144" t="s">
        <v>114</v>
      </c>
      <c r="E452" s="144">
        <v>1</v>
      </c>
      <c r="F452" s="65" t="s">
        <v>1220</v>
      </c>
      <c r="G452" s="144" t="s">
        <v>121</v>
      </c>
      <c r="H452" s="66" t="s">
        <v>126</v>
      </c>
      <c r="I452" s="65">
        <v>20000468</v>
      </c>
      <c r="J452" s="144" t="s">
        <v>132</v>
      </c>
      <c r="K452" s="144" t="s">
        <v>3</v>
      </c>
      <c r="L452" s="66" t="s">
        <v>6</v>
      </c>
      <c r="M452" s="67" t="s">
        <v>22</v>
      </c>
      <c r="N452" s="187"/>
      <c r="O452" s="187"/>
      <c r="P452" s="187"/>
      <c r="Q452" s="144" t="s">
        <v>141</v>
      </c>
      <c r="R452" s="90"/>
      <c r="S452" s="90"/>
      <c r="T452" s="65" t="s">
        <v>1227</v>
      </c>
      <c r="U452" s="44"/>
      <c r="V452" s="90"/>
      <c r="W452" s="90"/>
      <c r="X452" s="90"/>
      <c r="Y452" s="188">
        <f t="shared" si="41"/>
        <v>25525.52</v>
      </c>
      <c r="Z452" s="189">
        <v>0</v>
      </c>
      <c r="AA452" s="188">
        <f t="shared" si="42"/>
        <v>25525.52</v>
      </c>
      <c r="AB452" s="188">
        <v>0</v>
      </c>
      <c r="AC452" s="188">
        <f t="shared" si="43"/>
        <v>25525.52</v>
      </c>
      <c r="AD452" s="188">
        <v>25525.52</v>
      </c>
      <c r="AE452" s="68" t="s">
        <v>102</v>
      </c>
      <c r="AF452" s="68"/>
      <c r="AG452" s="68"/>
      <c r="AH452" s="190"/>
      <c r="AI452" s="191"/>
      <c r="AJ452" s="190"/>
      <c r="AK452" s="192"/>
      <c r="AL452" s="190"/>
      <c r="AM452" s="196" t="s">
        <v>1023</v>
      </c>
    </row>
    <row r="453" spans="1:39" ht="30" hidden="1" customHeight="1" x14ac:dyDescent="0.25">
      <c r="A453" s="135">
        <v>2026</v>
      </c>
      <c r="B453" s="66" t="s">
        <v>60</v>
      </c>
      <c r="C453" s="73" t="s">
        <v>141</v>
      </c>
      <c r="D453" s="144" t="s">
        <v>114</v>
      </c>
      <c r="E453" s="144">
        <v>1</v>
      </c>
      <c r="F453" s="65" t="s">
        <v>1220</v>
      </c>
      <c r="G453" s="144" t="s">
        <v>121</v>
      </c>
      <c r="H453" s="66" t="s">
        <v>126</v>
      </c>
      <c r="I453" s="65">
        <v>20000469</v>
      </c>
      <c r="J453" s="144" t="s">
        <v>132</v>
      </c>
      <c r="K453" s="144" t="s">
        <v>3</v>
      </c>
      <c r="L453" s="66" t="s">
        <v>6</v>
      </c>
      <c r="M453" s="67" t="s">
        <v>22</v>
      </c>
      <c r="N453" s="187"/>
      <c r="O453" s="187"/>
      <c r="P453" s="187"/>
      <c r="Q453" s="144" t="s">
        <v>141</v>
      </c>
      <c r="R453" s="90"/>
      <c r="S453" s="90"/>
      <c r="T453" s="65" t="s">
        <v>1228</v>
      </c>
      <c r="U453" s="44"/>
      <c r="V453" s="90"/>
      <c r="W453" s="90"/>
      <c r="X453" s="90"/>
      <c r="Y453" s="188">
        <f t="shared" si="41"/>
        <v>25525.52</v>
      </c>
      <c r="Z453" s="189">
        <v>0</v>
      </c>
      <c r="AA453" s="188">
        <f t="shared" si="42"/>
        <v>25525.52</v>
      </c>
      <c r="AB453" s="188">
        <v>0</v>
      </c>
      <c r="AC453" s="188">
        <f t="shared" si="43"/>
        <v>25525.52</v>
      </c>
      <c r="AD453" s="188">
        <v>25525.52</v>
      </c>
      <c r="AE453" s="68" t="s">
        <v>102</v>
      </c>
      <c r="AF453" s="68"/>
      <c r="AG453" s="68"/>
      <c r="AH453" s="190"/>
      <c r="AI453" s="191"/>
      <c r="AJ453" s="190"/>
      <c r="AK453" s="192"/>
      <c r="AL453" s="190"/>
      <c r="AM453" s="196" t="s">
        <v>1023</v>
      </c>
    </row>
    <row r="454" spans="1:39" ht="30" hidden="1" customHeight="1" x14ac:dyDescent="0.25">
      <c r="A454" s="135">
        <v>2026</v>
      </c>
      <c r="B454" s="66" t="s">
        <v>60</v>
      </c>
      <c r="C454" s="73" t="s">
        <v>141</v>
      </c>
      <c r="D454" s="144" t="s">
        <v>114</v>
      </c>
      <c r="E454" s="144">
        <v>1</v>
      </c>
      <c r="F454" s="65" t="s">
        <v>1220</v>
      </c>
      <c r="G454" s="144" t="s">
        <v>121</v>
      </c>
      <c r="H454" s="66" t="s">
        <v>126</v>
      </c>
      <c r="I454" s="65">
        <v>20000451</v>
      </c>
      <c r="J454" s="144" t="s">
        <v>132</v>
      </c>
      <c r="K454" s="144" t="s">
        <v>3</v>
      </c>
      <c r="L454" s="66" t="s">
        <v>6</v>
      </c>
      <c r="M454" s="67" t="s">
        <v>22</v>
      </c>
      <c r="N454" s="187"/>
      <c r="O454" s="187"/>
      <c r="P454" s="187"/>
      <c r="Q454" s="144" t="s">
        <v>141</v>
      </c>
      <c r="R454" s="90"/>
      <c r="S454" s="90"/>
      <c r="T454" s="65" t="s">
        <v>1229</v>
      </c>
      <c r="U454" s="44"/>
      <c r="V454" s="90"/>
      <c r="W454" s="90"/>
      <c r="X454" s="90"/>
      <c r="Y454" s="188">
        <f t="shared" si="41"/>
        <v>88245</v>
      </c>
      <c r="Z454" s="189">
        <v>0</v>
      </c>
      <c r="AA454" s="188">
        <f t="shared" si="42"/>
        <v>88245</v>
      </c>
      <c r="AB454" s="188">
        <v>0</v>
      </c>
      <c r="AC454" s="188">
        <f t="shared" si="43"/>
        <v>88245</v>
      </c>
      <c r="AD454" s="188">
        <v>88245</v>
      </c>
      <c r="AE454" s="68" t="s">
        <v>102</v>
      </c>
      <c r="AF454" s="68"/>
      <c r="AG454" s="68"/>
      <c r="AH454" s="190"/>
      <c r="AI454" s="191"/>
      <c r="AJ454" s="190"/>
      <c r="AK454" s="192"/>
      <c r="AL454" s="190"/>
      <c r="AM454" s="196" t="s">
        <v>1023</v>
      </c>
    </row>
    <row r="455" spans="1:39" ht="30" hidden="1" customHeight="1" x14ac:dyDescent="0.25">
      <c r="A455" s="135">
        <v>2026</v>
      </c>
      <c r="B455" s="66" t="s">
        <v>60</v>
      </c>
      <c r="C455" s="73" t="s">
        <v>141</v>
      </c>
      <c r="D455" s="144" t="s">
        <v>114</v>
      </c>
      <c r="E455" s="144">
        <v>1</v>
      </c>
      <c r="F455" s="65" t="s">
        <v>1220</v>
      </c>
      <c r="G455" s="144" t="s">
        <v>121</v>
      </c>
      <c r="H455" s="66" t="s">
        <v>126</v>
      </c>
      <c r="I455" s="65">
        <v>20000668</v>
      </c>
      <c r="J455" s="144" t="s">
        <v>132</v>
      </c>
      <c r="K455" s="144" t="s">
        <v>3</v>
      </c>
      <c r="L455" s="66" t="s">
        <v>6</v>
      </c>
      <c r="M455" s="67" t="s">
        <v>22</v>
      </c>
      <c r="N455" s="187"/>
      <c r="O455" s="187"/>
      <c r="P455" s="187"/>
      <c r="Q455" s="144" t="s">
        <v>141</v>
      </c>
      <c r="R455" s="90"/>
      <c r="S455" s="90"/>
      <c r="T455" s="65" t="s">
        <v>1230</v>
      </c>
      <c r="U455" s="44"/>
      <c r="V455" s="90"/>
      <c r="W455" s="90"/>
      <c r="X455" s="90"/>
      <c r="Y455" s="188">
        <f t="shared" si="41"/>
        <v>265585.03999999998</v>
      </c>
      <c r="Z455" s="189">
        <v>0</v>
      </c>
      <c r="AA455" s="188">
        <f t="shared" si="42"/>
        <v>265585.03999999998</v>
      </c>
      <c r="AB455" s="188">
        <v>0</v>
      </c>
      <c r="AC455" s="188">
        <f t="shared" si="43"/>
        <v>265585.03999999998</v>
      </c>
      <c r="AD455" s="188">
        <v>265585.03999999998</v>
      </c>
      <c r="AE455" s="68" t="s">
        <v>102</v>
      </c>
      <c r="AF455" s="68"/>
      <c r="AG455" s="68"/>
      <c r="AH455" s="190"/>
      <c r="AI455" s="191"/>
      <c r="AJ455" s="190"/>
      <c r="AK455" s="192"/>
      <c r="AL455" s="190"/>
      <c r="AM455" s="196" t="s">
        <v>1023</v>
      </c>
    </row>
    <row r="456" spans="1:39" ht="30" hidden="1" customHeight="1" x14ac:dyDescent="0.25">
      <c r="A456" s="135">
        <v>2026</v>
      </c>
      <c r="B456" s="66" t="s">
        <v>60</v>
      </c>
      <c r="C456" s="73" t="s">
        <v>141</v>
      </c>
      <c r="D456" s="144" t="s">
        <v>114</v>
      </c>
      <c r="E456" s="144">
        <v>1</v>
      </c>
      <c r="F456" s="65" t="s">
        <v>1220</v>
      </c>
      <c r="G456" s="144" t="s">
        <v>121</v>
      </c>
      <c r="H456" s="66" t="s">
        <v>126</v>
      </c>
      <c r="I456" s="65">
        <v>20000480</v>
      </c>
      <c r="J456" s="144" t="s">
        <v>132</v>
      </c>
      <c r="K456" s="144" t="s">
        <v>3</v>
      </c>
      <c r="L456" s="66" t="s">
        <v>6</v>
      </c>
      <c r="M456" s="67" t="s">
        <v>22</v>
      </c>
      <c r="N456" s="187"/>
      <c r="O456" s="187"/>
      <c r="P456" s="187"/>
      <c r="Q456" s="144" t="s">
        <v>141</v>
      </c>
      <c r="R456" s="90"/>
      <c r="S456" s="90"/>
      <c r="T456" s="65" t="s">
        <v>1231</v>
      </c>
      <c r="U456" s="44"/>
      <c r="V456" s="90"/>
      <c r="W456" s="90"/>
      <c r="X456" s="90"/>
      <c r="Y456" s="188">
        <f t="shared" si="41"/>
        <v>135907.6</v>
      </c>
      <c r="Z456" s="189">
        <v>0</v>
      </c>
      <c r="AA456" s="188">
        <f t="shared" si="42"/>
        <v>135907.6</v>
      </c>
      <c r="AB456" s="188">
        <v>0</v>
      </c>
      <c r="AC456" s="188">
        <f t="shared" si="43"/>
        <v>135907.6</v>
      </c>
      <c r="AD456" s="188">
        <v>135907.6</v>
      </c>
      <c r="AE456" s="68" t="s">
        <v>102</v>
      </c>
      <c r="AF456" s="68"/>
      <c r="AG456" s="68"/>
      <c r="AH456" s="190"/>
      <c r="AI456" s="191"/>
      <c r="AJ456" s="190"/>
      <c r="AK456" s="192"/>
      <c r="AL456" s="190"/>
      <c r="AM456" s="196" t="s">
        <v>1023</v>
      </c>
    </row>
    <row r="457" spans="1:39" ht="30" hidden="1" customHeight="1" x14ac:dyDescent="0.25">
      <c r="A457" s="135">
        <v>2026</v>
      </c>
      <c r="B457" s="66" t="s">
        <v>60</v>
      </c>
      <c r="C457" s="73" t="s">
        <v>141</v>
      </c>
      <c r="D457" s="144" t="s">
        <v>114</v>
      </c>
      <c r="E457" s="144">
        <v>1</v>
      </c>
      <c r="F457" s="65" t="s">
        <v>1220</v>
      </c>
      <c r="G457" s="144" t="s">
        <v>121</v>
      </c>
      <c r="H457" s="66" t="s">
        <v>126</v>
      </c>
      <c r="I457" s="65">
        <v>20000482</v>
      </c>
      <c r="J457" s="144" t="s">
        <v>132</v>
      </c>
      <c r="K457" s="144" t="s">
        <v>3</v>
      </c>
      <c r="L457" s="66" t="s">
        <v>6</v>
      </c>
      <c r="M457" s="67" t="s">
        <v>22</v>
      </c>
      <c r="N457" s="187"/>
      <c r="O457" s="187"/>
      <c r="P457" s="187"/>
      <c r="Q457" s="144" t="s">
        <v>141</v>
      </c>
      <c r="R457" s="90"/>
      <c r="S457" s="90"/>
      <c r="T457" s="65" t="s">
        <v>1232</v>
      </c>
      <c r="U457" s="44"/>
      <c r="V457" s="90"/>
      <c r="W457" s="90"/>
      <c r="X457" s="90"/>
      <c r="Y457" s="188">
        <f t="shared" si="41"/>
        <v>1863740.64</v>
      </c>
      <c r="Z457" s="189">
        <v>0</v>
      </c>
      <c r="AA457" s="188">
        <f t="shared" si="42"/>
        <v>1863740.64</v>
      </c>
      <c r="AB457" s="188">
        <v>0</v>
      </c>
      <c r="AC457" s="188">
        <f t="shared" si="43"/>
        <v>1863740.64</v>
      </c>
      <c r="AD457" s="188">
        <v>1863740.64</v>
      </c>
      <c r="AE457" s="68" t="s">
        <v>102</v>
      </c>
      <c r="AF457" s="68"/>
      <c r="AG457" s="68"/>
      <c r="AH457" s="190"/>
      <c r="AI457" s="191"/>
      <c r="AJ457" s="190"/>
      <c r="AK457" s="192"/>
      <c r="AL457" s="190"/>
      <c r="AM457" s="196" t="s">
        <v>1023</v>
      </c>
    </row>
    <row r="458" spans="1:39" ht="30" hidden="1" customHeight="1" x14ac:dyDescent="0.25">
      <c r="A458" s="135">
        <v>2026</v>
      </c>
      <c r="B458" s="66" t="s">
        <v>60</v>
      </c>
      <c r="C458" s="73" t="s">
        <v>141</v>
      </c>
      <c r="D458" s="144" t="s">
        <v>114</v>
      </c>
      <c r="E458" s="144">
        <v>1</v>
      </c>
      <c r="F458" s="65" t="s">
        <v>1220</v>
      </c>
      <c r="G458" s="144" t="s">
        <v>121</v>
      </c>
      <c r="H458" s="66" t="s">
        <v>126</v>
      </c>
      <c r="I458" s="65">
        <v>20000464</v>
      </c>
      <c r="J458" s="144" t="s">
        <v>132</v>
      </c>
      <c r="K458" s="144" t="s">
        <v>3</v>
      </c>
      <c r="L458" s="66" t="s">
        <v>6</v>
      </c>
      <c r="M458" s="67" t="s">
        <v>22</v>
      </c>
      <c r="N458" s="187"/>
      <c r="O458" s="187"/>
      <c r="P458" s="187"/>
      <c r="Q458" s="144" t="s">
        <v>141</v>
      </c>
      <c r="R458" s="90"/>
      <c r="S458" s="90"/>
      <c r="T458" s="65" t="s">
        <v>1233</v>
      </c>
      <c r="U458" s="44"/>
      <c r="V458" s="90"/>
      <c r="W458" s="90"/>
      <c r="X458" s="90"/>
      <c r="Y458" s="188">
        <f t="shared" si="41"/>
        <v>1553117.28</v>
      </c>
      <c r="Z458" s="189">
        <v>0</v>
      </c>
      <c r="AA458" s="188">
        <f t="shared" si="42"/>
        <v>1553117.28</v>
      </c>
      <c r="AB458" s="188">
        <v>0</v>
      </c>
      <c r="AC458" s="188">
        <f t="shared" si="43"/>
        <v>1553117.28</v>
      </c>
      <c r="AD458" s="188">
        <v>1553117.28</v>
      </c>
      <c r="AE458" s="68" t="s">
        <v>102</v>
      </c>
      <c r="AF458" s="68"/>
      <c r="AG458" s="68"/>
      <c r="AH458" s="190"/>
      <c r="AI458" s="191"/>
      <c r="AJ458" s="190"/>
      <c r="AK458" s="192"/>
      <c r="AL458" s="190"/>
      <c r="AM458" s="196" t="s">
        <v>1023</v>
      </c>
    </row>
    <row r="459" spans="1:39" ht="30" hidden="1" customHeight="1" x14ac:dyDescent="0.25">
      <c r="A459" s="135">
        <v>2026</v>
      </c>
      <c r="B459" s="66" t="s">
        <v>60</v>
      </c>
      <c r="C459" s="73" t="s">
        <v>141</v>
      </c>
      <c r="D459" s="144" t="s">
        <v>114</v>
      </c>
      <c r="E459" s="144">
        <v>1</v>
      </c>
      <c r="F459" s="65" t="s">
        <v>1220</v>
      </c>
      <c r="G459" s="144" t="s">
        <v>121</v>
      </c>
      <c r="H459" s="66" t="s">
        <v>126</v>
      </c>
      <c r="I459" s="65">
        <v>20000466</v>
      </c>
      <c r="J459" s="144" t="s">
        <v>132</v>
      </c>
      <c r="K459" s="144" t="s">
        <v>3</v>
      </c>
      <c r="L459" s="66" t="s">
        <v>6</v>
      </c>
      <c r="M459" s="67" t="s">
        <v>22</v>
      </c>
      <c r="N459" s="187"/>
      <c r="O459" s="187"/>
      <c r="P459" s="187"/>
      <c r="Q459" s="144" t="s">
        <v>141</v>
      </c>
      <c r="R459" s="90"/>
      <c r="S459" s="90"/>
      <c r="T459" s="65" t="s">
        <v>1234</v>
      </c>
      <c r="U459" s="44"/>
      <c r="V459" s="90"/>
      <c r="W459" s="90"/>
      <c r="X459" s="90"/>
      <c r="Y459" s="188">
        <f t="shared" si="41"/>
        <v>1588415.4</v>
      </c>
      <c r="Z459" s="189">
        <v>0</v>
      </c>
      <c r="AA459" s="188">
        <f t="shared" si="42"/>
        <v>1588415.4</v>
      </c>
      <c r="AB459" s="188">
        <v>0</v>
      </c>
      <c r="AC459" s="188">
        <f t="shared" si="43"/>
        <v>1588415.4</v>
      </c>
      <c r="AD459" s="188">
        <v>1588415.4</v>
      </c>
      <c r="AE459" s="68" t="s">
        <v>102</v>
      </c>
      <c r="AF459" s="68"/>
      <c r="AG459" s="68"/>
      <c r="AH459" s="190"/>
      <c r="AI459" s="191"/>
      <c r="AJ459" s="190"/>
      <c r="AK459" s="192"/>
      <c r="AL459" s="190"/>
      <c r="AM459" s="196" t="s">
        <v>1023</v>
      </c>
    </row>
    <row r="460" spans="1:39" ht="30" hidden="1" customHeight="1" x14ac:dyDescent="0.25">
      <c r="A460" s="135">
        <v>2026</v>
      </c>
      <c r="B460" s="66" t="s">
        <v>60</v>
      </c>
      <c r="C460" s="73" t="s">
        <v>141</v>
      </c>
      <c r="D460" s="144" t="s">
        <v>114</v>
      </c>
      <c r="E460" s="144">
        <v>1</v>
      </c>
      <c r="F460" s="65" t="s">
        <v>1220</v>
      </c>
      <c r="G460" s="144" t="s">
        <v>121</v>
      </c>
      <c r="H460" s="66" t="s">
        <v>126</v>
      </c>
      <c r="I460" s="65">
        <v>20000465</v>
      </c>
      <c r="J460" s="144" t="s">
        <v>132</v>
      </c>
      <c r="K460" s="144" t="s">
        <v>3</v>
      </c>
      <c r="L460" s="66" t="s">
        <v>6</v>
      </c>
      <c r="M460" s="67" t="s">
        <v>22</v>
      </c>
      <c r="N460" s="187"/>
      <c r="O460" s="187"/>
      <c r="P460" s="187"/>
      <c r="Q460" s="144" t="s">
        <v>141</v>
      </c>
      <c r="R460" s="90"/>
      <c r="S460" s="90"/>
      <c r="T460" s="65" t="s">
        <v>1234</v>
      </c>
      <c r="U460" s="44"/>
      <c r="V460" s="90"/>
      <c r="W460" s="90"/>
      <c r="X460" s="90"/>
      <c r="Y460" s="188">
        <f t="shared" si="41"/>
        <v>529471.80000000005</v>
      </c>
      <c r="Z460" s="189">
        <v>0</v>
      </c>
      <c r="AA460" s="188">
        <f t="shared" si="42"/>
        <v>529471.80000000005</v>
      </c>
      <c r="AB460" s="188">
        <v>0</v>
      </c>
      <c r="AC460" s="188">
        <f t="shared" si="43"/>
        <v>529471.80000000005</v>
      </c>
      <c r="AD460" s="188">
        <v>529471.80000000005</v>
      </c>
      <c r="AE460" s="68" t="s">
        <v>102</v>
      </c>
      <c r="AF460" s="68"/>
      <c r="AG460" s="68"/>
      <c r="AH460" s="190"/>
      <c r="AI460" s="191"/>
      <c r="AJ460" s="190"/>
      <c r="AK460" s="192"/>
      <c r="AL460" s="190"/>
      <c r="AM460" s="196" t="s">
        <v>1023</v>
      </c>
    </row>
    <row r="461" spans="1:39" ht="30" hidden="1" customHeight="1" x14ac:dyDescent="0.25">
      <c r="A461" s="135">
        <v>2026</v>
      </c>
      <c r="B461" s="66" t="s">
        <v>60</v>
      </c>
      <c r="C461" s="73" t="s">
        <v>141</v>
      </c>
      <c r="D461" s="144" t="s">
        <v>114</v>
      </c>
      <c r="E461" s="144">
        <v>1</v>
      </c>
      <c r="F461" s="65" t="s">
        <v>1220</v>
      </c>
      <c r="G461" s="144" t="s">
        <v>121</v>
      </c>
      <c r="H461" s="66" t="s">
        <v>126</v>
      </c>
      <c r="I461" s="65">
        <v>20000467</v>
      </c>
      <c r="J461" s="144" t="s">
        <v>132</v>
      </c>
      <c r="K461" s="144" t="s">
        <v>3</v>
      </c>
      <c r="L461" s="66" t="s">
        <v>6</v>
      </c>
      <c r="M461" s="67" t="s">
        <v>22</v>
      </c>
      <c r="N461" s="187"/>
      <c r="O461" s="187"/>
      <c r="P461" s="187"/>
      <c r="Q461" s="144" t="s">
        <v>141</v>
      </c>
      <c r="R461" s="90"/>
      <c r="S461" s="90"/>
      <c r="T461" s="65" t="s">
        <v>1234</v>
      </c>
      <c r="U461" s="44"/>
      <c r="V461" s="90"/>
      <c r="W461" s="90"/>
      <c r="X461" s="90"/>
      <c r="Y461" s="188">
        <f t="shared" si="41"/>
        <v>641784</v>
      </c>
      <c r="Z461" s="189">
        <v>0</v>
      </c>
      <c r="AA461" s="188">
        <f t="shared" si="42"/>
        <v>641784</v>
      </c>
      <c r="AB461" s="188">
        <v>0</v>
      </c>
      <c r="AC461" s="188">
        <f t="shared" si="43"/>
        <v>641784</v>
      </c>
      <c r="AD461" s="188">
        <v>641784</v>
      </c>
      <c r="AE461" s="68" t="s">
        <v>102</v>
      </c>
      <c r="AF461" s="68"/>
      <c r="AG461" s="68"/>
      <c r="AH461" s="190"/>
      <c r="AI461" s="191"/>
      <c r="AJ461" s="190"/>
      <c r="AK461" s="192"/>
      <c r="AL461" s="190"/>
      <c r="AM461" s="196" t="s">
        <v>1023</v>
      </c>
    </row>
    <row r="462" spans="1:39" ht="30" hidden="1" customHeight="1" x14ac:dyDescent="0.25">
      <c r="A462" s="135">
        <v>2026</v>
      </c>
      <c r="B462" s="66" t="s">
        <v>60</v>
      </c>
      <c r="C462" s="73" t="s">
        <v>141</v>
      </c>
      <c r="D462" s="144" t="s">
        <v>114</v>
      </c>
      <c r="E462" s="144">
        <v>1</v>
      </c>
      <c r="F462" s="65" t="s">
        <v>1220</v>
      </c>
      <c r="G462" s="144" t="s">
        <v>121</v>
      </c>
      <c r="H462" s="66" t="s">
        <v>126</v>
      </c>
      <c r="I462" s="65">
        <v>20000472</v>
      </c>
      <c r="J462" s="144" t="s">
        <v>132</v>
      </c>
      <c r="K462" s="144" t="s">
        <v>3</v>
      </c>
      <c r="L462" s="66" t="s">
        <v>6</v>
      </c>
      <c r="M462" s="67" t="s">
        <v>22</v>
      </c>
      <c r="N462" s="187"/>
      <c r="O462" s="187"/>
      <c r="P462" s="187"/>
      <c r="Q462" s="144" t="s">
        <v>141</v>
      </c>
      <c r="R462" s="90"/>
      <c r="S462" s="90"/>
      <c r="T462" s="65" t="s">
        <v>1235</v>
      </c>
      <c r="U462" s="44"/>
      <c r="V462" s="90"/>
      <c r="W462" s="90"/>
      <c r="X462" s="90"/>
      <c r="Y462" s="188">
        <f t="shared" si="41"/>
        <v>260724.72</v>
      </c>
      <c r="Z462" s="189">
        <v>0</v>
      </c>
      <c r="AA462" s="188">
        <f t="shared" si="42"/>
        <v>260724.72</v>
      </c>
      <c r="AB462" s="188">
        <v>0</v>
      </c>
      <c r="AC462" s="188">
        <f t="shared" si="43"/>
        <v>260724.72</v>
      </c>
      <c r="AD462" s="188">
        <v>260724.72</v>
      </c>
      <c r="AE462" s="68" t="s">
        <v>102</v>
      </c>
      <c r="AF462" s="68"/>
      <c r="AG462" s="68"/>
      <c r="AH462" s="190"/>
      <c r="AI462" s="191"/>
      <c r="AJ462" s="190"/>
      <c r="AK462" s="192"/>
      <c r="AL462" s="190"/>
      <c r="AM462" s="196" t="s">
        <v>1023</v>
      </c>
    </row>
    <row r="463" spans="1:39" ht="30" hidden="1" customHeight="1" x14ac:dyDescent="0.25">
      <c r="A463" s="135">
        <v>2026</v>
      </c>
      <c r="B463" s="66" t="s">
        <v>60</v>
      </c>
      <c r="C463" s="73" t="s">
        <v>141</v>
      </c>
      <c r="D463" s="144" t="s">
        <v>114</v>
      </c>
      <c r="E463" s="144">
        <v>1</v>
      </c>
      <c r="F463" s="65" t="s">
        <v>1220</v>
      </c>
      <c r="G463" s="144" t="s">
        <v>121</v>
      </c>
      <c r="H463" s="66" t="s">
        <v>126</v>
      </c>
      <c r="I463" s="65">
        <v>20000473</v>
      </c>
      <c r="J463" s="144" t="s">
        <v>132</v>
      </c>
      <c r="K463" s="144" t="s">
        <v>3</v>
      </c>
      <c r="L463" s="66" t="s">
        <v>6</v>
      </c>
      <c r="M463" s="67" t="s">
        <v>22</v>
      </c>
      <c r="N463" s="187"/>
      <c r="O463" s="187"/>
      <c r="P463" s="187"/>
      <c r="Q463" s="144" t="s">
        <v>141</v>
      </c>
      <c r="R463" s="90"/>
      <c r="S463" s="90"/>
      <c r="T463" s="65" t="s">
        <v>1236</v>
      </c>
      <c r="U463" s="44"/>
      <c r="V463" s="90"/>
      <c r="W463" s="90"/>
      <c r="X463" s="90"/>
      <c r="Y463" s="188">
        <f t="shared" si="41"/>
        <v>260724.72</v>
      </c>
      <c r="Z463" s="189">
        <v>0</v>
      </c>
      <c r="AA463" s="188">
        <f t="shared" si="42"/>
        <v>260724.72</v>
      </c>
      <c r="AB463" s="188">
        <v>0</v>
      </c>
      <c r="AC463" s="188">
        <f t="shared" si="43"/>
        <v>260724.72</v>
      </c>
      <c r="AD463" s="188">
        <v>260724.72</v>
      </c>
      <c r="AE463" s="68" t="s">
        <v>102</v>
      </c>
      <c r="AF463" s="68"/>
      <c r="AG463" s="68"/>
      <c r="AH463" s="190"/>
      <c r="AI463" s="191"/>
      <c r="AJ463" s="190"/>
      <c r="AK463" s="192"/>
      <c r="AL463" s="190"/>
      <c r="AM463" s="196" t="s">
        <v>1023</v>
      </c>
    </row>
    <row r="464" spans="1:39" ht="30" hidden="1" customHeight="1" x14ac:dyDescent="0.25">
      <c r="A464" s="135">
        <v>2026</v>
      </c>
      <c r="B464" s="66" t="s">
        <v>60</v>
      </c>
      <c r="C464" s="73" t="s">
        <v>141</v>
      </c>
      <c r="D464" s="144" t="s">
        <v>114</v>
      </c>
      <c r="E464" s="144">
        <v>1</v>
      </c>
      <c r="F464" s="65" t="s">
        <v>1220</v>
      </c>
      <c r="G464" s="144" t="s">
        <v>121</v>
      </c>
      <c r="H464" s="66" t="s">
        <v>126</v>
      </c>
      <c r="I464" s="65">
        <v>20000474</v>
      </c>
      <c r="J464" s="144" t="s">
        <v>132</v>
      </c>
      <c r="K464" s="144" t="s">
        <v>3</v>
      </c>
      <c r="L464" s="66" t="s">
        <v>6</v>
      </c>
      <c r="M464" s="67" t="s">
        <v>22</v>
      </c>
      <c r="N464" s="187"/>
      <c r="O464" s="187"/>
      <c r="P464" s="187"/>
      <c r="Q464" s="144" t="s">
        <v>141</v>
      </c>
      <c r="R464" s="90"/>
      <c r="S464" s="90"/>
      <c r="T464" s="65" t="s">
        <v>1237</v>
      </c>
      <c r="U464" s="44"/>
      <c r="V464" s="90"/>
      <c r="W464" s="90"/>
      <c r="X464" s="90"/>
      <c r="Y464" s="188">
        <f t="shared" si="41"/>
        <v>521449.44</v>
      </c>
      <c r="Z464" s="189">
        <v>0</v>
      </c>
      <c r="AA464" s="188">
        <f t="shared" si="42"/>
        <v>521449.44</v>
      </c>
      <c r="AB464" s="188">
        <v>0</v>
      </c>
      <c r="AC464" s="188">
        <f t="shared" si="43"/>
        <v>521449.44</v>
      </c>
      <c r="AD464" s="188">
        <v>521449.44</v>
      </c>
      <c r="AE464" s="68" t="s">
        <v>102</v>
      </c>
      <c r="AF464" s="68"/>
      <c r="AG464" s="68"/>
      <c r="AH464" s="190"/>
      <c r="AI464" s="191"/>
      <c r="AJ464" s="190"/>
      <c r="AK464" s="192"/>
      <c r="AL464" s="190"/>
      <c r="AM464" s="196" t="s">
        <v>1023</v>
      </c>
    </row>
    <row r="465" spans="1:39" ht="30" hidden="1" customHeight="1" x14ac:dyDescent="0.25">
      <c r="A465" s="135">
        <v>2026</v>
      </c>
      <c r="B465" s="66" t="s">
        <v>60</v>
      </c>
      <c r="C465" s="73" t="s">
        <v>141</v>
      </c>
      <c r="D465" s="144" t="s">
        <v>114</v>
      </c>
      <c r="E465" s="144">
        <v>1</v>
      </c>
      <c r="F465" s="65" t="s">
        <v>1220</v>
      </c>
      <c r="G465" s="144" t="s">
        <v>121</v>
      </c>
      <c r="H465" s="66" t="s">
        <v>126</v>
      </c>
      <c r="I465" s="65">
        <v>20000475</v>
      </c>
      <c r="J465" s="144" t="s">
        <v>132</v>
      </c>
      <c r="K465" s="144" t="s">
        <v>3</v>
      </c>
      <c r="L465" s="66" t="s">
        <v>6</v>
      </c>
      <c r="M465" s="67" t="s">
        <v>22</v>
      </c>
      <c r="N465" s="187"/>
      <c r="O465" s="187"/>
      <c r="P465" s="187"/>
      <c r="Q465" s="144" t="s">
        <v>141</v>
      </c>
      <c r="R465" s="90"/>
      <c r="S465" s="90"/>
      <c r="T465" s="65" t="s">
        <v>1238</v>
      </c>
      <c r="U465" s="44"/>
      <c r="V465" s="90"/>
      <c r="W465" s="90"/>
      <c r="X465" s="90"/>
      <c r="Y465" s="188">
        <f t="shared" si="41"/>
        <v>521449.44</v>
      </c>
      <c r="Z465" s="189">
        <v>0</v>
      </c>
      <c r="AA465" s="188">
        <f t="shared" si="42"/>
        <v>521449.44</v>
      </c>
      <c r="AB465" s="188">
        <v>0</v>
      </c>
      <c r="AC465" s="188">
        <f t="shared" si="43"/>
        <v>521449.44</v>
      </c>
      <c r="AD465" s="188">
        <v>521449.44</v>
      </c>
      <c r="AE465" s="68" t="s">
        <v>102</v>
      </c>
      <c r="AF465" s="68"/>
      <c r="AG465" s="68"/>
      <c r="AH465" s="190"/>
      <c r="AI465" s="191"/>
      <c r="AJ465" s="190"/>
      <c r="AK465" s="192"/>
      <c r="AL465" s="190"/>
      <c r="AM465" s="196" t="s">
        <v>1023</v>
      </c>
    </row>
    <row r="466" spans="1:39" ht="30" hidden="1" customHeight="1" x14ac:dyDescent="0.25">
      <c r="A466" s="135">
        <v>2026</v>
      </c>
      <c r="B466" s="66" t="s">
        <v>60</v>
      </c>
      <c r="C466" s="73" t="s">
        <v>141</v>
      </c>
      <c r="D466" s="144" t="s">
        <v>114</v>
      </c>
      <c r="E466" s="144">
        <v>1</v>
      </c>
      <c r="F466" s="65" t="s">
        <v>1220</v>
      </c>
      <c r="G466" s="144" t="s">
        <v>121</v>
      </c>
      <c r="H466" s="66" t="s">
        <v>126</v>
      </c>
      <c r="I466" s="65">
        <v>20000476</v>
      </c>
      <c r="J466" s="144" t="s">
        <v>132</v>
      </c>
      <c r="K466" s="144" t="s">
        <v>3</v>
      </c>
      <c r="L466" s="66" t="s">
        <v>6</v>
      </c>
      <c r="M466" s="67" t="s">
        <v>22</v>
      </c>
      <c r="N466" s="187"/>
      <c r="O466" s="187"/>
      <c r="P466" s="187"/>
      <c r="Q466" s="144" t="s">
        <v>141</v>
      </c>
      <c r="R466" s="90"/>
      <c r="S466" s="90"/>
      <c r="T466" s="65" t="s">
        <v>1239</v>
      </c>
      <c r="U466" s="44"/>
      <c r="V466" s="90"/>
      <c r="W466" s="90"/>
      <c r="X466" s="90"/>
      <c r="Y466" s="188">
        <f t="shared" si="41"/>
        <v>521449.44</v>
      </c>
      <c r="Z466" s="189">
        <v>0</v>
      </c>
      <c r="AA466" s="188">
        <f t="shared" si="42"/>
        <v>521449.44</v>
      </c>
      <c r="AB466" s="188">
        <v>0</v>
      </c>
      <c r="AC466" s="188">
        <f t="shared" si="43"/>
        <v>521449.44</v>
      </c>
      <c r="AD466" s="188">
        <v>521449.44</v>
      </c>
      <c r="AE466" s="68" t="s">
        <v>102</v>
      </c>
      <c r="AF466" s="68"/>
      <c r="AG466" s="68"/>
      <c r="AH466" s="190"/>
      <c r="AI466" s="191"/>
      <c r="AJ466" s="190"/>
      <c r="AK466" s="192"/>
      <c r="AL466" s="190"/>
      <c r="AM466" s="196" t="s">
        <v>1023</v>
      </c>
    </row>
    <row r="467" spans="1:39" ht="30" hidden="1" customHeight="1" x14ac:dyDescent="0.25">
      <c r="A467" s="135">
        <v>2026</v>
      </c>
      <c r="B467" s="66" t="s">
        <v>60</v>
      </c>
      <c r="C467" s="73" t="s">
        <v>141</v>
      </c>
      <c r="D467" s="144" t="s">
        <v>114</v>
      </c>
      <c r="E467" s="144">
        <v>1</v>
      </c>
      <c r="F467" s="65" t="s">
        <v>1220</v>
      </c>
      <c r="G467" s="144" t="s">
        <v>121</v>
      </c>
      <c r="H467" s="66" t="s">
        <v>126</v>
      </c>
      <c r="I467" s="65">
        <v>20000479</v>
      </c>
      <c r="J467" s="144" t="s">
        <v>132</v>
      </c>
      <c r="K467" s="144" t="s">
        <v>3</v>
      </c>
      <c r="L467" s="66" t="s">
        <v>6</v>
      </c>
      <c r="M467" s="67" t="s">
        <v>22</v>
      </c>
      <c r="N467" s="187"/>
      <c r="O467" s="187"/>
      <c r="P467" s="187"/>
      <c r="Q467" s="144" t="s">
        <v>141</v>
      </c>
      <c r="R467" s="90"/>
      <c r="S467" s="90"/>
      <c r="T467" s="65" t="s">
        <v>1240</v>
      </c>
      <c r="U467" s="44"/>
      <c r="V467" s="90"/>
      <c r="W467" s="90"/>
      <c r="X467" s="90"/>
      <c r="Y467" s="188">
        <f t="shared" si="41"/>
        <v>75219.960000000006</v>
      </c>
      <c r="Z467" s="189">
        <v>0</v>
      </c>
      <c r="AA467" s="188">
        <f t="shared" si="42"/>
        <v>75219.960000000006</v>
      </c>
      <c r="AB467" s="188">
        <v>0</v>
      </c>
      <c r="AC467" s="188">
        <f t="shared" si="43"/>
        <v>75219.960000000006</v>
      </c>
      <c r="AD467" s="188">
        <v>75219.960000000006</v>
      </c>
      <c r="AE467" s="68" t="s">
        <v>102</v>
      </c>
      <c r="AF467" s="68"/>
      <c r="AG467" s="68"/>
      <c r="AH467" s="190"/>
      <c r="AI467" s="191"/>
      <c r="AJ467" s="190"/>
      <c r="AK467" s="192"/>
      <c r="AL467" s="190"/>
      <c r="AM467" s="196" t="s">
        <v>1023</v>
      </c>
    </row>
    <row r="468" spans="1:39" ht="30" hidden="1" customHeight="1" x14ac:dyDescent="0.25">
      <c r="A468" s="135">
        <v>2026</v>
      </c>
      <c r="B468" s="66" t="s">
        <v>60</v>
      </c>
      <c r="C468" s="73" t="s">
        <v>141</v>
      </c>
      <c r="D468" s="144" t="s">
        <v>114</v>
      </c>
      <c r="E468" s="144">
        <v>1</v>
      </c>
      <c r="F468" s="65" t="s">
        <v>1220</v>
      </c>
      <c r="G468" s="144" t="s">
        <v>121</v>
      </c>
      <c r="H468" s="66" t="s">
        <v>126</v>
      </c>
      <c r="I468" s="65">
        <v>20000478</v>
      </c>
      <c r="J468" s="144" t="s">
        <v>132</v>
      </c>
      <c r="K468" s="144" t="s">
        <v>3</v>
      </c>
      <c r="L468" s="66" t="s">
        <v>6</v>
      </c>
      <c r="M468" s="67" t="s">
        <v>22</v>
      </c>
      <c r="N468" s="187"/>
      <c r="O468" s="187"/>
      <c r="P468" s="187"/>
      <c r="Q468" s="144" t="s">
        <v>141</v>
      </c>
      <c r="R468" s="90"/>
      <c r="S468" s="90"/>
      <c r="T468" s="65" t="s">
        <v>1240</v>
      </c>
      <c r="U468" s="44"/>
      <c r="V468" s="90"/>
      <c r="W468" s="90"/>
      <c r="X468" s="90"/>
      <c r="Y468" s="188">
        <f t="shared" si="41"/>
        <v>38579.879999999997</v>
      </c>
      <c r="Z468" s="189">
        <v>0</v>
      </c>
      <c r="AA468" s="188">
        <f t="shared" si="42"/>
        <v>38579.879999999997</v>
      </c>
      <c r="AB468" s="188">
        <v>0</v>
      </c>
      <c r="AC468" s="188">
        <f t="shared" si="43"/>
        <v>38579.879999999997</v>
      </c>
      <c r="AD468" s="188">
        <v>38579.879999999997</v>
      </c>
      <c r="AE468" s="68" t="s">
        <v>102</v>
      </c>
      <c r="AF468" s="68"/>
      <c r="AG468" s="68"/>
      <c r="AH468" s="190"/>
      <c r="AI468" s="191"/>
      <c r="AJ468" s="190"/>
      <c r="AK468" s="192"/>
      <c r="AL468" s="190"/>
      <c r="AM468" s="196" t="s">
        <v>1023</v>
      </c>
    </row>
    <row r="469" spans="1:39" ht="30" hidden="1" customHeight="1" x14ac:dyDescent="0.25">
      <c r="A469" s="135">
        <v>2026</v>
      </c>
      <c r="B469" s="66" t="s">
        <v>60</v>
      </c>
      <c r="C469" s="73" t="s">
        <v>141</v>
      </c>
      <c r="D469" s="144" t="s">
        <v>114</v>
      </c>
      <c r="E469" s="144">
        <v>1</v>
      </c>
      <c r="F469" s="65" t="s">
        <v>1220</v>
      </c>
      <c r="G469" s="144" t="s">
        <v>121</v>
      </c>
      <c r="H469" s="66" t="s">
        <v>126</v>
      </c>
      <c r="I469" s="65">
        <v>20000477</v>
      </c>
      <c r="J469" s="144" t="s">
        <v>132</v>
      </c>
      <c r="K469" s="144" t="s">
        <v>3</v>
      </c>
      <c r="L469" s="66" t="s">
        <v>6</v>
      </c>
      <c r="M469" s="67" t="s">
        <v>22</v>
      </c>
      <c r="N469" s="187"/>
      <c r="O469" s="187"/>
      <c r="P469" s="187"/>
      <c r="Q469" s="144" t="s">
        <v>141</v>
      </c>
      <c r="R469" s="90"/>
      <c r="S469" s="90"/>
      <c r="T469" s="65" t="s">
        <v>1241</v>
      </c>
      <c r="U469" s="44"/>
      <c r="V469" s="90"/>
      <c r="W469" s="90"/>
      <c r="X469" s="90"/>
      <c r="Y469" s="188">
        <f t="shared" si="41"/>
        <v>319440</v>
      </c>
      <c r="Z469" s="189">
        <v>0</v>
      </c>
      <c r="AA469" s="188">
        <f t="shared" si="42"/>
        <v>319440</v>
      </c>
      <c r="AB469" s="188">
        <v>0</v>
      </c>
      <c r="AC469" s="188">
        <f t="shared" si="43"/>
        <v>319440</v>
      </c>
      <c r="AD469" s="188">
        <v>319440</v>
      </c>
      <c r="AE469" s="68" t="s">
        <v>102</v>
      </c>
      <c r="AF469" s="68"/>
      <c r="AG469" s="68"/>
      <c r="AH469" s="190"/>
      <c r="AI469" s="191"/>
      <c r="AJ469" s="190"/>
      <c r="AK469" s="192"/>
      <c r="AL469" s="190"/>
      <c r="AM469" s="196" t="s">
        <v>1023</v>
      </c>
    </row>
    <row r="470" spans="1:39" ht="30" hidden="1" customHeight="1" x14ac:dyDescent="0.25">
      <c r="A470" s="135">
        <v>2026</v>
      </c>
      <c r="B470" s="66" t="s">
        <v>60</v>
      </c>
      <c r="C470" s="73" t="s">
        <v>141</v>
      </c>
      <c r="D470" s="144" t="s">
        <v>114</v>
      </c>
      <c r="E470" s="144">
        <v>1</v>
      </c>
      <c r="F470" s="65" t="s">
        <v>1220</v>
      </c>
      <c r="G470" s="144" t="s">
        <v>121</v>
      </c>
      <c r="H470" s="66" t="s">
        <v>126</v>
      </c>
      <c r="I470" s="65">
        <v>20000462</v>
      </c>
      <c r="J470" s="144" t="s">
        <v>132</v>
      </c>
      <c r="K470" s="144" t="s">
        <v>3</v>
      </c>
      <c r="L470" s="66" t="s">
        <v>6</v>
      </c>
      <c r="M470" s="67" t="s">
        <v>22</v>
      </c>
      <c r="N470" s="187"/>
      <c r="O470" s="187"/>
      <c r="P470" s="187"/>
      <c r="Q470" s="144" t="s">
        <v>141</v>
      </c>
      <c r="R470" s="90"/>
      <c r="S470" s="90"/>
      <c r="T470" s="65" t="s">
        <v>1242</v>
      </c>
      <c r="U470" s="44"/>
      <c r="V470" s="90"/>
      <c r="W470" s="90"/>
      <c r="X470" s="90"/>
      <c r="Y470" s="188">
        <f t="shared" si="41"/>
        <v>154608.95999999999</v>
      </c>
      <c r="Z470" s="189">
        <v>0</v>
      </c>
      <c r="AA470" s="188">
        <f t="shared" si="42"/>
        <v>154608.95999999999</v>
      </c>
      <c r="AB470" s="188">
        <v>0</v>
      </c>
      <c r="AC470" s="188">
        <f t="shared" si="43"/>
        <v>154608.95999999999</v>
      </c>
      <c r="AD470" s="188">
        <v>154608.95999999999</v>
      </c>
      <c r="AE470" s="68" t="s">
        <v>102</v>
      </c>
      <c r="AF470" s="68"/>
      <c r="AG470" s="68"/>
      <c r="AH470" s="190"/>
      <c r="AI470" s="191"/>
      <c r="AJ470" s="190"/>
      <c r="AK470" s="192"/>
      <c r="AL470" s="190"/>
      <c r="AM470" s="196" t="s">
        <v>1023</v>
      </c>
    </row>
    <row r="471" spans="1:39" ht="30" hidden="1" customHeight="1" x14ac:dyDescent="0.25">
      <c r="A471" s="135">
        <v>2026</v>
      </c>
      <c r="B471" s="66" t="s">
        <v>60</v>
      </c>
      <c r="C471" s="73" t="s">
        <v>141</v>
      </c>
      <c r="D471" s="144" t="s">
        <v>114</v>
      </c>
      <c r="E471" s="144">
        <v>1</v>
      </c>
      <c r="F471" s="65" t="s">
        <v>1220</v>
      </c>
      <c r="G471" s="144" t="s">
        <v>121</v>
      </c>
      <c r="H471" s="66" t="s">
        <v>126</v>
      </c>
      <c r="I471" s="84">
        <v>20000483</v>
      </c>
      <c r="J471" s="144" t="s">
        <v>132</v>
      </c>
      <c r="K471" s="144" t="s">
        <v>3</v>
      </c>
      <c r="L471" s="66" t="s">
        <v>6</v>
      </c>
      <c r="M471" s="67" t="s">
        <v>22</v>
      </c>
      <c r="N471" s="187"/>
      <c r="O471" s="187"/>
      <c r="P471" s="187"/>
      <c r="Q471" s="144" t="s">
        <v>141</v>
      </c>
      <c r="R471" s="90"/>
      <c r="S471" s="90"/>
      <c r="T471" s="65" t="s">
        <v>1243</v>
      </c>
      <c r="U471" s="44"/>
      <c r="V471" s="90"/>
      <c r="W471" s="90"/>
      <c r="X471" s="90"/>
      <c r="Y471" s="188">
        <f t="shared" si="41"/>
        <v>92400</v>
      </c>
      <c r="Z471" s="189">
        <v>0</v>
      </c>
      <c r="AA471" s="188">
        <f t="shared" si="42"/>
        <v>92400</v>
      </c>
      <c r="AB471" s="188">
        <v>0</v>
      </c>
      <c r="AC471" s="188">
        <f t="shared" si="43"/>
        <v>92400</v>
      </c>
      <c r="AD471" s="188">
        <v>92400</v>
      </c>
      <c r="AE471" s="68" t="s">
        <v>102</v>
      </c>
      <c r="AF471" s="68"/>
      <c r="AG471" s="68"/>
      <c r="AH471" s="190"/>
      <c r="AI471" s="191"/>
      <c r="AJ471" s="190"/>
      <c r="AK471" s="192"/>
      <c r="AL471" s="190"/>
      <c r="AM471" s="196" t="s">
        <v>1023</v>
      </c>
    </row>
    <row r="472" spans="1:39" ht="30" hidden="1" customHeight="1" x14ac:dyDescent="0.25">
      <c r="A472" s="135">
        <v>2026</v>
      </c>
      <c r="B472" s="66" t="s">
        <v>60</v>
      </c>
      <c r="C472" s="73" t="s">
        <v>141</v>
      </c>
      <c r="D472" s="144" t="s">
        <v>114</v>
      </c>
      <c r="E472" s="144">
        <v>1</v>
      </c>
      <c r="F472" s="65" t="s">
        <v>1220</v>
      </c>
      <c r="G472" s="144" t="s">
        <v>121</v>
      </c>
      <c r="H472" s="66" t="s">
        <v>126</v>
      </c>
      <c r="I472" s="84">
        <v>20000457</v>
      </c>
      <c r="J472" s="144" t="s">
        <v>132</v>
      </c>
      <c r="K472" s="144" t="s">
        <v>3</v>
      </c>
      <c r="L472" s="66" t="s">
        <v>6</v>
      </c>
      <c r="M472" s="67" t="s">
        <v>22</v>
      </c>
      <c r="N472" s="187"/>
      <c r="O472" s="187"/>
      <c r="P472" s="187"/>
      <c r="Q472" s="144" t="s">
        <v>141</v>
      </c>
      <c r="R472" s="90"/>
      <c r="S472" s="90"/>
      <c r="T472" s="65" t="s">
        <v>1244</v>
      </c>
      <c r="U472" s="44"/>
      <c r="V472" s="90"/>
      <c r="W472" s="90"/>
      <c r="X472" s="90"/>
      <c r="Y472" s="188">
        <f t="shared" si="41"/>
        <v>290400</v>
      </c>
      <c r="Z472" s="189">
        <v>0</v>
      </c>
      <c r="AA472" s="188">
        <f t="shared" si="42"/>
        <v>290400</v>
      </c>
      <c r="AB472" s="188">
        <v>0</v>
      </c>
      <c r="AC472" s="188">
        <f t="shared" si="43"/>
        <v>290400</v>
      </c>
      <c r="AD472" s="188">
        <v>290400</v>
      </c>
      <c r="AE472" s="68" t="s">
        <v>102</v>
      </c>
      <c r="AF472" s="68"/>
      <c r="AG472" s="68"/>
      <c r="AH472" s="190"/>
      <c r="AI472" s="191"/>
      <c r="AJ472" s="190"/>
      <c r="AK472" s="192"/>
      <c r="AL472" s="190"/>
      <c r="AM472" s="196" t="s">
        <v>1023</v>
      </c>
    </row>
    <row r="473" spans="1:39" ht="30" hidden="1" customHeight="1" x14ac:dyDescent="0.25">
      <c r="A473" s="135">
        <v>2026</v>
      </c>
      <c r="B473" s="66" t="s">
        <v>60</v>
      </c>
      <c r="C473" s="73" t="s">
        <v>141</v>
      </c>
      <c r="D473" s="144" t="s">
        <v>114</v>
      </c>
      <c r="E473" s="144">
        <v>1</v>
      </c>
      <c r="F473" s="65" t="s">
        <v>1220</v>
      </c>
      <c r="G473" s="144" t="s">
        <v>121</v>
      </c>
      <c r="H473" s="66" t="s">
        <v>126</v>
      </c>
      <c r="I473" s="84">
        <v>20000461</v>
      </c>
      <c r="J473" s="144" t="s">
        <v>132</v>
      </c>
      <c r="K473" s="144" t="s">
        <v>3</v>
      </c>
      <c r="L473" s="66" t="s">
        <v>6</v>
      </c>
      <c r="M473" s="67" t="s">
        <v>22</v>
      </c>
      <c r="N473" s="187"/>
      <c r="O473" s="187"/>
      <c r="P473" s="187"/>
      <c r="Q473" s="144" t="s">
        <v>141</v>
      </c>
      <c r="R473" s="90"/>
      <c r="S473" s="90"/>
      <c r="T473" s="65" t="s">
        <v>1245</v>
      </c>
      <c r="U473" s="44"/>
      <c r="V473" s="90"/>
      <c r="W473" s="90"/>
      <c r="X473" s="90"/>
      <c r="Y473" s="188">
        <f t="shared" si="41"/>
        <v>303600</v>
      </c>
      <c r="Z473" s="189">
        <v>0</v>
      </c>
      <c r="AA473" s="188">
        <f t="shared" si="42"/>
        <v>303600</v>
      </c>
      <c r="AB473" s="188">
        <v>0</v>
      </c>
      <c r="AC473" s="188">
        <f t="shared" si="43"/>
        <v>303600</v>
      </c>
      <c r="AD473" s="188">
        <v>303600</v>
      </c>
      <c r="AE473" s="68" t="s">
        <v>102</v>
      </c>
      <c r="AF473" s="68"/>
      <c r="AG473" s="68"/>
      <c r="AH473" s="190"/>
      <c r="AI473" s="191"/>
      <c r="AJ473" s="190"/>
      <c r="AK473" s="192"/>
      <c r="AL473" s="190"/>
      <c r="AM473" s="196" t="s">
        <v>1023</v>
      </c>
    </row>
    <row r="474" spans="1:39" ht="30" hidden="1" customHeight="1" x14ac:dyDescent="0.25">
      <c r="A474" s="135">
        <v>2026</v>
      </c>
      <c r="B474" s="66" t="s">
        <v>60</v>
      </c>
      <c r="C474" s="73" t="s">
        <v>141</v>
      </c>
      <c r="D474" s="144" t="s">
        <v>114</v>
      </c>
      <c r="E474" s="144">
        <v>1</v>
      </c>
      <c r="F474" s="65" t="s">
        <v>1220</v>
      </c>
      <c r="G474" s="144" t="s">
        <v>121</v>
      </c>
      <c r="H474" s="66" t="s">
        <v>126</v>
      </c>
      <c r="I474" s="84">
        <v>20000458</v>
      </c>
      <c r="J474" s="144" t="s">
        <v>132</v>
      </c>
      <c r="K474" s="144" t="s">
        <v>3</v>
      </c>
      <c r="L474" s="66" t="s">
        <v>6</v>
      </c>
      <c r="M474" s="67" t="s">
        <v>22</v>
      </c>
      <c r="N474" s="187"/>
      <c r="O474" s="187"/>
      <c r="P474" s="187"/>
      <c r="Q474" s="144" t="s">
        <v>141</v>
      </c>
      <c r="R474" s="90"/>
      <c r="S474" s="90"/>
      <c r="T474" s="65" t="s">
        <v>1246</v>
      </c>
      <c r="U474" s="44"/>
      <c r="V474" s="90"/>
      <c r="W474" s="90"/>
      <c r="X474" s="90"/>
      <c r="Y474" s="188">
        <f t="shared" si="41"/>
        <v>288802.8</v>
      </c>
      <c r="Z474" s="189">
        <v>0</v>
      </c>
      <c r="AA474" s="188">
        <f t="shared" si="42"/>
        <v>288802.8</v>
      </c>
      <c r="AB474" s="188">
        <v>0</v>
      </c>
      <c r="AC474" s="188">
        <f t="shared" si="43"/>
        <v>288802.8</v>
      </c>
      <c r="AD474" s="188">
        <v>288802.8</v>
      </c>
      <c r="AE474" s="68" t="s">
        <v>102</v>
      </c>
      <c r="AF474" s="68"/>
      <c r="AG474" s="68"/>
      <c r="AH474" s="190"/>
      <c r="AI474" s="191"/>
      <c r="AJ474" s="190"/>
      <c r="AK474" s="192"/>
      <c r="AL474" s="190"/>
      <c r="AM474" s="196" t="s">
        <v>1023</v>
      </c>
    </row>
    <row r="475" spans="1:39" ht="30" hidden="1" customHeight="1" x14ac:dyDescent="0.25">
      <c r="A475" s="135">
        <v>2026</v>
      </c>
      <c r="B475" s="66" t="s">
        <v>60</v>
      </c>
      <c r="C475" s="73" t="s">
        <v>141</v>
      </c>
      <c r="D475" s="144" t="s">
        <v>114</v>
      </c>
      <c r="E475" s="144">
        <v>1</v>
      </c>
      <c r="F475" s="65" t="s">
        <v>1220</v>
      </c>
      <c r="G475" s="144" t="s">
        <v>121</v>
      </c>
      <c r="H475" s="66" t="s">
        <v>126</v>
      </c>
      <c r="I475" s="84">
        <v>20000463</v>
      </c>
      <c r="J475" s="144" t="s">
        <v>132</v>
      </c>
      <c r="K475" s="144" t="s">
        <v>3</v>
      </c>
      <c r="L475" s="66" t="s">
        <v>6</v>
      </c>
      <c r="M475" s="67" t="s">
        <v>22</v>
      </c>
      <c r="N475" s="187"/>
      <c r="O475" s="187"/>
      <c r="P475" s="187"/>
      <c r="Q475" s="144" t="s">
        <v>141</v>
      </c>
      <c r="R475" s="90"/>
      <c r="S475" s="90"/>
      <c r="T475" s="65" t="s">
        <v>1247</v>
      </c>
      <c r="U475" s="44"/>
      <c r="V475" s="90"/>
      <c r="W475" s="90"/>
      <c r="X475" s="90"/>
      <c r="Y475" s="188">
        <f t="shared" si="41"/>
        <v>406560</v>
      </c>
      <c r="Z475" s="189">
        <v>0</v>
      </c>
      <c r="AA475" s="188">
        <f t="shared" si="42"/>
        <v>406560</v>
      </c>
      <c r="AB475" s="188">
        <v>0</v>
      </c>
      <c r="AC475" s="188">
        <f t="shared" si="43"/>
        <v>406560</v>
      </c>
      <c r="AD475" s="188">
        <v>406560</v>
      </c>
      <c r="AE475" s="68" t="s">
        <v>102</v>
      </c>
      <c r="AF475" s="68"/>
      <c r="AG475" s="68"/>
      <c r="AH475" s="190"/>
      <c r="AI475" s="191"/>
      <c r="AJ475" s="190"/>
      <c r="AK475" s="192"/>
      <c r="AL475" s="190"/>
      <c r="AM475" s="196" t="s">
        <v>1023</v>
      </c>
    </row>
    <row r="476" spans="1:39" ht="30" hidden="1" customHeight="1" x14ac:dyDescent="0.25">
      <c r="A476" s="135">
        <v>2026</v>
      </c>
      <c r="B476" s="66" t="s">
        <v>60</v>
      </c>
      <c r="C476" s="73" t="s">
        <v>141</v>
      </c>
      <c r="D476" s="144" t="s">
        <v>114</v>
      </c>
      <c r="E476" s="144">
        <v>1</v>
      </c>
      <c r="F476" s="65" t="s">
        <v>1220</v>
      </c>
      <c r="G476" s="144" t="s">
        <v>121</v>
      </c>
      <c r="H476" s="66" t="s">
        <v>126</v>
      </c>
      <c r="I476" s="84">
        <v>20000447</v>
      </c>
      <c r="J476" s="144" t="s">
        <v>132</v>
      </c>
      <c r="K476" s="144" t="s">
        <v>3</v>
      </c>
      <c r="L476" s="66" t="s">
        <v>6</v>
      </c>
      <c r="M476" s="67" t="s">
        <v>22</v>
      </c>
      <c r="N476" s="187"/>
      <c r="O476" s="187"/>
      <c r="P476" s="187"/>
      <c r="Q476" s="144" t="s">
        <v>141</v>
      </c>
      <c r="R476" s="90"/>
      <c r="S476" s="90"/>
      <c r="T476" s="65" t="s">
        <v>1248</v>
      </c>
      <c r="U476" s="44"/>
      <c r="V476" s="90"/>
      <c r="W476" s="90"/>
      <c r="X476" s="90"/>
      <c r="Y476" s="188">
        <f t="shared" si="41"/>
        <v>58564</v>
      </c>
      <c r="Z476" s="189">
        <v>0</v>
      </c>
      <c r="AA476" s="188">
        <f t="shared" si="42"/>
        <v>58564</v>
      </c>
      <c r="AB476" s="188">
        <v>0</v>
      </c>
      <c r="AC476" s="188">
        <f t="shared" si="43"/>
        <v>58564</v>
      </c>
      <c r="AD476" s="188">
        <v>58564</v>
      </c>
      <c r="AE476" s="68" t="s">
        <v>102</v>
      </c>
      <c r="AF476" s="68"/>
      <c r="AG476" s="68"/>
      <c r="AH476" s="190"/>
      <c r="AI476" s="191"/>
      <c r="AJ476" s="190"/>
      <c r="AK476" s="192"/>
      <c r="AL476" s="190"/>
      <c r="AM476" s="196" t="s">
        <v>1023</v>
      </c>
    </row>
    <row r="477" spans="1:39" ht="30" hidden="1" customHeight="1" x14ac:dyDescent="0.25">
      <c r="A477" s="135">
        <v>2022</v>
      </c>
      <c r="B477" s="66" t="s">
        <v>60</v>
      </c>
      <c r="C477" s="73" t="s">
        <v>141</v>
      </c>
      <c r="D477" s="144" t="s">
        <v>106</v>
      </c>
      <c r="E477" s="144">
        <v>1</v>
      </c>
      <c r="F477" s="65" t="s">
        <v>1249</v>
      </c>
      <c r="G477" s="144" t="s">
        <v>121</v>
      </c>
      <c r="H477" s="66" t="s">
        <v>126</v>
      </c>
      <c r="I477" s="79" t="s">
        <v>1250</v>
      </c>
      <c r="J477" s="144" t="s">
        <v>131</v>
      </c>
      <c r="K477" s="144" t="s">
        <v>3</v>
      </c>
      <c r="L477" s="66" t="s">
        <v>6</v>
      </c>
      <c r="M477" s="67" t="s">
        <v>922</v>
      </c>
      <c r="N477" s="187"/>
      <c r="O477" s="187"/>
      <c r="P477" s="187"/>
      <c r="Q477" s="144" t="s">
        <v>141</v>
      </c>
      <c r="R477" s="99">
        <v>44844</v>
      </c>
      <c r="S477" s="99">
        <v>46670</v>
      </c>
      <c r="T477" s="65" t="s">
        <v>1251</v>
      </c>
      <c r="U477" s="144">
        <v>2022</v>
      </c>
      <c r="V477" s="90"/>
      <c r="W477" s="90"/>
      <c r="X477" s="99">
        <v>44761</v>
      </c>
      <c r="Y477" s="188">
        <v>6119655.7000000002</v>
      </c>
      <c r="Z477" s="189">
        <v>0</v>
      </c>
      <c r="AA477" s="188">
        <v>7343586.8399999999</v>
      </c>
      <c r="AB477" s="188">
        <v>0</v>
      </c>
      <c r="AC477" s="188">
        <f>Y477</f>
        <v>6119655.7000000002</v>
      </c>
      <c r="AD477" s="188">
        <f>AA477</f>
        <v>7343586.8399999999</v>
      </c>
      <c r="AE477" s="68" t="s">
        <v>102</v>
      </c>
      <c r="AF477" s="68"/>
      <c r="AG477" s="68"/>
      <c r="AH477" s="190"/>
      <c r="AI477" s="191"/>
      <c r="AJ477" s="190"/>
      <c r="AK477" s="192"/>
      <c r="AL477" s="190"/>
      <c r="AM477" s="196"/>
    </row>
    <row r="478" spans="1:39" ht="30" hidden="1" customHeight="1" x14ac:dyDescent="0.25">
      <c r="A478" s="135">
        <v>2023</v>
      </c>
      <c r="B478" s="66" t="s">
        <v>60</v>
      </c>
      <c r="C478" s="73" t="s">
        <v>141</v>
      </c>
      <c r="D478" s="144" t="s">
        <v>106</v>
      </c>
      <c r="E478" s="144">
        <v>1</v>
      </c>
      <c r="F478" s="65" t="s">
        <v>1252</v>
      </c>
      <c r="G478" s="144" t="s">
        <v>121</v>
      </c>
      <c r="H478" s="66" t="s">
        <v>126</v>
      </c>
      <c r="I478" s="79" t="s">
        <v>1253</v>
      </c>
      <c r="J478" s="144" t="s">
        <v>131</v>
      </c>
      <c r="K478" s="144" t="s">
        <v>3</v>
      </c>
      <c r="L478" s="66" t="s">
        <v>6</v>
      </c>
      <c r="M478" s="67" t="s">
        <v>28</v>
      </c>
      <c r="N478" s="187"/>
      <c r="O478" s="187"/>
      <c r="P478" s="187"/>
      <c r="Q478" s="144" t="s">
        <v>141</v>
      </c>
      <c r="R478" s="99">
        <v>45042</v>
      </c>
      <c r="S478" s="99">
        <v>46869</v>
      </c>
      <c r="T478" s="65" t="s">
        <v>1254</v>
      </c>
      <c r="U478" s="144">
        <v>2023</v>
      </c>
      <c r="V478" s="90"/>
      <c r="W478" s="90"/>
      <c r="X478" s="99">
        <v>45028</v>
      </c>
      <c r="Y478" s="188">
        <v>1208077</v>
      </c>
      <c r="Z478" s="189">
        <v>0</v>
      </c>
      <c r="AA478" s="188">
        <v>1449692.4</v>
      </c>
      <c r="AB478" s="188">
        <v>0</v>
      </c>
      <c r="AC478" s="188">
        <f>Y478</f>
        <v>1208077</v>
      </c>
      <c r="AD478" s="188">
        <f>AA478</f>
        <v>1449692.4</v>
      </c>
      <c r="AE478" s="68" t="s">
        <v>102</v>
      </c>
      <c r="AF478" s="68"/>
      <c r="AG478" s="68"/>
      <c r="AH478" s="190"/>
      <c r="AI478" s="191"/>
      <c r="AJ478" s="190"/>
      <c r="AK478" s="192"/>
      <c r="AL478" s="190"/>
      <c r="AM478" s="196"/>
    </row>
    <row r="479" spans="1:39" ht="30" hidden="1" customHeight="1" x14ac:dyDescent="0.25">
      <c r="A479" s="135">
        <v>2021</v>
      </c>
      <c r="B479" s="66" t="s">
        <v>60</v>
      </c>
      <c r="C479" s="73" t="s">
        <v>141</v>
      </c>
      <c r="D479" s="144" t="s">
        <v>106</v>
      </c>
      <c r="E479" s="144">
        <v>1</v>
      </c>
      <c r="F479" s="65" t="s">
        <v>1249</v>
      </c>
      <c r="G479" s="144" t="s">
        <v>121</v>
      </c>
      <c r="H479" s="66" t="s">
        <v>126</v>
      </c>
      <c r="I479" s="79" t="s">
        <v>1255</v>
      </c>
      <c r="J479" s="144" t="s">
        <v>131</v>
      </c>
      <c r="K479" s="144" t="s">
        <v>3</v>
      </c>
      <c r="L479" s="66" t="s">
        <v>6</v>
      </c>
      <c r="M479" s="67" t="s">
        <v>922</v>
      </c>
      <c r="N479" s="187"/>
      <c r="O479" s="187"/>
      <c r="P479" s="187"/>
      <c r="Q479" s="144" t="s">
        <v>141</v>
      </c>
      <c r="R479" s="99">
        <v>44358</v>
      </c>
      <c r="S479" s="99">
        <v>46184</v>
      </c>
      <c r="T479" s="65" t="s">
        <v>1256</v>
      </c>
      <c r="U479" s="144">
        <v>2021</v>
      </c>
      <c r="V479" s="90"/>
      <c r="W479" s="90"/>
      <c r="X479" s="99">
        <v>44312</v>
      </c>
      <c r="Y479" s="188"/>
      <c r="Z479" s="189">
        <v>0</v>
      </c>
      <c r="AA479" s="188">
        <v>2940732</v>
      </c>
      <c r="AB479" s="188">
        <v>0</v>
      </c>
      <c r="AC479" s="188"/>
      <c r="AD479" s="188">
        <v>2940732</v>
      </c>
      <c r="AE479" s="68" t="s">
        <v>102</v>
      </c>
      <c r="AF479" s="68"/>
      <c r="AG479" s="68"/>
      <c r="AH479" s="190"/>
      <c r="AI479" s="191"/>
      <c r="AJ479" s="190"/>
      <c r="AK479" s="192"/>
      <c r="AL479" s="190"/>
      <c r="AM479" s="196" t="s">
        <v>1257</v>
      </c>
    </row>
    <row r="480" spans="1:39" ht="30" hidden="1" customHeight="1" x14ac:dyDescent="0.25">
      <c r="A480" s="135">
        <v>2023</v>
      </c>
      <c r="B480" s="66" t="s">
        <v>60</v>
      </c>
      <c r="C480" s="73" t="s">
        <v>141</v>
      </c>
      <c r="D480" s="144" t="s">
        <v>106</v>
      </c>
      <c r="E480" s="144">
        <v>1</v>
      </c>
      <c r="F480" s="65" t="s">
        <v>1252</v>
      </c>
      <c r="G480" s="144" t="s">
        <v>121</v>
      </c>
      <c r="H480" s="66" t="s">
        <v>126</v>
      </c>
      <c r="I480" s="79" t="s">
        <v>1258</v>
      </c>
      <c r="J480" s="144" t="s">
        <v>131</v>
      </c>
      <c r="K480" s="144" t="s">
        <v>3</v>
      </c>
      <c r="L480" s="66" t="s">
        <v>6</v>
      </c>
      <c r="M480" s="67" t="s">
        <v>28</v>
      </c>
      <c r="N480" s="187"/>
      <c r="O480" s="187"/>
      <c r="P480" s="187"/>
      <c r="Q480" s="144" t="s">
        <v>141</v>
      </c>
      <c r="R480" s="99">
        <v>45042</v>
      </c>
      <c r="S480" s="99">
        <v>46869</v>
      </c>
      <c r="T480" s="65" t="s">
        <v>1259</v>
      </c>
      <c r="U480" s="144">
        <v>2023</v>
      </c>
      <c r="V480" s="90"/>
      <c r="W480" s="90"/>
      <c r="X480" s="99">
        <v>45028</v>
      </c>
      <c r="Y480" s="188">
        <v>572137.5</v>
      </c>
      <c r="Z480" s="189">
        <v>0</v>
      </c>
      <c r="AA480" s="188">
        <v>686565</v>
      </c>
      <c r="AB480" s="188">
        <v>0</v>
      </c>
      <c r="AC480" s="188">
        <f>Y480</f>
        <v>572137.5</v>
      </c>
      <c r="AD480" s="188">
        <f>AA480</f>
        <v>686565</v>
      </c>
      <c r="AE480" s="68" t="s">
        <v>102</v>
      </c>
      <c r="AF480" s="68"/>
      <c r="AG480" s="68"/>
      <c r="AH480" s="190"/>
      <c r="AI480" s="191"/>
      <c r="AJ480" s="190"/>
      <c r="AK480" s="192"/>
      <c r="AL480" s="190"/>
      <c r="AM480" s="196"/>
    </row>
    <row r="481" spans="1:39" ht="30" hidden="1" customHeight="1" x14ac:dyDescent="0.25">
      <c r="A481" s="135">
        <v>2023</v>
      </c>
      <c r="B481" s="66" t="s">
        <v>60</v>
      </c>
      <c r="C481" s="73" t="s">
        <v>141</v>
      </c>
      <c r="D481" s="144" t="s">
        <v>106</v>
      </c>
      <c r="E481" s="144">
        <v>1</v>
      </c>
      <c r="F481" s="65" t="s">
        <v>1260</v>
      </c>
      <c r="G481" s="144" t="s">
        <v>121</v>
      </c>
      <c r="H481" s="66" t="s">
        <v>126</v>
      </c>
      <c r="I481" s="79" t="s">
        <v>1261</v>
      </c>
      <c r="J481" s="144" t="s">
        <v>131</v>
      </c>
      <c r="K481" s="144" t="s">
        <v>3</v>
      </c>
      <c r="L481" s="66" t="s">
        <v>6</v>
      </c>
      <c r="M481" s="67" t="s">
        <v>874</v>
      </c>
      <c r="N481" s="200"/>
      <c r="O481" s="200"/>
      <c r="P481" s="200"/>
      <c r="Q481" s="144" t="s">
        <v>141</v>
      </c>
      <c r="R481" s="99">
        <v>44959</v>
      </c>
      <c r="S481" s="99">
        <v>46055</v>
      </c>
      <c r="T481" s="65" t="s">
        <v>875</v>
      </c>
      <c r="U481" s="144">
        <v>2023</v>
      </c>
      <c r="V481" s="97"/>
      <c r="W481" s="97"/>
      <c r="X481" s="99">
        <v>44957</v>
      </c>
      <c r="Y481" s="188"/>
      <c r="Z481" s="189">
        <v>0</v>
      </c>
      <c r="AA481" s="188">
        <v>867981.07</v>
      </c>
      <c r="AB481" s="188">
        <v>0</v>
      </c>
      <c r="AC481" s="188"/>
      <c r="AD481" s="188">
        <v>867981.07</v>
      </c>
      <c r="AE481" s="68" t="s">
        <v>102</v>
      </c>
      <c r="AF481" s="68"/>
      <c r="AG481" s="68"/>
      <c r="AH481" s="190"/>
      <c r="AI481" s="191"/>
      <c r="AJ481" s="190"/>
      <c r="AK481" s="192"/>
      <c r="AL481" s="190"/>
      <c r="AM481" s="212" t="s">
        <v>1262</v>
      </c>
    </row>
    <row r="482" spans="1:39" ht="30" hidden="1" customHeight="1" x14ac:dyDescent="0.25">
      <c r="A482" s="135">
        <v>2023</v>
      </c>
      <c r="B482" s="66" t="s">
        <v>60</v>
      </c>
      <c r="C482" s="73" t="s">
        <v>141</v>
      </c>
      <c r="D482" s="144" t="s">
        <v>106</v>
      </c>
      <c r="E482" s="144">
        <v>1</v>
      </c>
      <c r="F482" s="65" t="s">
        <v>1249</v>
      </c>
      <c r="G482" s="144" t="s">
        <v>121</v>
      </c>
      <c r="H482" s="66" t="s">
        <v>126</v>
      </c>
      <c r="I482" s="79" t="s">
        <v>1263</v>
      </c>
      <c r="J482" s="144" t="s">
        <v>131</v>
      </c>
      <c r="K482" s="144" t="s">
        <v>3</v>
      </c>
      <c r="L482" s="66" t="s">
        <v>6</v>
      </c>
      <c r="M482" s="67" t="s">
        <v>922</v>
      </c>
      <c r="N482" s="187"/>
      <c r="O482" s="187"/>
      <c r="P482" s="187"/>
      <c r="Q482" s="144" t="s">
        <v>141</v>
      </c>
      <c r="R482" s="99">
        <v>45378</v>
      </c>
      <c r="S482" s="99">
        <v>47204</v>
      </c>
      <c r="T482" s="65" t="s">
        <v>1256</v>
      </c>
      <c r="U482" s="144">
        <v>2023</v>
      </c>
      <c r="V482" s="90"/>
      <c r="W482" s="90"/>
      <c r="X482" s="99">
        <v>45288</v>
      </c>
      <c r="Y482" s="188">
        <v>333060</v>
      </c>
      <c r="Z482" s="189">
        <v>0</v>
      </c>
      <c r="AA482" s="188">
        <v>399672</v>
      </c>
      <c r="AB482" s="188">
        <v>0</v>
      </c>
      <c r="AC482" s="188">
        <f>Y482</f>
        <v>333060</v>
      </c>
      <c r="AD482" s="188">
        <f>AA482</f>
        <v>399672</v>
      </c>
      <c r="AE482" s="68" t="s">
        <v>102</v>
      </c>
      <c r="AF482" s="68"/>
      <c r="AG482" s="68"/>
      <c r="AH482" s="190"/>
      <c r="AI482" s="191"/>
      <c r="AJ482" s="190"/>
      <c r="AK482" s="192"/>
      <c r="AL482" s="190"/>
      <c r="AM482" s="196"/>
    </row>
    <row r="483" spans="1:39" ht="30" hidden="1" customHeight="1" x14ac:dyDescent="0.25">
      <c r="A483" s="135">
        <v>2022</v>
      </c>
      <c r="B483" s="66" t="s">
        <v>60</v>
      </c>
      <c r="C483" s="73" t="s">
        <v>141</v>
      </c>
      <c r="D483" s="144" t="s">
        <v>106</v>
      </c>
      <c r="E483" s="144">
        <v>1</v>
      </c>
      <c r="F483" s="65" t="s">
        <v>1249</v>
      </c>
      <c r="G483" s="144" t="s">
        <v>121</v>
      </c>
      <c r="H483" s="66" t="s">
        <v>126</v>
      </c>
      <c r="I483" s="79" t="s">
        <v>1264</v>
      </c>
      <c r="J483" s="144" t="s">
        <v>131</v>
      </c>
      <c r="K483" s="144" t="s">
        <v>3</v>
      </c>
      <c r="L483" s="66" t="s">
        <v>6</v>
      </c>
      <c r="M483" s="67" t="s">
        <v>922</v>
      </c>
      <c r="N483" s="187"/>
      <c r="O483" s="187"/>
      <c r="P483" s="187"/>
      <c r="Q483" s="144" t="s">
        <v>141</v>
      </c>
      <c r="R483" s="99">
        <v>45650</v>
      </c>
      <c r="S483" s="99">
        <v>47476</v>
      </c>
      <c r="T483" s="65" t="s">
        <v>1251</v>
      </c>
      <c r="U483" s="144">
        <v>2024</v>
      </c>
      <c r="V483" s="90"/>
      <c r="W483" s="90"/>
      <c r="X483" s="99">
        <v>45559</v>
      </c>
      <c r="Y483" s="188">
        <v>2891971.65</v>
      </c>
      <c r="Z483" s="189">
        <v>0</v>
      </c>
      <c r="AA483" s="188">
        <v>3470365.98</v>
      </c>
      <c r="AB483" s="188">
        <v>0</v>
      </c>
      <c r="AC483" s="188">
        <f>Y483</f>
        <v>2891971.65</v>
      </c>
      <c r="AD483" s="188">
        <f>AA483</f>
        <v>3470365.98</v>
      </c>
      <c r="AE483" s="68" t="s">
        <v>102</v>
      </c>
      <c r="AF483" s="68"/>
      <c r="AG483" s="68"/>
      <c r="AH483" s="190"/>
      <c r="AI483" s="191"/>
      <c r="AJ483" s="190"/>
      <c r="AK483" s="192"/>
      <c r="AL483" s="190"/>
      <c r="AM483" s="196"/>
    </row>
    <row r="484" spans="1:39" ht="30" hidden="1" customHeight="1" x14ac:dyDescent="0.25">
      <c r="A484" s="135">
        <v>2025</v>
      </c>
      <c r="B484" s="66" t="s">
        <v>60</v>
      </c>
      <c r="C484" s="73" t="s">
        <v>141</v>
      </c>
      <c r="D484" s="144" t="s">
        <v>106</v>
      </c>
      <c r="E484" s="144">
        <v>1</v>
      </c>
      <c r="F484" s="65" t="s">
        <v>1265</v>
      </c>
      <c r="G484" s="144" t="s">
        <v>121</v>
      </c>
      <c r="H484" s="66" t="s">
        <v>126</v>
      </c>
      <c r="I484" s="79" t="s">
        <v>1266</v>
      </c>
      <c r="J484" s="144" t="s">
        <v>131</v>
      </c>
      <c r="K484" s="144" t="s">
        <v>3</v>
      </c>
      <c r="L484" s="66" t="s">
        <v>6</v>
      </c>
      <c r="M484" s="67" t="s">
        <v>874</v>
      </c>
      <c r="N484" s="187"/>
      <c r="O484" s="187"/>
      <c r="P484" s="187"/>
      <c r="Q484" s="144" t="s">
        <v>141</v>
      </c>
      <c r="R484" s="99">
        <v>45778</v>
      </c>
      <c r="S484" s="99">
        <v>46874</v>
      </c>
      <c r="T484" s="65" t="s">
        <v>875</v>
      </c>
      <c r="U484" s="144">
        <v>2025</v>
      </c>
      <c r="V484" s="90"/>
      <c r="W484" s="90"/>
      <c r="X484" s="99">
        <v>45777</v>
      </c>
      <c r="Y484" s="188">
        <f>+AA484/1.2</f>
        <v>34337901.666666672</v>
      </c>
      <c r="Z484" s="189">
        <v>0</v>
      </c>
      <c r="AA484" s="188">
        <v>41205482</v>
      </c>
      <c r="AB484" s="188">
        <v>0</v>
      </c>
      <c r="AC484" s="188">
        <f>+Y484</f>
        <v>34337901.666666672</v>
      </c>
      <c r="AD484" s="188">
        <f>+AA484</f>
        <v>41205482</v>
      </c>
      <c r="AE484" s="68" t="s">
        <v>102</v>
      </c>
      <c r="AF484" s="68"/>
      <c r="AG484" s="68"/>
      <c r="AH484" s="190"/>
      <c r="AI484" s="191"/>
      <c r="AJ484" s="190"/>
      <c r="AK484" s="192"/>
      <c r="AL484" s="190"/>
      <c r="AM484" s="196"/>
    </row>
    <row r="485" spans="1:39" ht="30" hidden="1" customHeight="1" x14ac:dyDescent="0.25">
      <c r="A485" s="135">
        <v>2025</v>
      </c>
      <c r="B485" s="66" t="s">
        <v>60</v>
      </c>
      <c r="C485" s="73" t="s">
        <v>141</v>
      </c>
      <c r="D485" s="144" t="s">
        <v>106</v>
      </c>
      <c r="E485" s="144">
        <v>1</v>
      </c>
      <c r="F485" s="65" t="s">
        <v>1267</v>
      </c>
      <c r="G485" s="144" t="s">
        <v>121</v>
      </c>
      <c r="H485" s="66" t="s">
        <v>126</v>
      </c>
      <c r="I485" s="79" t="s">
        <v>1268</v>
      </c>
      <c r="J485" s="144" t="s">
        <v>131</v>
      </c>
      <c r="K485" s="144" t="s">
        <v>3</v>
      </c>
      <c r="L485" s="66" t="s">
        <v>6</v>
      </c>
      <c r="M485" s="67" t="s">
        <v>25</v>
      </c>
      <c r="N485" s="187"/>
      <c r="O485" s="187"/>
      <c r="P485" s="187"/>
      <c r="Q485" s="144" t="s">
        <v>141</v>
      </c>
      <c r="R485" s="99">
        <v>45981</v>
      </c>
      <c r="S485" s="99">
        <v>47457</v>
      </c>
      <c r="T485" s="65" t="s">
        <v>1269</v>
      </c>
      <c r="U485" s="144">
        <v>2025</v>
      </c>
      <c r="V485" s="90"/>
      <c r="W485" s="90"/>
      <c r="X485" s="99">
        <v>45981</v>
      </c>
      <c r="Y485" s="188">
        <v>150080</v>
      </c>
      <c r="Z485" s="189">
        <v>0</v>
      </c>
      <c r="AA485" s="188">
        <v>180096</v>
      </c>
      <c r="AB485" s="188">
        <v>0</v>
      </c>
      <c r="AC485" s="188">
        <v>150080</v>
      </c>
      <c r="AD485" s="188">
        <v>180096</v>
      </c>
      <c r="AE485" s="68" t="s">
        <v>102</v>
      </c>
      <c r="AF485" s="68"/>
      <c r="AG485" s="68"/>
      <c r="AH485" s="190"/>
      <c r="AI485" s="191"/>
      <c r="AJ485" s="190"/>
      <c r="AK485" s="192"/>
      <c r="AL485" s="190"/>
      <c r="AM485" s="196"/>
    </row>
    <row r="486" spans="1:39" ht="30" hidden="1" customHeight="1" x14ac:dyDescent="0.25">
      <c r="A486" s="135">
        <v>2025</v>
      </c>
      <c r="B486" s="66" t="s">
        <v>60</v>
      </c>
      <c r="C486" s="73" t="s">
        <v>141</v>
      </c>
      <c r="D486" s="144" t="s">
        <v>114</v>
      </c>
      <c r="E486" s="144">
        <v>1</v>
      </c>
      <c r="F486" s="65" t="s">
        <v>1270</v>
      </c>
      <c r="G486" s="144" t="s">
        <v>121</v>
      </c>
      <c r="H486" s="66" t="s">
        <v>126</v>
      </c>
      <c r="I486" s="79" t="s">
        <v>1271</v>
      </c>
      <c r="J486" s="144" t="s">
        <v>132</v>
      </c>
      <c r="K486" s="144" t="s">
        <v>3</v>
      </c>
      <c r="L486" s="66" t="s">
        <v>6</v>
      </c>
      <c r="M486" s="67" t="s">
        <v>1272</v>
      </c>
      <c r="N486" s="187"/>
      <c r="O486" s="187"/>
      <c r="P486" s="187"/>
      <c r="Q486" s="144" t="s">
        <v>141</v>
      </c>
      <c r="R486" s="99">
        <v>45761</v>
      </c>
      <c r="S486" s="99">
        <v>46856</v>
      </c>
      <c r="T486" s="65" t="s">
        <v>1273</v>
      </c>
      <c r="U486" s="144">
        <v>2025</v>
      </c>
      <c r="V486" s="90"/>
      <c r="W486" s="90"/>
      <c r="X486" s="89"/>
      <c r="Y486" s="188">
        <v>8891000</v>
      </c>
      <c r="Z486" s="189">
        <v>0</v>
      </c>
      <c r="AA486" s="188">
        <v>9780100</v>
      </c>
      <c r="AB486" s="188">
        <v>0</v>
      </c>
      <c r="AC486" s="188">
        <v>8891000</v>
      </c>
      <c r="AD486" s="188">
        <f>AA486</f>
        <v>9780100</v>
      </c>
      <c r="AE486" s="68" t="s">
        <v>102</v>
      </c>
      <c r="AF486" s="68"/>
      <c r="AG486" s="68"/>
      <c r="AH486" s="190"/>
      <c r="AI486" s="191"/>
      <c r="AJ486" s="190"/>
      <c r="AK486" s="192"/>
      <c r="AL486" s="190"/>
      <c r="AM486" s="196"/>
    </row>
    <row r="487" spans="1:39" ht="30" hidden="1" customHeight="1" x14ac:dyDescent="0.25">
      <c r="A487" s="135">
        <v>2025</v>
      </c>
      <c r="B487" s="66" t="s">
        <v>60</v>
      </c>
      <c r="C487" s="73" t="s">
        <v>141</v>
      </c>
      <c r="D487" s="144" t="s">
        <v>114</v>
      </c>
      <c r="E487" s="144">
        <v>1</v>
      </c>
      <c r="F487" s="65" t="s">
        <v>1274</v>
      </c>
      <c r="G487" s="144" t="s">
        <v>121</v>
      </c>
      <c r="H487" s="66" t="s">
        <v>126</v>
      </c>
      <c r="I487" s="79" t="s">
        <v>1275</v>
      </c>
      <c r="J487" s="144" t="s">
        <v>132</v>
      </c>
      <c r="K487" s="144" t="s">
        <v>3</v>
      </c>
      <c r="L487" s="66" t="s">
        <v>6</v>
      </c>
      <c r="M487" s="67" t="s">
        <v>23</v>
      </c>
      <c r="N487" s="187"/>
      <c r="O487" s="187"/>
      <c r="P487" s="187"/>
      <c r="Q487" s="144" t="s">
        <v>141</v>
      </c>
      <c r="R487" s="99">
        <v>45658</v>
      </c>
      <c r="S487" s="99">
        <v>47118</v>
      </c>
      <c r="T487" s="65" t="s">
        <v>918</v>
      </c>
      <c r="U487" s="144">
        <v>2025</v>
      </c>
      <c r="V487" s="90"/>
      <c r="W487" s="90"/>
      <c r="X487" s="89"/>
      <c r="Y487" s="213"/>
      <c r="Z487" s="189">
        <v>0</v>
      </c>
      <c r="AA487" s="188">
        <v>400000</v>
      </c>
      <c r="AB487" s="188">
        <v>0</v>
      </c>
      <c r="AC487" s="213"/>
      <c r="AD487" s="188">
        <f>AA487</f>
        <v>400000</v>
      </c>
      <c r="AE487" s="68" t="s">
        <v>102</v>
      </c>
      <c r="AF487" s="68"/>
      <c r="AG487" s="68"/>
      <c r="AH487" s="190"/>
      <c r="AI487" s="191"/>
      <c r="AJ487" s="190"/>
      <c r="AK487" s="192"/>
      <c r="AL487" s="190"/>
      <c r="AM487" s="196"/>
    </row>
    <row r="488" spans="1:39" ht="30" hidden="1" customHeight="1" x14ac:dyDescent="0.25">
      <c r="A488" s="135" t="s">
        <v>354</v>
      </c>
      <c r="B488" s="66" t="s">
        <v>60</v>
      </c>
      <c r="C488" s="73" t="s">
        <v>141</v>
      </c>
      <c r="D488" s="144" t="s">
        <v>114</v>
      </c>
      <c r="E488" s="144">
        <v>1</v>
      </c>
      <c r="F488" s="65" t="s">
        <v>1276</v>
      </c>
      <c r="G488" s="144" t="s">
        <v>121</v>
      </c>
      <c r="H488" s="66" t="s">
        <v>126</v>
      </c>
      <c r="I488" s="79"/>
      <c r="J488" s="144" t="s">
        <v>132</v>
      </c>
      <c r="K488" s="144" t="s">
        <v>3</v>
      </c>
      <c r="L488" s="66" t="s">
        <v>6</v>
      </c>
      <c r="M488" s="67" t="s">
        <v>25</v>
      </c>
      <c r="N488" s="187"/>
      <c r="O488" s="187"/>
      <c r="P488" s="187"/>
      <c r="Q488" s="144" t="s">
        <v>141</v>
      </c>
      <c r="R488" s="99"/>
      <c r="S488" s="99"/>
      <c r="T488" s="65" t="s">
        <v>1269</v>
      </c>
      <c r="U488" s="144">
        <v>2025</v>
      </c>
      <c r="V488" s="90"/>
      <c r="W488" s="90"/>
      <c r="X488" s="89"/>
      <c r="Y488" s="213"/>
      <c r="Z488" s="189">
        <v>0</v>
      </c>
      <c r="AA488" s="188">
        <v>1100000</v>
      </c>
      <c r="AB488" s="188">
        <v>0</v>
      </c>
      <c r="AC488" s="213"/>
      <c r="AD488" s="188">
        <f>AA488</f>
        <v>1100000</v>
      </c>
      <c r="AE488" s="68" t="s">
        <v>102</v>
      </c>
      <c r="AF488" s="68"/>
      <c r="AG488" s="68"/>
      <c r="AH488" s="190"/>
      <c r="AI488" s="191"/>
      <c r="AJ488" s="190"/>
      <c r="AK488" s="192"/>
      <c r="AL488" s="190"/>
      <c r="AM488" s="196"/>
    </row>
    <row r="489" spans="1:39" ht="30" hidden="1" customHeight="1" x14ac:dyDescent="0.25">
      <c r="A489" s="135" t="s">
        <v>354</v>
      </c>
      <c r="B489" s="66" t="s">
        <v>60</v>
      </c>
      <c r="C489" s="73" t="s">
        <v>141</v>
      </c>
      <c r="D489" s="144" t="s">
        <v>114</v>
      </c>
      <c r="E489" s="144"/>
      <c r="F489" s="65" t="s">
        <v>1277</v>
      </c>
      <c r="G489" s="144" t="s">
        <v>121</v>
      </c>
      <c r="H489" s="66" t="s">
        <v>126</v>
      </c>
      <c r="I489" s="79" t="s">
        <v>1278</v>
      </c>
      <c r="J489" s="144" t="s">
        <v>132</v>
      </c>
      <c r="K489" s="144" t="s">
        <v>3</v>
      </c>
      <c r="L489" s="66" t="s">
        <v>6</v>
      </c>
      <c r="M489" s="67" t="s">
        <v>26</v>
      </c>
      <c r="N489" s="187"/>
      <c r="O489" s="187"/>
      <c r="P489" s="187"/>
      <c r="Q489" s="144" t="s">
        <v>141</v>
      </c>
      <c r="R489" s="99"/>
      <c r="S489" s="99"/>
      <c r="T489" s="65" t="s">
        <v>1279</v>
      </c>
      <c r="U489" s="47"/>
      <c r="V489" s="90"/>
      <c r="W489" s="90"/>
      <c r="X489" s="89"/>
      <c r="Y489" s="213"/>
      <c r="Z489" s="189">
        <v>0</v>
      </c>
      <c r="AA489" s="188">
        <v>1200000</v>
      </c>
      <c r="AB489" s="188">
        <v>0</v>
      </c>
      <c r="AC489" s="213"/>
      <c r="AD489" s="188">
        <f>AA489</f>
        <v>1200000</v>
      </c>
      <c r="AE489" s="68" t="s">
        <v>102</v>
      </c>
      <c r="AF489" s="68"/>
      <c r="AG489" s="68"/>
      <c r="AH489" s="190"/>
      <c r="AI489" s="191"/>
      <c r="AJ489" s="190"/>
      <c r="AK489" s="192"/>
      <c r="AL489" s="190"/>
      <c r="AM489" s="196"/>
    </row>
    <row r="490" spans="1:39" ht="30" hidden="1" customHeight="1" x14ac:dyDescent="0.25">
      <c r="A490" s="135" t="s">
        <v>354</v>
      </c>
      <c r="B490" s="66" t="s">
        <v>60</v>
      </c>
      <c r="C490" s="73" t="s">
        <v>141</v>
      </c>
      <c r="D490" s="144" t="s">
        <v>114</v>
      </c>
      <c r="E490" s="144">
        <v>1</v>
      </c>
      <c r="F490" s="65" t="s">
        <v>1280</v>
      </c>
      <c r="G490" s="144" t="s">
        <v>121</v>
      </c>
      <c r="H490" s="66" t="s">
        <v>126</v>
      </c>
      <c r="I490" s="79"/>
      <c r="J490" s="144" t="s">
        <v>132</v>
      </c>
      <c r="K490" s="144" t="s">
        <v>3</v>
      </c>
      <c r="L490" s="66" t="s">
        <v>6</v>
      </c>
      <c r="M490" s="67" t="s">
        <v>28</v>
      </c>
      <c r="N490" s="187"/>
      <c r="O490" s="187"/>
      <c r="P490" s="187"/>
      <c r="Q490" s="144" t="s">
        <v>141</v>
      </c>
      <c r="R490" s="99"/>
      <c r="S490" s="99"/>
      <c r="T490" s="74"/>
      <c r="U490" s="47"/>
      <c r="V490" s="90"/>
      <c r="W490" s="90"/>
      <c r="X490" s="89"/>
      <c r="Y490" s="213"/>
      <c r="Z490" s="189">
        <v>0</v>
      </c>
      <c r="AA490" s="188">
        <v>318</v>
      </c>
      <c r="AB490" s="188">
        <v>0</v>
      </c>
      <c r="AC490" s="213"/>
      <c r="AD490" s="188">
        <f t="shared" ref="AD490:AD496" si="44">+AA490</f>
        <v>318</v>
      </c>
      <c r="AE490" s="68" t="s">
        <v>102</v>
      </c>
      <c r="AF490" s="68"/>
      <c r="AG490" s="68"/>
      <c r="AH490" s="190"/>
      <c r="AI490" s="191"/>
      <c r="AJ490" s="190"/>
      <c r="AK490" s="192"/>
      <c r="AL490" s="190"/>
      <c r="AM490" s="196"/>
    </row>
    <row r="491" spans="1:39" ht="30" hidden="1" customHeight="1" x14ac:dyDescent="0.25">
      <c r="A491" s="135" t="s">
        <v>354</v>
      </c>
      <c r="B491" s="66" t="s">
        <v>60</v>
      </c>
      <c r="C491" s="73" t="s">
        <v>141</v>
      </c>
      <c r="D491" s="144" t="s">
        <v>114</v>
      </c>
      <c r="E491" s="144">
        <v>1</v>
      </c>
      <c r="F491" s="65" t="s">
        <v>1281</v>
      </c>
      <c r="G491" s="144" t="s">
        <v>121</v>
      </c>
      <c r="H491" s="66" t="s">
        <v>126</v>
      </c>
      <c r="I491" s="65">
        <v>302220000247</v>
      </c>
      <c r="J491" s="144" t="s">
        <v>132</v>
      </c>
      <c r="K491" s="144" t="s">
        <v>3</v>
      </c>
      <c r="L491" s="66" t="s">
        <v>6</v>
      </c>
      <c r="M491" s="67" t="s">
        <v>23</v>
      </c>
      <c r="N491" s="187"/>
      <c r="O491" s="187"/>
      <c r="P491" s="187"/>
      <c r="Q491" s="144" t="s">
        <v>141</v>
      </c>
      <c r="R491" s="99"/>
      <c r="S491" s="99"/>
      <c r="T491" s="74"/>
      <c r="U491" s="47"/>
      <c r="V491" s="90"/>
      <c r="W491" s="90"/>
      <c r="X491" s="89"/>
      <c r="Y491" s="213"/>
      <c r="Z491" s="189">
        <v>0</v>
      </c>
      <c r="AA491" s="188">
        <v>5000000</v>
      </c>
      <c r="AB491" s="188">
        <v>0</v>
      </c>
      <c r="AC491" s="213"/>
      <c r="AD491" s="188">
        <f t="shared" si="44"/>
        <v>5000000</v>
      </c>
      <c r="AE491" s="68" t="s">
        <v>102</v>
      </c>
      <c r="AF491" s="68"/>
      <c r="AG491" s="68"/>
      <c r="AH491" s="190"/>
      <c r="AI491" s="191"/>
      <c r="AJ491" s="190"/>
      <c r="AK491" s="192"/>
      <c r="AL491" s="190"/>
      <c r="AM491" s="196"/>
    </row>
    <row r="492" spans="1:39" ht="30" hidden="1" customHeight="1" x14ac:dyDescent="0.25">
      <c r="A492" s="135" t="s">
        <v>354</v>
      </c>
      <c r="B492" s="66" t="s">
        <v>60</v>
      </c>
      <c r="C492" s="73" t="s">
        <v>141</v>
      </c>
      <c r="D492" s="144" t="s">
        <v>114</v>
      </c>
      <c r="E492" s="144">
        <v>1</v>
      </c>
      <c r="F492" s="65" t="s">
        <v>1282</v>
      </c>
      <c r="G492" s="144" t="s">
        <v>121</v>
      </c>
      <c r="H492" s="66" t="s">
        <v>126</v>
      </c>
      <c r="I492" s="79" t="s">
        <v>1283</v>
      </c>
      <c r="J492" s="144" t="s">
        <v>132</v>
      </c>
      <c r="K492" s="144" t="s">
        <v>3</v>
      </c>
      <c r="L492" s="66" t="s">
        <v>6</v>
      </c>
      <c r="M492" s="67" t="s">
        <v>28</v>
      </c>
      <c r="N492" s="187"/>
      <c r="O492" s="187"/>
      <c r="P492" s="187"/>
      <c r="Q492" s="144" t="s">
        <v>141</v>
      </c>
      <c r="R492" s="99"/>
      <c r="S492" s="99"/>
      <c r="T492" s="74"/>
      <c r="U492" s="47"/>
      <c r="V492" s="90"/>
      <c r="W492" s="90"/>
      <c r="X492" s="89"/>
      <c r="Y492" s="213"/>
      <c r="Z492" s="189">
        <v>0</v>
      </c>
      <c r="AA492" s="188">
        <v>70000</v>
      </c>
      <c r="AB492" s="188">
        <v>0</v>
      </c>
      <c r="AC492" s="213"/>
      <c r="AD492" s="188">
        <f t="shared" si="44"/>
        <v>70000</v>
      </c>
      <c r="AE492" s="68" t="s">
        <v>102</v>
      </c>
      <c r="AF492" s="68"/>
      <c r="AG492" s="68"/>
      <c r="AH492" s="190"/>
      <c r="AI492" s="191"/>
      <c r="AJ492" s="190"/>
      <c r="AK492" s="192"/>
      <c r="AL492" s="190"/>
      <c r="AM492" s="196"/>
    </row>
    <row r="493" spans="1:39" ht="30" hidden="1" customHeight="1" x14ac:dyDescent="0.25">
      <c r="A493" s="135" t="s">
        <v>354</v>
      </c>
      <c r="B493" s="66" t="s">
        <v>60</v>
      </c>
      <c r="C493" s="73" t="s">
        <v>141</v>
      </c>
      <c r="D493" s="144" t="s">
        <v>114</v>
      </c>
      <c r="E493" s="144">
        <v>1</v>
      </c>
      <c r="F493" s="65" t="s">
        <v>1284</v>
      </c>
      <c r="G493" s="144" t="s">
        <v>121</v>
      </c>
      <c r="H493" s="66" t="s">
        <v>126</v>
      </c>
      <c r="I493" s="79" t="s">
        <v>1285</v>
      </c>
      <c r="J493" s="144" t="s">
        <v>132</v>
      </c>
      <c r="K493" s="144" t="s">
        <v>3</v>
      </c>
      <c r="L493" s="66" t="s">
        <v>6</v>
      </c>
      <c r="M493" s="67" t="s">
        <v>28</v>
      </c>
      <c r="N493" s="187"/>
      <c r="O493" s="187"/>
      <c r="P493" s="187"/>
      <c r="Q493" s="144" t="s">
        <v>141</v>
      </c>
      <c r="R493" s="99"/>
      <c r="S493" s="99"/>
      <c r="T493" s="74"/>
      <c r="U493" s="47"/>
      <c r="V493" s="90"/>
      <c r="W493" s="90"/>
      <c r="X493" s="89"/>
      <c r="Y493" s="213"/>
      <c r="Z493" s="189">
        <v>0</v>
      </c>
      <c r="AA493" s="188">
        <v>5000</v>
      </c>
      <c r="AB493" s="188">
        <v>0</v>
      </c>
      <c r="AC493" s="213"/>
      <c r="AD493" s="188">
        <f t="shared" si="44"/>
        <v>5000</v>
      </c>
      <c r="AE493" s="68" t="s">
        <v>102</v>
      </c>
      <c r="AF493" s="68"/>
      <c r="AG493" s="68"/>
      <c r="AH493" s="190"/>
      <c r="AI493" s="191"/>
      <c r="AJ493" s="190"/>
      <c r="AK493" s="192"/>
      <c r="AL493" s="190"/>
      <c r="AM493" s="196"/>
    </row>
    <row r="494" spans="1:39" ht="30" hidden="1" customHeight="1" x14ac:dyDescent="0.25">
      <c r="A494" s="135" t="s">
        <v>354</v>
      </c>
      <c r="B494" s="66" t="s">
        <v>60</v>
      </c>
      <c r="C494" s="73" t="s">
        <v>141</v>
      </c>
      <c r="D494" s="144" t="s">
        <v>114</v>
      </c>
      <c r="E494" s="144">
        <v>1</v>
      </c>
      <c r="F494" s="65" t="s">
        <v>1286</v>
      </c>
      <c r="G494" s="144" t="s">
        <v>121</v>
      </c>
      <c r="H494" s="66" t="s">
        <v>126</v>
      </c>
      <c r="I494" s="79" t="s">
        <v>1287</v>
      </c>
      <c r="J494" s="144" t="s">
        <v>132</v>
      </c>
      <c r="K494" s="144" t="s">
        <v>3</v>
      </c>
      <c r="L494" s="66" t="s">
        <v>6</v>
      </c>
      <c r="M494" s="67" t="s">
        <v>26</v>
      </c>
      <c r="N494" s="187"/>
      <c r="O494" s="187"/>
      <c r="P494" s="187"/>
      <c r="Q494" s="144" t="s">
        <v>141</v>
      </c>
      <c r="R494" s="99"/>
      <c r="S494" s="99"/>
      <c r="T494" s="74"/>
      <c r="U494" s="47"/>
      <c r="V494" s="90"/>
      <c r="W494" s="90"/>
      <c r="X494" s="89"/>
      <c r="Y494" s="213"/>
      <c r="Z494" s="189">
        <v>0</v>
      </c>
      <c r="AA494" s="188">
        <v>4000000</v>
      </c>
      <c r="AB494" s="188">
        <v>0</v>
      </c>
      <c r="AC494" s="213"/>
      <c r="AD494" s="188">
        <f t="shared" si="44"/>
        <v>4000000</v>
      </c>
      <c r="AE494" s="68" t="s">
        <v>102</v>
      </c>
      <c r="AF494" s="68"/>
      <c r="AG494" s="68"/>
      <c r="AH494" s="190"/>
      <c r="AI494" s="191"/>
      <c r="AJ494" s="190"/>
      <c r="AK494" s="192"/>
      <c r="AL494" s="190"/>
      <c r="AM494" s="196"/>
    </row>
    <row r="495" spans="1:39" ht="30" hidden="1" customHeight="1" x14ac:dyDescent="0.25">
      <c r="A495" s="135" t="s">
        <v>354</v>
      </c>
      <c r="B495" s="66" t="s">
        <v>60</v>
      </c>
      <c r="C495" s="73" t="s">
        <v>141</v>
      </c>
      <c r="D495" s="144" t="s">
        <v>114</v>
      </c>
      <c r="E495" s="144">
        <v>1</v>
      </c>
      <c r="F495" s="65" t="s">
        <v>1288</v>
      </c>
      <c r="G495" s="144" t="s">
        <v>121</v>
      </c>
      <c r="H495" s="66" t="s">
        <v>126</v>
      </c>
      <c r="I495" s="79"/>
      <c r="J495" s="144" t="s">
        <v>132</v>
      </c>
      <c r="K495" s="144" t="s">
        <v>3</v>
      </c>
      <c r="L495" s="66" t="s">
        <v>6</v>
      </c>
      <c r="M495" s="67" t="s">
        <v>23</v>
      </c>
      <c r="N495" s="187"/>
      <c r="O495" s="187"/>
      <c r="P495" s="187"/>
      <c r="Q495" s="144" t="s">
        <v>141</v>
      </c>
      <c r="R495" s="99"/>
      <c r="S495" s="99"/>
      <c r="T495" s="74"/>
      <c r="U495" s="47"/>
      <c r="V495" s="90"/>
      <c r="W495" s="90"/>
      <c r="X495" s="89"/>
      <c r="Y495" s="213"/>
      <c r="Z495" s="189">
        <v>0</v>
      </c>
      <c r="AA495" s="188">
        <v>900000</v>
      </c>
      <c r="AB495" s="188">
        <v>0</v>
      </c>
      <c r="AC495" s="213"/>
      <c r="AD495" s="188">
        <f t="shared" si="44"/>
        <v>900000</v>
      </c>
      <c r="AE495" s="68" t="s">
        <v>102</v>
      </c>
      <c r="AF495" s="68"/>
      <c r="AG495" s="68"/>
      <c r="AH495" s="190"/>
      <c r="AI495" s="191"/>
      <c r="AJ495" s="190"/>
      <c r="AK495" s="192"/>
      <c r="AL495" s="190"/>
      <c r="AM495" s="196"/>
    </row>
    <row r="496" spans="1:39" ht="30" hidden="1" customHeight="1" x14ac:dyDescent="0.25">
      <c r="A496" s="135" t="s">
        <v>354</v>
      </c>
      <c r="B496" s="66" t="s">
        <v>60</v>
      </c>
      <c r="C496" s="73" t="s">
        <v>141</v>
      </c>
      <c r="D496" s="144" t="s">
        <v>114</v>
      </c>
      <c r="E496" s="144">
        <v>1</v>
      </c>
      <c r="F496" s="65" t="s">
        <v>1289</v>
      </c>
      <c r="G496" s="144" t="s">
        <v>121</v>
      </c>
      <c r="H496" s="66" t="s">
        <v>126</v>
      </c>
      <c r="I496" s="79"/>
      <c r="J496" s="144" t="s">
        <v>132</v>
      </c>
      <c r="K496" s="144" t="s">
        <v>3</v>
      </c>
      <c r="L496" s="66" t="s">
        <v>6</v>
      </c>
      <c r="M496" s="67" t="s">
        <v>874</v>
      </c>
      <c r="N496" s="187"/>
      <c r="O496" s="187"/>
      <c r="P496" s="187"/>
      <c r="Q496" s="144" t="s">
        <v>141</v>
      </c>
      <c r="R496" s="99"/>
      <c r="S496" s="99"/>
      <c r="T496" s="74"/>
      <c r="U496" s="47"/>
      <c r="V496" s="90"/>
      <c r="W496" s="90"/>
      <c r="X496" s="89"/>
      <c r="Y496" s="213"/>
      <c r="Z496" s="189">
        <v>0</v>
      </c>
      <c r="AA496" s="188">
        <v>51000</v>
      </c>
      <c r="AB496" s="188">
        <v>0</v>
      </c>
      <c r="AC496" s="213"/>
      <c r="AD496" s="188">
        <f t="shared" si="44"/>
        <v>51000</v>
      </c>
      <c r="AE496" s="68" t="s">
        <v>102</v>
      </c>
      <c r="AF496" s="68"/>
      <c r="AG496" s="68"/>
      <c r="AH496" s="190"/>
      <c r="AI496" s="191"/>
      <c r="AJ496" s="190"/>
      <c r="AK496" s="192"/>
      <c r="AL496" s="190"/>
      <c r="AM496" s="196"/>
    </row>
    <row r="497" spans="1:39" ht="30" hidden="1" customHeight="1" x14ac:dyDescent="0.25">
      <c r="A497" s="135" t="s">
        <v>354</v>
      </c>
      <c r="B497" s="66" t="s">
        <v>60</v>
      </c>
      <c r="C497" s="73" t="s">
        <v>141</v>
      </c>
      <c r="D497" s="144" t="s">
        <v>114</v>
      </c>
      <c r="E497" s="144">
        <v>1</v>
      </c>
      <c r="F497" s="65" t="s">
        <v>1290</v>
      </c>
      <c r="G497" s="144" t="s">
        <v>121</v>
      </c>
      <c r="H497" s="66" t="s">
        <v>126</v>
      </c>
      <c r="I497" s="79"/>
      <c r="J497" s="144" t="s">
        <v>132</v>
      </c>
      <c r="K497" s="144" t="s">
        <v>3</v>
      </c>
      <c r="L497" s="66" t="s">
        <v>6</v>
      </c>
      <c r="M497" s="67" t="s">
        <v>28</v>
      </c>
      <c r="N497" s="187"/>
      <c r="O497" s="187"/>
      <c r="P497" s="187"/>
      <c r="Q497" s="144" t="s">
        <v>141</v>
      </c>
      <c r="R497" s="99"/>
      <c r="S497" s="99"/>
      <c r="T497" s="74"/>
      <c r="U497" s="47"/>
      <c r="V497" s="90"/>
      <c r="W497" s="90"/>
      <c r="X497" s="89"/>
      <c r="Y497" s="213"/>
      <c r="Z497" s="189">
        <v>0</v>
      </c>
      <c r="AA497" s="188">
        <v>2934182.63</v>
      </c>
      <c r="AB497" s="188">
        <v>0</v>
      </c>
      <c r="AC497" s="213"/>
      <c r="AD497" s="188">
        <f>AA497</f>
        <v>2934182.63</v>
      </c>
      <c r="AE497" s="68" t="s">
        <v>102</v>
      </c>
      <c r="AF497" s="68"/>
      <c r="AG497" s="68"/>
      <c r="AH497" s="190"/>
      <c r="AI497" s="191"/>
      <c r="AJ497" s="190"/>
      <c r="AK497" s="192"/>
      <c r="AL497" s="190"/>
      <c r="AM497" s="196"/>
    </row>
    <row r="498" spans="1:39" ht="30" hidden="1" customHeight="1" x14ac:dyDescent="0.25">
      <c r="A498" s="135" t="s">
        <v>354</v>
      </c>
      <c r="B498" s="66" t="s">
        <v>60</v>
      </c>
      <c r="C498" s="73" t="s">
        <v>141</v>
      </c>
      <c r="D498" s="144" t="s">
        <v>114</v>
      </c>
      <c r="E498" s="144">
        <v>1</v>
      </c>
      <c r="F498" s="65" t="s">
        <v>1291</v>
      </c>
      <c r="G498" s="144" t="s">
        <v>121</v>
      </c>
      <c r="H498" s="66" t="s">
        <v>126</v>
      </c>
      <c r="I498" s="79"/>
      <c r="J498" s="144" t="s">
        <v>132</v>
      </c>
      <c r="K498" s="144" t="s">
        <v>3</v>
      </c>
      <c r="L498" s="66" t="s">
        <v>6</v>
      </c>
      <c r="M498" s="67" t="s">
        <v>28</v>
      </c>
      <c r="N498" s="187"/>
      <c r="O498" s="187"/>
      <c r="P498" s="187"/>
      <c r="Q498" s="144" t="s">
        <v>141</v>
      </c>
      <c r="R498" s="99"/>
      <c r="S498" s="99"/>
      <c r="T498" s="74"/>
      <c r="U498" s="47"/>
      <c r="V498" s="90"/>
      <c r="W498" s="90"/>
      <c r="X498" s="89"/>
      <c r="Y498" s="213"/>
      <c r="Z498" s="189">
        <v>0</v>
      </c>
      <c r="AA498" s="188">
        <v>6602511.1500000004</v>
      </c>
      <c r="AB498" s="188">
        <v>0</v>
      </c>
      <c r="AC498" s="213"/>
      <c r="AD498" s="188">
        <f>AA498</f>
        <v>6602511.1500000004</v>
      </c>
      <c r="AE498" s="68" t="s">
        <v>102</v>
      </c>
      <c r="AF498" s="68"/>
      <c r="AG498" s="68"/>
      <c r="AH498" s="190"/>
      <c r="AI498" s="191"/>
      <c r="AJ498" s="190"/>
      <c r="AK498" s="192"/>
      <c r="AL498" s="190"/>
      <c r="AM498" s="196"/>
    </row>
    <row r="499" spans="1:39" ht="30" hidden="1" customHeight="1" x14ac:dyDescent="0.25">
      <c r="A499" s="135" t="s">
        <v>354</v>
      </c>
      <c r="B499" s="66" t="s">
        <v>60</v>
      </c>
      <c r="C499" s="73" t="s">
        <v>141</v>
      </c>
      <c r="D499" s="144" t="s">
        <v>114</v>
      </c>
      <c r="E499" s="144">
        <v>1</v>
      </c>
      <c r="F499" s="65" t="s">
        <v>1292</v>
      </c>
      <c r="G499" s="144" t="s">
        <v>121</v>
      </c>
      <c r="H499" s="66" t="s">
        <v>126</v>
      </c>
      <c r="I499" s="79"/>
      <c r="J499" s="144" t="s">
        <v>132</v>
      </c>
      <c r="K499" s="144" t="s">
        <v>3</v>
      </c>
      <c r="L499" s="66" t="s">
        <v>6</v>
      </c>
      <c r="M499" s="67" t="s">
        <v>28</v>
      </c>
      <c r="N499" s="187"/>
      <c r="O499" s="187"/>
      <c r="P499" s="187"/>
      <c r="Q499" s="144" t="s">
        <v>141</v>
      </c>
      <c r="R499" s="99"/>
      <c r="S499" s="99"/>
      <c r="T499" s="74"/>
      <c r="U499" s="47"/>
      <c r="V499" s="90"/>
      <c r="W499" s="90"/>
      <c r="X499" s="89"/>
      <c r="Y499" s="213"/>
      <c r="Z499" s="189">
        <v>0</v>
      </c>
      <c r="AA499" s="188">
        <v>3806571</v>
      </c>
      <c r="AB499" s="188">
        <v>0</v>
      </c>
      <c r="AC499" s="213"/>
      <c r="AD499" s="188">
        <f>AA499</f>
        <v>3806571</v>
      </c>
      <c r="AE499" s="68" t="s">
        <v>102</v>
      </c>
      <c r="AF499" s="68"/>
      <c r="AG499" s="68"/>
      <c r="AH499" s="190"/>
      <c r="AI499" s="191"/>
      <c r="AJ499" s="190"/>
      <c r="AK499" s="192"/>
      <c r="AL499" s="190"/>
      <c r="AM499" s="196"/>
    </row>
    <row r="500" spans="1:39" ht="30" hidden="1" customHeight="1" x14ac:dyDescent="0.25">
      <c r="A500" s="135" t="s">
        <v>354</v>
      </c>
      <c r="B500" s="66" t="s">
        <v>60</v>
      </c>
      <c r="C500" s="73" t="s">
        <v>141</v>
      </c>
      <c r="D500" s="144" t="s">
        <v>114</v>
      </c>
      <c r="E500" s="144">
        <v>1</v>
      </c>
      <c r="F500" s="65" t="s">
        <v>1293</v>
      </c>
      <c r="G500" s="144" t="s">
        <v>121</v>
      </c>
      <c r="H500" s="66" t="s">
        <v>126</v>
      </c>
      <c r="I500" s="79"/>
      <c r="J500" s="144" t="s">
        <v>132</v>
      </c>
      <c r="K500" s="144" t="s">
        <v>3</v>
      </c>
      <c r="L500" s="66" t="s">
        <v>6</v>
      </c>
      <c r="M500" s="67" t="s">
        <v>1294</v>
      </c>
      <c r="N500" s="187"/>
      <c r="O500" s="187"/>
      <c r="P500" s="187"/>
      <c r="Q500" s="144" t="s">
        <v>141</v>
      </c>
      <c r="R500" s="99"/>
      <c r="S500" s="99"/>
      <c r="T500" s="74"/>
      <c r="U500" s="47"/>
      <c r="V500" s="90"/>
      <c r="W500" s="90"/>
      <c r="X500" s="89"/>
      <c r="Y500" s="213"/>
      <c r="Z500" s="189">
        <v>0</v>
      </c>
      <c r="AA500" s="188">
        <f>AD500</f>
        <v>550000</v>
      </c>
      <c r="AB500" s="188">
        <v>0</v>
      </c>
      <c r="AC500" s="213"/>
      <c r="AD500" s="188">
        <v>550000</v>
      </c>
      <c r="AE500" s="68" t="s">
        <v>102</v>
      </c>
      <c r="AF500" s="68"/>
      <c r="AG500" s="68"/>
      <c r="AH500" s="190"/>
      <c r="AI500" s="191"/>
      <c r="AJ500" s="190"/>
      <c r="AK500" s="192"/>
      <c r="AL500" s="190"/>
      <c r="AM500" s="196"/>
    </row>
    <row r="501" spans="1:39" ht="30" hidden="1" customHeight="1" x14ac:dyDescent="0.25">
      <c r="A501" s="135" t="s">
        <v>354</v>
      </c>
      <c r="B501" s="66" t="s">
        <v>60</v>
      </c>
      <c r="C501" s="73" t="s">
        <v>141</v>
      </c>
      <c r="D501" s="144" t="s">
        <v>114</v>
      </c>
      <c r="E501" s="144">
        <v>1</v>
      </c>
      <c r="F501" s="65" t="s">
        <v>1295</v>
      </c>
      <c r="G501" s="144" t="s">
        <v>121</v>
      </c>
      <c r="H501" s="66" t="s">
        <v>126</v>
      </c>
      <c r="I501" s="79"/>
      <c r="J501" s="144" t="s">
        <v>132</v>
      </c>
      <c r="K501" s="144" t="s">
        <v>3</v>
      </c>
      <c r="L501" s="66" t="s">
        <v>6</v>
      </c>
      <c r="M501" s="67" t="s">
        <v>1294</v>
      </c>
      <c r="N501" s="187"/>
      <c r="O501" s="187"/>
      <c r="P501" s="187"/>
      <c r="Q501" s="144" t="s">
        <v>141</v>
      </c>
      <c r="R501" s="99"/>
      <c r="S501" s="99"/>
      <c r="T501" s="74"/>
      <c r="U501" s="47"/>
      <c r="V501" s="90"/>
      <c r="W501" s="90"/>
      <c r="X501" s="89"/>
      <c r="Y501" s="213"/>
      <c r="Z501" s="189">
        <v>0</v>
      </c>
      <c r="AA501" s="188">
        <v>1119028</v>
      </c>
      <c r="AB501" s="188">
        <v>0</v>
      </c>
      <c r="AC501" s="213"/>
      <c r="AD501" s="188">
        <v>1119028</v>
      </c>
      <c r="AE501" s="68" t="s">
        <v>102</v>
      </c>
      <c r="AF501" s="68"/>
      <c r="AG501" s="68"/>
      <c r="AH501" s="190"/>
      <c r="AI501" s="191"/>
      <c r="AJ501" s="190"/>
      <c r="AK501" s="192"/>
      <c r="AL501" s="190"/>
      <c r="AM501" s="196"/>
    </row>
    <row r="502" spans="1:39" ht="30" hidden="1" customHeight="1" x14ac:dyDescent="0.25">
      <c r="A502" s="135">
        <v>2017</v>
      </c>
      <c r="B502" s="66" t="s">
        <v>70</v>
      </c>
      <c r="C502" s="73" t="s">
        <v>141</v>
      </c>
      <c r="D502" s="144" t="s">
        <v>114</v>
      </c>
      <c r="E502" s="144">
        <v>1</v>
      </c>
      <c r="F502" s="65" t="s">
        <v>1296</v>
      </c>
      <c r="G502" s="144" t="s">
        <v>121</v>
      </c>
      <c r="H502" s="66" t="s">
        <v>126</v>
      </c>
      <c r="I502" s="79" t="s">
        <v>1297</v>
      </c>
      <c r="J502" s="144" t="s">
        <v>132</v>
      </c>
      <c r="K502" s="144" t="s">
        <v>3</v>
      </c>
      <c r="L502" s="66" t="s">
        <v>6</v>
      </c>
      <c r="M502" s="67" t="s">
        <v>31</v>
      </c>
      <c r="N502" s="187"/>
      <c r="O502" s="187"/>
      <c r="P502" s="187"/>
      <c r="Q502" s="144" t="s">
        <v>141</v>
      </c>
      <c r="R502" s="90"/>
      <c r="S502" s="90"/>
      <c r="T502" s="65" t="s">
        <v>1298</v>
      </c>
      <c r="U502" s="144">
        <v>2017</v>
      </c>
      <c r="V502" s="90"/>
      <c r="W502" s="90"/>
      <c r="X502" s="90"/>
      <c r="Y502" s="188">
        <v>85714.32</v>
      </c>
      <c r="Z502" s="189">
        <v>0</v>
      </c>
      <c r="AA502" s="188">
        <v>85714.32</v>
      </c>
      <c r="AB502" s="188">
        <v>0</v>
      </c>
      <c r="AC502" s="188">
        <v>85714.32</v>
      </c>
      <c r="AD502" s="188">
        <v>85714.32</v>
      </c>
      <c r="AE502" s="68" t="s">
        <v>102</v>
      </c>
      <c r="AF502" s="68"/>
      <c r="AG502" s="68"/>
      <c r="AH502" s="190"/>
      <c r="AI502" s="191"/>
      <c r="AJ502" s="190"/>
      <c r="AK502" s="192"/>
      <c r="AL502" s="190"/>
      <c r="AM502" s="196"/>
    </row>
    <row r="503" spans="1:39" ht="30" hidden="1" customHeight="1" x14ac:dyDescent="0.25">
      <c r="A503" s="135">
        <v>2011</v>
      </c>
      <c r="B503" s="66" t="s">
        <v>70</v>
      </c>
      <c r="C503" s="73" t="s">
        <v>141</v>
      </c>
      <c r="D503" s="144" t="s">
        <v>114</v>
      </c>
      <c r="E503" s="144">
        <v>1</v>
      </c>
      <c r="F503" s="65" t="s">
        <v>1299</v>
      </c>
      <c r="G503" s="144" t="s">
        <v>121</v>
      </c>
      <c r="H503" s="66" t="s">
        <v>126</v>
      </c>
      <c r="I503" s="79" t="s">
        <v>1300</v>
      </c>
      <c r="J503" s="144" t="s">
        <v>132</v>
      </c>
      <c r="K503" s="144" t="s">
        <v>3</v>
      </c>
      <c r="L503" s="66" t="s">
        <v>6</v>
      </c>
      <c r="M503" s="67" t="s">
        <v>31</v>
      </c>
      <c r="N503" s="187"/>
      <c r="O503" s="187"/>
      <c r="P503" s="187"/>
      <c r="Q503" s="144" t="s">
        <v>141</v>
      </c>
      <c r="R503" s="90"/>
      <c r="S503" s="90"/>
      <c r="T503" s="65" t="s">
        <v>1301</v>
      </c>
      <c r="U503" s="144">
        <v>2011</v>
      </c>
      <c r="V503" s="90"/>
      <c r="W503" s="90"/>
      <c r="X503" s="90"/>
      <c r="Y503" s="188">
        <v>171428.5704</v>
      </c>
      <c r="Z503" s="189">
        <v>0</v>
      </c>
      <c r="AA503" s="188">
        <v>171428.5704</v>
      </c>
      <c r="AB503" s="188">
        <v>0</v>
      </c>
      <c r="AC503" s="188">
        <v>171428.5704</v>
      </c>
      <c r="AD503" s="188">
        <v>171428.5704</v>
      </c>
      <c r="AE503" s="68" t="s">
        <v>102</v>
      </c>
      <c r="AF503" s="68"/>
      <c r="AG503" s="68"/>
      <c r="AH503" s="190"/>
      <c r="AI503" s="191"/>
      <c r="AJ503" s="190"/>
      <c r="AK503" s="192"/>
      <c r="AL503" s="190"/>
      <c r="AM503" s="196"/>
    </row>
    <row r="504" spans="1:39" ht="30" hidden="1" customHeight="1" x14ac:dyDescent="0.25">
      <c r="A504" s="135">
        <v>2011</v>
      </c>
      <c r="B504" s="66" t="s">
        <v>70</v>
      </c>
      <c r="C504" s="73" t="s">
        <v>141</v>
      </c>
      <c r="D504" s="144" t="s">
        <v>114</v>
      </c>
      <c r="E504" s="144">
        <v>1</v>
      </c>
      <c r="F504" s="65" t="s">
        <v>1299</v>
      </c>
      <c r="G504" s="144" t="s">
        <v>121</v>
      </c>
      <c r="H504" s="66" t="s">
        <v>126</v>
      </c>
      <c r="I504" s="79" t="s">
        <v>1302</v>
      </c>
      <c r="J504" s="144" t="s">
        <v>132</v>
      </c>
      <c r="K504" s="144" t="s">
        <v>3</v>
      </c>
      <c r="L504" s="66" t="s">
        <v>6</v>
      </c>
      <c r="M504" s="67" t="s">
        <v>31</v>
      </c>
      <c r="N504" s="187"/>
      <c r="O504" s="187"/>
      <c r="P504" s="187"/>
      <c r="Q504" s="144" t="s">
        <v>141</v>
      </c>
      <c r="R504" s="90"/>
      <c r="S504" s="90"/>
      <c r="T504" s="65" t="s">
        <v>1303</v>
      </c>
      <c r="U504" s="144">
        <v>2011</v>
      </c>
      <c r="V504" s="90"/>
      <c r="W504" s="90"/>
      <c r="X504" s="90"/>
      <c r="Y504" s="188">
        <v>171428.5704</v>
      </c>
      <c r="Z504" s="189">
        <v>0</v>
      </c>
      <c r="AA504" s="188">
        <v>171428.5704</v>
      </c>
      <c r="AB504" s="188">
        <v>0</v>
      </c>
      <c r="AC504" s="188">
        <v>171428.5704</v>
      </c>
      <c r="AD504" s="188">
        <v>171428.5704</v>
      </c>
      <c r="AE504" s="68" t="s">
        <v>102</v>
      </c>
      <c r="AF504" s="68"/>
      <c r="AG504" s="68"/>
      <c r="AH504" s="190"/>
      <c r="AI504" s="191"/>
      <c r="AJ504" s="190"/>
      <c r="AK504" s="192"/>
      <c r="AL504" s="190"/>
      <c r="AM504" s="196"/>
    </row>
    <row r="505" spans="1:39" ht="30" hidden="1" customHeight="1" x14ac:dyDescent="0.25">
      <c r="A505" s="135">
        <v>2011</v>
      </c>
      <c r="B505" s="66" t="s">
        <v>70</v>
      </c>
      <c r="C505" s="73" t="s">
        <v>141</v>
      </c>
      <c r="D505" s="144" t="s">
        <v>114</v>
      </c>
      <c r="E505" s="144">
        <v>1</v>
      </c>
      <c r="F505" s="65" t="s">
        <v>1304</v>
      </c>
      <c r="G505" s="144" t="s">
        <v>121</v>
      </c>
      <c r="H505" s="66" t="s">
        <v>126</v>
      </c>
      <c r="I505" s="79" t="s">
        <v>1305</v>
      </c>
      <c r="J505" s="144" t="s">
        <v>132</v>
      </c>
      <c r="K505" s="144" t="s">
        <v>3</v>
      </c>
      <c r="L505" s="66" t="s">
        <v>6</v>
      </c>
      <c r="M505" s="67" t="s">
        <v>31</v>
      </c>
      <c r="N505" s="187"/>
      <c r="O505" s="187"/>
      <c r="P505" s="187"/>
      <c r="Q505" s="144" t="s">
        <v>141</v>
      </c>
      <c r="R505" s="90"/>
      <c r="S505" s="90"/>
      <c r="T505" s="65" t="s">
        <v>1306</v>
      </c>
      <c r="U505" s="144">
        <v>2011</v>
      </c>
      <c r="V505" s="90"/>
      <c r="W505" s="90"/>
      <c r="X505" s="89"/>
      <c r="Y505" s="188">
        <v>171428.5704</v>
      </c>
      <c r="Z505" s="189">
        <v>0</v>
      </c>
      <c r="AA505" s="188">
        <v>171428.5704</v>
      </c>
      <c r="AB505" s="188">
        <v>0</v>
      </c>
      <c r="AC505" s="188">
        <v>171428.5704</v>
      </c>
      <c r="AD505" s="188">
        <v>171428.5704</v>
      </c>
      <c r="AE505" s="68" t="s">
        <v>102</v>
      </c>
      <c r="AF505" s="68"/>
      <c r="AG505" s="68"/>
      <c r="AH505" s="190"/>
      <c r="AI505" s="191"/>
      <c r="AJ505" s="190"/>
      <c r="AK505" s="192"/>
      <c r="AL505" s="190"/>
      <c r="AM505" s="196"/>
    </row>
    <row r="506" spans="1:39" ht="30" hidden="1" customHeight="1" x14ac:dyDescent="0.25">
      <c r="A506" s="135" t="s">
        <v>354</v>
      </c>
      <c r="B506" s="66" t="s">
        <v>70</v>
      </c>
      <c r="C506" s="73" t="s">
        <v>141</v>
      </c>
      <c r="D506" s="144" t="s">
        <v>114</v>
      </c>
      <c r="E506" s="144">
        <v>1</v>
      </c>
      <c r="F506" s="65" t="s">
        <v>1307</v>
      </c>
      <c r="G506" s="144" t="s">
        <v>121</v>
      </c>
      <c r="H506" s="66" t="s">
        <v>126</v>
      </c>
      <c r="I506" s="79" t="s">
        <v>1308</v>
      </c>
      <c r="J506" s="144" t="s">
        <v>132</v>
      </c>
      <c r="K506" s="144" t="s">
        <v>3</v>
      </c>
      <c r="L506" s="66" t="s">
        <v>6</v>
      </c>
      <c r="M506" s="67" t="s">
        <v>973</v>
      </c>
      <c r="N506" s="187"/>
      <c r="O506" s="187"/>
      <c r="P506" s="187"/>
      <c r="Q506" s="144" t="s">
        <v>141</v>
      </c>
      <c r="R506" s="90"/>
      <c r="S506" s="90"/>
      <c r="T506" s="65" t="s">
        <v>1309</v>
      </c>
      <c r="U506" s="44"/>
      <c r="V506" s="90"/>
      <c r="W506" s="90"/>
      <c r="X506" s="89"/>
      <c r="Y506" s="188">
        <v>183680</v>
      </c>
      <c r="Z506" s="189">
        <v>0</v>
      </c>
      <c r="AA506" s="188">
        <v>183680</v>
      </c>
      <c r="AB506" s="188">
        <v>0</v>
      </c>
      <c r="AC506" s="188">
        <v>183680</v>
      </c>
      <c r="AD506" s="188">
        <v>183680</v>
      </c>
      <c r="AE506" s="68" t="s">
        <v>102</v>
      </c>
      <c r="AF506" s="68"/>
      <c r="AG506" s="68"/>
      <c r="AH506" s="190"/>
      <c r="AI506" s="191"/>
      <c r="AJ506" s="190"/>
      <c r="AK506" s="192"/>
      <c r="AL506" s="190"/>
      <c r="AM506" s="196"/>
    </row>
    <row r="507" spans="1:39" ht="30" hidden="1" customHeight="1" x14ac:dyDescent="0.25">
      <c r="A507" s="135">
        <v>2001</v>
      </c>
      <c r="B507" s="66" t="s">
        <v>70</v>
      </c>
      <c r="C507" s="73" t="s">
        <v>141</v>
      </c>
      <c r="D507" s="144" t="s">
        <v>114</v>
      </c>
      <c r="E507" s="144">
        <v>1</v>
      </c>
      <c r="F507" s="65" t="s">
        <v>1307</v>
      </c>
      <c r="G507" s="144" t="s">
        <v>121</v>
      </c>
      <c r="H507" s="66" t="s">
        <v>126</v>
      </c>
      <c r="I507" s="79" t="s">
        <v>1310</v>
      </c>
      <c r="J507" s="144" t="s">
        <v>132</v>
      </c>
      <c r="K507" s="144" t="s">
        <v>3</v>
      </c>
      <c r="L507" s="66" t="s">
        <v>6</v>
      </c>
      <c r="M507" s="67" t="s">
        <v>973</v>
      </c>
      <c r="N507" s="187"/>
      <c r="O507" s="187"/>
      <c r="P507" s="187"/>
      <c r="Q507" s="144" t="s">
        <v>141</v>
      </c>
      <c r="R507" s="90"/>
      <c r="S507" s="90"/>
      <c r="T507" s="65" t="s">
        <v>1311</v>
      </c>
      <c r="U507" s="144">
        <v>2001</v>
      </c>
      <c r="V507" s="90"/>
      <c r="W507" s="90"/>
      <c r="X507" s="89"/>
      <c r="Y507" s="188">
        <v>127666.66666666701</v>
      </c>
      <c r="Z507" s="189">
        <v>0</v>
      </c>
      <c r="AA507" s="188">
        <v>127666.66666666701</v>
      </c>
      <c r="AB507" s="188">
        <v>0</v>
      </c>
      <c r="AC507" s="188">
        <v>127666.66666666701</v>
      </c>
      <c r="AD507" s="188">
        <v>127666.66666666701</v>
      </c>
      <c r="AE507" s="68" t="s">
        <v>102</v>
      </c>
      <c r="AF507" s="68"/>
      <c r="AG507" s="68"/>
      <c r="AH507" s="190"/>
      <c r="AI507" s="191"/>
      <c r="AJ507" s="190"/>
      <c r="AK507" s="192"/>
      <c r="AL507" s="190"/>
      <c r="AM507" s="196"/>
    </row>
    <row r="508" spans="1:39" ht="30" hidden="1" customHeight="1" x14ac:dyDescent="0.25">
      <c r="A508" s="135">
        <v>2025</v>
      </c>
      <c r="B508" s="66" t="s">
        <v>66</v>
      </c>
      <c r="C508" s="73" t="s">
        <v>141</v>
      </c>
      <c r="D508" s="144" t="s">
        <v>114</v>
      </c>
      <c r="E508" s="144">
        <v>1</v>
      </c>
      <c r="F508" s="65" t="s">
        <v>1312</v>
      </c>
      <c r="G508" s="144" t="s">
        <v>121</v>
      </c>
      <c r="H508" s="66" t="s">
        <v>126</v>
      </c>
      <c r="I508" s="79" t="s">
        <v>1313</v>
      </c>
      <c r="J508" s="144" t="s">
        <v>132</v>
      </c>
      <c r="K508" s="144" t="s">
        <v>3</v>
      </c>
      <c r="L508" s="66" t="s">
        <v>6</v>
      </c>
      <c r="M508" s="67" t="s">
        <v>27</v>
      </c>
      <c r="N508" s="187"/>
      <c r="O508" s="187"/>
      <c r="P508" s="187"/>
      <c r="Q508" s="144" t="s">
        <v>141</v>
      </c>
      <c r="R508" s="90"/>
      <c r="S508" s="90"/>
      <c r="T508" s="65" t="s">
        <v>1314</v>
      </c>
      <c r="U508" s="144">
        <v>2025</v>
      </c>
      <c r="V508" s="90"/>
      <c r="W508" s="90"/>
      <c r="X508" s="89"/>
      <c r="Y508" s="188">
        <f>AC508</f>
        <v>1300000</v>
      </c>
      <c r="Z508" s="189">
        <v>0</v>
      </c>
      <c r="AA508" s="188">
        <f>AD508</f>
        <v>1560000</v>
      </c>
      <c r="AB508" s="188">
        <v>0</v>
      </c>
      <c r="AC508" s="188">
        <v>1300000</v>
      </c>
      <c r="AD508" s="188">
        <v>1560000</v>
      </c>
      <c r="AE508" s="68" t="s">
        <v>102</v>
      </c>
      <c r="AF508" s="68"/>
      <c r="AG508" s="68"/>
      <c r="AH508" s="190"/>
      <c r="AI508" s="191"/>
      <c r="AJ508" s="190"/>
      <c r="AK508" s="192"/>
      <c r="AL508" s="190"/>
      <c r="AM508" s="196"/>
    </row>
    <row r="509" spans="1:39" ht="30" hidden="1" customHeight="1" x14ac:dyDescent="0.25">
      <c r="A509" s="135" t="s">
        <v>354</v>
      </c>
      <c r="B509" s="66" t="s">
        <v>61</v>
      </c>
      <c r="C509" s="73" t="s">
        <v>141</v>
      </c>
      <c r="D509" s="144" t="s">
        <v>114</v>
      </c>
      <c r="E509" s="144">
        <v>1</v>
      </c>
      <c r="F509" s="65" t="s">
        <v>1315</v>
      </c>
      <c r="G509" s="144" t="s">
        <v>121</v>
      </c>
      <c r="H509" s="66" t="s">
        <v>126</v>
      </c>
      <c r="I509" s="79" t="s">
        <v>1316</v>
      </c>
      <c r="J509" s="144" t="s">
        <v>132</v>
      </c>
      <c r="K509" s="144" t="s">
        <v>3</v>
      </c>
      <c r="L509" s="66" t="s">
        <v>6</v>
      </c>
      <c r="M509" s="67" t="s">
        <v>25</v>
      </c>
      <c r="N509" s="187"/>
      <c r="O509" s="187"/>
      <c r="P509" s="187"/>
      <c r="Q509" s="144" t="s">
        <v>141</v>
      </c>
      <c r="R509" s="90"/>
      <c r="S509" s="90"/>
      <c r="T509" s="65" t="s">
        <v>1317</v>
      </c>
      <c r="U509" s="144" t="s">
        <v>354</v>
      </c>
      <c r="V509" s="90"/>
      <c r="W509" s="90"/>
      <c r="X509" s="89"/>
      <c r="Y509" s="188">
        <v>250000</v>
      </c>
      <c r="Z509" s="189">
        <v>0</v>
      </c>
      <c r="AA509" s="188">
        <v>250000</v>
      </c>
      <c r="AB509" s="188">
        <v>0</v>
      </c>
      <c r="AC509" s="188">
        <v>250000</v>
      </c>
      <c r="AD509" s="188">
        <v>250000</v>
      </c>
      <c r="AE509" s="68" t="s">
        <v>102</v>
      </c>
      <c r="AF509" s="68"/>
      <c r="AG509" s="68"/>
      <c r="AH509" s="190"/>
      <c r="AI509" s="191"/>
      <c r="AJ509" s="190"/>
      <c r="AK509" s="192"/>
      <c r="AL509" s="190"/>
      <c r="AM509" s="196"/>
    </row>
    <row r="510" spans="1:39" ht="30" hidden="1" customHeight="1" x14ac:dyDescent="0.25">
      <c r="A510" s="135">
        <v>2024</v>
      </c>
      <c r="B510" s="66" t="s">
        <v>63</v>
      </c>
      <c r="C510" s="73" t="s">
        <v>141</v>
      </c>
      <c r="D510" s="144" t="s">
        <v>114</v>
      </c>
      <c r="E510" s="144">
        <v>1</v>
      </c>
      <c r="F510" s="65" t="s">
        <v>1318</v>
      </c>
      <c r="G510" s="144" t="s">
        <v>121</v>
      </c>
      <c r="H510" s="66" t="s">
        <v>126</v>
      </c>
      <c r="I510" s="79" t="s">
        <v>1319</v>
      </c>
      <c r="J510" s="144" t="s">
        <v>132</v>
      </c>
      <c r="K510" s="144" t="s">
        <v>3</v>
      </c>
      <c r="L510" s="66" t="s">
        <v>6</v>
      </c>
      <c r="M510" s="67" t="s">
        <v>947</v>
      </c>
      <c r="N510" s="187"/>
      <c r="O510" s="187"/>
      <c r="P510" s="187"/>
      <c r="Q510" s="144" t="s">
        <v>141</v>
      </c>
      <c r="R510" s="90"/>
      <c r="S510" s="90"/>
      <c r="T510" s="65" t="s">
        <v>1320</v>
      </c>
      <c r="U510" s="144">
        <v>2024</v>
      </c>
      <c r="V510" s="90"/>
      <c r="W510" s="90"/>
      <c r="X510" s="89"/>
      <c r="Y510" s="188">
        <v>1427180</v>
      </c>
      <c r="Z510" s="189">
        <v>0</v>
      </c>
      <c r="AA510" s="188">
        <v>1427180</v>
      </c>
      <c r="AB510" s="188">
        <v>0</v>
      </c>
      <c r="AC510" s="188">
        <v>1427180</v>
      </c>
      <c r="AD510" s="203">
        <v>1427180</v>
      </c>
      <c r="AE510" s="68" t="s">
        <v>102</v>
      </c>
      <c r="AF510" s="68"/>
      <c r="AG510" s="68"/>
      <c r="AH510" s="190"/>
      <c r="AI510" s="191"/>
      <c r="AJ510" s="190"/>
      <c r="AK510" s="192"/>
      <c r="AL510" s="190"/>
      <c r="AM510" s="196" t="s">
        <v>1023</v>
      </c>
    </row>
    <row r="511" spans="1:39" ht="30" hidden="1" customHeight="1" x14ac:dyDescent="0.25">
      <c r="A511" s="135">
        <v>2025</v>
      </c>
      <c r="B511" s="66" t="s">
        <v>63</v>
      </c>
      <c r="C511" s="73" t="s">
        <v>141</v>
      </c>
      <c r="D511" s="144" t="s">
        <v>114</v>
      </c>
      <c r="E511" s="144">
        <v>1</v>
      </c>
      <c r="F511" s="65" t="s">
        <v>1321</v>
      </c>
      <c r="G511" s="144" t="s">
        <v>121</v>
      </c>
      <c r="H511" s="66" t="s">
        <v>126</v>
      </c>
      <c r="I511" s="79" t="s">
        <v>1322</v>
      </c>
      <c r="J511" s="144" t="s">
        <v>132</v>
      </c>
      <c r="K511" s="144" t="s">
        <v>3</v>
      </c>
      <c r="L511" s="66" t="s">
        <v>6</v>
      </c>
      <c r="M511" s="67" t="s">
        <v>947</v>
      </c>
      <c r="N511" s="187"/>
      <c r="O511" s="187"/>
      <c r="P511" s="187"/>
      <c r="Q511" s="144" t="s">
        <v>141</v>
      </c>
      <c r="R511" s="90"/>
      <c r="S511" s="90"/>
      <c r="T511" s="65" t="s">
        <v>1323</v>
      </c>
      <c r="U511" s="144">
        <v>2025</v>
      </c>
      <c r="V511" s="90"/>
      <c r="W511" s="90"/>
      <c r="X511" s="89"/>
      <c r="Y511" s="188">
        <v>414064</v>
      </c>
      <c r="Z511" s="189">
        <v>40000</v>
      </c>
      <c r="AA511" s="188">
        <v>414064</v>
      </c>
      <c r="AB511" s="188">
        <v>40000</v>
      </c>
      <c r="AC511" s="188">
        <v>414064</v>
      </c>
      <c r="AD511" s="203">
        <v>414064</v>
      </c>
      <c r="AE511" s="68" t="s">
        <v>102</v>
      </c>
      <c r="AF511" s="68"/>
      <c r="AG511" s="68"/>
      <c r="AH511" s="190"/>
      <c r="AI511" s="191"/>
      <c r="AJ511" s="190"/>
      <c r="AK511" s="192"/>
      <c r="AL511" s="190"/>
      <c r="AM511" s="196" t="s">
        <v>1023</v>
      </c>
    </row>
    <row r="512" spans="1:39" ht="30" hidden="1" customHeight="1" x14ac:dyDescent="0.25">
      <c r="A512" s="135">
        <v>2025</v>
      </c>
      <c r="B512" s="66" t="s">
        <v>63</v>
      </c>
      <c r="C512" s="73" t="s">
        <v>141</v>
      </c>
      <c r="D512" s="144" t="s">
        <v>114</v>
      </c>
      <c r="E512" s="144">
        <v>1</v>
      </c>
      <c r="F512" s="65" t="s">
        <v>1324</v>
      </c>
      <c r="G512" s="144" t="s">
        <v>121</v>
      </c>
      <c r="H512" s="66" t="s">
        <v>126</v>
      </c>
      <c r="I512" s="79" t="s">
        <v>1325</v>
      </c>
      <c r="J512" s="144" t="s">
        <v>132</v>
      </c>
      <c r="K512" s="144" t="s">
        <v>3</v>
      </c>
      <c r="L512" s="66" t="s">
        <v>6</v>
      </c>
      <c r="M512" s="67" t="s">
        <v>947</v>
      </c>
      <c r="N512" s="187"/>
      <c r="O512" s="187"/>
      <c r="P512" s="187"/>
      <c r="Q512" s="144" t="s">
        <v>141</v>
      </c>
      <c r="R512" s="90"/>
      <c r="S512" s="90"/>
      <c r="T512" s="65" t="s">
        <v>1326</v>
      </c>
      <c r="U512" s="144">
        <v>2025</v>
      </c>
      <c r="V512" s="90"/>
      <c r="W512" s="90"/>
      <c r="X512" s="89"/>
      <c r="Y512" s="188">
        <v>96190</v>
      </c>
      <c r="Z512" s="189">
        <v>10000</v>
      </c>
      <c r="AA512" s="188">
        <v>96190</v>
      </c>
      <c r="AB512" s="188">
        <v>10000</v>
      </c>
      <c r="AC512" s="188">
        <v>96190</v>
      </c>
      <c r="AD512" s="203">
        <v>96190</v>
      </c>
      <c r="AE512" s="68" t="s">
        <v>102</v>
      </c>
      <c r="AF512" s="68"/>
      <c r="AG512" s="68"/>
      <c r="AH512" s="190"/>
      <c r="AI512" s="191"/>
      <c r="AJ512" s="190"/>
      <c r="AK512" s="192"/>
      <c r="AL512" s="190"/>
      <c r="AM512" s="196" t="s">
        <v>1023</v>
      </c>
    </row>
    <row r="513" spans="1:39" ht="30" hidden="1" customHeight="1" x14ac:dyDescent="0.25">
      <c r="A513" s="135">
        <v>2025</v>
      </c>
      <c r="B513" s="66" t="s">
        <v>705</v>
      </c>
      <c r="C513" s="73" t="s">
        <v>141</v>
      </c>
      <c r="D513" s="144" t="s">
        <v>114</v>
      </c>
      <c r="E513" s="144">
        <v>1</v>
      </c>
      <c r="F513" s="65" t="s">
        <v>1327</v>
      </c>
      <c r="G513" s="144" t="s">
        <v>121</v>
      </c>
      <c r="H513" s="66" t="s">
        <v>126</v>
      </c>
      <c r="I513" s="79" t="s">
        <v>1328</v>
      </c>
      <c r="J513" s="144" t="s">
        <v>132</v>
      </c>
      <c r="K513" s="144" t="s">
        <v>3</v>
      </c>
      <c r="L513" s="66" t="s">
        <v>6</v>
      </c>
      <c r="M513" s="67" t="s">
        <v>25</v>
      </c>
      <c r="N513" s="187"/>
      <c r="O513" s="187"/>
      <c r="P513" s="187"/>
      <c r="Q513" s="144" t="s">
        <v>141</v>
      </c>
      <c r="R513" s="90"/>
      <c r="S513" s="90"/>
      <c r="T513" s="65" t="s">
        <v>1329</v>
      </c>
      <c r="U513" s="144">
        <v>2025</v>
      </c>
      <c r="V513" s="90"/>
      <c r="W513" s="90"/>
      <c r="X513" s="89"/>
      <c r="Y513" s="188">
        <v>366650</v>
      </c>
      <c r="Z513" s="189">
        <v>0</v>
      </c>
      <c r="AA513" s="188">
        <v>439980</v>
      </c>
      <c r="AB513" s="188">
        <v>0</v>
      </c>
      <c r="AC513" s="188">
        <v>366650</v>
      </c>
      <c r="AD513" s="188">
        <v>439980</v>
      </c>
      <c r="AE513" s="68" t="s">
        <v>102</v>
      </c>
      <c r="AF513" s="68"/>
      <c r="AG513" s="68"/>
      <c r="AH513" s="190"/>
      <c r="AI513" s="191"/>
      <c r="AJ513" s="190"/>
      <c r="AK513" s="192"/>
      <c r="AL513" s="190"/>
      <c r="AM513" s="196"/>
    </row>
    <row r="514" spans="1:39" ht="30" hidden="1" customHeight="1" x14ac:dyDescent="0.25">
      <c r="A514" s="135">
        <v>2025</v>
      </c>
      <c r="B514" s="66" t="s">
        <v>705</v>
      </c>
      <c r="C514" s="73" t="s">
        <v>141</v>
      </c>
      <c r="D514" s="144" t="s">
        <v>114</v>
      </c>
      <c r="E514" s="144">
        <v>1</v>
      </c>
      <c r="F514" s="65" t="s">
        <v>1330</v>
      </c>
      <c r="G514" s="144" t="s">
        <v>121</v>
      </c>
      <c r="H514" s="66" t="s">
        <v>126</v>
      </c>
      <c r="I514" s="79" t="s">
        <v>1331</v>
      </c>
      <c r="J514" s="144" t="s">
        <v>132</v>
      </c>
      <c r="K514" s="144" t="s">
        <v>3</v>
      </c>
      <c r="L514" s="66" t="s">
        <v>6</v>
      </c>
      <c r="M514" s="67" t="s">
        <v>25</v>
      </c>
      <c r="N514" s="187"/>
      <c r="O514" s="187"/>
      <c r="P514" s="187"/>
      <c r="Q514" s="144" t="s">
        <v>141</v>
      </c>
      <c r="R514" s="90"/>
      <c r="S514" s="90"/>
      <c r="T514" s="65" t="s">
        <v>1332</v>
      </c>
      <c r="U514" s="144">
        <v>2024</v>
      </c>
      <c r="V514" s="90"/>
      <c r="W514" s="90"/>
      <c r="X514" s="89"/>
      <c r="Y514" s="188">
        <v>283200</v>
      </c>
      <c r="Z514" s="189">
        <v>0</v>
      </c>
      <c r="AA514" s="188">
        <v>339840</v>
      </c>
      <c r="AB514" s="188"/>
      <c r="AC514" s="188">
        <v>0</v>
      </c>
      <c r="AD514" s="188">
        <v>339840</v>
      </c>
      <c r="AE514" s="68" t="s">
        <v>102</v>
      </c>
      <c r="AF514" s="68"/>
      <c r="AG514" s="68"/>
      <c r="AH514" s="190"/>
      <c r="AI514" s="191"/>
      <c r="AJ514" s="190"/>
      <c r="AK514" s="192"/>
      <c r="AL514" s="190"/>
      <c r="AM514" s="196"/>
    </row>
    <row r="515" spans="1:39" ht="30" hidden="1" customHeight="1" x14ac:dyDescent="0.25">
      <c r="A515" s="135">
        <v>2025</v>
      </c>
      <c r="B515" s="66" t="s">
        <v>705</v>
      </c>
      <c r="C515" s="73" t="s">
        <v>141</v>
      </c>
      <c r="D515" s="144" t="s">
        <v>114</v>
      </c>
      <c r="E515" s="144">
        <v>1</v>
      </c>
      <c r="F515" s="65" t="s">
        <v>1333</v>
      </c>
      <c r="G515" s="144" t="s">
        <v>121</v>
      </c>
      <c r="H515" s="66" t="s">
        <v>126</v>
      </c>
      <c r="I515" s="79" t="s">
        <v>1334</v>
      </c>
      <c r="J515" s="144" t="s">
        <v>132</v>
      </c>
      <c r="K515" s="144" t="s">
        <v>3</v>
      </c>
      <c r="L515" s="66" t="s">
        <v>6</v>
      </c>
      <c r="M515" s="67" t="s">
        <v>25</v>
      </c>
      <c r="N515" s="187"/>
      <c r="O515" s="187"/>
      <c r="P515" s="187"/>
      <c r="Q515" s="144" t="s">
        <v>141</v>
      </c>
      <c r="R515" s="90"/>
      <c r="S515" s="90"/>
      <c r="T515" s="65" t="s">
        <v>1329</v>
      </c>
      <c r="U515" s="144">
        <v>2025</v>
      </c>
      <c r="V515" s="90"/>
      <c r="W515" s="90"/>
      <c r="X515" s="89"/>
      <c r="Y515" s="188">
        <v>114720</v>
      </c>
      <c r="Z515" s="189">
        <v>0</v>
      </c>
      <c r="AA515" s="188">
        <v>137664</v>
      </c>
      <c r="AB515" s="188">
        <v>0</v>
      </c>
      <c r="AC515" s="188">
        <v>114720</v>
      </c>
      <c r="AD515" s="188">
        <v>137664</v>
      </c>
      <c r="AE515" s="68" t="s">
        <v>102</v>
      </c>
      <c r="AF515" s="68"/>
      <c r="AG515" s="68"/>
      <c r="AH515" s="190"/>
      <c r="AI515" s="191"/>
      <c r="AJ515" s="190"/>
      <c r="AK515" s="192"/>
      <c r="AL515" s="190"/>
      <c r="AM515" s="196"/>
    </row>
    <row r="516" spans="1:39" ht="30" hidden="1" customHeight="1" x14ac:dyDescent="0.25">
      <c r="A516" s="135">
        <v>2025</v>
      </c>
      <c r="B516" s="66" t="s">
        <v>705</v>
      </c>
      <c r="C516" s="73" t="s">
        <v>141</v>
      </c>
      <c r="D516" s="144" t="s">
        <v>114</v>
      </c>
      <c r="E516" s="144">
        <v>1</v>
      </c>
      <c r="F516" s="65" t="s">
        <v>1335</v>
      </c>
      <c r="G516" s="144" t="s">
        <v>121</v>
      </c>
      <c r="H516" s="66" t="s">
        <v>126</v>
      </c>
      <c r="I516" s="79" t="s">
        <v>1336</v>
      </c>
      <c r="J516" s="144" t="s">
        <v>132</v>
      </c>
      <c r="K516" s="144" t="s">
        <v>3</v>
      </c>
      <c r="L516" s="66" t="s">
        <v>6</v>
      </c>
      <c r="M516" s="67" t="s">
        <v>973</v>
      </c>
      <c r="N516" s="187"/>
      <c r="O516" s="187"/>
      <c r="P516" s="187"/>
      <c r="Q516" s="144" t="s">
        <v>141</v>
      </c>
      <c r="R516" s="90"/>
      <c r="S516" s="90"/>
      <c r="T516" s="65" t="s">
        <v>1337</v>
      </c>
      <c r="U516" s="144">
        <v>2025</v>
      </c>
      <c r="V516" s="90"/>
      <c r="W516" s="90"/>
      <c r="X516" s="89"/>
      <c r="Y516" s="188">
        <v>1644442.8</v>
      </c>
      <c r="Z516" s="189">
        <v>156000</v>
      </c>
      <c r="AA516" s="188">
        <v>1644442.8</v>
      </c>
      <c r="AB516" s="188">
        <v>156000</v>
      </c>
      <c r="AC516" s="188">
        <v>1644442.8</v>
      </c>
      <c r="AD516" s="188">
        <v>1644442.8</v>
      </c>
      <c r="AE516" s="68" t="s">
        <v>102</v>
      </c>
      <c r="AF516" s="68"/>
      <c r="AG516" s="68"/>
      <c r="AH516" s="190"/>
      <c r="AI516" s="191"/>
      <c r="AJ516" s="190"/>
      <c r="AK516" s="192"/>
      <c r="AL516" s="190"/>
      <c r="AM516" s="196"/>
    </row>
    <row r="517" spans="1:39" ht="30" hidden="1" customHeight="1" x14ac:dyDescent="0.25">
      <c r="A517" s="135">
        <v>2025</v>
      </c>
      <c r="B517" s="66" t="s">
        <v>57</v>
      </c>
      <c r="C517" s="73" t="s">
        <v>141</v>
      </c>
      <c r="D517" s="144" t="s">
        <v>114</v>
      </c>
      <c r="E517" s="144">
        <v>1</v>
      </c>
      <c r="F517" s="65" t="s">
        <v>1338</v>
      </c>
      <c r="G517" s="144" t="s">
        <v>121</v>
      </c>
      <c r="H517" s="66" t="s">
        <v>126</v>
      </c>
      <c r="I517" s="79" t="s">
        <v>1339</v>
      </c>
      <c r="J517" s="144" t="s">
        <v>132</v>
      </c>
      <c r="K517" s="144" t="s">
        <v>3</v>
      </c>
      <c r="L517" s="66" t="s">
        <v>6</v>
      </c>
      <c r="M517" s="67" t="s">
        <v>24</v>
      </c>
      <c r="N517" s="187"/>
      <c r="O517" s="187"/>
      <c r="P517" s="187"/>
      <c r="Q517" s="144" t="s">
        <v>141</v>
      </c>
      <c r="R517" s="90"/>
      <c r="S517" s="90"/>
      <c r="T517" s="65" t="s">
        <v>1340</v>
      </c>
      <c r="U517" s="144">
        <v>2025</v>
      </c>
      <c r="V517" s="90"/>
      <c r="W517" s="90"/>
      <c r="X517" s="89"/>
      <c r="Y517" s="188">
        <v>480000</v>
      </c>
      <c r="Z517" s="189">
        <v>0</v>
      </c>
      <c r="AA517" s="188">
        <v>576000</v>
      </c>
      <c r="AB517" s="188">
        <v>0</v>
      </c>
      <c r="AC517" s="214">
        <v>480000</v>
      </c>
      <c r="AD517" s="188">
        <v>576000</v>
      </c>
      <c r="AE517" s="57" t="s">
        <v>102</v>
      </c>
      <c r="AF517" s="68"/>
      <c r="AG517" s="68"/>
      <c r="AH517" s="190"/>
      <c r="AI517" s="191"/>
      <c r="AJ517" s="190"/>
      <c r="AK517" s="192"/>
      <c r="AL517" s="190"/>
      <c r="AM517" s="196"/>
    </row>
    <row r="518" spans="1:39" ht="30" hidden="1" customHeight="1" x14ac:dyDescent="0.25">
      <c r="A518" s="135">
        <v>2023</v>
      </c>
      <c r="B518" s="66" t="s">
        <v>78</v>
      </c>
      <c r="C518" s="73" t="s">
        <v>141</v>
      </c>
      <c r="D518" s="144" t="s">
        <v>114</v>
      </c>
      <c r="E518" s="144">
        <v>1</v>
      </c>
      <c r="F518" s="65" t="s">
        <v>1341</v>
      </c>
      <c r="G518" s="144" t="s">
        <v>121</v>
      </c>
      <c r="H518" s="66" t="s">
        <v>126</v>
      </c>
      <c r="I518" s="79">
        <v>45292</v>
      </c>
      <c r="J518" s="144" t="s">
        <v>132</v>
      </c>
      <c r="K518" s="144" t="s">
        <v>3</v>
      </c>
      <c r="L518" s="66" t="s">
        <v>6</v>
      </c>
      <c r="M518" s="67" t="s">
        <v>352</v>
      </c>
      <c r="N518" s="187"/>
      <c r="O518" s="187"/>
      <c r="P518" s="187"/>
      <c r="Q518" s="144" t="s">
        <v>141</v>
      </c>
      <c r="R518" s="90"/>
      <c r="S518" s="90"/>
      <c r="T518" s="65" t="s">
        <v>1342</v>
      </c>
      <c r="U518" s="144">
        <v>2024</v>
      </c>
      <c r="V518" s="90"/>
      <c r="W518" s="90"/>
      <c r="X518" s="89"/>
      <c r="Y518" s="188">
        <f>AC518</f>
        <v>98750</v>
      </c>
      <c r="Z518" s="189">
        <v>0</v>
      </c>
      <c r="AA518" s="188">
        <f>AD518</f>
        <v>118500</v>
      </c>
      <c r="AB518" s="188">
        <v>0</v>
      </c>
      <c r="AC518" s="214">
        <f>AD518/1.2</f>
        <v>98750</v>
      </c>
      <c r="AD518" s="188">
        <v>118500</v>
      </c>
      <c r="AE518" s="57" t="s">
        <v>102</v>
      </c>
      <c r="AF518" s="68"/>
      <c r="AG518" s="68"/>
      <c r="AH518" s="190"/>
      <c r="AI518" s="191"/>
      <c r="AJ518" s="190"/>
      <c r="AK518" s="192"/>
      <c r="AL518" s="190"/>
      <c r="AM518" s="196"/>
    </row>
    <row r="519" spans="1:39" ht="30" hidden="1" customHeight="1" x14ac:dyDescent="0.25">
      <c r="A519" s="135">
        <v>2023</v>
      </c>
      <c r="B519" s="66" t="s">
        <v>78</v>
      </c>
      <c r="C519" s="73" t="s">
        <v>141</v>
      </c>
      <c r="D519" s="144" t="s">
        <v>114</v>
      </c>
      <c r="E519" s="144">
        <v>1</v>
      </c>
      <c r="F519" s="65" t="s">
        <v>1343</v>
      </c>
      <c r="G519" s="144" t="s">
        <v>121</v>
      </c>
      <c r="H519" s="66" t="s">
        <v>126</v>
      </c>
      <c r="I519" s="79" t="s">
        <v>1344</v>
      </c>
      <c r="J519" s="144" t="s">
        <v>132</v>
      </c>
      <c r="K519" s="144" t="s">
        <v>3</v>
      </c>
      <c r="L519" s="66" t="s">
        <v>6</v>
      </c>
      <c r="M519" s="67" t="s">
        <v>24</v>
      </c>
      <c r="N519" s="187"/>
      <c r="O519" s="187"/>
      <c r="P519" s="187"/>
      <c r="Q519" s="144" t="s">
        <v>141</v>
      </c>
      <c r="R519" s="90"/>
      <c r="S519" s="90"/>
      <c r="T519" s="65" t="s">
        <v>1345</v>
      </c>
      <c r="U519" s="144">
        <v>2023</v>
      </c>
      <c r="V519" s="90"/>
      <c r="W519" s="90"/>
      <c r="X519" s="89"/>
      <c r="Y519" s="188">
        <f>AA519/1.2</f>
        <v>83333.333333333343</v>
      </c>
      <c r="Z519" s="189">
        <v>0</v>
      </c>
      <c r="AA519" s="188">
        <v>100000</v>
      </c>
      <c r="AB519" s="188">
        <v>0</v>
      </c>
      <c r="AC519" s="188">
        <f>Y519</f>
        <v>83333.333333333343</v>
      </c>
      <c r="AD519" s="188">
        <f>AA519</f>
        <v>100000</v>
      </c>
      <c r="AE519" s="57" t="s">
        <v>102</v>
      </c>
      <c r="AF519" s="68"/>
      <c r="AG519" s="68"/>
      <c r="AH519" s="190"/>
      <c r="AI519" s="191"/>
      <c r="AJ519" s="190"/>
      <c r="AK519" s="192"/>
      <c r="AL519" s="190"/>
      <c r="AM519" s="196" t="s">
        <v>1023</v>
      </c>
    </row>
    <row r="520" spans="1:39" ht="30" hidden="1" customHeight="1" x14ac:dyDescent="0.25">
      <c r="A520" s="135">
        <v>2022</v>
      </c>
      <c r="B520" s="66" t="s">
        <v>78</v>
      </c>
      <c r="C520" s="73" t="s">
        <v>141</v>
      </c>
      <c r="D520" s="144" t="s">
        <v>114</v>
      </c>
      <c r="E520" s="144">
        <v>1</v>
      </c>
      <c r="F520" s="65" t="s">
        <v>1346</v>
      </c>
      <c r="G520" s="144" t="s">
        <v>121</v>
      </c>
      <c r="H520" s="66" t="s">
        <v>126</v>
      </c>
      <c r="I520" s="79" t="s">
        <v>1347</v>
      </c>
      <c r="J520" s="144" t="s">
        <v>132</v>
      </c>
      <c r="K520" s="144" t="s">
        <v>3</v>
      </c>
      <c r="L520" s="66" t="s">
        <v>6</v>
      </c>
      <c r="M520" s="67" t="s">
        <v>24</v>
      </c>
      <c r="N520" s="187"/>
      <c r="O520" s="187"/>
      <c r="P520" s="187"/>
      <c r="Q520" s="144" t="s">
        <v>141</v>
      </c>
      <c r="R520" s="90"/>
      <c r="S520" s="90"/>
      <c r="T520" s="65" t="s">
        <v>1348</v>
      </c>
      <c r="U520" s="144">
        <v>2022</v>
      </c>
      <c r="V520" s="90"/>
      <c r="W520" s="90"/>
      <c r="X520" s="89"/>
      <c r="Y520" s="188">
        <f>AA520/1.2</f>
        <v>83333.333333333343</v>
      </c>
      <c r="Z520" s="189">
        <v>0</v>
      </c>
      <c r="AA520" s="188">
        <v>100000</v>
      </c>
      <c r="AB520" s="188">
        <v>0</v>
      </c>
      <c r="AC520" s="188">
        <f>Y520</f>
        <v>83333.333333333343</v>
      </c>
      <c r="AD520" s="188">
        <f>AA520</f>
        <v>100000</v>
      </c>
      <c r="AE520" s="57" t="s">
        <v>102</v>
      </c>
      <c r="AF520" s="68"/>
      <c r="AG520" s="68"/>
      <c r="AH520" s="190"/>
      <c r="AI520" s="191"/>
      <c r="AJ520" s="190"/>
      <c r="AK520" s="192"/>
      <c r="AL520" s="190"/>
      <c r="AM520" s="196" t="s">
        <v>1023</v>
      </c>
    </row>
    <row r="521" spans="1:39" ht="30" hidden="1" customHeight="1" x14ac:dyDescent="0.25">
      <c r="A521" s="135" t="s">
        <v>354</v>
      </c>
      <c r="B521" s="66" t="s">
        <v>55</v>
      </c>
      <c r="C521" s="73" t="s">
        <v>141</v>
      </c>
      <c r="D521" s="144" t="s">
        <v>114</v>
      </c>
      <c r="E521" s="144">
        <v>1</v>
      </c>
      <c r="F521" s="65" t="s">
        <v>1349</v>
      </c>
      <c r="G521" s="144" t="s">
        <v>121</v>
      </c>
      <c r="H521" s="66" t="s">
        <v>126</v>
      </c>
      <c r="I521" s="82"/>
      <c r="J521" s="144" t="s">
        <v>132</v>
      </c>
      <c r="K521" s="144" t="s">
        <v>3</v>
      </c>
      <c r="L521" s="66" t="s">
        <v>6</v>
      </c>
      <c r="M521" s="67" t="s">
        <v>21</v>
      </c>
      <c r="N521" s="187"/>
      <c r="O521" s="187"/>
      <c r="P521" s="187"/>
      <c r="Q521" s="144" t="s">
        <v>141</v>
      </c>
      <c r="R521" s="90"/>
      <c r="S521" s="90"/>
      <c r="T521" s="65" t="s">
        <v>1350</v>
      </c>
      <c r="U521" s="144" t="s">
        <v>354</v>
      </c>
      <c r="V521" s="90"/>
      <c r="W521" s="90"/>
      <c r="X521" s="89"/>
      <c r="Y521" s="188">
        <f>AC521</f>
        <v>3000000</v>
      </c>
      <c r="Z521" s="189" t="s">
        <v>354</v>
      </c>
      <c r="AA521" s="188">
        <f>AC521</f>
        <v>3000000</v>
      </c>
      <c r="AB521" s="188" t="s">
        <v>354</v>
      </c>
      <c r="AC521" s="188">
        <f>AD521</f>
        <v>3000000</v>
      </c>
      <c r="AD521" s="188">
        <v>3000000</v>
      </c>
      <c r="AE521" s="68" t="s">
        <v>102</v>
      </c>
      <c r="AF521" s="68"/>
      <c r="AG521" s="68"/>
      <c r="AH521" s="190"/>
      <c r="AI521" s="191"/>
      <c r="AJ521" s="190"/>
      <c r="AK521" s="192"/>
      <c r="AL521" s="190"/>
      <c r="AM521" s="196"/>
    </row>
    <row r="522" spans="1:39" ht="30" hidden="1" customHeight="1" x14ac:dyDescent="0.25">
      <c r="A522" s="135" t="s">
        <v>354</v>
      </c>
      <c r="B522" s="66" t="s">
        <v>55</v>
      </c>
      <c r="C522" s="73" t="s">
        <v>141</v>
      </c>
      <c r="D522" s="144" t="s">
        <v>114</v>
      </c>
      <c r="E522" s="144">
        <v>1</v>
      </c>
      <c r="F522" s="65" t="s">
        <v>1351</v>
      </c>
      <c r="G522" s="144" t="s">
        <v>121</v>
      </c>
      <c r="H522" s="66" t="s">
        <v>126</v>
      </c>
      <c r="I522" s="82"/>
      <c r="J522" s="144" t="s">
        <v>132</v>
      </c>
      <c r="K522" s="144" t="s">
        <v>3</v>
      </c>
      <c r="L522" s="66" t="s">
        <v>6</v>
      </c>
      <c r="M522" s="67" t="s">
        <v>21</v>
      </c>
      <c r="N522" s="187"/>
      <c r="O522" s="187"/>
      <c r="P522" s="187"/>
      <c r="Q522" s="144" t="s">
        <v>141</v>
      </c>
      <c r="R522" s="90"/>
      <c r="S522" s="90"/>
      <c r="T522" s="65" t="s">
        <v>1352</v>
      </c>
      <c r="U522" s="144" t="s">
        <v>354</v>
      </c>
      <c r="V522" s="90"/>
      <c r="W522" s="90"/>
      <c r="X522" s="89"/>
      <c r="Y522" s="188">
        <f>AC522</f>
        <v>2340000</v>
      </c>
      <c r="Z522" s="189" t="s">
        <v>354</v>
      </c>
      <c r="AA522" s="188">
        <f>AC522</f>
        <v>2340000</v>
      </c>
      <c r="AB522" s="188" t="s">
        <v>354</v>
      </c>
      <c r="AC522" s="188">
        <v>2340000</v>
      </c>
      <c r="AD522" s="188">
        <v>2340000</v>
      </c>
      <c r="AE522" s="68" t="s">
        <v>102</v>
      </c>
      <c r="AF522" s="68"/>
      <c r="AG522" s="68"/>
      <c r="AH522" s="190"/>
      <c r="AI522" s="191"/>
      <c r="AJ522" s="190"/>
      <c r="AK522" s="192"/>
      <c r="AL522" s="190"/>
      <c r="AM522" s="196"/>
    </row>
    <row r="523" spans="1:39" ht="30" hidden="1" customHeight="1" x14ac:dyDescent="0.25">
      <c r="A523" s="135" t="s">
        <v>354</v>
      </c>
      <c r="B523" s="66" t="s">
        <v>55</v>
      </c>
      <c r="C523" s="73" t="s">
        <v>141</v>
      </c>
      <c r="D523" s="144" t="s">
        <v>114</v>
      </c>
      <c r="E523" s="144">
        <v>1</v>
      </c>
      <c r="F523" s="65" t="s">
        <v>1353</v>
      </c>
      <c r="G523" s="144" t="s">
        <v>121</v>
      </c>
      <c r="H523" s="66" t="s">
        <v>126</v>
      </c>
      <c r="I523" s="82"/>
      <c r="J523" s="144" t="s">
        <v>132</v>
      </c>
      <c r="K523" s="144" t="s">
        <v>3</v>
      </c>
      <c r="L523" s="66" t="s">
        <v>6</v>
      </c>
      <c r="M523" s="67" t="s">
        <v>21</v>
      </c>
      <c r="N523" s="187"/>
      <c r="O523" s="187"/>
      <c r="P523" s="187"/>
      <c r="Q523" s="144" t="s">
        <v>141</v>
      </c>
      <c r="R523" s="90"/>
      <c r="S523" s="90"/>
      <c r="T523" s="65" t="s">
        <v>1354</v>
      </c>
      <c r="U523" s="144" t="s">
        <v>354</v>
      </c>
      <c r="V523" s="90"/>
      <c r="W523" s="90"/>
      <c r="X523" s="89"/>
      <c r="Y523" s="188">
        <f>AC523</f>
        <v>15800000</v>
      </c>
      <c r="Z523" s="189" t="s">
        <v>354</v>
      </c>
      <c r="AA523" s="188">
        <f>AD523</f>
        <v>18960000</v>
      </c>
      <c r="AB523" s="188" t="s">
        <v>354</v>
      </c>
      <c r="AC523" s="188">
        <f>AD523/1.2</f>
        <v>15800000</v>
      </c>
      <c r="AD523" s="188">
        <v>18960000</v>
      </c>
      <c r="AE523" s="68" t="s">
        <v>102</v>
      </c>
      <c r="AF523" s="68"/>
      <c r="AG523" s="68"/>
      <c r="AH523" s="190"/>
      <c r="AI523" s="191"/>
      <c r="AJ523" s="190"/>
      <c r="AK523" s="192"/>
      <c r="AL523" s="190"/>
      <c r="AM523" s="196"/>
    </row>
    <row r="524" spans="1:39" ht="30" hidden="1" customHeight="1" x14ac:dyDescent="0.25">
      <c r="A524" s="135" t="s">
        <v>354</v>
      </c>
      <c r="B524" s="66" t="s">
        <v>55</v>
      </c>
      <c r="C524" s="73" t="s">
        <v>141</v>
      </c>
      <c r="D524" s="144" t="s">
        <v>114</v>
      </c>
      <c r="E524" s="144">
        <v>1</v>
      </c>
      <c r="F524" s="65" t="s">
        <v>1355</v>
      </c>
      <c r="G524" s="144" t="s">
        <v>121</v>
      </c>
      <c r="H524" s="66" t="s">
        <v>126</v>
      </c>
      <c r="I524" s="82"/>
      <c r="J524" s="144" t="s">
        <v>132</v>
      </c>
      <c r="K524" s="144" t="s">
        <v>3</v>
      </c>
      <c r="L524" s="66" t="s">
        <v>6</v>
      </c>
      <c r="M524" s="67" t="s">
        <v>21</v>
      </c>
      <c r="N524" s="187"/>
      <c r="O524" s="187"/>
      <c r="P524" s="187"/>
      <c r="Q524" s="144" t="s">
        <v>141</v>
      </c>
      <c r="R524" s="90"/>
      <c r="S524" s="90"/>
      <c r="T524" s="65" t="s">
        <v>1356</v>
      </c>
      <c r="U524" s="144" t="s">
        <v>354</v>
      </c>
      <c r="V524" s="90"/>
      <c r="W524" s="90"/>
      <c r="X524" s="89"/>
      <c r="Y524" s="188">
        <v>66430944.359999999</v>
      </c>
      <c r="Z524" s="189" t="s">
        <v>354</v>
      </c>
      <c r="AA524" s="188">
        <v>66430944.359999999</v>
      </c>
      <c r="AB524" s="188" t="s">
        <v>354</v>
      </c>
      <c r="AC524" s="188">
        <v>66430944.359999999</v>
      </c>
      <c r="AD524" s="188">
        <v>66430944.359999999</v>
      </c>
      <c r="AE524" s="68" t="s">
        <v>102</v>
      </c>
      <c r="AF524" s="68"/>
      <c r="AG524" s="68"/>
      <c r="AH524" s="190"/>
      <c r="AI524" s="191"/>
      <c r="AJ524" s="190"/>
      <c r="AK524" s="192"/>
      <c r="AL524" s="190"/>
      <c r="AM524" s="196"/>
    </row>
    <row r="525" spans="1:39" ht="30" hidden="1" customHeight="1" x14ac:dyDescent="0.25">
      <c r="A525" s="135" t="s">
        <v>354</v>
      </c>
      <c r="B525" s="66" t="s">
        <v>55</v>
      </c>
      <c r="C525" s="73" t="s">
        <v>141</v>
      </c>
      <c r="D525" s="144" t="s">
        <v>114</v>
      </c>
      <c r="E525" s="144">
        <v>1</v>
      </c>
      <c r="F525" s="65" t="s">
        <v>1357</v>
      </c>
      <c r="G525" s="144" t="s">
        <v>121</v>
      </c>
      <c r="H525" s="66" t="s">
        <v>126</v>
      </c>
      <c r="I525" s="82"/>
      <c r="J525" s="144" t="s">
        <v>132</v>
      </c>
      <c r="K525" s="144" t="s">
        <v>3</v>
      </c>
      <c r="L525" s="66" t="s">
        <v>6</v>
      </c>
      <c r="M525" s="67" t="s">
        <v>21</v>
      </c>
      <c r="N525" s="187"/>
      <c r="O525" s="187"/>
      <c r="P525" s="187"/>
      <c r="Q525" s="144" t="s">
        <v>141</v>
      </c>
      <c r="R525" s="90"/>
      <c r="S525" s="90"/>
      <c r="T525" s="65" t="s">
        <v>1358</v>
      </c>
      <c r="U525" s="144" t="s">
        <v>354</v>
      </c>
      <c r="V525" s="90"/>
      <c r="W525" s="90"/>
      <c r="X525" s="89"/>
      <c r="Y525" s="188">
        <f>AC525</f>
        <v>1625000</v>
      </c>
      <c r="Z525" s="189" t="s">
        <v>354</v>
      </c>
      <c r="AA525" s="188">
        <f>AD525</f>
        <v>1950000</v>
      </c>
      <c r="AB525" s="188" t="s">
        <v>354</v>
      </c>
      <c r="AC525" s="188">
        <f>AD525/1.2</f>
        <v>1625000</v>
      </c>
      <c r="AD525" s="188">
        <v>1950000</v>
      </c>
      <c r="AE525" s="68" t="s">
        <v>102</v>
      </c>
      <c r="AF525" s="68"/>
      <c r="AG525" s="68"/>
      <c r="AH525" s="190"/>
      <c r="AI525" s="191"/>
      <c r="AJ525" s="190"/>
      <c r="AK525" s="192"/>
      <c r="AL525" s="190"/>
      <c r="AM525" s="196"/>
    </row>
    <row r="526" spans="1:39" ht="30" hidden="1" customHeight="1" x14ac:dyDescent="0.25">
      <c r="A526" s="135">
        <v>2021</v>
      </c>
      <c r="B526" s="66" t="s">
        <v>55</v>
      </c>
      <c r="C526" s="73" t="s">
        <v>141</v>
      </c>
      <c r="D526" s="144" t="s">
        <v>114</v>
      </c>
      <c r="E526" s="144">
        <v>1</v>
      </c>
      <c r="F526" s="65" t="s">
        <v>1359</v>
      </c>
      <c r="G526" s="144" t="s">
        <v>121</v>
      </c>
      <c r="H526" s="66" t="s">
        <v>126</v>
      </c>
      <c r="I526" s="82"/>
      <c r="J526" s="144" t="s">
        <v>132</v>
      </c>
      <c r="K526" s="144" t="s">
        <v>3</v>
      </c>
      <c r="L526" s="66" t="s">
        <v>6</v>
      </c>
      <c r="M526" s="67" t="s">
        <v>25</v>
      </c>
      <c r="N526" s="187"/>
      <c r="O526" s="187"/>
      <c r="P526" s="187"/>
      <c r="Q526" s="144" t="s">
        <v>141</v>
      </c>
      <c r="R526" s="90"/>
      <c r="S526" s="90"/>
      <c r="T526" s="65" t="s">
        <v>1360</v>
      </c>
      <c r="U526" s="144">
        <v>2021</v>
      </c>
      <c r="V526" s="90"/>
      <c r="W526" s="90"/>
      <c r="X526" s="89"/>
      <c r="Y526" s="188">
        <f>AC526</f>
        <v>1504920</v>
      </c>
      <c r="Z526" s="189" t="s">
        <v>354</v>
      </c>
      <c r="AA526" s="188">
        <f>AD526</f>
        <v>1805904</v>
      </c>
      <c r="AB526" s="188" t="s">
        <v>354</v>
      </c>
      <c r="AC526" s="188">
        <f>AD526/1.2</f>
        <v>1504920</v>
      </c>
      <c r="AD526" s="188">
        <v>1805904</v>
      </c>
      <c r="AE526" s="68" t="s">
        <v>102</v>
      </c>
      <c r="AF526" s="68"/>
      <c r="AG526" s="68"/>
      <c r="AH526" s="190"/>
      <c r="AI526" s="191"/>
      <c r="AJ526" s="190"/>
      <c r="AK526" s="192"/>
      <c r="AL526" s="190"/>
      <c r="AM526" s="196"/>
    </row>
    <row r="527" spans="1:39" ht="30" hidden="1" customHeight="1" x14ac:dyDescent="0.25">
      <c r="A527" s="135">
        <v>2021</v>
      </c>
      <c r="B527" s="66" t="s">
        <v>55</v>
      </c>
      <c r="C527" s="73" t="s">
        <v>141</v>
      </c>
      <c r="D527" s="144" t="s">
        <v>114</v>
      </c>
      <c r="E527" s="144">
        <v>1</v>
      </c>
      <c r="F527" s="65" t="s">
        <v>1361</v>
      </c>
      <c r="G527" s="144" t="s">
        <v>121</v>
      </c>
      <c r="H527" s="66" t="s">
        <v>126</v>
      </c>
      <c r="I527" s="82"/>
      <c r="J527" s="144" t="s">
        <v>132</v>
      </c>
      <c r="K527" s="144" t="s">
        <v>3</v>
      </c>
      <c r="L527" s="66" t="s">
        <v>6</v>
      </c>
      <c r="M527" s="67" t="s">
        <v>25</v>
      </c>
      <c r="N527" s="187"/>
      <c r="O527" s="187"/>
      <c r="P527" s="187"/>
      <c r="Q527" s="144" t="s">
        <v>141</v>
      </c>
      <c r="R527" s="90"/>
      <c r="S527" s="90"/>
      <c r="T527" s="65" t="s">
        <v>1362</v>
      </c>
      <c r="U527" s="144">
        <v>2021</v>
      </c>
      <c r="V527" s="90"/>
      <c r="W527" s="90"/>
      <c r="X527" s="89"/>
      <c r="Y527" s="188">
        <f>AC527</f>
        <v>9302904.1583333332</v>
      </c>
      <c r="Z527" s="189" t="s">
        <v>354</v>
      </c>
      <c r="AA527" s="188">
        <f>AD527</f>
        <v>11163484.99</v>
      </c>
      <c r="AB527" s="188" t="s">
        <v>354</v>
      </c>
      <c r="AC527" s="188">
        <f>AD527/1.2</f>
        <v>9302904.1583333332</v>
      </c>
      <c r="AD527" s="188">
        <v>11163484.99</v>
      </c>
      <c r="AE527" s="68" t="s">
        <v>102</v>
      </c>
      <c r="AF527" s="68"/>
      <c r="AG527" s="68"/>
      <c r="AH527" s="190"/>
      <c r="AI527" s="191"/>
      <c r="AJ527" s="190"/>
      <c r="AK527" s="192"/>
      <c r="AL527" s="190"/>
      <c r="AM527" s="196"/>
    </row>
    <row r="528" spans="1:39" ht="30" hidden="1" customHeight="1" x14ac:dyDescent="0.25">
      <c r="A528" s="135">
        <v>2023</v>
      </c>
      <c r="B528" s="66" t="s">
        <v>55</v>
      </c>
      <c r="C528" s="73" t="s">
        <v>141</v>
      </c>
      <c r="D528" s="144" t="s">
        <v>106</v>
      </c>
      <c r="E528" s="144">
        <v>1</v>
      </c>
      <c r="F528" s="65" t="s">
        <v>1363</v>
      </c>
      <c r="G528" s="144" t="s">
        <v>121</v>
      </c>
      <c r="H528" s="66" t="s">
        <v>126</v>
      </c>
      <c r="I528" s="79" t="s">
        <v>1364</v>
      </c>
      <c r="J528" s="144" t="s">
        <v>132</v>
      </c>
      <c r="K528" s="144" t="s">
        <v>3</v>
      </c>
      <c r="L528" s="66" t="s">
        <v>6</v>
      </c>
      <c r="M528" s="67" t="s">
        <v>23</v>
      </c>
      <c r="N528" s="187"/>
      <c r="O528" s="187"/>
      <c r="P528" s="187"/>
      <c r="Q528" s="144" t="s">
        <v>141</v>
      </c>
      <c r="R528" s="90"/>
      <c r="S528" s="90"/>
      <c r="T528" s="65" t="s">
        <v>1365</v>
      </c>
      <c r="U528" s="144">
        <v>2023</v>
      </c>
      <c r="V528" s="90"/>
      <c r="W528" s="90"/>
      <c r="X528" s="89"/>
      <c r="Y528" s="188">
        <f>AC528</f>
        <v>150000</v>
      </c>
      <c r="Z528" s="189" t="s">
        <v>354</v>
      </c>
      <c r="AA528" s="188">
        <f>AD528</f>
        <v>180000</v>
      </c>
      <c r="AB528" s="188" t="s">
        <v>354</v>
      </c>
      <c r="AC528" s="188">
        <f>AD528/1.2</f>
        <v>150000</v>
      </c>
      <c r="AD528" s="188">
        <v>180000</v>
      </c>
      <c r="AE528" s="68" t="s">
        <v>102</v>
      </c>
      <c r="AF528" s="68"/>
      <c r="AG528" s="68"/>
      <c r="AH528" s="190"/>
      <c r="AI528" s="191"/>
      <c r="AJ528" s="190"/>
      <c r="AK528" s="192"/>
      <c r="AL528" s="190"/>
      <c r="AM528" s="196"/>
    </row>
    <row r="529" spans="1:45" ht="30" hidden="1" customHeight="1" x14ac:dyDescent="0.25">
      <c r="A529" s="135">
        <v>2023</v>
      </c>
      <c r="B529" s="66" t="s">
        <v>55</v>
      </c>
      <c r="C529" s="73" t="s">
        <v>141</v>
      </c>
      <c r="D529" s="144" t="s">
        <v>106</v>
      </c>
      <c r="E529" s="144">
        <v>1</v>
      </c>
      <c r="F529" s="65" t="s">
        <v>1366</v>
      </c>
      <c r="G529" s="144" t="s">
        <v>121</v>
      </c>
      <c r="H529" s="66" t="s">
        <v>126</v>
      </c>
      <c r="I529" s="79" t="s">
        <v>1367</v>
      </c>
      <c r="J529" s="144" t="s">
        <v>132</v>
      </c>
      <c r="K529" s="144" t="s">
        <v>3</v>
      </c>
      <c r="L529" s="66" t="s">
        <v>6</v>
      </c>
      <c r="M529" s="67" t="s">
        <v>973</v>
      </c>
      <c r="N529" s="187"/>
      <c r="O529" s="187"/>
      <c r="P529" s="187"/>
      <c r="Q529" s="144" t="s">
        <v>141</v>
      </c>
      <c r="R529" s="90"/>
      <c r="S529" s="90"/>
      <c r="T529" s="65" t="s">
        <v>1368</v>
      </c>
      <c r="U529" s="144">
        <v>2023</v>
      </c>
      <c r="V529" s="90"/>
      <c r="W529" s="90"/>
      <c r="X529" s="89"/>
      <c r="Y529" s="188">
        <v>766500</v>
      </c>
      <c r="Z529" s="189">
        <v>0</v>
      </c>
      <c r="AA529" s="188">
        <v>919800</v>
      </c>
      <c r="AB529" s="188">
        <v>0</v>
      </c>
      <c r="AC529" s="188">
        <f>Y529</f>
        <v>766500</v>
      </c>
      <c r="AD529" s="188">
        <f>AA529</f>
        <v>919800</v>
      </c>
      <c r="AE529" s="68" t="s">
        <v>102</v>
      </c>
      <c r="AF529" s="68"/>
      <c r="AG529" s="68"/>
      <c r="AH529" s="190"/>
      <c r="AI529" s="191"/>
      <c r="AJ529" s="190"/>
      <c r="AK529" s="192"/>
      <c r="AL529" s="190"/>
      <c r="AM529" s="196"/>
    </row>
    <row r="530" spans="1:45" ht="30" hidden="1" customHeight="1" x14ac:dyDescent="0.25">
      <c r="A530" s="135">
        <v>2022</v>
      </c>
      <c r="B530" s="66" t="s">
        <v>55</v>
      </c>
      <c r="C530" s="73" t="s">
        <v>141</v>
      </c>
      <c r="D530" s="144" t="s">
        <v>106</v>
      </c>
      <c r="E530" s="144">
        <v>1</v>
      </c>
      <c r="F530" s="65" t="s">
        <v>1369</v>
      </c>
      <c r="G530" s="144" t="s">
        <v>121</v>
      </c>
      <c r="H530" s="66" t="s">
        <v>126</v>
      </c>
      <c r="I530" s="79" t="s">
        <v>1370</v>
      </c>
      <c r="J530" s="144" t="s">
        <v>132</v>
      </c>
      <c r="K530" s="144" t="s">
        <v>3</v>
      </c>
      <c r="L530" s="66" t="s">
        <v>6</v>
      </c>
      <c r="M530" s="67" t="s">
        <v>23</v>
      </c>
      <c r="N530" s="187"/>
      <c r="O530" s="187"/>
      <c r="P530" s="187"/>
      <c r="Q530" s="144" t="s">
        <v>141</v>
      </c>
      <c r="R530" s="90"/>
      <c r="S530" s="90"/>
      <c r="T530" s="65" t="s">
        <v>1371</v>
      </c>
      <c r="U530" s="45">
        <v>2022</v>
      </c>
      <c r="V530" s="90"/>
      <c r="W530" s="90"/>
      <c r="X530" s="89"/>
      <c r="Y530" s="188">
        <v>265800</v>
      </c>
      <c r="Z530" s="189">
        <v>0</v>
      </c>
      <c r="AA530" s="188">
        <v>318960</v>
      </c>
      <c r="AB530" s="188">
        <v>0</v>
      </c>
      <c r="AC530" s="188">
        <f>Y530</f>
        <v>265800</v>
      </c>
      <c r="AD530" s="188">
        <f>AA530</f>
        <v>318960</v>
      </c>
      <c r="AE530" s="68" t="s">
        <v>102</v>
      </c>
      <c r="AF530" s="68"/>
      <c r="AG530" s="68"/>
      <c r="AH530" s="190"/>
      <c r="AI530" s="191"/>
      <c r="AJ530" s="190"/>
      <c r="AK530" s="192"/>
      <c r="AL530" s="190"/>
      <c r="AM530" s="196"/>
    </row>
    <row r="531" spans="1:45" ht="30" hidden="1" customHeight="1" x14ac:dyDescent="0.25">
      <c r="A531" s="135">
        <v>2023</v>
      </c>
      <c r="B531" s="66" t="s">
        <v>55</v>
      </c>
      <c r="C531" s="73" t="s">
        <v>141</v>
      </c>
      <c r="D531" s="144" t="s">
        <v>106</v>
      </c>
      <c r="E531" s="144">
        <v>1</v>
      </c>
      <c r="F531" s="65" t="s">
        <v>1372</v>
      </c>
      <c r="G531" s="144" t="s">
        <v>121</v>
      </c>
      <c r="H531" s="66" t="s">
        <v>126</v>
      </c>
      <c r="I531" s="79" t="s">
        <v>1373</v>
      </c>
      <c r="J531" s="144" t="s">
        <v>132</v>
      </c>
      <c r="K531" s="144" t="s">
        <v>3</v>
      </c>
      <c r="L531" s="66" t="s">
        <v>6</v>
      </c>
      <c r="M531" s="67" t="s">
        <v>23</v>
      </c>
      <c r="N531" s="187"/>
      <c r="O531" s="187"/>
      <c r="P531" s="187"/>
      <c r="Q531" s="144" t="s">
        <v>141</v>
      </c>
      <c r="R531" s="90"/>
      <c r="S531" s="90"/>
      <c r="T531" s="65" t="s">
        <v>956</v>
      </c>
      <c r="U531" s="45">
        <v>2023</v>
      </c>
      <c r="V531" s="90"/>
      <c r="W531" s="90"/>
      <c r="X531" s="89"/>
      <c r="Y531" s="188">
        <v>699000</v>
      </c>
      <c r="Z531" s="189">
        <v>0</v>
      </c>
      <c r="AA531" s="188">
        <v>838800</v>
      </c>
      <c r="AB531" s="188">
        <v>0</v>
      </c>
      <c r="AC531" s="188">
        <f>Y531</f>
        <v>699000</v>
      </c>
      <c r="AD531" s="188">
        <f>AA531</f>
        <v>838800</v>
      </c>
      <c r="AE531" s="68" t="s">
        <v>102</v>
      </c>
      <c r="AF531" s="68"/>
      <c r="AG531" s="68"/>
      <c r="AH531" s="190"/>
      <c r="AI531" s="191"/>
      <c r="AJ531" s="190"/>
      <c r="AK531" s="192"/>
      <c r="AL531" s="190"/>
      <c r="AM531" s="196"/>
    </row>
    <row r="532" spans="1:45" ht="30" hidden="1" customHeight="1" x14ac:dyDescent="0.25">
      <c r="A532" s="135">
        <v>2024</v>
      </c>
      <c r="B532" s="66" t="s">
        <v>705</v>
      </c>
      <c r="C532" s="73" t="s">
        <v>141</v>
      </c>
      <c r="D532" s="144" t="s">
        <v>106</v>
      </c>
      <c r="E532" s="144">
        <v>1</v>
      </c>
      <c r="F532" s="65" t="s">
        <v>1374</v>
      </c>
      <c r="G532" s="144" t="s">
        <v>121</v>
      </c>
      <c r="H532" s="66" t="s">
        <v>126</v>
      </c>
      <c r="I532" s="79" t="s">
        <v>1375</v>
      </c>
      <c r="J532" s="144" t="s">
        <v>132</v>
      </c>
      <c r="K532" s="144" t="s">
        <v>3</v>
      </c>
      <c r="L532" s="66" t="s">
        <v>6</v>
      </c>
      <c r="M532" s="67" t="s">
        <v>973</v>
      </c>
      <c r="N532" s="187"/>
      <c r="O532" s="187"/>
      <c r="P532" s="187"/>
      <c r="Q532" s="144" t="s">
        <v>141</v>
      </c>
      <c r="R532" s="90"/>
      <c r="S532" s="90"/>
      <c r="T532" s="77"/>
      <c r="U532" s="144">
        <v>2024</v>
      </c>
      <c r="V532" s="90"/>
      <c r="W532" s="90"/>
      <c r="X532" s="89"/>
      <c r="Y532" s="188">
        <f>AC532</f>
        <v>312850</v>
      </c>
      <c r="Z532" s="189">
        <v>0</v>
      </c>
      <c r="AA532" s="188">
        <f>AD532</f>
        <v>375420</v>
      </c>
      <c r="AB532" s="188">
        <v>0</v>
      </c>
      <c r="AC532" s="188">
        <f>AD532/1.2</f>
        <v>312850</v>
      </c>
      <c r="AD532" s="188">
        <v>375420</v>
      </c>
      <c r="AE532" s="68" t="s">
        <v>102</v>
      </c>
      <c r="AF532" s="68"/>
      <c r="AG532" s="68"/>
      <c r="AH532" s="190"/>
      <c r="AI532" s="191"/>
      <c r="AJ532" s="190"/>
      <c r="AK532" s="192"/>
      <c r="AL532" s="190"/>
      <c r="AM532" s="196"/>
    </row>
    <row r="533" spans="1:45" ht="30" hidden="1" customHeight="1" x14ac:dyDescent="0.25">
      <c r="A533" s="135">
        <v>2025</v>
      </c>
      <c r="B533" s="66" t="s">
        <v>705</v>
      </c>
      <c r="C533" s="73" t="s">
        <v>141</v>
      </c>
      <c r="D533" s="144" t="s">
        <v>106</v>
      </c>
      <c r="E533" s="144">
        <v>1</v>
      </c>
      <c r="F533" s="65" t="s">
        <v>1376</v>
      </c>
      <c r="G533" s="144" t="s">
        <v>121</v>
      </c>
      <c r="H533" s="66" t="s">
        <v>126</v>
      </c>
      <c r="I533" s="82"/>
      <c r="J533" s="144" t="s">
        <v>132</v>
      </c>
      <c r="K533" s="144" t="s">
        <v>3</v>
      </c>
      <c r="L533" s="66" t="s">
        <v>6</v>
      </c>
      <c r="M533" s="67" t="s">
        <v>973</v>
      </c>
      <c r="N533" s="187"/>
      <c r="O533" s="187"/>
      <c r="P533" s="187"/>
      <c r="Q533" s="144" t="s">
        <v>141</v>
      </c>
      <c r="R533" s="90"/>
      <c r="S533" s="90"/>
      <c r="T533" s="77"/>
      <c r="U533" s="144">
        <v>2025</v>
      </c>
      <c r="V533" s="90"/>
      <c r="W533" s="90"/>
      <c r="X533" s="89"/>
      <c r="Y533" s="188">
        <f>AC533</f>
        <v>200000</v>
      </c>
      <c r="Z533" s="189">
        <v>0</v>
      </c>
      <c r="AA533" s="188">
        <f>AD533</f>
        <v>240000</v>
      </c>
      <c r="AB533" s="188">
        <v>0</v>
      </c>
      <c r="AC533" s="188">
        <f>AD533/1.2</f>
        <v>200000</v>
      </c>
      <c r="AD533" s="188">
        <v>240000</v>
      </c>
      <c r="AE533" s="68" t="s">
        <v>102</v>
      </c>
      <c r="AF533" s="68"/>
      <c r="AG533" s="68"/>
      <c r="AH533" s="190"/>
      <c r="AI533" s="191"/>
      <c r="AJ533" s="190"/>
      <c r="AK533" s="192"/>
      <c r="AL533" s="190"/>
      <c r="AM533" s="196"/>
    </row>
    <row r="534" spans="1:45" ht="30" hidden="1" customHeight="1" x14ac:dyDescent="0.25">
      <c r="A534" s="135">
        <v>2025</v>
      </c>
      <c r="B534" s="66" t="s">
        <v>705</v>
      </c>
      <c r="C534" s="73" t="s">
        <v>141</v>
      </c>
      <c r="D534" s="144" t="s">
        <v>106</v>
      </c>
      <c r="E534" s="144">
        <v>1</v>
      </c>
      <c r="F534" s="65" t="s">
        <v>1377</v>
      </c>
      <c r="G534" s="144" t="s">
        <v>121</v>
      </c>
      <c r="H534" s="66" t="s">
        <v>126</v>
      </c>
      <c r="I534" s="82"/>
      <c r="J534" s="144" t="s">
        <v>132</v>
      </c>
      <c r="K534" s="144" t="s">
        <v>3</v>
      </c>
      <c r="L534" s="66" t="s">
        <v>6</v>
      </c>
      <c r="M534" s="67" t="s">
        <v>973</v>
      </c>
      <c r="N534" s="187"/>
      <c r="O534" s="187"/>
      <c r="P534" s="187"/>
      <c r="Q534" s="144" t="s">
        <v>141</v>
      </c>
      <c r="R534" s="90"/>
      <c r="S534" s="90"/>
      <c r="T534" s="77"/>
      <c r="U534" s="144">
        <v>2025</v>
      </c>
      <c r="V534" s="90"/>
      <c r="W534" s="90"/>
      <c r="X534" s="89"/>
      <c r="Y534" s="188">
        <f>AC534</f>
        <v>430000</v>
      </c>
      <c r="Z534" s="189">
        <v>0</v>
      </c>
      <c r="AA534" s="188">
        <f>AD534</f>
        <v>516000</v>
      </c>
      <c r="AB534" s="188">
        <v>0</v>
      </c>
      <c r="AC534" s="188">
        <f>AD534/1.2</f>
        <v>430000</v>
      </c>
      <c r="AD534" s="188">
        <v>516000</v>
      </c>
      <c r="AE534" s="68" t="s">
        <v>102</v>
      </c>
      <c r="AF534" s="68"/>
      <c r="AG534" s="68"/>
      <c r="AH534" s="190"/>
      <c r="AI534" s="191"/>
      <c r="AJ534" s="190"/>
      <c r="AK534" s="192"/>
      <c r="AL534" s="190"/>
      <c r="AM534" s="196"/>
    </row>
    <row r="535" spans="1:45" ht="30" hidden="1" customHeight="1" x14ac:dyDescent="0.25">
      <c r="A535" s="135">
        <v>2022</v>
      </c>
      <c r="B535" s="66" t="s">
        <v>705</v>
      </c>
      <c r="C535" s="73" t="s">
        <v>141</v>
      </c>
      <c r="D535" s="144" t="s">
        <v>106</v>
      </c>
      <c r="E535" s="144">
        <v>1</v>
      </c>
      <c r="F535" s="65" t="s">
        <v>1378</v>
      </c>
      <c r="G535" s="144" t="s">
        <v>121</v>
      </c>
      <c r="H535" s="66" t="s">
        <v>126</v>
      </c>
      <c r="I535" s="79" t="s">
        <v>1379</v>
      </c>
      <c r="J535" s="45" t="s">
        <v>131</v>
      </c>
      <c r="K535" s="144" t="s">
        <v>3</v>
      </c>
      <c r="L535" s="66" t="s">
        <v>6</v>
      </c>
      <c r="M535" s="67" t="s">
        <v>973</v>
      </c>
      <c r="N535" s="187"/>
      <c r="O535" s="187"/>
      <c r="P535" s="187"/>
      <c r="Q535" s="144" t="s">
        <v>141</v>
      </c>
      <c r="R535" s="90"/>
      <c r="S535" s="90"/>
      <c r="T535" s="77"/>
      <c r="U535" s="144">
        <v>2022</v>
      </c>
      <c r="V535" s="90"/>
      <c r="W535" s="90"/>
      <c r="X535" s="89"/>
      <c r="Y535" s="188">
        <f>AC535</f>
        <v>1138082.8800000001</v>
      </c>
      <c r="Z535" s="189">
        <v>0</v>
      </c>
      <c r="AA535" s="188">
        <f>AD535</f>
        <v>1365699.456</v>
      </c>
      <c r="AB535" s="188">
        <v>0</v>
      </c>
      <c r="AC535" s="188">
        <f>AD535/1.2</f>
        <v>1138082.8800000001</v>
      </c>
      <c r="AD535" s="188">
        <v>1365699.456</v>
      </c>
      <c r="AE535" s="68" t="s">
        <v>102</v>
      </c>
      <c r="AF535" s="68"/>
      <c r="AG535" s="68"/>
      <c r="AH535" s="190"/>
      <c r="AI535" s="191"/>
      <c r="AJ535" s="190"/>
      <c r="AK535" s="192"/>
      <c r="AL535" s="190"/>
      <c r="AM535" s="196"/>
    </row>
    <row r="536" spans="1:45" ht="30" hidden="1" customHeight="1" x14ac:dyDescent="0.25">
      <c r="A536" s="135">
        <v>2023</v>
      </c>
      <c r="B536" s="66" t="s">
        <v>705</v>
      </c>
      <c r="C536" s="73" t="s">
        <v>141</v>
      </c>
      <c r="D536" s="144" t="s">
        <v>106</v>
      </c>
      <c r="E536" s="144">
        <v>1</v>
      </c>
      <c r="F536" s="65" t="s">
        <v>1380</v>
      </c>
      <c r="G536" s="144" t="s">
        <v>121</v>
      </c>
      <c r="H536" s="66" t="s">
        <v>126</v>
      </c>
      <c r="I536" s="79" t="s">
        <v>1381</v>
      </c>
      <c r="J536" s="45" t="s">
        <v>131</v>
      </c>
      <c r="K536" s="144" t="s">
        <v>3</v>
      </c>
      <c r="L536" s="66" t="s">
        <v>6</v>
      </c>
      <c r="M536" s="67" t="s">
        <v>25</v>
      </c>
      <c r="N536" s="187"/>
      <c r="O536" s="187"/>
      <c r="P536" s="187"/>
      <c r="Q536" s="144" t="s">
        <v>141</v>
      </c>
      <c r="R536" s="90"/>
      <c r="S536" s="90"/>
      <c r="T536" s="77"/>
      <c r="U536" s="144">
        <v>2023</v>
      </c>
      <c r="V536" s="90"/>
      <c r="W536" s="90"/>
      <c r="X536" s="89"/>
      <c r="Y536" s="188">
        <f>AC536</f>
        <v>412190</v>
      </c>
      <c r="Z536" s="189">
        <v>0</v>
      </c>
      <c r="AA536" s="188">
        <f>AD536</f>
        <v>494628</v>
      </c>
      <c r="AB536" s="188">
        <v>0</v>
      </c>
      <c r="AC536" s="188">
        <f>AD536/1.2</f>
        <v>412190</v>
      </c>
      <c r="AD536" s="188">
        <v>494628</v>
      </c>
      <c r="AE536" s="68" t="s">
        <v>102</v>
      </c>
      <c r="AF536" s="68"/>
      <c r="AG536" s="68"/>
      <c r="AH536" s="190"/>
      <c r="AI536" s="191"/>
      <c r="AJ536" s="190"/>
      <c r="AK536" s="192"/>
      <c r="AL536" s="190"/>
      <c r="AM536" s="196"/>
    </row>
    <row r="537" spans="1:45" ht="30" hidden="1" customHeight="1" x14ac:dyDescent="0.25">
      <c r="A537" s="49">
        <v>2026</v>
      </c>
      <c r="B537" s="66" t="s">
        <v>705</v>
      </c>
      <c r="C537" s="79" t="s">
        <v>1382</v>
      </c>
      <c r="D537" s="144" t="s">
        <v>106</v>
      </c>
      <c r="E537" s="144">
        <v>1</v>
      </c>
      <c r="F537" s="65" t="s">
        <v>1383</v>
      </c>
      <c r="G537" s="144" t="s">
        <v>118</v>
      </c>
      <c r="H537" s="66" t="s">
        <v>118</v>
      </c>
      <c r="I537" s="83"/>
      <c r="J537" s="144" t="s">
        <v>131</v>
      </c>
      <c r="K537" s="144" t="s">
        <v>2</v>
      </c>
      <c r="L537" s="66" t="s">
        <v>7</v>
      </c>
      <c r="M537" s="67" t="s">
        <v>965</v>
      </c>
      <c r="N537" s="199">
        <f>O537*1.2</f>
        <v>10738656</v>
      </c>
      <c r="O537" s="199">
        <v>8948880</v>
      </c>
      <c r="P537" s="199">
        <f>O537/1.2</f>
        <v>7457400</v>
      </c>
      <c r="Q537" s="144" t="s">
        <v>138</v>
      </c>
      <c r="R537" s="90"/>
      <c r="S537" s="90"/>
      <c r="T537" s="73"/>
      <c r="U537" s="44"/>
      <c r="V537" s="45">
        <v>46129</v>
      </c>
      <c r="W537" s="45">
        <v>46133</v>
      </c>
      <c r="X537" s="90"/>
      <c r="Y537" s="187">
        <v>0</v>
      </c>
      <c r="Z537" s="201">
        <v>0</v>
      </c>
      <c r="AA537" s="187">
        <v>0</v>
      </c>
      <c r="AB537" s="187">
        <v>0</v>
      </c>
      <c r="AC537" s="187">
        <v>0</v>
      </c>
      <c r="AD537" s="187">
        <v>0</v>
      </c>
      <c r="AE537" s="68" t="s">
        <v>103</v>
      </c>
      <c r="AF537" s="68"/>
      <c r="AG537" s="68"/>
      <c r="AH537" s="190"/>
      <c r="AI537" s="191"/>
      <c r="AJ537" s="190"/>
      <c r="AK537" s="192"/>
      <c r="AL537" s="190"/>
      <c r="AM537" s="196"/>
    </row>
    <row r="538" spans="1:45" ht="30" hidden="1" customHeight="1" x14ac:dyDescent="0.25">
      <c r="A538" s="46">
        <v>2026</v>
      </c>
      <c r="B538" s="66" t="s">
        <v>72</v>
      </c>
      <c r="C538" s="79" t="s">
        <v>1384</v>
      </c>
      <c r="D538" s="144" t="s">
        <v>114</v>
      </c>
      <c r="E538" s="144">
        <v>1</v>
      </c>
      <c r="F538" s="65" t="s">
        <v>1385</v>
      </c>
      <c r="G538" s="144" t="s">
        <v>121</v>
      </c>
      <c r="H538" s="66" t="s">
        <v>126</v>
      </c>
      <c r="I538" s="74"/>
      <c r="J538" s="144" t="s">
        <v>132</v>
      </c>
      <c r="K538" s="144" t="s">
        <v>3</v>
      </c>
      <c r="L538" s="66" t="s">
        <v>6</v>
      </c>
      <c r="M538" s="65" t="s">
        <v>723</v>
      </c>
      <c r="N538" s="187"/>
      <c r="O538" s="187"/>
      <c r="P538" s="187"/>
      <c r="Q538" s="144" t="s">
        <v>138</v>
      </c>
      <c r="R538" s="90"/>
      <c r="S538" s="90"/>
      <c r="T538" s="65" t="s">
        <v>1386</v>
      </c>
      <c r="U538" s="144">
        <v>2026</v>
      </c>
      <c r="V538" s="45">
        <v>46129</v>
      </c>
      <c r="W538" s="90"/>
      <c r="X538" s="45"/>
      <c r="Y538" s="188">
        <v>45000</v>
      </c>
      <c r="Z538" s="189">
        <v>0</v>
      </c>
      <c r="AA538" s="188">
        <v>45000</v>
      </c>
      <c r="AB538" s="188">
        <v>0</v>
      </c>
      <c r="AC538" s="188">
        <f t="shared" ref="AC538:AC546" si="45">Y538</f>
        <v>45000</v>
      </c>
      <c r="AD538" s="188">
        <f>AC538</f>
        <v>45000</v>
      </c>
      <c r="AE538" s="68" t="s">
        <v>102</v>
      </c>
      <c r="AF538" s="68"/>
      <c r="AG538" s="68"/>
      <c r="AH538" s="190"/>
      <c r="AI538" s="191"/>
      <c r="AJ538" s="190"/>
      <c r="AK538" s="192"/>
      <c r="AL538" s="190"/>
      <c r="AM538" s="196"/>
    </row>
    <row r="539" spans="1:45" ht="30" hidden="1" customHeight="1" x14ac:dyDescent="0.25">
      <c r="A539" s="46">
        <v>2026</v>
      </c>
      <c r="B539" s="66" t="s">
        <v>72</v>
      </c>
      <c r="C539" s="79" t="s">
        <v>1384</v>
      </c>
      <c r="D539" s="144" t="s">
        <v>114</v>
      </c>
      <c r="E539" s="144">
        <v>1</v>
      </c>
      <c r="F539" s="65" t="s">
        <v>1387</v>
      </c>
      <c r="G539" s="144" t="s">
        <v>121</v>
      </c>
      <c r="H539" s="66" t="s">
        <v>126</v>
      </c>
      <c r="I539" s="74"/>
      <c r="J539" s="144" t="s">
        <v>132</v>
      </c>
      <c r="K539" s="144" t="s">
        <v>3</v>
      </c>
      <c r="L539" s="66" t="s">
        <v>6</v>
      </c>
      <c r="M539" s="65" t="s">
        <v>723</v>
      </c>
      <c r="N539" s="187"/>
      <c r="O539" s="187"/>
      <c r="P539" s="187"/>
      <c r="Q539" s="144" t="s">
        <v>138</v>
      </c>
      <c r="R539" s="90"/>
      <c r="S539" s="90"/>
      <c r="T539" s="65" t="s">
        <v>696</v>
      </c>
      <c r="U539" s="144">
        <v>2026</v>
      </c>
      <c r="V539" s="45">
        <v>46129</v>
      </c>
      <c r="W539" s="90"/>
      <c r="X539" s="45"/>
      <c r="Y539" s="188">
        <v>96000</v>
      </c>
      <c r="Z539" s="189">
        <v>0</v>
      </c>
      <c r="AA539" s="188">
        <v>96000</v>
      </c>
      <c r="AB539" s="188">
        <v>0</v>
      </c>
      <c r="AC539" s="188">
        <f t="shared" si="45"/>
        <v>96000</v>
      </c>
      <c r="AD539" s="188">
        <f>AC539</f>
        <v>96000</v>
      </c>
      <c r="AE539" s="68" t="s">
        <v>102</v>
      </c>
      <c r="AF539" s="68"/>
      <c r="AG539" s="68"/>
      <c r="AH539" s="190"/>
      <c r="AI539" s="191"/>
      <c r="AJ539" s="190"/>
      <c r="AK539" s="192"/>
      <c r="AL539" s="190"/>
      <c r="AM539" s="196"/>
    </row>
    <row r="540" spans="1:45" ht="41.25" hidden="1" customHeight="1" x14ac:dyDescent="0.25">
      <c r="A540" s="135">
        <v>2026</v>
      </c>
      <c r="B540" s="66" t="s">
        <v>68</v>
      </c>
      <c r="C540" s="73" t="s">
        <v>172</v>
      </c>
      <c r="D540" s="144" t="s">
        <v>114</v>
      </c>
      <c r="E540" s="144">
        <v>1</v>
      </c>
      <c r="F540" s="65" t="s">
        <v>1388</v>
      </c>
      <c r="G540" s="144" t="s">
        <v>121</v>
      </c>
      <c r="H540" s="66" t="s">
        <v>126</v>
      </c>
      <c r="I540" s="79" t="s">
        <v>1389</v>
      </c>
      <c r="J540" s="144" t="s">
        <v>132</v>
      </c>
      <c r="K540" s="144" t="s">
        <v>3</v>
      </c>
      <c r="L540" s="66" t="s">
        <v>6</v>
      </c>
      <c r="M540" s="67" t="s">
        <v>973</v>
      </c>
      <c r="N540" s="187"/>
      <c r="O540" s="187"/>
      <c r="P540" s="187"/>
      <c r="Q540" s="144" t="s">
        <v>139</v>
      </c>
      <c r="R540" s="90"/>
      <c r="S540" s="90"/>
      <c r="T540" s="65" t="s">
        <v>1390</v>
      </c>
      <c r="U540" s="144">
        <v>2026</v>
      </c>
      <c r="V540" s="45">
        <v>46132</v>
      </c>
      <c r="W540" s="90"/>
      <c r="X540" s="45">
        <v>46115</v>
      </c>
      <c r="Y540" s="188">
        <v>360000</v>
      </c>
      <c r="Z540" s="189">
        <v>0</v>
      </c>
      <c r="AA540" s="188">
        <v>432000</v>
      </c>
      <c r="AB540" s="188">
        <v>0</v>
      </c>
      <c r="AC540" s="188">
        <f t="shared" si="45"/>
        <v>360000</v>
      </c>
      <c r="AD540" s="188">
        <f>AC540</f>
        <v>360000</v>
      </c>
      <c r="AE540" s="68" t="s">
        <v>102</v>
      </c>
      <c r="AF540" s="68"/>
      <c r="AG540" s="68"/>
      <c r="AH540" s="190"/>
      <c r="AI540" s="191"/>
      <c r="AJ540" s="190"/>
      <c r="AK540" s="192"/>
      <c r="AL540" s="190"/>
      <c r="AM540" s="196"/>
    </row>
    <row r="541" spans="1:45" ht="30" hidden="1" customHeight="1" x14ac:dyDescent="0.25">
      <c r="A541" s="135">
        <v>2026</v>
      </c>
      <c r="B541" s="66" t="s">
        <v>68</v>
      </c>
      <c r="C541" s="73" t="s">
        <v>172</v>
      </c>
      <c r="D541" s="144" t="s">
        <v>114</v>
      </c>
      <c r="E541" s="144">
        <v>1</v>
      </c>
      <c r="F541" s="65" t="s">
        <v>1391</v>
      </c>
      <c r="G541" s="144" t="s">
        <v>121</v>
      </c>
      <c r="H541" s="66" t="s">
        <v>126</v>
      </c>
      <c r="I541" s="79" t="s">
        <v>1392</v>
      </c>
      <c r="J541" s="144" t="s">
        <v>132</v>
      </c>
      <c r="K541" s="144" t="s">
        <v>3</v>
      </c>
      <c r="L541" s="66" t="s">
        <v>6</v>
      </c>
      <c r="M541" s="67" t="s">
        <v>1109</v>
      </c>
      <c r="N541" s="187"/>
      <c r="O541" s="187"/>
      <c r="P541" s="187"/>
      <c r="Q541" s="144" t="s">
        <v>139</v>
      </c>
      <c r="R541" s="90"/>
      <c r="S541" s="90"/>
      <c r="T541" s="65" t="s">
        <v>1393</v>
      </c>
      <c r="U541" s="144">
        <v>2026</v>
      </c>
      <c r="V541" s="45">
        <v>46132</v>
      </c>
      <c r="W541" s="90"/>
      <c r="X541" s="45">
        <v>46115</v>
      </c>
      <c r="Y541" s="188">
        <v>437638.83</v>
      </c>
      <c r="Z541" s="189">
        <v>46667.040000000001</v>
      </c>
      <c r="AA541" s="188">
        <f>Y541</f>
        <v>437638.83</v>
      </c>
      <c r="AB541" s="188">
        <v>46667.040000000001</v>
      </c>
      <c r="AC541" s="188">
        <f t="shared" si="45"/>
        <v>437638.83</v>
      </c>
      <c r="AD541" s="188">
        <f>AC541</f>
        <v>437638.83</v>
      </c>
      <c r="AE541" s="68" t="s">
        <v>102</v>
      </c>
      <c r="AF541" s="68"/>
      <c r="AG541" s="68"/>
      <c r="AH541" s="190"/>
      <c r="AI541" s="191"/>
      <c r="AJ541" s="190"/>
      <c r="AK541" s="192"/>
      <c r="AL541" s="190"/>
      <c r="AM541" s="196"/>
    </row>
    <row r="542" spans="1:45" ht="30" hidden="1" customHeight="1" x14ac:dyDescent="0.25">
      <c r="A542" s="135">
        <v>2026</v>
      </c>
      <c r="B542" s="66" t="s">
        <v>66</v>
      </c>
      <c r="C542" s="73" t="s">
        <v>172</v>
      </c>
      <c r="D542" s="144" t="s">
        <v>114</v>
      </c>
      <c r="E542" s="144">
        <v>1</v>
      </c>
      <c r="F542" s="65" t="s">
        <v>1394</v>
      </c>
      <c r="G542" s="144" t="s">
        <v>121</v>
      </c>
      <c r="H542" s="66" t="s">
        <v>126</v>
      </c>
      <c r="I542" s="79" t="s">
        <v>1395</v>
      </c>
      <c r="J542" s="144" t="s">
        <v>132</v>
      </c>
      <c r="K542" s="144" t="s">
        <v>3</v>
      </c>
      <c r="L542" s="66" t="s">
        <v>6</v>
      </c>
      <c r="M542" s="67" t="s">
        <v>27</v>
      </c>
      <c r="N542" s="187"/>
      <c r="O542" s="187"/>
      <c r="P542" s="187"/>
      <c r="Q542" s="144" t="s">
        <v>139</v>
      </c>
      <c r="R542" s="90"/>
      <c r="S542" s="90"/>
      <c r="T542" s="65" t="s">
        <v>870</v>
      </c>
      <c r="U542" s="144">
        <v>2026</v>
      </c>
      <c r="V542" s="45">
        <v>46132</v>
      </c>
      <c r="W542" s="90"/>
      <c r="X542" s="45">
        <v>46168</v>
      </c>
      <c r="Y542" s="188">
        <v>900000</v>
      </c>
      <c r="Z542" s="189">
        <v>0</v>
      </c>
      <c r="AA542" s="188">
        <v>1080000</v>
      </c>
      <c r="AB542" s="188">
        <v>0</v>
      </c>
      <c r="AC542" s="188">
        <f t="shared" si="45"/>
        <v>900000</v>
      </c>
      <c r="AD542" s="188">
        <f>+AA542</f>
        <v>1080000</v>
      </c>
      <c r="AE542" s="68" t="s">
        <v>102</v>
      </c>
      <c r="AF542" s="68"/>
      <c r="AG542" s="68"/>
      <c r="AH542" s="190"/>
      <c r="AI542" s="191"/>
      <c r="AJ542" s="190"/>
      <c r="AK542" s="192"/>
      <c r="AL542" s="190"/>
      <c r="AM542" s="196"/>
    </row>
    <row r="543" spans="1:45" ht="30" hidden="1" customHeight="1" x14ac:dyDescent="0.25">
      <c r="A543" s="46">
        <v>2026</v>
      </c>
      <c r="B543" s="66" t="s">
        <v>72</v>
      </c>
      <c r="C543" s="65" t="s">
        <v>1396</v>
      </c>
      <c r="D543" s="144" t="s">
        <v>114</v>
      </c>
      <c r="E543" s="141"/>
      <c r="F543" s="65" t="s">
        <v>1397</v>
      </c>
      <c r="G543" s="144" t="s">
        <v>121</v>
      </c>
      <c r="H543" s="66" t="s">
        <v>126</v>
      </c>
      <c r="I543" s="74"/>
      <c r="J543" s="144" t="s">
        <v>132</v>
      </c>
      <c r="K543" s="144" t="s">
        <v>3</v>
      </c>
      <c r="L543" s="66" t="s">
        <v>6</v>
      </c>
      <c r="M543" s="65" t="s">
        <v>200</v>
      </c>
      <c r="N543" s="187"/>
      <c r="O543" s="187"/>
      <c r="P543" s="187"/>
      <c r="Q543" s="144" t="s">
        <v>139</v>
      </c>
      <c r="R543" s="89"/>
      <c r="S543" s="89"/>
      <c r="T543" s="65" t="s">
        <v>1398</v>
      </c>
      <c r="U543" s="144">
        <v>2026</v>
      </c>
      <c r="V543" s="45">
        <v>46082</v>
      </c>
      <c r="W543" s="89"/>
      <c r="X543" s="99"/>
      <c r="Y543" s="188">
        <v>70000</v>
      </c>
      <c r="Z543" s="189">
        <v>0</v>
      </c>
      <c r="AA543" s="188">
        <f>Y543</f>
        <v>70000</v>
      </c>
      <c r="AB543" s="188">
        <v>0</v>
      </c>
      <c r="AC543" s="188">
        <f t="shared" si="45"/>
        <v>70000</v>
      </c>
      <c r="AD543" s="188">
        <f>Y543</f>
        <v>70000</v>
      </c>
      <c r="AE543" s="68" t="s">
        <v>102</v>
      </c>
      <c r="AF543" s="68"/>
      <c r="AG543" s="68"/>
      <c r="AH543" s="190"/>
      <c r="AI543" s="191"/>
      <c r="AJ543" s="190"/>
      <c r="AK543" s="192"/>
      <c r="AL543" s="190"/>
      <c r="AM543" s="193" t="s">
        <v>202</v>
      </c>
      <c r="AN543" s="194"/>
      <c r="AO543" s="195"/>
      <c r="AP543" s="31"/>
      <c r="AQ543" s="31"/>
      <c r="AR543" s="30"/>
      <c r="AS543" s="31"/>
    </row>
    <row r="544" spans="1:45" ht="30" hidden="1" customHeight="1" x14ac:dyDescent="0.25">
      <c r="A544" s="46">
        <v>2026</v>
      </c>
      <c r="B544" s="66" t="s">
        <v>72</v>
      </c>
      <c r="C544" s="65" t="s">
        <v>1396</v>
      </c>
      <c r="D544" s="144" t="s">
        <v>114</v>
      </c>
      <c r="E544" s="141"/>
      <c r="F544" s="65" t="s">
        <v>1399</v>
      </c>
      <c r="G544" s="144" t="s">
        <v>121</v>
      </c>
      <c r="H544" s="66" t="s">
        <v>126</v>
      </c>
      <c r="I544" s="74"/>
      <c r="J544" s="144" t="s">
        <v>132</v>
      </c>
      <c r="K544" s="144" t="s">
        <v>3</v>
      </c>
      <c r="L544" s="66" t="s">
        <v>6</v>
      </c>
      <c r="M544" s="65" t="s">
        <v>200</v>
      </c>
      <c r="N544" s="187"/>
      <c r="O544" s="187"/>
      <c r="P544" s="187"/>
      <c r="Q544" s="144" t="s">
        <v>139</v>
      </c>
      <c r="R544" s="89"/>
      <c r="S544" s="89"/>
      <c r="T544" s="65" t="s">
        <v>1400</v>
      </c>
      <c r="U544" s="144">
        <v>2026</v>
      </c>
      <c r="V544" s="45">
        <v>46082</v>
      </c>
      <c r="W544" s="89"/>
      <c r="X544" s="99"/>
      <c r="Y544" s="188">
        <v>80000</v>
      </c>
      <c r="Z544" s="189">
        <v>0</v>
      </c>
      <c r="AA544" s="188">
        <f>Y544</f>
        <v>80000</v>
      </c>
      <c r="AB544" s="188">
        <v>0</v>
      </c>
      <c r="AC544" s="188">
        <f t="shared" si="45"/>
        <v>80000</v>
      </c>
      <c r="AD544" s="188">
        <f>Y544</f>
        <v>80000</v>
      </c>
      <c r="AE544" s="68" t="s">
        <v>102</v>
      </c>
      <c r="AF544" s="68"/>
      <c r="AG544" s="68"/>
      <c r="AH544" s="190"/>
      <c r="AI544" s="191"/>
      <c r="AJ544" s="190"/>
      <c r="AK544" s="192"/>
      <c r="AL544" s="190"/>
      <c r="AM544" s="193" t="s">
        <v>202</v>
      </c>
      <c r="AN544" s="194"/>
      <c r="AO544" s="195"/>
      <c r="AP544" s="31"/>
      <c r="AQ544" s="31"/>
      <c r="AR544" s="30"/>
      <c r="AS544" s="31"/>
    </row>
    <row r="545" spans="1:45" ht="30" hidden="1" customHeight="1" x14ac:dyDescent="0.25">
      <c r="A545" s="46">
        <v>2026</v>
      </c>
      <c r="B545" s="66" t="s">
        <v>72</v>
      </c>
      <c r="C545" s="65" t="s">
        <v>1396</v>
      </c>
      <c r="D545" s="144" t="s">
        <v>114</v>
      </c>
      <c r="E545" s="141"/>
      <c r="F545" s="65" t="s">
        <v>1401</v>
      </c>
      <c r="G545" s="144" t="s">
        <v>121</v>
      </c>
      <c r="H545" s="66" t="s">
        <v>126</v>
      </c>
      <c r="I545" s="74"/>
      <c r="J545" s="144" t="s">
        <v>132</v>
      </c>
      <c r="K545" s="144" t="s">
        <v>3</v>
      </c>
      <c r="L545" s="66" t="s">
        <v>6</v>
      </c>
      <c r="M545" s="65" t="s">
        <v>200</v>
      </c>
      <c r="N545" s="187"/>
      <c r="O545" s="187"/>
      <c r="P545" s="187"/>
      <c r="Q545" s="144" t="s">
        <v>139</v>
      </c>
      <c r="R545" s="89"/>
      <c r="S545" s="89"/>
      <c r="T545" s="65" t="s">
        <v>1402</v>
      </c>
      <c r="U545" s="144">
        <v>2026</v>
      </c>
      <c r="V545" s="45">
        <v>46082</v>
      </c>
      <c r="W545" s="89"/>
      <c r="X545" s="99"/>
      <c r="Y545" s="188">
        <v>70000</v>
      </c>
      <c r="Z545" s="189">
        <v>0</v>
      </c>
      <c r="AA545" s="188">
        <f>Y545</f>
        <v>70000</v>
      </c>
      <c r="AB545" s="188">
        <v>0</v>
      </c>
      <c r="AC545" s="188">
        <f t="shared" si="45"/>
        <v>70000</v>
      </c>
      <c r="AD545" s="188">
        <f>Y545</f>
        <v>70000</v>
      </c>
      <c r="AE545" s="68" t="s">
        <v>102</v>
      </c>
      <c r="AF545" s="68"/>
      <c r="AG545" s="68"/>
      <c r="AH545" s="190"/>
      <c r="AI545" s="191"/>
      <c r="AJ545" s="190"/>
      <c r="AK545" s="192"/>
      <c r="AL545" s="190"/>
      <c r="AM545" s="193" t="s">
        <v>202</v>
      </c>
      <c r="AN545" s="194"/>
      <c r="AO545" s="195"/>
      <c r="AP545" s="31"/>
      <c r="AQ545" s="31"/>
      <c r="AR545" s="30"/>
      <c r="AS545" s="31"/>
    </row>
    <row r="546" spans="1:45" ht="30" hidden="1" customHeight="1" x14ac:dyDescent="0.25">
      <c r="A546" s="46">
        <v>2026</v>
      </c>
      <c r="B546" s="66" t="s">
        <v>72</v>
      </c>
      <c r="C546" s="65" t="s">
        <v>1396</v>
      </c>
      <c r="D546" s="144" t="s">
        <v>114</v>
      </c>
      <c r="E546" s="141"/>
      <c r="F546" s="65" t="s">
        <v>1403</v>
      </c>
      <c r="G546" s="144" t="s">
        <v>121</v>
      </c>
      <c r="H546" s="66" t="s">
        <v>126</v>
      </c>
      <c r="I546" s="74"/>
      <c r="J546" s="144" t="s">
        <v>132</v>
      </c>
      <c r="K546" s="144" t="s">
        <v>3</v>
      </c>
      <c r="L546" s="66" t="s">
        <v>6</v>
      </c>
      <c r="M546" s="65" t="s">
        <v>200</v>
      </c>
      <c r="N546" s="187"/>
      <c r="O546" s="187"/>
      <c r="P546" s="187"/>
      <c r="Q546" s="144" t="s">
        <v>139</v>
      </c>
      <c r="R546" s="89"/>
      <c r="S546" s="89"/>
      <c r="T546" s="65" t="s">
        <v>1404</v>
      </c>
      <c r="U546" s="144">
        <v>2026</v>
      </c>
      <c r="V546" s="45">
        <v>46082</v>
      </c>
      <c r="W546" s="89"/>
      <c r="X546" s="99"/>
      <c r="Y546" s="188">
        <v>70000</v>
      </c>
      <c r="Z546" s="189">
        <v>0</v>
      </c>
      <c r="AA546" s="188">
        <f>Y546</f>
        <v>70000</v>
      </c>
      <c r="AB546" s="188">
        <v>0</v>
      </c>
      <c r="AC546" s="188">
        <f t="shared" si="45"/>
        <v>70000</v>
      </c>
      <c r="AD546" s="188">
        <f>Y546</f>
        <v>70000</v>
      </c>
      <c r="AE546" s="68" t="s">
        <v>102</v>
      </c>
      <c r="AF546" s="68"/>
      <c r="AG546" s="68"/>
      <c r="AH546" s="190"/>
      <c r="AI546" s="191"/>
      <c r="AJ546" s="190"/>
      <c r="AK546" s="192"/>
      <c r="AL546" s="190"/>
      <c r="AM546" s="193" t="s">
        <v>202</v>
      </c>
      <c r="AN546" s="194"/>
      <c r="AO546" s="195"/>
      <c r="AP546" s="31"/>
      <c r="AQ546" s="31"/>
      <c r="AR546" s="30"/>
      <c r="AS546" s="31"/>
    </row>
    <row r="547" spans="1:45" ht="30" hidden="1" customHeight="1" x14ac:dyDescent="0.25">
      <c r="A547" s="136">
        <v>2026</v>
      </c>
      <c r="B547" s="66" t="s">
        <v>60</v>
      </c>
      <c r="C547" s="74" t="s">
        <v>1405</v>
      </c>
      <c r="D547" s="144" t="s">
        <v>106</v>
      </c>
      <c r="E547" s="141"/>
      <c r="F547" s="65" t="s">
        <v>1406</v>
      </c>
      <c r="G547" s="144" t="s">
        <v>121</v>
      </c>
      <c r="H547" s="66" t="s">
        <v>128</v>
      </c>
      <c r="I547" s="74"/>
      <c r="J547" s="144" t="s">
        <v>130</v>
      </c>
      <c r="K547" s="144" t="s">
        <v>3</v>
      </c>
      <c r="L547" s="66" t="s">
        <v>6</v>
      </c>
      <c r="M547" s="67" t="s">
        <v>23</v>
      </c>
      <c r="N547" s="199">
        <f>O547*1.2</f>
        <v>600696</v>
      </c>
      <c r="O547" s="199">
        <v>500580</v>
      </c>
      <c r="P547" s="199">
        <f>O547/1.2</f>
        <v>417150</v>
      </c>
      <c r="Q547" s="144" t="s">
        <v>139</v>
      </c>
      <c r="R547" s="89"/>
      <c r="S547" s="89"/>
      <c r="T547" s="65"/>
      <c r="U547" s="144"/>
      <c r="V547" s="45">
        <v>46213</v>
      </c>
      <c r="W547" s="89"/>
      <c r="X547" s="99"/>
      <c r="Y547" s="188"/>
      <c r="Z547" s="189"/>
      <c r="AA547" s="188"/>
      <c r="AB547" s="188"/>
      <c r="AC547" s="188"/>
      <c r="AD547" s="188"/>
      <c r="AE547" s="68" t="s">
        <v>100</v>
      </c>
      <c r="AF547" s="68"/>
      <c r="AG547" s="68"/>
      <c r="AH547" s="190"/>
      <c r="AI547" s="191"/>
      <c r="AJ547" s="190"/>
      <c r="AK547" s="192"/>
      <c r="AL547" s="190"/>
      <c r="AM547" s="193" t="s">
        <v>1407</v>
      </c>
      <c r="AN547" s="194"/>
      <c r="AO547" s="195"/>
      <c r="AP547" s="31"/>
      <c r="AQ547" s="31"/>
      <c r="AR547" s="30"/>
      <c r="AS547" s="31"/>
    </row>
    <row r="548" spans="1:45" ht="30" hidden="1" customHeight="1" x14ac:dyDescent="0.25">
      <c r="A548" s="135">
        <v>2026</v>
      </c>
      <c r="B548" s="66" t="s">
        <v>55</v>
      </c>
      <c r="C548" s="65" t="s">
        <v>1408</v>
      </c>
      <c r="D548" s="144" t="s">
        <v>106</v>
      </c>
      <c r="E548" s="141"/>
      <c r="F548" s="65" t="s">
        <v>1409</v>
      </c>
      <c r="G548" s="144" t="s">
        <v>121</v>
      </c>
      <c r="H548" s="66" t="s">
        <v>127</v>
      </c>
      <c r="I548" s="79"/>
      <c r="J548" s="144" t="s">
        <v>131</v>
      </c>
      <c r="K548" s="144" t="s">
        <v>1</v>
      </c>
      <c r="L548" s="66" t="s">
        <v>7</v>
      </c>
      <c r="M548" s="67" t="s">
        <v>955</v>
      </c>
      <c r="N548" s="199">
        <f>O548*1.2</f>
        <v>2142000</v>
      </c>
      <c r="O548" s="199">
        <v>1785000</v>
      </c>
      <c r="P548" s="199">
        <f>O548/1.2</f>
        <v>1487500</v>
      </c>
      <c r="Q548" s="144" t="s">
        <v>138</v>
      </c>
      <c r="R548" s="89"/>
      <c r="S548" s="89"/>
      <c r="T548" s="65" t="s">
        <v>956</v>
      </c>
      <c r="U548" s="144"/>
      <c r="V548" s="45">
        <v>46136</v>
      </c>
      <c r="W548" s="99">
        <v>46142</v>
      </c>
      <c r="X548" s="99">
        <v>46258</v>
      </c>
      <c r="Y548" s="188"/>
      <c r="Z548" s="189">
        <v>0</v>
      </c>
      <c r="AA548" s="188">
        <v>2135520</v>
      </c>
      <c r="AB548" s="188">
        <v>0</v>
      </c>
      <c r="AC548" s="188">
        <f>Engagements2026Juillet[[#This Row],[MONTANT MARCHE TTC  PART EN MAD]]/1.2</f>
        <v>1779600</v>
      </c>
      <c r="AD548" s="188">
        <f>Engagements2026Juillet[[#This Row],[MONTANT MARCHE TTC  PART EN MAD]]</f>
        <v>2135520</v>
      </c>
      <c r="AE548" s="68" t="s">
        <v>102</v>
      </c>
      <c r="AF548" s="68"/>
      <c r="AG548" s="68"/>
      <c r="AH548" s="190"/>
      <c r="AI548" s="191"/>
      <c r="AJ548" s="190"/>
      <c r="AK548" s="192"/>
      <c r="AL548" s="190"/>
      <c r="AM548" s="193"/>
      <c r="AN548" s="194"/>
      <c r="AO548" s="195"/>
      <c r="AP548" s="31"/>
      <c r="AQ548" s="31"/>
      <c r="AR548" s="30"/>
      <c r="AS548" s="31"/>
    </row>
    <row r="549" spans="1:45" ht="30" hidden="1" customHeight="1" x14ac:dyDescent="0.25">
      <c r="A549" s="135">
        <v>2026</v>
      </c>
      <c r="B549" s="66" t="s">
        <v>74</v>
      </c>
      <c r="C549" s="65" t="s">
        <v>1410</v>
      </c>
      <c r="D549" s="144" t="s">
        <v>114</v>
      </c>
      <c r="E549" s="141"/>
      <c r="F549" s="65" t="s">
        <v>1411</v>
      </c>
      <c r="G549" s="144" t="s">
        <v>121</v>
      </c>
      <c r="H549" s="66" t="s">
        <v>126</v>
      </c>
      <c r="I549" s="79" t="s">
        <v>1412</v>
      </c>
      <c r="J549" s="144" t="s">
        <v>132</v>
      </c>
      <c r="K549" s="144" t="s">
        <v>3</v>
      </c>
      <c r="L549" s="66" t="s">
        <v>6</v>
      </c>
      <c r="M549" s="67" t="s">
        <v>27</v>
      </c>
      <c r="N549" s="187"/>
      <c r="O549" s="187"/>
      <c r="P549" s="187"/>
      <c r="Q549" s="144" t="s">
        <v>139</v>
      </c>
      <c r="R549" s="89"/>
      <c r="S549" s="89"/>
      <c r="T549" s="65" t="s">
        <v>1413</v>
      </c>
      <c r="U549" s="144"/>
      <c r="V549" s="45">
        <v>46135</v>
      </c>
      <c r="W549" s="89"/>
      <c r="X549" s="45">
        <v>46135</v>
      </c>
      <c r="Y549" s="188">
        <v>265200</v>
      </c>
      <c r="Z549" s="189">
        <v>0</v>
      </c>
      <c r="AA549" s="188">
        <v>318240</v>
      </c>
      <c r="AB549" s="188">
        <v>0</v>
      </c>
      <c r="AC549" s="188">
        <f>Y549</f>
        <v>265200</v>
      </c>
      <c r="AD549" s="188">
        <f>AA549</f>
        <v>318240</v>
      </c>
      <c r="AE549" s="68" t="s">
        <v>102</v>
      </c>
      <c r="AF549" s="68"/>
      <c r="AG549" s="68"/>
      <c r="AH549" s="190"/>
      <c r="AI549" s="191"/>
      <c r="AJ549" s="190"/>
      <c r="AK549" s="192"/>
      <c r="AL549" s="190"/>
      <c r="AM549" s="196" t="s">
        <v>1023</v>
      </c>
      <c r="AN549" s="194"/>
      <c r="AO549" s="195"/>
      <c r="AP549" s="31"/>
      <c r="AQ549" s="31"/>
      <c r="AR549" s="30"/>
      <c r="AS549" s="31"/>
    </row>
    <row r="550" spans="1:45" ht="30" hidden="1" customHeight="1" x14ac:dyDescent="0.25">
      <c r="A550" s="49">
        <v>2026</v>
      </c>
      <c r="B550" s="66" t="s">
        <v>56</v>
      </c>
      <c r="C550" s="65" t="s">
        <v>1414</v>
      </c>
      <c r="D550" s="144" t="s">
        <v>106</v>
      </c>
      <c r="E550" s="144">
        <v>1</v>
      </c>
      <c r="F550" s="65" t="s">
        <v>1025</v>
      </c>
      <c r="G550" s="144" t="s">
        <v>118</v>
      </c>
      <c r="H550" s="66" t="s">
        <v>118</v>
      </c>
      <c r="I550" s="73"/>
      <c r="J550" s="144" t="s">
        <v>131</v>
      </c>
      <c r="K550" s="144" t="s">
        <v>1</v>
      </c>
      <c r="L550" s="66" t="s">
        <v>7</v>
      </c>
      <c r="M550" s="67" t="s">
        <v>955</v>
      </c>
      <c r="N550" s="199">
        <f>O550*1.2</f>
        <v>648000</v>
      </c>
      <c r="O550" s="199">
        <v>540000</v>
      </c>
      <c r="P550" s="199">
        <f>O550/1.2</f>
        <v>450000</v>
      </c>
      <c r="Q550" s="144" t="s">
        <v>138</v>
      </c>
      <c r="R550" s="90"/>
      <c r="S550" s="90"/>
      <c r="T550" s="83"/>
      <c r="U550" s="56"/>
      <c r="V550" s="99">
        <v>46080</v>
      </c>
      <c r="W550" s="99">
        <v>46084</v>
      </c>
      <c r="X550" s="89" t="s">
        <v>354</v>
      </c>
      <c r="Y550" s="215">
        <v>0</v>
      </c>
      <c r="Z550" s="216">
        <v>0</v>
      </c>
      <c r="AA550" s="215">
        <v>0</v>
      </c>
      <c r="AB550" s="215">
        <v>0</v>
      </c>
      <c r="AC550" s="215">
        <v>0</v>
      </c>
      <c r="AD550" s="215">
        <v>0</v>
      </c>
      <c r="AE550" s="68" t="s">
        <v>103</v>
      </c>
      <c r="AF550" s="68"/>
      <c r="AG550" s="68"/>
      <c r="AH550" s="190"/>
      <c r="AI550" s="191"/>
      <c r="AJ550" s="190"/>
      <c r="AK550" s="192"/>
      <c r="AL550" s="190"/>
      <c r="AM550" s="196" t="s">
        <v>1415</v>
      </c>
    </row>
    <row r="551" spans="1:45" ht="30" hidden="1" customHeight="1" x14ac:dyDescent="0.25">
      <c r="A551" s="49">
        <v>2026</v>
      </c>
      <c r="B551" s="66" t="s">
        <v>705</v>
      </c>
      <c r="C551" s="65" t="s">
        <v>1416</v>
      </c>
      <c r="D551" s="144" t="s">
        <v>106</v>
      </c>
      <c r="E551" s="144">
        <v>1</v>
      </c>
      <c r="F551" s="65" t="s">
        <v>1007</v>
      </c>
      <c r="G551" s="144" t="s">
        <v>118</v>
      </c>
      <c r="H551" s="66" t="s">
        <v>118</v>
      </c>
      <c r="I551" s="73"/>
      <c r="J551" s="144" t="s">
        <v>131</v>
      </c>
      <c r="K551" s="144" t="s">
        <v>3</v>
      </c>
      <c r="L551" s="66" t="s">
        <v>7</v>
      </c>
      <c r="M551" s="67" t="s">
        <v>1008</v>
      </c>
      <c r="N551" s="199">
        <f>O551*1.2</f>
        <v>2288044.7999999998</v>
      </c>
      <c r="O551" s="199">
        <v>1906704</v>
      </c>
      <c r="P551" s="199">
        <f>O551/1.2</f>
        <v>1588920</v>
      </c>
      <c r="Q551" s="144" t="s">
        <v>138</v>
      </c>
      <c r="R551" s="90"/>
      <c r="S551" s="90"/>
      <c r="T551" s="83"/>
      <c r="U551" s="56"/>
      <c r="V551" s="99">
        <v>46140</v>
      </c>
      <c r="W551" s="99">
        <v>46142</v>
      </c>
      <c r="X551" s="89" t="s">
        <v>354</v>
      </c>
      <c r="Y551" s="215">
        <v>0</v>
      </c>
      <c r="Z551" s="216">
        <v>0</v>
      </c>
      <c r="AA551" s="215">
        <v>0</v>
      </c>
      <c r="AB551" s="215">
        <v>0</v>
      </c>
      <c r="AC551" s="215">
        <v>0</v>
      </c>
      <c r="AD551" s="215">
        <v>0</v>
      </c>
      <c r="AE551" s="68" t="s">
        <v>103</v>
      </c>
      <c r="AF551" s="68"/>
      <c r="AG551" s="68"/>
      <c r="AH551" s="190"/>
      <c r="AI551" s="191"/>
      <c r="AJ551" s="190"/>
      <c r="AK551" s="192"/>
      <c r="AL551" s="190"/>
      <c r="AM551" s="196" t="s">
        <v>1417</v>
      </c>
    </row>
    <row r="552" spans="1:45" ht="30" hidden="1" customHeight="1" x14ac:dyDescent="0.25">
      <c r="A552" s="135">
        <v>2026</v>
      </c>
      <c r="B552" s="66" t="s">
        <v>705</v>
      </c>
      <c r="C552" s="65" t="s">
        <v>1418</v>
      </c>
      <c r="D552" s="144" t="s">
        <v>106</v>
      </c>
      <c r="E552" s="144">
        <v>1</v>
      </c>
      <c r="F552" s="65" t="s">
        <v>1419</v>
      </c>
      <c r="G552" s="144" t="s">
        <v>121</v>
      </c>
      <c r="H552" s="66" t="s">
        <v>127</v>
      </c>
      <c r="I552" s="79"/>
      <c r="J552" s="144" t="s">
        <v>130</v>
      </c>
      <c r="K552" s="144" t="s">
        <v>3</v>
      </c>
      <c r="L552" s="66" t="s">
        <v>6</v>
      </c>
      <c r="M552" s="67" t="s">
        <v>25</v>
      </c>
      <c r="N552" s="199">
        <f>O552*1.2</f>
        <v>120744</v>
      </c>
      <c r="O552" s="199">
        <v>100620</v>
      </c>
      <c r="P552" s="199">
        <f>O552/1.2</f>
        <v>83850</v>
      </c>
      <c r="Q552" s="144" t="s">
        <v>139</v>
      </c>
      <c r="R552" s="90"/>
      <c r="S552" s="90"/>
      <c r="T552" s="65" t="s">
        <v>1420</v>
      </c>
      <c r="U552" s="144"/>
      <c r="V552" s="99">
        <v>46140</v>
      </c>
      <c r="W552" s="99">
        <v>46141</v>
      </c>
      <c r="X552" s="99"/>
      <c r="Y552" s="188"/>
      <c r="Z552" s="189"/>
      <c r="AA552" s="188">
        <v>119737.08</v>
      </c>
      <c r="AB552" s="188"/>
      <c r="AC552" s="188">
        <f>Engagements2026Juillet[[#This Row],[TOTAL MARCHE TTC TOTAL ENGAGE TTC]]/1.2</f>
        <v>99780.900000000009</v>
      </c>
      <c r="AD552" s="188">
        <v>119737.08</v>
      </c>
      <c r="AE552" s="68" t="s">
        <v>102</v>
      </c>
      <c r="AF552" s="68"/>
      <c r="AG552" s="68"/>
      <c r="AH552" s="190"/>
      <c r="AI552" s="191"/>
      <c r="AJ552" s="190"/>
      <c r="AK552" s="192"/>
      <c r="AL552" s="190"/>
      <c r="AM552" s="196" t="s">
        <v>1023</v>
      </c>
    </row>
    <row r="553" spans="1:45" ht="30" hidden="1" customHeight="1" x14ac:dyDescent="0.25">
      <c r="A553" s="135">
        <v>2026</v>
      </c>
      <c r="B553" s="66" t="s">
        <v>63</v>
      </c>
      <c r="C553" s="65" t="s">
        <v>1421</v>
      </c>
      <c r="D553" s="144" t="s">
        <v>114</v>
      </c>
      <c r="E553" s="144">
        <v>1</v>
      </c>
      <c r="F553" s="65" t="s">
        <v>1422</v>
      </c>
      <c r="G553" s="144" t="s">
        <v>121</v>
      </c>
      <c r="H553" s="66" t="s">
        <v>126</v>
      </c>
      <c r="I553" s="74"/>
      <c r="J553" s="144" t="s">
        <v>132</v>
      </c>
      <c r="K553" s="144" t="s">
        <v>3</v>
      </c>
      <c r="L553" s="66" t="s">
        <v>6</v>
      </c>
      <c r="M553" s="65" t="s">
        <v>200</v>
      </c>
      <c r="N553" s="187"/>
      <c r="O553" s="187"/>
      <c r="P553" s="187"/>
      <c r="Q553" s="144" t="s">
        <v>138</v>
      </c>
      <c r="R553" s="90"/>
      <c r="S553" s="90"/>
      <c r="T553" s="65" t="s">
        <v>1423</v>
      </c>
      <c r="U553" s="144">
        <v>2026</v>
      </c>
      <c r="V553" s="99">
        <v>46087</v>
      </c>
      <c r="W553" s="89"/>
      <c r="X553" s="99">
        <v>46087</v>
      </c>
      <c r="Y553" s="188">
        <v>150000</v>
      </c>
      <c r="Z553" s="189">
        <v>0</v>
      </c>
      <c r="AA553" s="188">
        <v>150000</v>
      </c>
      <c r="AB553" s="188">
        <v>0</v>
      </c>
      <c r="AC553" s="188">
        <v>150000</v>
      </c>
      <c r="AD553" s="188">
        <v>150000</v>
      </c>
      <c r="AE553" s="68" t="s">
        <v>102</v>
      </c>
      <c r="AF553" s="68"/>
      <c r="AG553" s="68"/>
      <c r="AH553" s="190"/>
      <c r="AI553" s="191"/>
      <c r="AJ553" s="190"/>
      <c r="AK553" s="192"/>
      <c r="AL553" s="190"/>
      <c r="AM553" s="196" t="s">
        <v>1023</v>
      </c>
    </row>
    <row r="554" spans="1:45" ht="30" hidden="1" customHeight="1" x14ac:dyDescent="0.25">
      <c r="A554" s="135">
        <v>2026</v>
      </c>
      <c r="B554" s="66" t="s">
        <v>67</v>
      </c>
      <c r="C554" s="74" t="s">
        <v>1424</v>
      </c>
      <c r="D554" s="144" t="s">
        <v>114</v>
      </c>
      <c r="E554" s="144">
        <v>1</v>
      </c>
      <c r="F554" s="65" t="s">
        <v>1425</v>
      </c>
      <c r="G554" s="144" t="s">
        <v>121</v>
      </c>
      <c r="H554" s="66" t="s">
        <v>126</v>
      </c>
      <c r="I554" s="65"/>
      <c r="J554" s="144" t="s">
        <v>132</v>
      </c>
      <c r="K554" s="144" t="s">
        <v>3</v>
      </c>
      <c r="L554" s="66" t="s">
        <v>6</v>
      </c>
      <c r="M554" s="65" t="s">
        <v>200</v>
      </c>
      <c r="N554" s="187"/>
      <c r="O554" s="187"/>
      <c r="P554" s="187"/>
      <c r="Q554" s="44"/>
      <c r="R554" s="90"/>
      <c r="S554" s="90"/>
      <c r="T554" s="65" t="s">
        <v>1426</v>
      </c>
      <c r="U554" s="144"/>
      <c r="V554" s="99">
        <v>46146</v>
      </c>
      <c r="W554" s="99">
        <v>46142</v>
      </c>
      <c r="X554" s="99"/>
      <c r="Y554" s="188"/>
      <c r="Z554" s="189"/>
      <c r="AA554" s="188"/>
      <c r="AB554" s="188"/>
      <c r="AC554" s="188"/>
      <c r="AD554" s="188">
        <v>64000</v>
      </c>
      <c r="AE554" s="68" t="s">
        <v>102</v>
      </c>
      <c r="AF554" s="68"/>
      <c r="AG554" s="68"/>
      <c r="AH554" s="190"/>
      <c r="AI554" s="191"/>
      <c r="AJ554" s="190"/>
      <c r="AK554" s="192"/>
      <c r="AL554" s="190"/>
      <c r="AM554" s="196" t="s">
        <v>1023</v>
      </c>
    </row>
    <row r="555" spans="1:45" ht="30" hidden="1" customHeight="1" x14ac:dyDescent="0.25">
      <c r="A555" s="135">
        <v>2026</v>
      </c>
      <c r="B555" s="66" t="s">
        <v>77</v>
      </c>
      <c r="C555" s="73" t="s">
        <v>172</v>
      </c>
      <c r="D555" s="144" t="s">
        <v>114</v>
      </c>
      <c r="E555" s="144">
        <v>1</v>
      </c>
      <c r="F555" s="65" t="s">
        <v>1427</v>
      </c>
      <c r="G555" s="144" t="s">
        <v>121</v>
      </c>
      <c r="H555" s="66" t="s">
        <v>126</v>
      </c>
      <c r="I555" s="65" t="s">
        <v>1428</v>
      </c>
      <c r="J555" s="144" t="s">
        <v>132</v>
      </c>
      <c r="K555" s="144" t="s">
        <v>3</v>
      </c>
      <c r="L555" s="66" t="s">
        <v>6</v>
      </c>
      <c r="M555" s="65" t="s">
        <v>1159</v>
      </c>
      <c r="N555" s="187"/>
      <c r="O555" s="187"/>
      <c r="P555" s="187"/>
      <c r="Q555" s="144" t="s">
        <v>138</v>
      </c>
      <c r="R555" s="90"/>
      <c r="S555" s="90"/>
      <c r="T555" s="65" t="s">
        <v>1429</v>
      </c>
      <c r="U555" s="144">
        <v>2026</v>
      </c>
      <c r="V555" s="99">
        <v>46146</v>
      </c>
      <c r="W555" s="89"/>
      <c r="X555" s="99">
        <v>46153</v>
      </c>
      <c r="Y555" s="188">
        <f>AA555</f>
        <v>200000</v>
      </c>
      <c r="Z555" s="189">
        <v>0</v>
      </c>
      <c r="AA555" s="188">
        <f>AC555</f>
        <v>200000</v>
      </c>
      <c r="AB555" s="188">
        <v>0</v>
      </c>
      <c r="AC555" s="188">
        <f>AD555</f>
        <v>200000</v>
      </c>
      <c r="AD555" s="188">
        <v>200000</v>
      </c>
      <c r="AE555" s="68" t="s">
        <v>102</v>
      </c>
      <c r="AF555" s="68"/>
      <c r="AG555" s="68"/>
      <c r="AH555" s="190"/>
      <c r="AI555" s="191"/>
      <c r="AJ555" s="190"/>
      <c r="AK555" s="192"/>
      <c r="AL555" s="190"/>
      <c r="AM555" s="196" t="s">
        <v>1023</v>
      </c>
    </row>
    <row r="556" spans="1:45" ht="30" hidden="1" customHeight="1" x14ac:dyDescent="0.25">
      <c r="A556" s="135">
        <v>2026</v>
      </c>
      <c r="B556" s="66" t="s">
        <v>705</v>
      </c>
      <c r="C556" s="73"/>
      <c r="D556" s="144" t="s">
        <v>109</v>
      </c>
      <c r="E556" s="144">
        <v>1</v>
      </c>
      <c r="F556" s="65" t="s">
        <v>1430</v>
      </c>
      <c r="G556" s="144" t="s">
        <v>121</v>
      </c>
      <c r="H556" s="66" t="s">
        <v>126</v>
      </c>
      <c r="I556" s="65" t="s">
        <v>1431</v>
      </c>
      <c r="J556" s="144" t="s">
        <v>132</v>
      </c>
      <c r="K556" s="144" t="s">
        <v>3</v>
      </c>
      <c r="L556" s="66" t="s">
        <v>7</v>
      </c>
      <c r="M556" s="67" t="s">
        <v>965</v>
      </c>
      <c r="N556" s="187"/>
      <c r="O556" s="187"/>
      <c r="P556" s="187"/>
      <c r="Q556" s="144" t="s">
        <v>138</v>
      </c>
      <c r="R556" s="90"/>
      <c r="S556" s="90"/>
      <c r="T556" s="65" t="s">
        <v>1185</v>
      </c>
      <c r="U556" s="144">
        <v>2026</v>
      </c>
      <c r="V556" s="99">
        <v>46133</v>
      </c>
      <c r="W556" s="89"/>
      <c r="X556" s="99">
        <v>46133</v>
      </c>
      <c r="Y556" s="188">
        <f>AC556</f>
        <v>69707.65833333334</v>
      </c>
      <c r="Z556" s="189">
        <v>0</v>
      </c>
      <c r="AA556" s="188">
        <f>AD556</f>
        <v>83649.19</v>
      </c>
      <c r="AB556" s="188">
        <v>0</v>
      </c>
      <c r="AC556" s="188">
        <f>AD556/1.2</f>
        <v>69707.65833333334</v>
      </c>
      <c r="AD556" s="188">
        <v>83649.19</v>
      </c>
      <c r="AE556" s="68" t="s">
        <v>102</v>
      </c>
      <c r="AF556" s="68"/>
      <c r="AG556" s="68"/>
      <c r="AH556" s="190"/>
      <c r="AI556" s="191"/>
      <c r="AJ556" s="190"/>
      <c r="AK556" s="192"/>
      <c r="AL556" s="190"/>
      <c r="AM556" s="196" t="s">
        <v>1023</v>
      </c>
    </row>
    <row r="557" spans="1:45" ht="30" hidden="1" customHeight="1" x14ac:dyDescent="0.25">
      <c r="A557" s="135">
        <v>2026</v>
      </c>
      <c r="B557" s="66" t="s">
        <v>705</v>
      </c>
      <c r="C557" s="65" t="s">
        <v>1432</v>
      </c>
      <c r="D557" s="144" t="s">
        <v>106</v>
      </c>
      <c r="E557" s="144">
        <v>1</v>
      </c>
      <c r="F557" s="88" t="s">
        <v>1433</v>
      </c>
      <c r="G557" s="144" t="s">
        <v>121</v>
      </c>
      <c r="H557" s="66" t="s">
        <v>127</v>
      </c>
      <c r="I557" s="65"/>
      <c r="J557" s="144" t="s">
        <v>131</v>
      </c>
      <c r="K557" s="144" t="s">
        <v>3</v>
      </c>
      <c r="L557" s="66" t="s">
        <v>7</v>
      </c>
      <c r="M557" s="67" t="s">
        <v>1008</v>
      </c>
      <c r="N557" s="199">
        <f>O557*1.2</f>
        <v>1008000</v>
      </c>
      <c r="O557" s="199">
        <v>840000</v>
      </c>
      <c r="P557" s="199">
        <f>O557/1.2</f>
        <v>700000</v>
      </c>
      <c r="Q557" s="44"/>
      <c r="R557" s="90"/>
      <c r="S557" s="90"/>
      <c r="T557" s="65"/>
      <c r="U557" s="144"/>
      <c r="V557" s="99">
        <v>46147</v>
      </c>
      <c r="W557" s="99">
        <v>46148</v>
      </c>
      <c r="X557" s="99"/>
      <c r="Y557" s="188">
        <f>Engagements2026Juillet[[#This Row],[TOTAL MARCHE HT TOTAL ENGAGE HT]]</f>
        <v>588250</v>
      </c>
      <c r="Z557" s="189"/>
      <c r="AA557" s="188">
        <f>Engagements2026Juillet[[#This Row],[TOTAL MARCHE TTC TOTAL ENGAGE TTC]]</f>
        <v>705900</v>
      </c>
      <c r="AB557" s="188">
        <f>Engagements2026Juillet[[#This Row],[TOTAL MARCHE TTC TOTAL ENGAGE TTC]]</f>
        <v>705900</v>
      </c>
      <c r="AC557" s="188">
        <f>Engagements2026Juillet[[#This Row],[TOTAL MARCHE TTC TOTAL ENGAGE TTC]]/1.2</f>
        <v>588250</v>
      </c>
      <c r="AD557" s="188">
        <v>705900</v>
      </c>
      <c r="AE557" s="68" t="s">
        <v>100</v>
      </c>
      <c r="AF557" s="68"/>
      <c r="AG557" s="68"/>
      <c r="AH557" s="190"/>
      <c r="AI557" s="191"/>
      <c r="AJ557" s="190"/>
      <c r="AK557" s="192"/>
      <c r="AL557" s="190"/>
      <c r="AM557" s="196" t="s">
        <v>1023</v>
      </c>
    </row>
    <row r="558" spans="1:45" ht="30" hidden="1" customHeight="1" x14ac:dyDescent="0.25">
      <c r="A558" s="135">
        <v>2026</v>
      </c>
      <c r="B558" s="66" t="s">
        <v>705</v>
      </c>
      <c r="C558" s="65" t="s">
        <v>1434</v>
      </c>
      <c r="D558" s="144" t="s">
        <v>106</v>
      </c>
      <c r="E558" s="144">
        <v>1</v>
      </c>
      <c r="F558" s="65" t="s">
        <v>1435</v>
      </c>
      <c r="G558" s="144" t="s">
        <v>118</v>
      </c>
      <c r="H558" s="66" t="s">
        <v>118</v>
      </c>
      <c r="I558" s="83"/>
      <c r="J558" s="144" t="s">
        <v>131</v>
      </c>
      <c r="K558" s="144" t="s">
        <v>3</v>
      </c>
      <c r="L558" s="66" t="s">
        <v>7</v>
      </c>
      <c r="M558" s="67" t="s">
        <v>965</v>
      </c>
      <c r="N558" s="199">
        <f>O558*1.2</f>
        <v>440755.20000000001</v>
      </c>
      <c r="O558" s="199">
        <v>367296</v>
      </c>
      <c r="P558" s="199">
        <f>O558/1.2</f>
        <v>306080</v>
      </c>
      <c r="Q558" s="44"/>
      <c r="R558" s="90"/>
      <c r="S558" s="90"/>
      <c r="T558" s="83"/>
      <c r="U558" s="56"/>
      <c r="V558" s="99">
        <v>46147</v>
      </c>
      <c r="W558" s="99">
        <v>46148</v>
      </c>
      <c r="X558" s="89" t="s">
        <v>354</v>
      </c>
      <c r="Y558" s="215">
        <v>0</v>
      </c>
      <c r="Z558" s="216">
        <v>0</v>
      </c>
      <c r="AA558" s="215">
        <v>0</v>
      </c>
      <c r="AB558" s="215">
        <v>0</v>
      </c>
      <c r="AC558" s="215">
        <v>0</v>
      </c>
      <c r="AD558" s="215">
        <v>0</v>
      </c>
      <c r="AE558" s="68" t="s">
        <v>103</v>
      </c>
      <c r="AF558" s="68"/>
      <c r="AG558" s="68"/>
      <c r="AH558" s="190"/>
      <c r="AI558" s="191"/>
      <c r="AJ558" s="190"/>
      <c r="AK558" s="192"/>
      <c r="AL558" s="190"/>
      <c r="AM558" s="196"/>
    </row>
    <row r="559" spans="1:45" ht="30" hidden="1" customHeight="1" x14ac:dyDescent="0.25">
      <c r="A559" s="135">
        <v>2026</v>
      </c>
      <c r="B559" s="66" t="s">
        <v>55</v>
      </c>
      <c r="C559" s="65" t="s">
        <v>1436</v>
      </c>
      <c r="D559" s="144" t="s">
        <v>106</v>
      </c>
      <c r="E559" s="144">
        <v>1</v>
      </c>
      <c r="F559" s="65" t="s">
        <v>1437</v>
      </c>
      <c r="G559" s="144" t="s">
        <v>121</v>
      </c>
      <c r="H559" s="66" t="s">
        <v>128</v>
      </c>
      <c r="I559" s="65"/>
      <c r="J559" s="58" t="s">
        <v>131</v>
      </c>
      <c r="K559" s="144" t="s">
        <v>3</v>
      </c>
      <c r="L559" s="66" t="s">
        <v>6</v>
      </c>
      <c r="M559" s="67" t="s">
        <v>23</v>
      </c>
      <c r="N559" s="199">
        <f>O559*1.2</f>
        <v>952473.59999999998</v>
      </c>
      <c r="O559" s="199">
        <v>793728</v>
      </c>
      <c r="P559" s="199">
        <f>O559/1.2</f>
        <v>661440</v>
      </c>
      <c r="Q559" s="44"/>
      <c r="R559" s="90"/>
      <c r="S559" s="90"/>
      <c r="T559" s="65"/>
      <c r="U559" s="144"/>
      <c r="V559" s="93"/>
      <c r="W559" s="93"/>
      <c r="X559" s="99"/>
      <c r="Y559" s="188"/>
      <c r="Z559" s="189"/>
      <c r="AA559" s="188"/>
      <c r="AB559" s="188"/>
      <c r="AC559" s="188"/>
      <c r="AD559" s="188"/>
      <c r="AE559" s="68" t="s">
        <v>100</v>
      </c>
      <c r="AF559" s="68"/>
      <c r="AG559" s="68"/>
      <c r="AH559" s="190"/>
      <c r="AI559" s="191"/>
      <c r="AJ559" s="190"/>
      <c r="AK559" s="192"/>
      <c r="AL559" s="190"/>
      <c r="AM559" s="196"/>
    </row>
    <row r="560" spans="1:45" ht="30" hidden="1" customHeight="1" x14ac:dyDescent="0.25">
      <c r="A560" s="135">
        <v>2026</v>
      </c>
      <c r="B560" s="66" t="s">
        <v>55</v>
      </c>
      <c r="C560" s="76"/>
      <c r="D560" s="144" t="s">
        <v>106</v>
      </c>
      <c r="E560" s="144">
        <v>1</v>
      </c>
      <c r="F560" s="65" t="s">
        <v>1438</v>
      </c>
      <c r="G560" s="144" t="s">
        <v>120</v>
      </c>
      <c r="H560" s="66" t="s">
        <v>120</v>
      </c>
      <c r="I560" s="65"/>
      <c r="J560" s="59" t="s">
        <v>131</v>
      </c>
      <c r="K560" s="144" t="s">
        <v>3</v>
      </c>
      <c r="L560" s="66" t="s">
        <v>7</v>
      </c>
      <c r="M560" s="67" t="s">
        <v>33</v>
      </c>
      <c r="N560" s="199">
        <f>O560*1.2</f>
        <v>86400</v>
      </c>
      <c r="O560" s="199">
        <v>72000</v>
      </c>
      <c r="P560" s="199">
        <f>O560/1.2</f>
        <v>60000</v>
      </c>
      <c r="Q560" s="144" t="s">
        <v>138</v>
      </c>
      <c r="R560" s="90"/>
      <c r="S560" s="90"/>
      <c r="T560" s="65"/>
      <c r="U560" s="144"/>
      <c r="V560" s="96">
        <v>46198</v>
      </c>
      <c r="W560" s="93"/>
      <c r="X560" s="99"/>
      <c r="Y560" s="188"/>
      <c r="Z560" s="189"/>
      <c r="AA560" s="188"/>
      <c r="AB560" s="188"/>
      <c r="AC560" s="188"/>
      <c r="AD560" s="188"/>
      <c r="AE560" s="68" t="s">
        <v>99</v>
      </c>
      <c r="AF560" s="68"/>
      <c r="AG560" s="68"/>
      <c r="AH560" s="190"/>
      <c r="AI560" s="191"/>
      <c r="AJ560" s="190"/>
      <c r="AK560" s="192"/>
      <c r="AL560" s="190"/>
      <c r="AM560" s="196"/>
    </row>
    <row r="561" spans="1:39" ht="30" hidden="1" customHeight="1" x14ac:dyDescent="0.25">
      <c r="A561" s="135">
        <v>2026</v>
      </c>
      <c r="B561" s="66" t="s">
        <v>77</v>
      </c>
      <c r="C561" s="65" t="s">
        <v>1439</v>
      </c>
      <c r="D561" s="144" t="s">
        <v>114</v>
      </c>
      <c r="E561" s="144">
        <v>1</v>
      </c>
      <c r="F561" s="65" t="s">
        <v>1440</v>
      </c>
      <c r="G561" s="144" t="s">
        <v>121</v>
      </c>
      <c r="H561" s="66" t="s">
        <v>126</v>
      </c>
      <c r="I561" s="65"/>
      <c r="J561" s="144" t="s">
        <v>132</v>
      </c>
      <c r="K561" s="144" t="s">
        <v>3</v>
      </c>
      <c r="L561" s="66" t="s">
        <v>6</v>
      </c>
      <c r="M561" s="65" t="s">
        <v>180</v>
      </c>
      <c r="N561" s="187"/>
      <c r="O561" s="187"/>
      <c r="P561" s="187"/>
      <c r="Q561" s="44"/>
      <c r="R561" s="90"/>
      <c r="S561" s="90"/>
      <c r="T561" s="65" t="s">
        <v>1441</v>
      </c>
      <c r="U561" s="144"/>
      <c r="V561" s="99"/>
      <c r="W561" s="99"/>
      <c r="X561" s="99"/>
      <c r="Y561" s="188">
        <v>50071.4</v>
      </c>
      <c r="Z561" s="189">
        <v>0</v>
      </c>
      <c r="AA561" s="188">
        <v>50071.4</v>
      </c>
      <c r="AB561" s="188"/>
      <c r="AC561" s="188">
        <f>Y561</f>
        <v>50071.4</v>
      </c>
      <c r="AD561" s="188">
        <f>AA561</f>
        <v>50071.4</v>
      </c>
      <c r="AE561" s="68" t="s">
        <v>102</v>
      </c>
      <c r="AF561" s="68"/>
      <c r="AG561" s="68"/>
      <c r="AH561" s="190"/>
      <c r="AI561" s="191"/>
      <c r="AJ561" s="190"/>
      <c r="AK561" s="192"/>
      <c r="AL561" s="190"/>
      <c r="AM561" s="196"/>
    </row>
    <row r="562" spans="1:39" ht="30" hidden="1" customHeight="1" x14ac:dyDescent="0.25">
      <c r="A562" s="135">
        <v>2026</v>
      </c>
      <c r="B562" s="66" t="s">
        <v>60</v>
      </c>
      <c r="C562" s="65" t="s">
        <v>1442</v>
      </c>
      <c r="D562" s="144" t="s">
        <v>106</v>
      </c>
      <c r="E562" s="144">
        <v>1</v>
      </c>
      <c r="F562" s="65" t="s">
        <v>1443</v>
      </c>
      <c r="G562" s="144" t="s">
        <v>121</v>
      </c>
      <c r="H562" s="66" t="s">
        <v>126</v>
      </c>
      <c r="I562" s="65"/>
      <c r="J562" s="144" t="s">
        <v>131</v>
      </c>
      <c r="K562" s="144" t="s">
        <v>3</v>
      </c>
      <c r="L562" s="66" t="s">
        <v>6</v>
      </c>
      <c r="M562" s="67" t="s">
        <v>31</v>
      </c>
      <c r="N562" s="199">
        <f>O562*1.2</f>
        <v>689587.19999999995</v>
      </c>
      <c r="O562" s="199">
        <v>574656</v>
      </c>
      <c r="P562" s="199">
        <f>O562/1.2</f>
        <v>478880</v>
      </c>
      <c r="Q562" s="44"/>
      <c r="R562" s="90"/>
      <c r="S562" s="90"/>
      <c r="T562" s="65"/>
      <c r="U562" s="144"/>
      <c r="V562" s="99">
        <v>46150</v>
      </c>
      <c r="W562" s="99">
        <v>46153</v>
      </c>
      <c r="X562" s="99">
        <v>46216</v>
      </c>
      <c r="Y562" s="188"/>
      <c r="Z562" s="189">
        <f>AA562/1.2</f>
        <v>562100</v>
      </c>
      <c r="AA562" s="188">
        <v>674520</v>
      </c>
      <c r="AB562" s="188"/>
      <c r="AC562" s="188">
        <f>Z562</f>
        <v>562100</v>
      </c>
      <c r="AD562" s="188">
        <f>AA562</f>
        <v>674520</v>
      </c>
      <c r="AE562" s="68" t="s">
        <v>102</v>
      </c>
      <c r="AF562" s="68"/>
      <c r="AG562" s="68"/>
      <c r="AH562" s="190"/>
      <c r="AI562" s="191"/>
      <c r="AJ562" s="190"/>
      <c r="AK562" s="192"/>
      <c r="AL562" s="190"/>
      <c r="AM562" s="196"/>
    </row>
    <row r="563" spans="1:39" ht="30" hidden="1" customHeight="1" x14ac:dyDescent="0.25">
      <c r="A563" s="135">
        <v>2026</v>
      </c>
      <c r="B563" s="66" t="s">
        <v>78</v>
      </c>
      <c r="C563" s="77" t="s">
        <v>1444</v>
      </c>
      <c r="D563" s="144" t="s">
        <v>106</v>
      </c>
      <c r="E563" s="144">
        <v>1</v>
      </c>
      <c r="F563" s="65" t="s">
        <v>1445</v>
      </c>
      <c r="G563" s="144" t="s">
        <v>120</v>
      </c>
      <c r="H563" s="66" t="s">
        <v>120</v>
      </c>
      <c r="I563" s="65"/>
      <c r="J563" s="47" t="s">
        <v>130</v>
      </c>
      <c r="K563" s="144" t="s">
        <v>3</v>
      </c>
      <c r="L563" s="66" t="s">
        <v>6</v>
      </c>
      <c r="M563" s="67" t="s">
        <v>24</v>
      </c>
      <c r="N563" s="199">
        <f>O563*1.2</f>
        <v>144000</v>
      </c>
      <c r="O563" s="199">
        <v>120000</v>
      </c>
      <c r="P563" s="199">
        <f>O563/1.2</f>
        <v>100000</v>
      </c>
      <c r="Q563" s="44"/>
      <c r="R563" s="90"/>
      <c r="S563" s="90"/>
      <c r="T563" s="65"/>
      <c r="U563" s="144"/>
      <c r="V563" s="93">
        <v>46192</v>
      </c>
      <c r="W563" s="93"/>
      <c r="X563" s="99"/>
      <c r="Y563" s="188"/>
      <c r="Z563" s="189"/>
      <c r="AA563" s="188"/>
      <c r="AB563" s="188"/>
      <c r="AC563" s="188"/>
      <c r="AD563" s="188"/>
      <c r="AE563" s="68" t="s">
        <v>99</v>
      </c>
      <c r="AF563" s="68"/>
      <c r="AG563" s="68"/>
      <c r="AH563" s="190"/>
      <c r="AI563" s="191"/>
      <c r="AJ563" s="190"/>
      <c r="AK563" s="192"/>
      <c r="AL563" s="190"/>
      <c r="AM563" s="196"/>
    </row>
    <row r="564" spans="1:39" ht="30" hidden="1" customHeight="1" x14ac:dyDescent="0.25">
      <c r="A564" s="135">
        <v>2026</v>
      </c>
      <c r="B564" s="66" t="s">
        <v>66</v>
      </c>
      <c r="C564" s="77" t="s">
        <v>1446</v>
      </c>
      <c r="D564" s="144" t="s">
        <v>106</v>
      </c>
      <c r="E564" s="144">
        <v>1</v>
      </c>
      <c r="F564" s="65" t="s">
        <v>1447</v>
      </c>
      <c r="G564" s="144" t="s">
        <v>121</v>
      </c>
      <c r="H564" s="66" t="s">
        <v>128</v>
      </c>
      <c r="I564" s="65"/>
      <c r="J564" s="47" t="s">
        <v>131</v>
      </c>
      <c r="K564" s="144" t="s">
        <v>3</v>
      </c>
      <c r="L564" s="66" t="s">
        <v>6</v>
      </c>
      <c r="M564" s="67" t="s">
        <v>27</v>
      </c>
      <c r="N564" s="199">
        <f>O564*1.2</f>
        <v>14848560</v>
      </c>
      <c r="O564" s="199">
        <v>12373800</v>
      </c>
      <c r="P564" s="199">
        <f>O564/1.2</f>
        <v>10311500</v>
      </c>
      <c r="Q564" s="144" t="s">
        <v>139</v>
      </c>
      <c r="R564" s="90"/>
      <c r="S564" s="90"/>
      <c r="T564" s="65"/>
      <c r="U564" s="144"/>
      <c r="V564" s="93"/>
      <c r="W564" s="93"/>
      <c r="X564" s="99"/>
      <c r="Y564" s="188"/>
      <c r="Z564" s="189"/>
      <c r="AA564" s="188"/>
      <c r="AB564" s="188"/>
      <c r="AC564" s="188"/>
      <c r="AD564" s="188"/>
      <c r="AE564" s="68" t="s">
        <v>100</v>
      </c>
      <c r="AF564" s="68"/>
      <c r="AG564" s="68"/>
      <c r="AH564" s="190"/>
      <c r="AI564" s="191"/>
      <c r="AJ564" s="190"/>
      <c r="AK564" s="192"/>
      <c r="AL564" s="190"/>
      <c r="AM564" s="196"/>
    </row>
    <row r="565" spans="1:39" ht="30" hidden="1" customHeight="1" x14ac:dyDescent="0.25">
      <c r="A565" s="135">
        <v>2026</v>
      </c>
      <c r="B565" s="66" t="s">
        <v>66</v>
      </c>
      <c r="C565" s="65" t="s">
        <v>1448</v>
      </c>
      <c r="D565" s="144" t="s">
        <v>110</v>
      </c>
      <c r="E565" s="144">
        <v>1</v>
      </c>
      <c r="F565" s="65" t="s">
        <v>1449</v>
      </c>
      <c r="G565" s="144" t="s">
        <v>121</v>
      </c>
      <c r="H565" s="66" t="s">
        <v>126</v>
      </c>
      <c r="I565" s="65" t="s">
        <v>1448</v>
      </c>
      <c r="J565" s="144" t="s">
        <v>132</v>
      </c>
      <c r="K565" s="144" t="s">
        <v>3</v>
      </c>
      <c r="L565" s="66" t="s">
        <v>7</v>
      </c>
      <c r="M565" s="67" t="s">
        <v>37</v>
      </c>
      <c r="N565" s="187"/>
      <c r="O565" s="187"/>
      <c r="P565" s="187"/>
      <c r="Q565" s="44"/>
      <c r="R565" s="90"/>
      <c r="S565" s="90"/>
      <c r="T565" s="65" t="s">
        <v>1450</v>
      </c>
      <c r="U565" s="144"/>
      <c r="V565" s="99"/>
      <c r="W565" s="89"/>
      <c r="X565" s="99">
        <v>46148</v>
      </c>
      <c r="Y565" s="188">
        <f>AD565</f>
        <v>198971.91</v>
      </c>
      <c r="Z565" s="189">
        <f>AB565</f>
        <v>18440.400000000001</v>
      </c>
      <c r="AA565" s="188">
        <f>AC565</f>
        <v>198971.91</v>
      </c>
      <c r="AB565" s="188">
        <v>18440.400000000001</v>
      </c>
      <c r="AC565" s="188">
        <f>AD565</f>
        <v>198971.91</v>
      </c>
      <c r="AD565" s="188">
        <v>198971.91</v>
      </c>
      <c r="AE565" s="68" t="s">
        <v>102</v>
      </c>
      <c r="AF565" s="68"/>
      <c r="AG565" s="68"/>
      <c r="AH565" s="190"/>
      <c r="AI565" s="191"/>
      <c r="AJ565" s="190"/>
      <c r="AK565" s="192"/>
      <c r="AL565" s="190"/>
      <c r="AM565" s="196"/>
    </row>
    <row r="566" spans="1:39" ht="30" hidden="1" customHeight="1" x14ac:dyDescent="0.25">
      <c r="A566" s="135">
        <v>2026</v>
      </c>
      <c r="B566" s="66" t="s">
        <v>63</v>
      </c>
      <c r="C566" s="65" t="s">
        <v>1451</v>
      </c>
      <c r="D566" s="144" t="s">
        <v>114</v>
      </c>
      <c r="E566" s="144">
        <v>1</v>
      </c>
      <c r="F566" s="65" t="s">
        <v>1452</v>
      </c>
      <c r="G566" s="144" t="s">
        <v>121</v>
      </c>
      <c r="H566" s="66" t="s">
        <v>126</v>
      </c>
      <c r="I566" s="65"/>
      <c r="J566" s="144" t="s">
        <v>132</v>
      </c>
      <c r="K566" s="144" t="s">
        <v>3</v>
      </c>
      <c r="L566" s="66" t="s">
        <v>6</v>
      </c>
      <c r="M566" s="65" t="s">
        <v>200</v>
      </c>
      <c r="N566" s="187"/>
      <c r="O566" s="187"/>
      <c r="P566" s="187"/>
      <c r="Q566" s="144" t="s">
        <v>138</v>
      </c>
      <c r="R566" s="90"/>
      <c r="S566" s="90"/>
      <c r="T566" s="65" t="s">
        <v>1453</v>
      </c>
      <c r="U566" s="144"/>
      <c r="V566" s="99">
        <v>46156</v>
      </c>
      <c r="W566" s="99"/>
      <c r="X566" s="99">
        <v>46157</v>
      </c>
      <c r="Y566" s="188">
        <v>12857.14</v>
      </c>
      <c r="Z566" s="189"/>
      <c r="AA566" s="188">
        <v>12857.14</v>
      </c>
      <c r="AB566" s="188"/>
      <c r="AC566" s="188">
        <v>12857.14</v>
      </c>
      <c r="AD566" s="188">
        <v>12857.14</v>
      </c>
      <c r="AE566" s="68" t="s">
        <v>102</v>
      </c>
      <c r="AF566" s="68"/>
      <c r="AG566" s="68"/>
      <c r="AH566" s="190"/>
      <c r="AI566" s="191"/>
      <c r="AJ566" s="190"/>
      <c r="AK566" s="192"/>
      <c r="AL566" s="190"/>
      <c r="AM566" s="196" t="s">
        <v>1023</v>
      </c>
    </row>
    <row r="567" spans="1:39" ht="30" hidden="1" customHeight="1" x14ac:dyDescent="0.25">
      <c r="A567" s="136">
        <v>2026</v>
      </c>
      <c r="B567" s="66" t="s">
        <v>56</v>
      </c>
      <c r="C567" s="77" t="s">
        <v>1454</v>
      </c>
      <c r="D567" s="144" t="s">
        <v>106</v>
      </c>
      <c r="E567" s="144">
        <v>1</v>
      </c>
      <c r="F567" s="65" t="s">
        <v>1455</v>
      </c>
      <c r="G567" s="144" t="s">
        <v>120</v>
      </c>
      <c r="H567" s="66" t="s">
        <v>120</v>
      </c>
      <c r="I567" s="65"/>
      <c r="J567" s="47"/>
      <c r="K567" s="144" t="s">
        <v>3</v>
      </c>
      <c r="L567" s="66" t="s">
        <v>6</v>
      </c>
      <c r="M567" s="67" t="s">
        <v>23</v>
      </c>
      <c r="N567" s="199">
        <f>O567*1.2</f>
        <v>1980000</v>
      </c>
      <c r="O567" s="199">
        <v>1650000</v>
      </c>
      <c r="P567" s="199">
        <f>O567/1.2</f>
        <v>1375000</v>
      </c>
      <c r="Q567" s="44"/>
      <c r="R567" s="90"/>
      <c r="S567" s="90"/>
      <c r="T567" s="65"/>
      <c r="U567" s="144"/>
      <c r="V567" s="93"/>
      <c r="W567" s="93"/>
      <c r="X567" s="99"/>
      <c r="Y567" s="188"/>
      <c r="Z567" s="189"/>
      <c r="AA567" s="188"/>
      <c r="AB567" s="188"/>
      <c r="AC567" s="188"/>
      <c r="AD567" s="188"/>
      <c r="AE567" s="68" t="s">
        <v>99</v>
      </c>
      <c r="AF567" s="68"/>
      <c r="AG567" s="68"/>
      <c r="AH567" s="190"/>
      <c r="AI567" s="191"/>
      <c r="AJ567" s="190"/>
      <c r="AK567" s="192"/>
      <c r="AL567" s="190"/>
      <c r="AM567" s="196"/>
    </row>
    <row r="568" spans="1:39" ht="30" hidden="1" customHeight="1" x14ac:dyDescent="0.25">
      <c r="A568" s="135">
        <v>2026</v>
      </c>
      <c r="B568" s="66" t="s">
        <v>60</v>
      </c>
      <c r="C568" s="73"/>
      <c r="D568" s="144" t="s">
        <v>114</v>
      </c>
      <c r="E568" s="144">
        <v>1</v>
      </c>
      <c r="F568" s="65" t="s">
        <v>1456</v>
      </c>
      <c r="G568" s="144" t="s">
        <v>121</v>
      </c>
      <c r="H568" s="66" t="s">
        <v>126</v>
      </c>
      <c r="I568" s="65" t="s">
        <v>1457</v>
      </c>
      <c r="J568" s="144" t="s">
        <v>132</v>
      </c>
      <c r="K568" s="144" t="s">
        <v>3</v>
      </c>
      <c r="L568" s="66" t="s">
        <v>6</v>
      </c>
      <c r="M568" s="67" t="s">
        <v>23</v>
      </c>
      <c r="N568" s="187"/>
      <c r="O568" s="187"/>
      <c r="P568" s="187"/>
      <c r="Q568" s="144" t="s">
        <v>140</v>
      </c>
      <c r="R568" s="90"/>
      <c r="S568" s="90"/>
      <c r="T568" s="65" t="s">
        <v>1458</v>
      </c>
      <c r="U568" s="144"/>
      <c r="V568" s="99">
        <v>46161</v>
      </c>
      <c r="W568" s="89"/>
      <c r="X568" s="99">
        <v>46168</v>
      </c>
      <c r="Y568" s="188">
        <v>500000</v>
      </c>
      <c r="Z568" s="189">
        <v>0</v>
      </c>
      <c r="AA568" s="188">
        <v>500000</v>
      </c>
      <c r="AB568" s="188">
        <v>0</v>
      </c>
      <c r="AC568" s="188">
        <f>+AA568</f>
        <v>500000</v>
      </c>
      <c r="AD568" s="188">
        <f>+AA568</f>
        <v>500000</v>
      </c>
      <c r="AE568" s="68" t="s">
        <v>102</v>
      </c>
      <c r="AF568" s="68"/>
      <c r="AG568" s="68"/>
      <c r="AH568" s="190"/>
      <c r="AI568" s="191"/>
      <c r="AJ568" s="190"/>
      <c r="AK568" s="192"/>
      <c r="AL568" s="190"/>
      <c r="AM568" s="196"/>
    </row>
    <row r="569" spans="1:39" ht="30" hidden="1" customHeight="1" x14ac:dyDescent="0.25">
      <c r="A569" s="135">
        <v>2026</v>
      </c>
      <c r="B569" s="66" t="s">
        <v>66</v>
      </c>
      <c r="C569" s="73" t="s">
        <v>172</v>
      </c>
      <c r="D569" s="144" t="s">
        <v>114</v>
      </c>
      <c r="E569" s="144">
        <v>1</v>
      </c>
      <c r="F569" s="65" t="s">
        <v>1459</v>
      </c>
      <c r="G569" s="144" t="s">
        <v>121</v>
      </c>
      <c r="H569" s="66" t="s">
        <v>126</v>
      </c>
      <c r="I569" s="65" t="s">
        <v>1460</v>
      </c>
      <c r="J569" s="144" t="s">
        <v>132</v>
      </c>
      <c r="K569" s="144" t="s">
        <v>3</v>
      </c>
      <c r="L569" s="66" t="s">
        <v>6</v>
      </c>
      <c r="M569" s="67" t="s">
        <v>27</v>
      </c>
      <c r="N569" s="187"/>
      <c r="O569" s="187"/>
      <c r="P569" s="187"/>
      <c r="Q569" s="144" t="s">
        <v>139</v>
      </c>
      <c r="R569" s="90"/>
      <c r="S569" s="90"/>
      <c r="T569" s="65" t="s">
        <v>1461</v>
      </c>
      <c r="U569" s="144"/>
      <c r="V569" s="99">
        <v>46161</v>
      </c>
      <c r="W569" s="89"/>
      <c r="X569" s="99">
        <v>46174</v>
      </c>
      <c r="Y569" s="188">
        <v>50000</v>
      </c>
      <c r="Z569" s="189">
        <v>0</v>
      </c>
      <c r="AA569" s="188">
        <v>60000</v>
      </c>
      <c r="AB569" s="188">
        <v>0</v>
      </c>
      <c r="AC569" s="188">
        <f>+Y569</f>
        <v>50000</v>
      </c>
      <c r="AD569" s="188">
        <f>+AA569</f>
        <v>60000</v>
      </c>
      <c r="AE569" s="68" t="s">
        <v>102</v>
      </c>
      <c r="AF569" s="68"/>
      <c r="AG569" s="68"/>
      <c r="AH569" s="190"/>
      <c r="AI569" s="191"/>
      <c r="AJ569" s="190"/>
      <c r="AK569" s="192"/>
      <c r="AL569" s="190"/>
      <c r="AM569" s="196"/>
    </row>
    <row r="570" spans="1:39" ht="30" hidden="1" customHeight="1" x14ac:dyDescent="0.25">
      <c r="A570" s="46">
        <v>2026</v>
      </c>
      <c r="B570" s="66" t="s">
        <v>62</v>
      </c>
      <c r="C570" s="74"/>
      <c r="D570" s="144" t="s">
        <v>114</v>
      </c>
      <c r="E570" s="144">
        <v>1</v>
      </c>
      <c r="F570" s="65" t="s">
        <v>1462</v>
      </c>
      <c r="G570" s="144" t="s">
        <v>121</v>
      </c>
      <c r="H570" s="66" t="s">
        <v>126</v>
      </c>
      <c r="I570" s="74"/>
      <c r="J570" s="144" t="s">
        <v>132</v>
      </c>
      <c r="K570" s="144" t="s">
        <v>3</v>
      </c>
      <c r="L570" s="66" t="s">
        <v>6</v>
      </c>
      <c r="M570" s="65" t="s">
        <v>200</v>
      </c>
      <c r="N570" s="187"/>
      <c r="O570" s="187"/>
      <c r="P570" s="187"/>
      <c r="Q570" s="144"/>
      <c r="R570" s="90"/>
      <c r="S570" s="90"/>
      <c r="T570" s="65" t="s">
        <v>1463</v>
      </c>
      <c r="U570" s="144">
        <v>2026</v>
      </c>
      <c r="V570" s="99"/>
      <c r="W570" s="99"/>
      <c r="X570" s="99">
        <v>46146</v>
      </c>
      <c r="Y570" s="188">
        <v>88000</v>
      </c>
      <c r="Z570" s="189"/>
      <c r="AA570" s="188">
        <v>88000</v>
      </c>
      <c r="AB570" s="188"/>
      <c r="AC570" s="188">
        <v>88000</v>
      </c>
      <c r="AD570" s="188">
        <v>88000</v>
      </c>
      <c r="AE570" s="68" t="s">
        <v>102</v>
      </c>
      <c r="AF570" s="68"/>
      <c r="AG570" s="68"/>
      <c r="AH570" s="190"/>
      <c r="AI570" s="191"/>
      <c r="AJ570" s="190"/>
      <c r="AK570" s="192"/>
      <c r="AL570" s="190"/>
      <c r="AM570" s="196"/>
    </row>
    <row r="571" spans="1:39" ht="30" hidden="1" customHeight="1" x14ac:dyDescent="0.25">
      <c r="A571" s="135">
        <v>2026</v>
      </c>
      <c r="B571" s="66" t="s">
        <v>63</v>
      </c>
      <c r="C571" s="73" t="s">
        <v>172</v>
      </c>
      <c r="D571" s="144" t="s">
        <v>114</v>
      </c>
      <c r="E571" s="144">
        <v>1</v>
      </c>
      <c r="F571" s="65" t="s">
        <v>1464</v>
      </c>
      <c r="G571" s="144" t="s">
        <v>121</v>
      </c>
      <c r="H571" s="66" t="s">
        <v>126</v>
      </c>
      <c r="I571" s="65"/>
      <c r="J571" s="144" t="s">
        <v>132</v>
      </c>
      <c r="K571" s="144" t="s">
        <v>3</v>
      </c>
      <c r="L571" s="66" t="s">
        <v>6</v>
      </c>
      <c r="M571" s="67" t="s">
        <v>947</v>
      </c>
      <c r="N571" s="187"/>
      <c r="O571" s="187"/>
      <c r="P571" s="187"/>
      <c r="Q571" s="144" t="s">
        <v>139</v>
      </c>
      <c r="R571" s="90"/>
      <c r="S571" s="90"/>
      <c r="T571" s="65" t="s">
        <v>1465</v>
      </c>
      <c r="U571" s="144">
        <v>2026</v>
      </c>
      <c r="V571" s="99">
        <v>46163</v>
      </c>
      <c r="W571" s="89"/>
      <c r="X571" s="99">
        <v>46174</v>
      </c>
      <c r="Y571" s="188">
        <v>803722.5</v>
      </c>
      <c r="Z571" s="189">
        <v>75000</v>
      </c>
      <c r="AA571" s="188">
        <v>803722.5</v>
      </c>
      <c r="AB571" s="188">
        <v>75000</v>
      </c>
      <c r="AC571" s="188">
        <f>+AA571</f>
        <v>803722.5</v>
      </c>
      <c r="AD571" s="188">
        <f>+AC571</f>
        <v>803722.5</v>
      </c>
      <c r="AE571" s="68" t="s">
        <v>102</v>
      </c>
      <c r="AF571" s="68"/>
      <c r="AG571" s="68"/>
      <c r="AH571" s="190"/>
      <c r="AI571" s="191"/>
      <c r="AJ571" s="190"/>
      <c r="AK571" s="192"/>
      <c r="AL571" s="190"/>
      <c r="AM571" s="196" t="s">
        <v>1023</v>
      </c>
    </row>
    <row r="572" spans="1:39" ht="30" hidden="1" customHeight="1" x14ac:dyDescent="0.25">
      <c r="A572" s="136">
        <v>2026</v>
      </c>
      <c r="B572" s="66" t="s">
        <v>60</v>
      </c>
      <c r="C572" s="74" t="s">
        <v>1466</v>
      </c>
      <c r="D572" s="144" t="s">
        <v>106</v>
      </c>
      <c r="E572" s="144"/>
      <c r="F572" s="65" t="s">
        <v>1467</v>
      </c>
      <c r="G572" s="144" t="s">
        <v>121</v>
      </c>
      <c r="H572" s="66" t="s">
        <v>127</v>
      </c>
      <c r="I572" s="65"/>
      <c r="J572" s="47" t="s">
        <v>130</v>
      </c>
      <c r="K572" s="144" t="s">
        <v>3</v>
      </c>
      <c r="L572" s="66" t="s">
        <v>7</v>
      </c>
      <c r="M572" s="67" t="s">
        <v>36</v>
      </c>
      <c r="N572" s="199">
        <f>O572*1.2</f>
        <v>551520</v>
      </c>
      <c r="O572" s="199">
        <v>459600</v>
      </c>
      <c r="P572" s="199">
        <f>O572/1.2</f>
        <v>383000</v>
      </c>
      <c r="Q572" s="144" t="s">
        <v>138</v>
      </c>
      <c r="R572" s="90"/>
      <c r="S572" s="90"/>
      <c r="T572" s="65" t="s">
        <v>1831</v>
      </c>
      <c r="U572" s="144"/>
      <c r="V572" s="99">
        <v>46195</v>
      </c>
      <c r="W572" s="99"/>
      <c r="X572" s="99"/>
      <c r="Y572" s="188"/>
      <c r="Z572" s="189"/>
      <c r="AA572" s="188"/>
      <c r="AB572" s="188"/>
      <c r="AC572" s="188"/>
      <c r="AD572" s="188">
        <v>457560</v>
      </c>
      <c r="AE572" s="68" t="s">
        <v>101</v>
      </c>
      <c r="AF572" s="68"/>
      <c r="AG572" s="68"/>
      <c r="AH572" s="190"/>
      <c r="AI572" s="191"/>
      <c r="AJ572" s="190"/>
      <c r="AK572" s="192"/>
      <c r="AL572" s="190"/>
      <c r="AM572" s="196"/>
    </row>
    <row r="573" spans="1:39" ht="30" hidden="1" customHeight="1" x14ac:dyDescent="0.25">
      <c r="A573" s="135">
        <v>2026</v>
      </c>
      <c r="B573" s="66" t="s">
        <v>60</v>
      </c>
      <c r="C573" s="65" t="s">
        <v>1468</v>
      </c>
      <c r="D573" s="144" t="s">
        <v>106</v>
      </c>
      <c r="E573" s="144">
        <v>1</v>
      </c>
      <c r="F573" s="65" t="s">
        <v>888</v>
      </c>
      <c r="G573" s="144" t="s">
        <v>121</v>
      </c>
      <c r="H573" s="66" t="s">
        <v>126</v>
      </c>
      <c r="I573" s="65"/>
      <c r="J573" s="144" t="s">
        <v>131</v>
      </c>
      <c r="K573" s="144" t="s">
        <v>1</v>
      </c>
      <c r="L573" s="66" t="s">
        <v>7</v>
      </c>
      <c r="M573" s="67" t="s">
        <v>41</v>
      </c>
      <c r="N573" s="199">
        <f>O573*1.2</f>
        <v>938592</v>
      </c>
      <c r="O573" s="199">
        <v>782160</v>
      </c>
      <c r="P573" s="199">
        <f>O573/1.2</f>
        <v>651800</v>
      </c>
      <c r="Q573" s="144" t="s">
        <v>139</v>
      </c>
      <c r="R573" s="90"/>
      <c r="S573" s="90"/>
      <c r="T573" s="65"/>
      <c r="U573" s="144"/>
      <c r="V573" s="99">
        <v>46175</v>
      </c>
      <c r="W573" s="99">
        <v>46176</v>
      </c>
      <c r="X573" s="99"/>
      <c r="Y573" s="188"/>
      <c r="Z573" s="189"/>
      <c r="AA573" s="188"/>
      <c r="AB573" s="188"/>
      <c r="AC573" s="188">
        <f>Engagements2026Juillet[[#This Row],[TOTAL MARCHE TTC TOTAL ENGAGE TTC]]/1.2</f>
        <v>723500</v>
      </c>
      <c r="AD573" s="188">
        <v>868200</v>
      </c>
      <c r="AE573" s="68" t="s">
        <v>102</v>
      </c>
      <c r="AF573" s="68"/>
      <c r="AG573" s="68"/>
      <c r="AH573" s="190"/>
      <c r="AI573" s="191"/>
      <c r="AJ573" s="190"/>
      <c r="AK573" s="192"/>
      <c r="AL573" s="190"/>
      <c r="AM573" s="196"/>
    </row>
    <row r="574" spans="1:39" ht="30" hidden="1" customHeight="1" x14ac:dyDescent="0.25">
      <c r="A574" s="135">
        <v>2026</v>
      </c>
      <c r="B574" s="66" t="s">
        <v>60</v>
      </c>
      <c r="C574" s="65" t="s">
        <v>1468</v>
      </c>
      <c r="D574" s="144" t="s">
        <v>106</v>
      </c>
      <c r="E574" s="144">
        <v>2</v>
      </c>
      <c r="F574" s="65" t="s">
        <v>889</v>
      </c>
      <c r="G574" s="144" t="s">
        <v>121</v>
      </c>
      <c r="H574" s="66" t="s">
        <v>127</v>
      </c>
      <c r="I574" s="65"/>
      <c r="J574" s="144" t="s">
        <v>131</v>
      </c>
      <c r="K574" s="144" t="s">
        <v>3</v>
      </c>
      <c r="L574" s="66" t="s">
        <v>6</v>
      </c>
      <c r="M574" s="67" t="s">
        <v>15</v>
      </c>
      <c r="N574" s="199">
        <f>O574*1.2</f>
        <v>241200</v>
      </c>
      <c r="O574" s="199">
        <v>201000</v>
      </c>
      <c r="P574" s="199">
        <f>O574/1.2</f>
        <v>167500</v>
      </c>
      <c r="Q574" s="144" t="s">
        <v>139</v>
      </c>
      <c r="R574" s="90"/>
      <c r="S574" s="90"/>
      <c r="T574" s="65"/>
      <c r="U574" s="144"/>
      <c r="V574" s="99">
        <v>46175</v>
      </c>
      <c r="W574" s="99">
        <v>46176</v>
      </c>
      <c r="X574" s="99"/>
      <c r="Y574" s="188"/>
      <c r="Z574" s="189"/>
      <c r="AA574" s="188"/>
      <c r="AB574" s="188"/>
      <c r="AC574" s="188">
        <f>Engagements2026Juillet[[#This Row],[TOTAL MARCHE TTC TOTAL ENGAGE TTC]]/1.2</f>
        <v>185950</v>
      </c>
      <c r="AD574" s="188">
        <v>223140</v>
      </c>
      <c r="AE574" s="68" t="s">
        <v>101</v>
      </c>
      <c r="AF574" s="68"/>
      <c r="AG574" s="68"/>
      <c r="AH574" s="190"/>
      <c r="AI574" s="191"/>
      <c r="AJ574" s="190"/>
      <c r="AK574" s="192"/>
      <c r="AL574" s="190"/>
      <c r="AM574" s="196"/>
    </row>
    <row r="575" spans="1:39" ht="30" hidden="1" customHeight="1" x14ac:dyDescent="0.25">
      <c r="A575" s="136">
        <v>2026</v>
      </c>
      <c r="B575" s="66" t="s">
        <v>68</v>
      </c>
      <c r="C575" s="79" t="s">
        <v>1469</v>
      </c>
      <c r="D575" s="144" t="s">
        <v>114</v>
      </c>
      <c r="E575" s="144">
        <v>1</v>
      </c>
      <c r="F575" s="65" t="s">
        <v>1470</v>
      </c>
      <c r="G575" s="144" t="s">
        <v>121</v>
      </c>
      <c r="H575" s="66" t="s">
        <v>126</v>
      </c>
      <c r="I575" s="85"/>
      <c r="J575" s="144" t="s">
        <v>132</v>
      </c>
      <c r="K575" s="144" t="s">
        <v>3</v>
      </c>
      <c r="L575" s="66" t="s">
        <v>6</v>
      </c>
      <c r="M575" s="65" t="s">
        <v>368</v>
      </c>
      <c r="N575" s="187"/>
      <c r="O575" s="187"/>
      <c r="P575" s="187"/>
      <c r="Q575" s="144" t="s">
        <v>139</v>
      </c>
      <c r="R575" s="90"/>
      <c r="S575" s="90"/>
      <c r="T575" s="65" t="s">
        <v>1471</v>
      </c>
      <c r="U575" s="144"/>
      <c r="V575" s="99">
        <v>46084</v>
      </c>
      <c r="W575" s="99"/>
      <c r="X575" s="99"/>
      <c r="Y575" s="188">
        <v>800000</v>
      </c>
      <c r="Z575" s="189"/>
      <c r="AA575" s="188">
        <v>960000</v>
      </c>
      <c r="AB575" s="188"/>
      <c r="AC575" s="188">
        <f>+Y575</f>
        <v>800000</v>
      </c>
      <c r="AD575" s="188">
        <f>+AA575</f>
        <v>960000</v>
      </c>
      <c r="AE575" s="68" t="s">
        <v>102</v>
      </c>
      <c r="AF575" s="68"/>
      <c r="AG575" s="68"/>
      <c r="AH575" s="190"/>
      <c r="AI575" s="191"/>
      <c r="AJ575" s="190"/>
      <c r="AK575" s="192"/>
      <c r="AL575" s="190"/>
      <c r="AM575" s="196"/>
    </row>
    <row r="576" spans="1:39" ht="30" hidden="1" customHeight="1" x14ac:dyDescent="0.25">
      <c r="A576" s="135">
        <v>2026</v>
      </c>
      <c r="B576" s="66" t="s">
        <v>705</v>
      </c>
      <c r="C576" s="65" t="s">
        <v>1472</v>
      </c>
      <c r="D576" s="144" t="s">
        <v>106</v>
      </c>
      <c r="E576" s="144">
        <v>1</v>
      </c>
      <c r="F576" s="65" t="s">
        <v>1473</v>
      </c>
      <c r="G576" s="144" t="s">
        <v>118</v>
      </c>
      <c r="H576" s="66" t="s">
        <v>118</v>
      </c>
      <c r="I576" s="85"/>
      <c r="J576" s="47" t="s">
        <v>131</v>
      </c>
      <c r="K576" s="144" t="s">
        <v>4</v>
      </c>
      <c r="L576" s="66" t="s">
        <v>7</v>
      </c>
      <c r="M576" s="67" t="s">
        <v>965</v>
      </c>
      <c r="N576" s="199">
        <f>O576*1.2</f>
        <v>2465640</v>
      </c>
      <c r="O576" s="199">
        <v>2054700</v>
      </c>
      <c r="P576" s="199">
        <f>O576/1.2</f>
        <v>1712250</v>
      </c>
      <c r="Q576" s="144" t="s">
        <v>138</v>
      </c>
      <c r="R576" s="90"/>
      <c r="S576" s="90"/>
      <c r="T576" s="65"/>
      <c r="U576" s="144"/>
      <c r="V576" s="99">
        <v>46175</v>
      </c>
      <c r="W576" s="99">
        <v>46176</v>
      </c>
      <c r="X576" s="99"/>
      <c r="Y576" s="188"/>
      <c r="Z576" s="189"/>
      <c r="AA576" s="188"/>
      <c r="AB576" s="188"/>
      <c r="AC576" s="188"/>
      <c r="AD576" s="188">
        <v>0</v>
      </c>
      <c r="AE576" s="68" t="s">
        <v>103</v>
      </c>
      <c r="AF576" s="68"/>
      <c r="AG576" s="68"/>
      <c r="AH576" s="190"/>
      <c r="AI576" s="191"/>
      <c r="AJ576" s="190"/>
      <c r="AK576" s="192"/>
      <c r="AL576" s="190"/>
      <c r="AM576" s="196"/>
    </row>
    <row r="577" spans="1:39" ht="30" hidden="1" customHeight="1" x14ac:dyDescent="0.25">
      <c r="A577" s="135">
        <v>2026</v>
      </c>
      <c r="B577" s="66" t="s">
        <v>705</v>
      </c>
      <c r="C577" s="65" t="s">
        <v>1474</v>
      </c>
      <c r="D577" s="144" t="s">
        <v>106</v>
      </c>
      <c r="E577" s="144">
        <v>1</v>
      </c>
      <c r="F577" s="65" t="s">
        <v>1475</v>
      </c>
      <c r="G577" s="144" t="s">
        <v>121</v>
      </c>
      <c r="H577" s="66" t="s">
        <v>118</v>
      </c>
      <c r="I577" s="85"/>
      <c r="J577" s="144" t="s">
        <v>130</v>
      </c>
      <c r="K577" s="144" t="s">
        <v>3</v>
      </c>
      <c r="L577" s="66" t="s">
        <v>6</v>
      </c>
      <c r="M577" s="67" t="s">
        <v>25</v>
      </c>
      <c r="N577" s="199">
        <f>O577*1.2</f>
        <v>135388.79999999999</v>
      </c>
      <c r="O577" s="199">
        <v>112824</v>
      </c>
      <c r="P577" s="199">
        <f>O577/1.2</f>
        <v>94020</v>
      </c>
      <c r="Q577" s="144" t="s">
        <v>139</v>
      </c>
      <c r="R577" s="90"/>
      <c r="S577" s="90"/>
      <c r="T577" s="65"/>
      <c r="U577" s="144"/>
      <c r="V577" s="99">
        <v>46175</v>
      </c>
      <c r="W577" s="99">
        <v>46176</v>
      </c>
      <c r="X577" s="99"/>
      <c r="Y577" s="188"/>
      <c r="Z577" s="189"/>
      <c r="AA577" s="188"/>
      <c r="AB577" s="188"/>
      <c r="AC577" s="188"/>
      <c r="AD577" s="188"/>
      <c r="AE577" s="68" t="s">
        <v>103</v>
      </c>
      <c r="AF577" s="68"/>
      <c r="AG577" s="68"/>
      <c r="AH577" s="190"/>
      <c r="AI577" s="191"/>
      <c r="AJ577" s="190"/>
      <c r="AK577" s="192"/>
      <c r="AL577" s="190"/>
      <c r="AM577" s="196"/>
    </row>
    <row r="578" spans="1:39" ht="41.25" hidden="1" customHeight="1" x14ac:dyDescent="0.25">
      <c r="A578" s="135">
        <v>2026</v>
      </c>
      <c r="B578" s="66" t="s">
        <v>705</v>
      </c>
      <c r="C578" s="65" t="s">
        <v>1476</v>
      </c>
      <c r="D578" s="144" t="s">
        <v>106</v>
      </c>
      <c r="E578" s="144">
        <v>1</v>
      </c>
      <c r="F578" s="65" t="s">
        <v>1477</v>
      </c>
      <c r="G578" s="144" t="s">
        <v>121</v>
      </c>
      <c r="H578" s="66" t="s">
        <v>127</v>
      </c>
      <c r="I578" s="85"/>
      <c r="J578" s="47" t="s">
        <v>131</v>
      </c>
      <c r="K578" s="144" t="s">
        <v>3</v>
      </c>
      <c r="L578" s="66" t="s">
        <v>6</v>
      </c>
      <c r="M578" s="67" t="s">
        <v>973</v>
      </c>
      <c r="N578" s="199">
        <f>O578*1.2</f>
        <v>1223424</v>
      </c>
      <c r="O578" s="199">
        <v>1019520</v>
      </c>
      <c r="P578" s="199">
        <f>O578/1.2</f>
        <v>849600</v>
      </c>
      <c r="Q578" s="144" t="s">
        <v>138</v>
      </c>
      <c r="R578" s="90"/>
      <c r="S578" s="90"/>
      <c r="T578" s="65" t="s">
        <v>1478</v>
      </c>
      <c r="U578" s="144"/>
      <c r="V578" s="99">
        <v>46175</v>
      </c>
      <c r="W578" s="99">
        <v>46176</v>
      </c>
      <c r="X578" s="99"/>
      <c r="Y578" s="188"/>
      <c r="Z578" s="189"/>
      <c r="AA578" s="188"/>
      <c r="AB578" s="188">
        <v>90720</v>
      </c>
      <c r="AC578" s="188"/>
      <c r="AD578" s="188">
        <v>970159.68</v>
      </c>
      <c r="AE578" s="68" t="s">
        <v>101</v>
      </c>
      <c r="AF578" s="68"/>
      <c r="AG578" s="68"/>
      <c r="AH578" s="190"/>
      <c r="AI578" s="191"/>
      <c r="AJ578" s="190"/>
      <c r="AK578" s="192"/>
      <c r="AL578" s="190"/>
      <c r="AM578" s="196"/>
    </row>
    <row r="579" spans="1:39" ht="30" hidden="1" customHeight="1" x14ac:dyDescent="0.25">
      <c r="A579" s="135">
        <v>2026</v>
      </c>
      <c r="B579" s="66" t="s">
        <v>56</v>
      </c>
      <c r="C579" s="65" t="s">
        <v>1479</v>
      </c>
      <c r="D579" s="144" t="s">
        <v>106</v>
      </c>
      <c r="E579" s="144">
        <v>1</v>
      </c>
      <c r="F579" s="65" t="s">
        <v>1480</v>
      </c>
      <c r="G579" s="144" t="s">
        <v>121</v>
      </c>
      <c r="H579" s="66" t="s">
        <v>127</v>
      </c>
      <c r="I579" s="85"/>
      <c r="J579" s="47" t="s">
        <v>131</v>
      </c>
      <c r="K579" s="144" t="s">
        <v>3</v>
      </c>
      <c r="L579" s="66" t="s">
        <v>6</v>
      </c>
      <c r="M579" s="67" t="s">
        <v>15</v>
      </c>
      <c r="N579" s="199">
        <f>O579*1.2</f>
        <v>2704896</v>
      </c>
      <c r="O579" s="199">
        <v>2254080</v>
      </c>
      <c r="P579" s="199">
        <f>O579/1.2</f>
        <v>1878400</v>
      </c>
      <c r="Q579" s="144" t="s">
        <v>139</v>
      </c>
      <c r="R579" s="90"/>
      <c r="S579" s="90"/>
      <c r="T579" s="65" t="s">
        <v>1017</v>
      </c>
      <c r="U579" s="144"/>
      <c r="V579" s="99">
        <v>46175</v>
      </c>
      <c r="W579" s="99">
        <v>46176</v>
      </c>
      <c r="X579" s="99"/>
      <c r="Y579" s="188"/>
      <c r="Z579" s="189"/>
      <c r="AA579" s="188">
        <f>Engagements2026Juillet[[#This Row],[TOTAL MARCHE TTC TOTAL ENGAGE TTC]]</f>
        <v>2700386.4</v>
      </c>
      <c r="AB579" s="188"/>
      <c r="AC579" s="188">
        <f>Engagements2026Juillet[[#This Row],[TOTAL MARCHE TTC TOTAL ENGAGE TTC]]/1.2</f>
        <v>2250322</v>
      </c>
      <c r="AD579" s="188">
        <v>2700386.4</v>
      </c>
      <c r="AE579" s="68" t="s">
        <v>101</v>
      </c>
      <c r="AF579" s="68"/>
      <c r="AG579" s="68"/>
      <c r="AH579" s="190"/>
      <c r="AI579" s="191"/>
      <c r="AJ579" s="190"/>
      <c r="AK579" s="192"/>
      <c r="AL579" s="190"/>
      <c r="AM579" s="196"/>
    </row>
    <row r="580" spans="1:39" ht="30" hidden="1" customHeight="1" x14ac:dyDescent="0.25">
      <c r="A580" s="135">
        <v>2026</v>
      </c>
      <c r="B580" s="66" t="s">
        <v>56</v>
      </c>
      <c r="C580" s="65" t="s">
        <v>1479</v>
      </c>
      <c r="D580" s="144" t="s">
        <v>106</v>
      </c>
      <c r="E580" s="144">
        <v>2</v>
      </c>
      <c r="F580" s="65" t="s">
        <v>1481</v>
      </c>
      <c r="G580" s="144" t="s">
        <v>118</v>
      </c>
      <c r="H580" s="66" t="s">
        <v>118</v>
      </c>
      <c r="I580" s="85"/>
      <c r="J580" s="47" t="s">
        <v>131</v>
      </c>
      <c r="K580" s="144" t="s">
        <v>3</v>
      </c>
      <c r="L580" s="66" t="s">
        <v>6</v>
      </c>
      <c r="M580" s="67" t="s">
        <v>15</v>
      </c>
      <c r="N580" s="199">
        <f>O580*1.2</f>
        <v>3535056</v>
      </c>
      <c r="O580" s="199">
        <v>2945880</v>
      </c>
      <c r="P580" s="199">
        <f>O580/1.2</f>
        <v>2454900</v>
      </c>
      <c r="Q580" s="144" t="s">
        <v>139</v>
      </c>
      <c r="R580" s="90"/>
      <c r="S580" s="90"/>
      <c r="T580" s="65"/>
      <c r="U580" s="144"/>
      <c r="V580" s="99">
        <v>46175</v>
      </c>
      <c r="W580" s="99">
        <v>46176</v>
      </c>
      <c r="X580" s="99"/>
      <c r="Y580" s="188"/>
      <c r="Z580" s="189"/>
      <c r="AA580" s="188"/>
      <c r="AB580" s="188"/>
      <c r="AC580" s="188"/>
      <c r="AD580" s="188"/>
      <c r="AE580" s="68" t="s">
        <v>103</v>
      </c>
      <c r="AF580" s="68"/>
      <c r="AG580" s="68"/>
      <c r="AH580" s="190"/>
      <c r="AI580" s="191"/>
      <c r="AJ580" s="190"/>
      <c r="AK580" s="192"/>
      <c r="AL580" s="190"/>
      <c r="AM580" s="196"/>
    </row>
    <row r="581" spans="1:39" s="38" customFormat="1" ht="30" hidden="1" customHeight="1" x14ac:dyDescent="0.25">
      <c r="A581" s="136">
        <v>2026</v>
      </c>
      <c r="B581" s="66" t="s">
        <v>77</v>
      </c>
      <c r="C581" s="79" t="s">
        <v>172</v>
      </c>
      <c r="D581" s="144" t="s">
        <v>114</v>
      </c>
      <c r="E581" s="144">
        <v>1</v>
      </c>
      <c r="F581" s="65" t="s">
        <v>1482</v>
      </c>
      <c r="G581" s="144" t="s">
        <v>121</v>
      </c>
      <c r="H581" s="66" t="s">
        <v>126</v>
      </c>
      <c r="I581" s="85"/>
      <c r="J581" s="144" t="s">
        <v>132</v>
      </c>
      <c r="K581" s="144" t="s">
        <v>3</v>
      </c>
      <c r="L581" s="66" t="s">
        <v>6</v>
      </c>
      <c r="M581" s="65" t="s">
        <v>1159</v>
      </c>
      <c r="N581" s="187"/>
      <c r="O581" s="187"/>
      <c r="P581" s="187"/>
      <c r="Q581" s="144" t="s">
        <v>139</v>
      </c>
      <c r="R581" s="90"/>
      <c r="S581" s="90"/>
      <c r="T581" s="65" t="s">
        <v>1483</v>
      </c>
      <c r="U581" s="144">
        <v>2026</v>
      </c>
      <c r="V581" s="99">
        <v>46185</v>
      </c>
      <c r="W581" s="99"/>
      <c r="X581" s="99">
        <v>46191</v>
      </c>
      <c r="Y581" s="188">
        <f>AC581</f>
        <v>333333.33333333337</v>
      </c>
      <c r="Z581" s="189">
        <v>0</v>
      </c>
      <c r="AA581" s="188">
        <f>AD581</f>
        <v>400000</v>
      </c>
      <c r="AB581" s="188">
        <v>0</v>
      </c>
      <c r="AC581" s="188">
        <f>AD581/1.2</f>
        <v>333333.33333333337</v>
      </c>
      <c r="AD581" s="188">
        <v>400000</v>
      </c>
      <c r="AE581" s="68" t="s">
        <v>102</v>
      </c>
      <c r="AF581" s="217"/>
      <c r="AG581" s="218"/>
      <c r="AH581" s="191"/>
      <c r="AI581" s="191"/>
      <c r="AJ581" s="191"/>
      <c r="AK581" s="190"/>
      <c r="AL581" s="191"/>
      <c r="AM581" s="87"/>
    </row>
    <row r="582" spans="1:39" ht="30" hidden="1" customHeight="1" x14ac:dyDescent="0.25">
      <c r="A582" s="136">
        <v>2026</v>
      </c>
      <c r="B582" s="66" t="s">
        <v>56</v>
      </c>
      <c r="C582" s="65" t="s">
        <v>1484</v>
      </c>
      <c r="D582" s="144" t="s">
        <v>106</v>
      </c>
      <c r="E582" s="144">
        <v>1</v>
      </c>
      <c r="F582" s="65" t="s">
        <v>1485</v>
      </c>
      <c r="G582" s="144" t="s">
        <v>120</v>
      </c>
      <c r="H582" s="66" t="s">
        <v>127</v>
      </c>
      <c r="I582" s="85"/>
      <c r="J582" s="144" t="s">
        <v>131</v>
      </c>
      <c r="K582" s="144" t="s">
        <v>3</v>
      </c>
      <c r="L582" s="66" t="s">
        <v>6</v>
      </c>
      <c r="M582" s="67" t="s">
        <v>15</v>
      </c>
      <c r="N582" s="199">
        <f t="shared" ref="N582:N589" si="46">O582*1.2</f>
        <v>2209226.4</v>
      </c>
      <c r="O582" s="199">
        <v>1841022</v>
      </c>
      <c r="P582" s="199">
        <f>O582/1.2</f>
        <v>1534185</v>
      </c>
      <c r="Q582" s="144" t="s">
        <v>139</v>
      </c>
      <c r="R582" s="90"/>
      <c r="S582" s="90"/>
      <c r="T582" s="65" t="s">
        <v>1833</v>
      </c>
      <c r="U582" s="144"/>
      <c r="V582" s="99">
        <v>46185</v>
      </c>
      <c r="W582" s="99"/>
      <c r="X582" s="99"/>
      <c r="Y582" s="188"/>
      <c r="Z582" s="189"/>
      <c r="AA582" s="188"/>
      <c r="AB582" s="188"/>
      <c r="AC582" s="188"/>
      <c r="AD582" s="188">
        <v>2190688.7999999998</v>
      </c>
      <c r="AE582" s="68" t="s">
        <v>100</v>
      </c>
      <c r="AF582" s="68"/>
      <c r="AG582" s="68"/>
      <c r="AH582" s="190"/>
      <c r="AI582" s="191"/>
      <c r="AJ582" s="190"/>
      <c r="AK582" s="192"/>
      <c r="AL582" s="190"/>
      <c r="AM582" s="196"/>
    </row>
    <row r="583" spans="1:39" ht="30" hidden="1" customHeight="1" x14ac:dyDescent="0.25">
      <c r="A583" s="136">
        <v>2026</v>
      </c>
      <c r="B583" s="66" t="s">
        <v>56</v>
      </c>
      <c r="C583" s="65" t="s">
        <v>1484</v>
      </c>
      <c r="D583" s="144" t="s">
        <v>106</v>
      </c>
      <c r="E583" s="144">
        <v>2</v>
      </c>
      <c r="F583" s="65" t="s">
        <v>1486</v>
      </c>
      <c r="G583" s="144" t="s">
        <v>120</v>
      </c>
      <c r="H583" s="66" t="s">
        <v>127</v>
      </c>
      <c r="I583" s="85"/>
      <c r="J583" s="144" t="s">
        <v>131</v>
      </c>
      <c r="K583" s="144" t="s">
        <v>3</v>
      </c>
      <c r="L583" s="66" t="s">
        <v>6</v>
      </c>
      <c r="M583" s="67" t="s">
        <v>15</v>
      </c>
      <c r="N583" s="199">
        <f t="shared" si="46"/>
        <v>2226960</v>
      </c>
      <c r="O583" s="199">
        <v>1855800</v>
      </c>
      <c r="P583" s="199">
        <f>O583/1.2</f>
        <v>1546500</v>
      </c>
      <c r="Q583" s="144" t="s">
        <v>139</v>
      </c>
      <c r="R583" s="90"/>
      <c r="S583" s="90"/>
      <c r="T583" s="65" t="s">
        <v>1833</v>
      </c>
      <c r="U583" s="144"/>
      <c r="V583" s="99">
        <v>46185</v>
      </c>
      <c r="W583" s="99"/>
      <c r="X583" s="99"/>
      <c r="Y583" s="188"/>
      <c r="Z583" s="189"/>
      <c r="AA583" s="188"/>
      <c r="AB583" s="188"/>
      <c r="AC583" s="188"/>
      <c r="AD583" s="188">
        <v>2217600</v>
      </c>
      <c r="AE583" s="68" t="s">
        <v>100</v>
      </c>
      <c r="AF583" s="68"/>
      <c r="AG583" s="68"/>
      <c r="AH583" s="190"/>
      <c r="AI583" s="191"/>
      <c r="AJ583" s="190"/>
      <c r="AK583" s="192"/>
      <c r="AL583" s="190"/>
      <c r="AM583" s="196"/>
    </row>
    <row r="584" spans="1:39" ht="30" hidden="1" customHeight="1" x14ac:dyDescent="0.25">
      <c r="A584" s="136">
        <v>2026</v>
      </c>
      <c r="B584" s="66" t="s">
        <v>56</v>
      </c>
      <c r="C584" s="65" t="s">
        <v>1484</v>
      </c>
      <c r="D584" s="144" t="s">
        <v>106</v>
      </c>
      <c r="E584" s="144">
        <v>3</v>
      </c>
      <c r="F584" s="65" t="s">
        <v>1487</v>
      </c>
      <c r="G584" s="144" t="s">
        <v>120</v>
      </c>
      <c r="H584" s="66" t="s">
        <v>127</v>
      </c>
      <c r="I584" s="85"/>
      <c r="J584" s="144" t="s">
        <v>131</v>
      </c>
      <c r="K584" s="144" t="s">
        <v>3</v>
      </c>
      <c r="L584" s="66" t="s">
        <v>6</v>
      </c>
      <c r="M584" s="67" t="s">
        <v>15</v>
      </c>
      <c r="N584" s="199">
        <f t="shared" si="46"/>
        <v>1803772.8</v>
      </c>
      <c r="O584" s="199">
        <v>1503144</v>
      </c>
      <c r="P584" s="199">
        <f>O584/1.2</f>
        <v>1252620</v>
      </c>
      <c r="Q584" s="144" t="s">
        <v>139</v>
      </c>
      <c r="R584" s="90"/>
      <c r="S584" s="90"/>
      <c r="T584" s="65" t="s">
        <v>1833</v>
      </c>
      <c r="U584" s="144"/>
      <c r="V584" s="99">
        <v>46185</v>
      </c>
      <c r="W584" s="99"/>
      <c r="X584" s="99"/>
      <c r="Y584" s="188"/>
      <c r="Z584" s="189"/>
      <c r="AA584" s="188"/>
      <c r="AB584" s="188"/>
      <c r="AC584" s="188"/>
      <c r="AD584" s="188">
        <v>1792788</v>
      </c>
      <c r="AE584" s="68" t="s">
        <v>100</v>
      </c>
      <c r="AF584" s="68"/>
      <c r="AG584" s="68"/>
      <c r="AH584" s="190"/>
      <c r="AI584" s="191"/>
      <c r="AJ584" s="190"/>
      <c r="AK584" s="192"/>
      <c r="AL584" s="190"/>
      <c r="AM584" s="196"/>
    </row>
    <row r="585" spans="1:39" ht="30" hidden="1" customHeight="1" x14ac:dyDescent="0.25">
      <c r="A585" s="46">
        <v>2026</v>
      </c>
      <c r="B585" s="66" t="s">
        <v>705</v>
      </c>
      <c r="C585" s="65" t="s">
        <v>1488</v>
      </c>
      <c r="D585" s="144" t="s">
        <v>106</v>
      </c>
      <c r="E585" s="144">
        <v>1</v>
      </c>
      <c r="F585" s="65" t="s">
        <v>1489</v>
      </c>
      <c r="G585" s="144" t="s">
        <v>121</v>
      </c>
      <c r="H585" s="66" t="s">
        <v>126</v>
      </c>
      <c r="I585" s="85"/>
      <c r="J585" s="144" t="s">
        <v>131</v>
      </c>
      <c r="K585" s="144" t="s">
        <v>3</v>
      </c>
      <c r="L585" s="66" t="s">
        <v>7</v>
      </c>
      <c r="M585" s="67" t="s">
        <v>39</v>
      </c>
      <c r="N585" s="199">
        <f t="shared" si="46"/>
        <v>3487996.8</v>
      </c>
      <c r="O585" s="199">
        <v>2906664</v>
      </c>
      <c r="P585" s="199">
        <f>O585/1.2</f>
        <v>2422220</v>
      </c>
      <c r="Q585" s="144"/>
      <c r="R585" s="90"/>
      <c r="S585" s="90"/>
      <c r="T585" s="65" t="s">
        <v>1490</v>
      </c>
      <c r="U585" s="144"/>
      <c r="V585" s="99">
        <v>46185</v>
      </c>
      <c r="W585" s="99">
        <v>46075</v>
      </c>
      <c r="X585" s="99">
        <v>46268</v>
      </c>
      <c r="Y585" s="188"/>
      <c r="Z585" s="189"/>
      <c r="AA585" s="188"/>
      <c r="AB585" s="188"/>
      <c r="AC585" s="188"/>
      <c r="AD585" s="188">
        <v>3486881.04</v>
      </c>
      <c r="AE585" s="68" t="s">
        <v>102</v>
      </c>
      <c r="AF585" s="68"/>
      <c r="AG585" s="60"/>
      <c r="AH585" s="190"/>
      <c r="AI585" s="191"/>
      <c r="AJ585" s="190"/>
      <c r="AK585" s="192"/>
      <c r="AL585" s="190"/>
      <c r="AM585" s="219"/>
    </row>
    <row r="586" spans="1:39" ht="30" hidden="1" customHeight="1" x14ac:dyDescent="0.25">
      <c r="A586" s="46">
        <v>2026</v>
      </c>
      <c r="B586" s="66" t="s">
        <v>705</v>
      </c>
      <c r="C586" s="65" t="s">
        <v>1491</v>
      </c>
      <c r="D586" s="144" t="s">
        <v>106</v>
      </c>
      <c r="E586" s="144">
        <v>1</v>
      </c>
      <c r="F586" s="65" t="s">
        <v>1435</v>
      </c>
      <c r="G586" s="144" t="s">
        <v>121</v>
      </c>
      <c r="H586" s="66" t="s">
        <v>118</v>
      </c>
      <c r="I586" s="85"/>
      <c r="J586" s="144" t="s">
        <v>131</v>
      </c>
      <c r="K586" s="144" t="s">
        <v>3</v>
      </c>
      <c r="L586" s="66" t="s">
        <v>7</v>
      </c>
      <c r="M586" s="67" t="s">
        <v>39</v>
      </c>
      <c r="N586" s="199">
        <f t="shared" si="46"/>
        <v>506707.19999999995</v>
      </c>
      <c r="O586" s="199">
        <v>422256</v>
      </c>
      <c r="P586" s="199">
        <f>O586/1.2</f>
        <v>351880</v>
      </c>
      <c r="Q586" s="144"/>
      <c r="R586" s="90"/>
      <c r="S586" s="90"/>
      <c r="T586" s="65"/>
      <c r="U586" s="144"/>
      <c r="V586" s="99">
        <v>46185</v>
      </c>
      <c r="W586" s="99">
        <v>46195</v>
      </c>
      <c r="X586" s="99"/>
      <c r="Y586" s="188"/>
      <c r="Z586" s="189"/>
      <c r="AA586" s="188"/>
      <c r="AB586" s="188"/>
      <c r="AC586" s="188"/>
      <c r="AD586" s="188"/>
      <c r="AE586" s="68" t="s">
        <v>103</v>
      </c>
      <c r="AF586" s="68"/>
      <c r="AG586" s="60"/>
      <c r="AH586" s="190"/>
      <c r="AI586" s="191"/>
      <c r="AJ586" s="190"/>
      <c r="AK586" s="192"/>
      <c r="AL586" s="190"/>
      <c r="AM586" s="219"/>
    </row>
    <row r="587" spans="1:39" ht="38.25" hidden="1" customHeight="1" x14ac:dyDescent="0.25">
      <c r="A587" s="61">
        <v>2026</v>
      </c>
      <c r="B587" s="63" t="s">
        <v>705</v>
      </c>
      <c r="C587" s="62" t="s">
        <v>1492</v>
      </c>
      <c r="D587" s="143" t="s">
        <v>106</v>
      </c>
      <c r="E587" s="143">
        <v>1</v>
      </c>
      <c r="F587" s="62" t="s">
        <v>1007</v>
      </c>
      <c r="G587" s="143" t="s">
        <v>121</v>
      </c>
      <c r="H587" s="63" t="s">
        <v>126</v>
      </c>
      <c r="I587" s="62"/>
      <c r="J587" s="143" t="s">
        <v>131</v>
      </c>
      <c r="K587" s="143" t="s">
        <v>3</v>
      </c>
      <c r="L587" s="63" t="s">
        <v>7</v>
      </c>
      <c r="M587" s="67" t="s">
        <v>1008</v>
      </c>
      <c r="N587" s="220">
        <f t="shared" si="46"/>
        <v>3600000</v>
      </c>
      <c r="O587" s="220">
        <v>3000000</v>
      </c>
      <c r="P587" s="220">
        <f>+O587/1.2</f>
        <v>2500000</v>
      </c>
      <c r="Q587" s="143" t="s">
        <v>138</v>
      </c>
      <c r="R587" s="92"/>
      <c r="S587" s="92"/>
      <c r="T587" s="62" t="s">
        <v>1493</v>
      </c>
      <c r="U587" s="143"/>
      <c r="V587" s="98">
        <v>46185</v>
      </c>
      <c r="W587" s="98"/>
      <c r="X587" s="98">
        <v>46276</v>
      </c>
      <c r="Y587" s="214"/>
      <c r="Z587" s="221"/>
      <c r="AA587" s="214"/>
      <c r="AB587" s="214"/>
      <c r="AC587" s="214"/>
      <c r="AD587" s="214">
        <v>2880000</v>
      </c>
      <c r="AE587" s="57" t="s">
        <v>102</v>
      </c>
      <c r="AF587" s="222" t="s">
        <v>1417</v>
      </c>
      <c r="AG587" s="218"/>
      <c r="AH587" s="191"/>
      <c r="AI587" s="191"/>
      <c r="AJ587" s="191"/>
      <c r="AK587" s="190"/>
      <c r="AL587" s="191"/>
      <c r="AM587" s="219"/>
    </row>
    <row r="588" spans="1:39" ht="30" hidden="1" customHeight="1" x14ac:dyDescent="0.25">
      <c r="A588" s="136">
        <v>2026</v>
      </c>
      <c r="B588" s="66" t="s">
        <v>61</v>
      </c>
      <c r="C588" s="65" t="s">
        <v>1494</v>
      </c>
      <c r="D588" s="144" t="s">
        <v>106</v>
      </c>
      <c r="E588" s="144">
        <v>1</v>
      </c>
      <c r="F588" s="65" t="s">
        <v>1495</v>
      </c>
      <c r="G588" s="144" t="s">
        <v>120</v>
      </c>
      <c r="H588" s="66" t="s">
        <v>120</v>
      </c>
      <c r="I588" s="65"/>
      <c r="J588" s="144"/>
      <c r="K588" s="144" t="s">
        <v>3</v>
      </c>
      <c r="L588" s="66" t="s">
        <v>6</v>
      </c>
      <c r="M588" s="67" t="s">
        <v>23</v>
      </c>
      <c r="N588" s="199">
        <f t="shared" si="46"/>
        <v>61200</v>
      </c>
      <c r="O588" s="199">
        <v>51000</v>
      </c>
      <c r="P588" s="199">
        <f>+O588/1.2</f>
        <v>42500</v>
      </c>
      <c r="Q588" s="144" t="s">
        <v>139</v>
      </c>
      <c r="R588" s="90"/>
      <c r="S588" s="90"/>
      <c r="T588" s="65"/>
      <c r="U588" s="144"/>
      <c r="V588" s="99">
        <v>46191</v>
      </c>
      <c r="W588" s="99"/>
      <c r="X588" s="99"/>
      <c r="Y588" s="188"/>
      <c r="Z588" s="189"/>
      <c r="AA588" s="188"/>
      <c r="AB588" s="188"/>
      <c r="AC588" s="188"/>
      <c r="AD588" s="188"/>
      <c r="AE588" s="68" t="s">
        <v>99</v>
      </c>
      <c r="AF588" s="217"/>
      <c r="AG588" s="223"/>
      <c r="AH588" s="224"/>
      <c r="AI588" s="224"/>
      <c r="AJ588" s="224"/>
      <c r="AK588" s="225"/>
      <c r="AL588" s="224"/>
      <c r="AM588" s="219"/>
    </row>
    <row r="589" spans="1:39" ht="30" hidden="1" customHeight="1" x14ac:dyDescent="0.25">
      <c r="A589" s="136">
        <v>2026</v>
      </c>
      <c r="B589" s="66" t="s">
        <v>61</v>
      </c>
      <c r="C589" s="65" t="s">
        <v>1496</v>
      </c>
      <c r="D589" s="144" t="s">
        <v>106</v>
      </c>
      <c r="E589" s="144">
        <v>1</v>
      </c>
      <c r="F589" s="65" t="s">
        <v>1497</v>
      </c>
      <c r="G589" s="144" t="s">
        <v>120</v>
      </c>
      <c r="H589" s="66" t="s">
        <v>120</v>
      </c>
      <c r="I589" s="65"/>
      <c r="J589" s="144"/>
      <c r="K589" s="144" t="s">
        <v>3</v>
      </c>
      <c r="L589" s="66" t="s">
        <v>6</v>
      </c>
      <c r="M589" s="67" t="s">
        <v>23</v>
      </c>
      <c r="N589" s="199">
        <f t="shared" si="46"/>
        <v>904728</v>
      </c>
      <c r="O589" s="199">
        <v>753940</v>
      </c>
      <c r="P589" s="199">
        <f>+O589/1.2</f>
        <v>628283.33333333337</v>
      </c>
      <c r="Q589" s="144" t="s">
        <v>139</v>
      </c>
      <c r="R589" s="90"/>
      <c r="S589" s="90"/>
      <c r="T589" s="65"/>
      <c r="U589" s="144"/>
      <c r="V589" s="99">
        <v>46191</v>
      </c>
      <c r="W589" s="99"/>
      <c r="X589" s="99"/>
      <c r="Y589" s="188"/>
      <c r="Z589" s="189"/>
      <c r="AA589" s="188"/>
      <c r="AB589" s="188"/>
      <c r="AC589" s="188"/>
      <c r="AD589" s="188"/>
      <c r="AE589" s="68" t="s">
        <v>99</v>
      </c>
      <c r="AF589" s="217"/>
      <c r="AG589" s="223"/>
      <c r="AH589" s="224"/>
      <c r="AI589" s="224"/>
      <c r="AJ589" s="224"/>
      <c r="AK589" s="225"/>
      <c r="AL589" s="224"/>
      <c r="AM589" s="219"/>
    </row>
    <row r="590" spans="1:39" ht="38.25" hidden="1" customHeight="1" x14ac:dyDescent="0.25">
      <c r="A590" s="136">
        <v>2026</v>
      </c>
      <c r="B590" s="66" t="s">
        <v>705</v>
      </c>
      <c r="C590" s="79" t="s">
        <v>1498</v>
      </c>
      <c r="D590" s="144" t="s">
        <v>106</v>
      </c>
      <c r="E590" s="144">
        <v>1</v>
      </c>
      <c r="F590" s="65" t="s">
        <v>1180</v>
      </c>
      <c r="G590" s="144" t="s">
        <v>121</v>
      </c>
      <c r="H590" s="66" t="s">
        <v>127</v>
      </c>
      <c r="I590" s="79"/>
      <c r="J590" s="144" t="s">
        <v>131</v>
      </c>
      <c r="K590" s="144" t="s">
        <v>1</v>
      </c>
      <c r="L590" s="66" t="s">
        <v>7</v>
      </c>
      <c r="M590" s="67" t="s">
        <v>35</v>
      </c>
      <c r="N590" s="199">
        <v>349387.2</v>
      </c>
      <c r="O590" s="199">
        <v>291156</v>
      </c>
      <c r="P590" s="199">
        <v>242630</v>
      </c>
      <c r="Q590" s="144" t="s">
        <v>138</v>
      </c>
      <c r="R590" s="90"/>
      <c r="S590" s="90"/>
      <c r="T590" s="65" t="s">
        <v>1832</v>
      </c>
      <c r="U590" s="144"/>
      <c r="V590" s="99">
        <v>46191</v>
      </c>
      <c r="W590" s="99"/>
      <c r="X590" s="99"/>
      <c r="Y590" s="188"/>
      <c r="Z590" s="189">
        <v>0</v>
      </c>
      <c r="AA590" s="188"/>
      <c r="AB590" s="188">
        <v>32462.080000000002</v>
      </c>
      <c r="AC590" s="188"/>
      <c r="AD590" s="188">
        <v>346250.28</v>
      </c>
      <c r="AE590" s="68" t="s">
        <v>100</v>
      </c>
      <c r="AF590" s="217" t="s">
        <v>1023</v>
      </c>
      <c r="AG590" s="218"/>
      <c r="AH590" s="191"/>
      <c r="AI590" s="191"/>
      <c r="AJ590" s="191"/>
      <c r="AK590" s="190"/>
      <c r="AL590" s="191"/>
      <c r="AM590" s="219" t="s">
        <v>1499</v>
      </c>
    </row>
    <row r="591" spans="1:39" ht="30" hidden="1" customHeight="1" x14ac:dyDescent="0.25">
      <c r="A591" s="136">
        <v>2026</v>
      </c>
      <c r="B591" s="66" t="s">
        <v>55</v>
      </c>
      <c r="C591" s="79" t="s">
        <v>1500</v>
      </c>
      <c r="D591" s="144" t="s">
        <v>109</v>
      </c>
      <c r="E591" s="144">
        <v>1</v>
      </c>
      <c r="F591" s="65" t="s">
        <v>1501</v>
      </c>
      <c r="G591" s="144" t="s">
        <v>121</v>
      </c>
      <c r="H591" s="66" t="s">
        <v>126</v>
      </c>
      <c r="I591" s="79" t="s">
        <v>1500</v>
      </c>
      <c r="J591" s="144" t="s">
        <v>132</v>
      </c>
      <c r="K591" s="144" t="s">
        <v>3</v>
      </c>
      <c r="L591" s="66" t="s">
        <v>7</v>
      </c>
      <c r="M591" s="67" t="s">
        <v>955</v>
      </c>
      <c r="N591" s="187"/>
      <c r="O591" s="187"/>
      <c r="P591" s="187"/>
      <c r="Q591" s="144" t="s">
        <v>138</v>
      </c>
      <c r="R591" s="90"/>
      <c r="S591" s="90"/>
      <c r="T591" s="65" t="s">
        <v>1502</v>
      </c>
      <c r="U591" s="144">
        <v>2026</v>
      </c>
      <c r="V591" s="99">
        <v>46184</v>
      </c>
      <c r="W591" s="90"/>
      <c r="X591" s="99">
        <v>46233</v>
      </c>
      <c r="Y591" s="188">
        <f>+AC591</f>
        <v>74980</v>
      </c>
      <c r="Z591" s="189">
        <v>0</v>
      </c>
      <c r="AA591" s="188">
        <f>+AD591</f>
        <v>89976</v>
      </c>
      <c r="AB591" s="188">
        <v>0</v>
      </c>
      <c r="AC591" s="188">
        <f>+AD591/1.2</f>
        <v>74980</v>
      </c>
      <c r="AD591" s="188">
        <v>89976</v>
      </c>
      <c r="AE591" s="68" t="s">
        <v>102</v>
      </c>
      <c r="AF591" s="217"/>
      <c r="AG591" s="218"/>
      <c r="AH591" s="191"/>
      <c r="AI591" s="191"/>
      <c r="AJ591" s="191"/>
      <c r="AK591" s="190"/>
      <c r="AL591" s="191"/>
      <c r="AM591" s="219"/>
    </row>
    <row r="592" spans="1:39" ht="51" hidden="1" customHeight="1" x14ac:dyDescent="0.25">
      <c r="A592" s="136">
        <v>2026</v>
      </c>
      <c r="B592" s="66" t="s">
        <v>55</v>
      </c>
      <c r="C592" s="79" t="s">
        <v>1503</v>
      </c>
      <c r="D592" s="144" t="s">
        <v>106</v>
      </c>
      <c r="E592" s="144">
        <v>1</v>
      </c>
      <c r="F592" s="65" t="s">
        <v>1504</v>
      </c>
      <c r="G592" s="144" t="s">
        <v>121</v>
      </c>
      <c r="H592" s="66" t="s">
        <v>128</v>
      </c>
      <c r="I592" s="79"/>
      <c r="J592" s="144" t="s">
        <v>130</v>
      </c>
      <c r="K592" s="144" t="s">
        <v>1</v>
      </c>
      <c r="L592" s="66" t="s">
        <v>7</v>
      </c>
      <c r="M592" s="67" t="s">
        <v>955</v>
      </c>
      <c r="N592" s="199">
        <f>O592*1.2</f>
        <v>1512000</v>
      </c>
      <c r="O592" s="199">
        <v>1260000</v>
      </c>
      <c r="P592" s="199">
        <f>O592/1.2</f>
        <v>1050000</v>
      </c>
      <c r="Q592" s="144" t="s">
        <v>138</v>
      </c>
      <c r="R592" s="90"/>
      <c r="S592" s="90"/>
      <c r="T592" s="65"/>
      <c r="U592" s="144"/>
      <c r="V592" s="99">
        <v>46191</v>
      </c>
      <c r="W592" s="99"/>
      <c r="X592" s="99"/>
      <c r="Y592" s="188"/>
      <c r="Z592" s="189"/>
      <c r="AA592" s="188"/>
      <c r="AB592" s="188"/>
      <c r="AC592" s="188"/>
      <c r="AD592" s="188"/>
      <c r="AE592" s="68" t="s">
        <v>100</v>
      </c>
      <c r="AF592" s="217"/>
      <c r="AG592" s="218"/>
      <c r="AH592" s="191"/>
      <c r="AI592" s="191"/>
      <c r="AJ592" s="191"/>
      <c r="AK592" s="190"/>
      <c r="AL592" s="191"/>
      <c r="AM592" s="219"/>
    </row>
    <row r="593" spans="1:39" ht="30" hidden="1" customHeight="1" x14ac:dyDescent="0.25">
      <c r="A593" s="61">
        <v>2026</v>
      </c>
      <c r="B593" s="63" t="s">
        <v>705</v>
      </c>
      <c r="C593" s="78" t="s">
        <v>1505</v>
      </c>
      <c r="D593" s="143" t="s">
        <v>106</v>
      </c>
      <c r="E593" s="143">
        <v>1</v>
      </c>
      <c r="F593" s="62" t="s">
        <v>1165</v>
      </c>
      <c r="G593" s="143" t="s">
        <v>121</v>
      </c>
      <c r="H593" s="63" t="s">
        <v>118</v>
      </c>
      <c r="I593" s="78"/>
      <c r="J593" s="143" t="s">
        <v>130</v>
      </c>
      <c r="K593" s="143" t="s">
        <v>3</v>
      </c>
      <c r="L593" s="63" t="s">
        <v>7</v>
      </c>
      <c r="M593" s="64" t="s">
        <v>1008</v>
      </c>
      <c r="N593" s="220">
        <f>O593*1.2</f>
        <v>2503800</v>
      </c>
      <c r="O593" s="220">
        <v>2086500</v>
      </c>
      <c r="P593" s="220">
        <f>O593/1.2</f>
        <v>1738750</v>
      </c>
      <c r="Q593" s="143" t="s">
        <v>138</v>
      </c>
      <c r="R593" s="92"/>
      <c r="S593" s="92"/>
      <c r="T593" s="62"/>
      <c r="U593" s="143"/>
      <c r="V593" s="98">
        <v>46191</v>
      </c>
      <c r="W593" s="98"/>
      <c r="X593" s="98"/>
      <c r="Y593" s="214"/>
      <c r="Z593" s="221">
        <v>0</v>
      </c>
      <c r="AA593" s="214"/>
      <c r="AB593" s="214">
        <v>0</v>
      </c>
      <c r="AC593" s="214"/>
      <c r="AD593" s="214"/>
      <c r="AE593" s="57" t="s">
        <v>103</v>
      </c>
      <c r="AF593" s="222" t="s">
        <v>1023</v>
      </c>
      <c r="AG593" s="218"/>
      <c r="AH593" s="191"/>
      <c r="AI593" s="191"/>
      <c r="AJ593" s="191"/>
      <c r="AK593" s="190"/>
      <c r="AL593" s="191"/>
      <c r="AM593" s="219" t="s">
        <v>1499</v>
      </c>
    </row>
    <row r="594" spans="1:39" s="39" customFormat="1" ht="30" hidden="1" customHeight="1" x14ac:dyDescent="0.25">
      <c r="A594" s="136">
        <v>2026</v>
      </c>
      <c r="B594" s="66" t="s">
        <v>56</v>
      </c>
      <c r="C594" s="79" t="s">
        <v>1506</v>
      </c>
      <c r="D594" s="144" t="s">
        <v>109</v>
      </c>
      <c r="E594" s="144">
        <v>1</v>
      </c>
      <c r="F594" s="65" t="s">
        <v>1507</v>
      </c>
      <c r="G594" s="144" t="s">
        <v>121</v>
      </c>
      <c r="H594" s="66" t="s">
        <v>126</v>
      </c>
      <c r="I594" s="79" t="s">
        <v>1508</v>
      </c>
      <c r="J594" s="144" t="s">
        <v>132</v>
      </c>
      <c r="K594" s="144" t="s">
        <v>3</v>
      </c>
      <c r="L594" s="66" t="s">
        <v>6</v>
      </c>
      <c r="M594" s="67" t="s">
        <v>973</v>
      </c>
      <c r="N594" s="187"/>
      <c r="O594" s="187"/>
      <c r="P594" s="187"/>
      <c r="Q594" s="144" t="s">
        <v>138</v>
      </c>
      <c r="R594" s="90"/>
      <c r="S594" s="90"/>
      <c r="T594" s="65" t="s">
        <v>1509</v>
      </c>
      <c r="U594" s="144">
        <v>2026</v>
      </c>
      <c r="V594" s="99">
        <v>46196</v>
      </c>
      <c r="W594" s="99">
        <v>46203</v>
      </c>
      <c r="X594" s="99"/>
      <c r="Y594" s="188">
        <v>48000</v>
      </c>
      <c r="Z594" s="189">
        <v>0</v>
      </c>
      <c r="AA594" s="188">
        <v>57600</v>
      </c>
      <c r="AB594" s="188">
        <v>0</v>
      </c>
      <c r="AC594" s="188">
        <v>48000</v>
      </c>
      <c r="AD594" s="188">
        <v>57600</v>
      </c>
      <c r="AE594" s="68" t="s">
        <v>102</v>
      </c>
      <c r="AF594" s="217"/>
      <c r="AG594" s="223"/>
      <c r="AH594" s="224"/>
      <c r="AI594" s="224"/>
      <c r="AJ594" s="224"/>
      <c r="AK594" s="225"/>
      <c r="AL594" s="224"/>
      <c r="AM594" s="196"/>
    </row>
    <row r="595" spans="1:39" s="39" customFormat="1" ht="30" hidden="1" customHeight="1" x14ac:dyDescent="0.25">
      <c r="A595" s="136">
        <v>2026</v>
      </c>
      <c r="B595" s="66" t="s">
        <v>56</v>
      </c>
      <c r="C595" s="79" t="s">
        <v>1510</v>
      </c>
      <c r="D595" s="144" t="s">
        <v>109</v>
      </c>
      <c r="E595" s="144">
        <v>1</v>
      </c>
      <c r="F595" s="65" t="s">
        <v>1511</v>
      </c>
      <c r="G595" s="144" t="s">
        <v>121</v>
      </c>
      <c r="H595" s="66" t="s">
        <v>126</v>
      </c>
      <c r="I595" s="79" t="s">
        <v>1512</v>
      </c>
      <c r="J595" s="144" t="s">
        <v>132</v>
      </c>
      <c r="K595" s="144" t="s">
        <v>3</v>
      </c>
      <c r="L595" s="66" t="s">
        <v>6</v>
      </c>
      <c r="M595" s="67" t="s">
        <v>973</v>
      </c>
      <c r="N595" s="187"/>
      <c r="O595" s="187"/>
      <c r="P595" s="187"/>
      <c r="Q595" s="144" t="s">
        <v>138</v>
      </c>
      <c r="R595" s="90"/>
      <c r="S595" s="90"/>
      <c r="T595" s="65" t="s">
        <v>1509</v>
      </c>
      <c r="U595" s="144">
        <v>2026</v>
      </c>
      <c r="V595" s="99">
        <v>46196</v>
      </c>
      <c r="W595" s="99">
        <v>46202</v>
      </c>
      <c r="X595" s="99"/>
      <c r="Y595" s="188">
        <v>29980</v>
      </c>
      <c r="Z595" s="189">
        <v>0</v>
      </c>
      <c r="AA595" s="188">
        <f>Y595*1.2</f>
        <v>35976</v>
      </c>
      <c r="AB595" s="188">
        <v>0</v>
      </c>
      <c r="AC595" s="188">
        <f>Y595</f>
        <v>29980</v>
      </c>
      <c r="AD595" s="188">
        <f>AA595</f>
        <v>35976</v>
      </c>
      <c r="AE595" s="68" t="s">
        <v>102</v>
      </c>
      <c r="AF595" s="217"/>
      <c r="AG595" s="223"/>
      <c r="AH595" s="224"/>
      <c r="AI595" s="224"/>
      <c r="AJ595" s="224"/>
      <c r="AK595" s="225"/>
      <c r="AL595" s="224"/>
      <c r="AM595" s="196"/>
    </row>
    <row r="596" spans="1:39" s="39" customFormat="1" ht="30" hidden="1" customHeight="1" x14ac:dyDescent="0.25">
      <c r="A596" s="136">
        <v>2026</v>
      </c>
      <c r="B596" s="66" t="s">
        <v>705</v>
      </c>
      <c r="C596" s="79" t="s">
        <v>1513</v>
      </c>
      <c r="D596" s="144" t="s">
        <v>109</v>
      </c>
      <c r="E596" s="144">
        <v>1</v>
      </c>
      <c r="F596" s="65" t="s">
        <v>1514</v>
      </c>
      <c r="G596" s="144" t="s">
        <v>121</v>
      </c>
      <c r="H596" s="66" t="s">
        <v>126</v>
      </c>
      <c r="I596" s="79" t="s">
        <v>1515</v>
      </c>
      <c r="J596" s="144" t="s">
        <v>132</v>
      </c>
      <c r="K596" s="144" t="s">
        <v>3</v>
      </c>
      <c r="L596" s="66" t="s">
        <v>7</v>
      </c>
      <c r="M596" s="65" t="s">
        <v>1008</v>
      </c>
      <c r="N596" s="187"/>
      <c r="O596" s="187"/>
      <c r="P596" s="187"/>
      <c r="Q596" s="144" t="s">
        <v>138</v>
      </c>
      <c r="R596" s="90"/>
      <c r="S596" s="90"/>
      <c r="T596" s="65" t="s">
        <v>1185</v>
      </c>
      <c r="U596" s="144"/>
      <c r="V596" s="99">
        <v>46197</v>
      </c>
      <c r="W596" s="99"/>
      <c r="X596" s="99"/>
      <c r="Y596" s="188">
        <v>343397.56</v>
      </c>
      <c r="Z596" s="189">
        <v>0</v>
      </c>
      <c r="AA596" s="188">
        <v>412077.77</v>
      </c>
      <c r="AB596" s="188">
        <v>0</v>
      </c>
      <c r="AC596" s="188">
        <v>343397.56</v>
      </c>
      <c r="AD596" s="188">
        <v>412077.77</v>
      </c>
      <c r="AE596" s="68" t="s">
        <v>102</v>
      </c>
      <c r="AF596" s="217"/>
      <c r="AG596" s="223"/>
      <c r="AH596" s="224"/>
      <c r="AI596" s="224"/>
      <c r="AJ596" s="224"/>
      <c r="AK596" s="225"/>
      <c r="AL596" s="224"/>
      <c r="AM596" s="196"/>
    </row>
    <row r="597" spans="1:39" s="39" customFormat="1" ht="30" hidden="1" customHeight="1" x14ac:dyDescent="0.25">
      <c r="A597" s="136">
        <v>2026</v>
      </c>
      <c r="B597" s="66" t="s">
        <v>55</v>
      </c>
      <c r="C597" s="79" t="s">
        <v>1516</v>
      </c>
      <c r="D597" s="144" t="s">
        <v>109</v>
      </c>
      <c r="E597" s="144">
        <v>1</v>
      </c>
      <c r="F597" s="65" t="s">
        <v>1517</v>
      </c>
      <c r="G597" s="144" t="s">
        <v>121</v>
      </c>
      <c r="H597" s="66" t="s">
        <v>126</v>
      </c>
      <c r="I597" s="79" t="s">
        <v>1516</v>
      </c>
      <c r="J597" s="144" t="s">
        <v>132</v>
      </c>
      <c r="K597" s="144" t="s">
        <v>3</v>
      </c>
      <c r="L597" s="66" t="s">
        <v>6</v>
      </c>
      <c r="M597" s="65" t="s">
        <v>23</v>
      </c>
      <c r="N597" s="187"/>
      <c r="O597" s="187"/>
      <c r="P597" s="187"/>
      <c r="Q597" s="144" t="s">
        <v>138</v>
      </c>
      <c r="R597" s="90"/>
      <c r="S597" s="90"/>
      <c r="T597" s="65" t="s">
        <v>1207</v>
      </c>
      <c r="U597" s="144"/>
      <c r="V597" s="99">
        <v>46197</v>
      </c>
      <c r="W597" s="99"/>
      <c r="X597" s="99">
        <v>46175</v>
      </c>
      <c r="Y597" s="188">
        <v>11666.67</v>
      </c>
      <c r="Z597" s="189">
        <v>0</v>
      </c>
      <c r="AA597" s="188">
        <v>14000</v>
      </c>
      <c r="AB597" s="188">
        <v>0</v>
      </c>
      <c r="AC597" s="188">
        <v>11666.67</v>
      </c>
      <c r="AD597" s="188">
        <v>14000</v>
      </c>
      <c r="AE597" s="68" t="s">
        <v>102</v>
      </c>
      <c r="AF597" s="217"/>
      <c r="AG597" s="223"/>
      <c r="AH597" s="224"/>
      <c r="AI597" s="224"/>
      <c r="AJ597" s="224"/>
      <c r="AK597" s="225"/>
      <c r="AL597" s="224"/>
      <c r="AM597" s="196"/>
    </row>
    <row r="598" spans="1:39" s="39" customFormat="1" ht="30" hidden="1" customHeight="1" x14ac:dyDescent="0.25">
      <c r="A598" s="136">
        <v>2026</v>
      </c>
      <c r="B598" s="66" t="s">
        <v>60</v>
      </c>
      <c r="C598" s="79" t="s">
        <v>1518</v>
      </c>
      <c r="D598" s="144" t="s">
        <v>109</v>
      </c>
      <c r="E598" s="144">
        <v>1</v>
      </c>
      <c r="F598" s="65" t="s">
        <v>1519</v>
      </c>
      <c r="G598" s="144" t="s">
        <v>121</v>
      </c>
      <c r="H598" s="66" t="s">
        <v>126</v>
      </c>
      <c r="I598" s="79" t="s">
        <v>1518</v>
      </c>
      <c r="J598" s="144" t="s">
        <v>132</v>
      </c>
      <c r="K598" s="144" t="s">
        <v>3</v>
      </c>
      <c r="L598" s="66" t="s">
        <v>7</v>
      </c>
      <c r="M598" s="65" t="s">
        <v>33</v>
      </c>
      <c r="N598" s="187"/>
      <c r="O598" s="187"/>
      <c r="P598" s="187"/>
      <c r="Q598" s="144" t="s">
        <v>138</v>
      </c>
      <c r="R598" s="90"/>
      <c r="S598" s="90"/>
      <c r="T598" s="65" t="s">
        <v>1520</v>
      </c>
      <c r="U598" s="144"/>
      <c r="V598" s="99">
        <v>46197</v>
      </c>
      <c r="W598" s="99"/>
      <c r="X598" s="99">
        <v>46245</v>
      </c>
      <c r="Y598" s="188">
        <v>37500</v>
      </c>
      <c r="Z598" s="189">
        <v>0</v>
      </c>
      <c r="AA598" s="188">
        <v>45000</v>
      </c>
      <c r="AB598" s="188">
        <v>0</v>
      </c>
      <c r="AC598" s="188">
        <v>37500</v>
      </c>
      <c r="AD598" s="188">
        <v>45000</v>
      </c>
      <c r="AE598" s="68" t="s">
        <v>101</v>
      </c>
      <c r="AF598" s="217"/>
      <c r="AG598" s="223"/>
      <c r="AH598" s="224"/>
      <c r="AI598" s="224"/>
      <c r="AJ598" s="224"/>
      <c r="AK598" s="225"/>
      <c r="AL598" s="224"/>
      <c r="AM598" s="196"/>
    </row>
    <row r="599" spans="1:39" s="39" customFormat="1" ht="30" hidden="1" customHeight="1" x14ac:dyDescent="0.25">
      <c r="A599" s="136">
        <v>2026</v>
      </c>
      <c r="B599" s="66" t="s">
        <v>56</v>
      </c>
      <c r="C599" s="79" t="s">
        <v>1521</v>
      </c>
      <c r="D599" s="144" t="s">
        <v>109</v>
      </c>
      <c r="E599" s="144">
        <v>1</v>
      </c>
      <c r="F599" s="65" t="s">
        <v>1522</v>
      </c>
      <c r="G599" s="144" t="s">
        <v>121</v>
      </c>
      <c r="H599" s="66" t="s">
        <v>126</v>
      </c>
      <c r="I599" s="79" t="s">
        <v>1523</v>
      </c>
      <c r="J599" s="144" t="s">
        <v>132</v>
      </c>
      <c r="K599" s="144" t="s">
        <v>3</v>
      </c>
      <c r="L599" s="66" t="s">
        <v>6</v>
      </c>
      <c r="M599" s="67" t="s">
        <v>973</v>
      </c>
      <c r="N599" s="187"/>
      <c r="O599" s="187"/>
      <c r="P599" s="187"/>
      <c r="Q599" s="144" t="s">
        <v>138</v>
      </c>
      <c r="R599" s="90"/>
      <c r="S599" s="90"/>
      <c r="T599" s="65" t="s">
        <v>1524</v>
      </c>
      <c r="U599" s="144">
        <v>2026</v>
      </c>
      <c r="V599" s="99">
        <v>46197</v>
      </c>
      <c r="W599" s="99">
        <v>46203</v>
      </c>
      <c r="X599" s="99"/>
      <c r="Y599" s="188">
        <v>26700</v>
      </c>
      <c r="Z599" s="189">
        <v>0</v>
      </c>
      <c r="AA599" s="188">
        <f>Y599*1.2</f>
        <v>32040</v>
      </c>
      <c r="AB599" s="188">
        <v>0</v>
      </c>
      <c r="AC599" s="188">
        <f>Y599</f>
        <v>26700</v>
      </c>
      <c r="AD599" s="188">
        <f>AA599</f>
        <v>32040</v>
      </c>
      <c r="AE599" s="68" t="s">
        <v>102</v>
      </c>
      <c r="AF599" s="217"/>
      <c r="AG599" s="223"/>
      <c r="AH599" s="224"/>
      <c r="AI599" s="224"/>
      <c r="AJ599" s="224"/>
      <c r="AK599" s="225"/>
      <c r="AL599" s="224"/>
      <c r="AM599" s="196"/>
    </row>
    <row r="600" spans="1:39" s="39" customFormat="1" ht="30" hidden="1" customHeight="1" x14ac:dyDescent="0.25">
      <c r="A600" s="136">
        <v>2026</v>
      </c>
      <c r="B600" s="66" t="s">
        <v>63</v>
      </c>
      <c r="C600" s="79" t="s">
        <v>1525</v>
      </c>
      <c r="D600" s="144" t="s">
        <v>114</v>
      </c>
      <c r="E600" s="144">
        <v>1</v>
      </c>
      <c r="F600" s="65" t="s">
        <v>1526</v>
      </c>
      <c r="G600" s="144" t="s">
        <v>120</v>
      </c>
      <c r="H600" s="66" t="s">
        <v>120</v>
      </c>
      <c r="I600" s="79" t="s">
        <v>1525</v>
      </c>
      <c r="J600" s="144" t="s">
        <v>132</v>
      </c>
      <c r="K600" s="144" t="s">
        <v>3</v>
      </c>
      <c r="L600" s="66" t="s">
        <v>6</v>
      </c>
      <c r="M600" s="67" t="s">
        <v>1527</v>
      </c>
      <c r="N600" s="187"/>
      <c r="O600" s="187"/>
      <c r="P600" s="187"/>
      <c r="Q600" s="144" t="s">
        <v>138</v>
      </c>
      <c r="R600" s="90"/>
      <c r="S600" s="90"/>
      <c r="T600" s="65" t="s">
        <v>1528</v>
      </c>
      <c r="U600" s="144"/>
      <c r="V600" s="99"/>
      <c r="W600" s="99"/>
      <c r="X600" s="99"/>
      <c r="Y600" s="188">
        <v>2776080</v>
      </c>
      <c r="Z600" s="189">
        <v>300000</v>
      </c>
      <c r="AA600" s="188">
        <v>2776080</v>
      </c>
      <c r="AB600" s="188">
        <v>300000</v>
      </c>
      <c r="AC600" s="188">
        <v>2776080</v>
      </c>
      <c r="AD600" s="188">
        <v>2776080</v>
      </c>
      <c r="AE600" s="68" t="s">
        <v>102</v>
      </c>
      <c r="AF600" s="217"/>
      <c r="AG600" s="223"/>
      <c r="AH600" s="224"/>
      <c r="AI600" s="224"/>
      <c r="AJ600" s="224"/>
      <c r="AK600" s="225"/>
      <c r="AL600" s="224"/>
      <c r="AM600" s="196"/>
    </row>
    <row r="601" spans="1:39" s="39" customFormat="1" ht="30" hidden="1" customHeight="1" x14ac:dyDescent="0.25">
      <c r="A601" s="136">
        <v>2026</v>
      </c>
      <c r="B601" s="66" t="s">
        <v>55</v>
      </c>
      <c r="C601" s="79" t="s">
        <v>1529</v>
      </c>
      <c r="D601" s="144" t="s">
        <v>106</v>
      </c>
      <c r="E601" s="144">
        <v>1</v>
      </c>
      <c r="F601" s="65" t="s">
        <v>1530</v>
      </c>
      <c r="G601" s="144" t="s">
        <v>120</v>
      </c>
      <c r="H601" s="66" t="s">
        <v>120</v>
      </c>
      <c r="I601" s="79"/>
      <c r="J601" s="144" t="s">
        <v>131</v>
      </c>
      <c r="K601" s="144" t="s">
        <v>3</v>
      </c>
      <c r="L601" s="66" t="s">
        <v>7</v>
      </c>
      <c r="M601" s="67" t="s">
        <v>33</v>
      </c>
      <c r="N601" s="199">
        <f>O601*1.2</f>
        <v>86400</v>
      </c>
      <c r="O601" s="199">
        <v>72000</v>
      </c>
      <c r="P601" s="226">
        <v>60000</v>
      </c>
      <c r="Q601" s="144" t="s">
        <v>138</v>
      </c>
      <c r="R601" s="90"/>
      <c r="S601" s="90"/>
      <c r="T601" s="65"/>
      <c r="U601" s="144"/>
      <c r="V601" s="96">
        <v>46198</v>
      </c>
      <c r="W601" s="99"/>
      <c r="X601" s="99"/>
      <c r="Y601" s="188"/>
      <c r="Z601" s="189"/>
      <c r="AA601" s="188"/>
      <c r="AB601" s="188"/>
      <c r="AC601" s="188"/>
      <c r="AD601" s="188"/>
      <c r="AE601" s="68" t="s">
        <v>99</v>
      </c>
      <c r="AF601" s="217"/>
      <c r="AG601" s="223"/>
      <c r="AH601" s="224"/>
      <c r="AI601" s="224"/>
      <c r="AJ601" s="224"/>
      <c r="AK601" s="225"/>
      <c r="AL601" s="224"/>
      <c r="AM601" s="196"/>
    </row>
    <row r="602" spans="1:39" s="39" customFormat="1" ht="46.5" hidden="1" customHeight="1" x14ac:dyDescent="0.25">
      <c r="A602" s="136">
        <v>2026</v>
      </c>
      <c r="B602" s="66" t="s">
        <v>55</v>
      </c>
      <c r="C602" s="79" t="s">
        <v>1529</v>
      </c>
      <c r="D602" s="144" t="s">
        <v>106</v>
      </c>
      <c r="E602" s="144">
        <v>2</v>
      </c>
      <c r="F602" s="65" t="s">
        <v>1531</v>
      </c>
      <c r="G602" s="144" t="s">
        <v>120</v>
      </c>
      <c r="H602" s="66" t="s">
        <v>120</v>
      </c>
      <c r="I602" s="79"/>
      <c r="J602" s="144" t="s">
        <v>131</v>
      </c>
      <c r="K602" s="144" t="s">
        <v>3</v>
      </c>
      <c r="L602" s="66" t="s">
        <v>7</v>
      </c>
      <c r="M602" s="67" t="s">
        <v>33</v>
      </c>
      <c r="N602" s="199">
        <v>86400</v>
      </c>
      <c r="O602" s="199">
        <v>72000</v>
      </c>
      <c r="P602" s="226">
        <v>60000</v>
      </c>
      <c r="Q602" s="144" t="s">
        <v>138</v>
      </c>
      <c r="R602" s="90"/>
      <c r="S602" s="90"/>
      <c r="T602" s="65"/>
      <c r="U602" s="144"/>
      <c r="V602" s="96">
        <v>46198</v>
      </c>
      <c r="W602" s="99"/>
      <c r="X602" s="99"/>
      <c r="Y602" s="188"/>
      <c r="Z602" s="189"/>
      <c r="AA602" s="188"/>
      <c r="AB602" s="188"/>
      <c r="AC602" s="188"/>
      <c r="AD602" s="188"/>
      <c r="AE602" s="68" t="s">
        <v>99</v>
      </c>
      <c r="AF602" s="217"/>
      <c r="AG602" s="223"/>
      <c r="AH602" s="224"/>
      <c r="AI602" s="224"/>
      <c r="AJ602" s="224"/>
      <c r="AK602" s="225"/>
      <c r="AL602" s="224"/>
      <c r="AM602" s="196"/>
    </row>
    <row r="603" spans="1:39" s="39" customFormat="1" ht="73.5" hidden="1" customHeight="1" x14ac:dyDescent="0.25">
      <c r="A603" s="136">
        <v>2026</v>
      </c>
      <c r="B603" s="66" t="s">
        <v>55</v>
      </c>
      <c r="C603" s="79" t="s">
        <v>1532</v>
      </c>
      <c r="D603" s="144" t="s">
        <v>106</v>
      </c>
      <c r="E603" s="144">
        <v>1</v>
      </c>
      <c r="F603" s="65" t="s">
        <v>1533</v>
      </c>
      <c r="G603" s="144" t="s">
        <v>121</v>
      </c>
      <c r="H603" s="66" t="s">
        <v>128</v>
      </c>
      <c r="I603" s="79"/>
      <c r="J603" s="144" t="s">
        <v>130</v>
      </c>
      <c r="K603" s="144" t="s">
        <v>3</v>
      </c>
      <c r="L603" s="66" t="s">
        <v>7</v>
      </c>
      <c r="M603" s="67" t="s">
        <v>38</v>
      </c>
      <c r="N603" s="199">
        <v>2057660.17</v>
      </c>
      <c r="O603" s="199">
        <v>1714716.81</v>
      </c>
      <c r="P603" s="226">
        <f>O603/1.2</f>
        <v>1428930.675</v>
      </c>
      <c r="Q603" s="144" t="s">
        <v>138</v>
      </c>
      <c r="R603" s="90"/>
      <c r="S603" s="90"/>
      <c r="T603" s="65"/>
      <c r="U603" s="144"/>
      <c r="V603" s="96"/>
      <c r="W603" s="99"/>
      <c r="X603" s="99"/>
      <c r="Y603" s="188"/>
      <c r="Z603" s="189"/>
      <c r="AA603" s="188"/>
      <c r="AB603" s="188"/>
      <c r="AC603" s="188"/>
      <c r="AD603" s="188"/>
      <c r="AE603" s="68" t="s">
        <v>100</v>
      </c>
      <c r="AF603" s="217"/>
      <c r="AG603" s="223"/>
      <c r="AH603" s="224"/>
      <c r="AI603" s="224"/>
      <c r="AJ603" s="224"/>
      <c r="AK603" s="225"/>
      <c r="AL603" s="224"/>
      <c r="AM603" s="196"/>
    </row>
    <row r="604" spans="1:39" s="39" customFormat="1" ht="49.5" hidden="1" customHeight="1" x14ac:dyDescent="0.25">
      <c r="A604" s="136">
        <v>2026</v>
      </c>
      <c r="B604" s="66" t="s">
        <v>56</v>
      </c>
      <c r="C604" s="79" t="s">
        <v>1534</v>
      </c>
      <c r="D604" s="144" t="s">
        <v>106</v>
      </c>
      <c r="E604" s="144">
        <v>1</v>
      </c>
      <c r="F604" s="65" t="s">
        <v>1138</v>
      </c>
      <c r="G604" s="144" t="s">
        <v>121</v>
      </c>
      <c r="H604" s="66" t="s">
        <v>128</v>
      </c>
      <c r="I604" s="79"/>
      <c r="J604" s="144" t="s">
        <v>130</v>
      </c>
      <c r="K604" s="144" t="s">
        <v>3</v>
      </c>
      <c r="L604" s="66" t="s">
        <v>6</v>
      </c>
      <c r="M604" s="67" t="s">
        <v>23</v>
      </c>
      <c r="N604" s="199">
        <f>O604*1.2</f>
        <v>4320000</v>
      </c>
      <c r="O604" s="199">
        <v>3600000</v>
      </c>
      <c r="P604" s="199">
        <f>O604/1.2</f>
        <v>3000000</v>
      </c>
      <c r="Q604" s="144" t="s">
        <v>139</v>
      </c>
      <c r="R604" s="97"/>
      <c r="S604" s="97"/>
      <c r="T604" s="65"/>
      <c r="U604" s="144"/>
      <c r="V604" s="99"/>
      <c r="W604" s="99"/>
      <c r="X604" s="99"/>
      <c r="Y604" s="188"/>
      <c r="Z604" s="189"/>
      <c r="AA604" s="188"/>
      <c r="AB604" s="188"/>
      <c r="AC604" s="188"/>
      <c r="AD604" s="188"/>
      <c r="AE604" s="68" t="s">
        <v>100</v>
      </c>
      <c r="AF604" s="227"/>
      <c r="AG604" s="223"/>
      <c r="AH604" s="224"/>
      <c r="AI604" s="224"/>
      <c r="AJ604" s="224"/>
      <c r="AK604" s="225"/>
      <c r="AL604" s="224"/>
      <c r="AM604" s="212"/>
    </row>
    <row r="605" spans="1:39" s="39" customFormat="1" ht="30" hidden="1" customHeight="1" x14ac:dyDescent="0.25">
      <c r="A605" s="136">
        <v>2026</v>
      </c>
      <c r="B605" s="66" t="s">
        <v>56</v>
      </c>
      <c r="C605" s="79" t="s">
        <v>1521</v>
      </c>
      <c r="D605" s="144" t="s">
        <v>109</v>
      </c>
      <c r="E605" s="144">
        <v>1</v>
      </c>
      <c r="F605" s="65" t="s">
        <v>1535</v>
      </c>
      <c r="G605" s="144" t="s">
        <v>121</v>
      </c>
      <c r="H605" s="66" t="s">
        <v>126</v>
      </c>
      <c r="I605" s="79" t="s">
        <v>1536</v>
      </c>
      <c r="J605" s="58" t="s">
        <v>132</v>
      </c>
      <c r="K605" s="144" t="s">
        <v>3</v>
      </c>
      <c r="L605" s="66" t="s">
        <v>6</v>
      </c>
      <c r="M605" s="67" t="s">
        <v>973</v>
      </c>
      <c r="N605" s="187"/>
      <c r="O605" s="187"/>
      <c r="P605" s="187"/>
      <c r="Q605" s="144" t="s">
        <v>138</v>
      </c>
      <c r="R605" s="90"/>
      <c r="S605" s="90"/>
      <c r="T605" s="65" t="s">
        <v>1524</v>
      </c>
      <c r="U605" s="144">
        <v>2026</v>
      </c>
      <c r="V605" s="96">
        <v>46203</v>
      </c>
      <c r="W605" s="99">
        <v>46203</v>
      </c>
      <c r="X605" s="99"/>
      <c r="Y605" s="188">
        <v>21600</v>
      </c>
      <c r="Z605" s="189">
        <v>0</v>
      </c>
      <c r="AA605" s="188">
        <f>Y605*1.2</f>
        <v>25920</v>
      </c>
      <c r="AB605" s="188">
        <v>0</v>
      </c>
      <c r="AC605" s="188">
        <v>21600</v>
      </c>
      <c r="AD605" s="188">
        <f>AC605*1.2</f>
        <v>25920</v>
      </c>
      <c r="AE605" s="68" t="s">
        <v>102</v>
      </c>
      <c r="AF605" s="217"/>
      <c r="AG605" s="223"/>
      <c r="AH605" s="224"/>
      <c r="AI605" s="224"/>
      <c r="AJ605" s="224"/>
      <c r="AK605" s="225"/>
      <c r="AL605" s="224"/>
      <c r="AM605" s="196"/>
    </row>
    <row r="606" spans="1:39" s="39" customFormat="1" ht="30" hidden="1" customHeight="1" x14ac:dyDescent="0.25">
      <c r="A606" s="136">
        <v>2026</v>
      </c>
      <c r="B606" s="66" t="s">
        <v>77</v>
      </c>
      <c r="C606" s="79" t="s">
        <v>1537</v>
      </c>
      <c r="D606" s="144" t="s">
        <v>109</v>
      </c>
      <c r="E606" s="144">
        <v>1</v>
      </c>
      <c r="F606" s="65" t="s">
        <v>1538</v>
      </c>
      <c r="G606" s="144" t="s">
        <v>121</v>
      </c>
      <c r="H606" s="66" t="s">
        <v>120</v>
      </c>
      <c r="I606" s="79" t="s">
        <v>1539</v>
      </c>
      <c r="J606" s="144" t="s">
        <v>132</v>
      </c>
      <c r="K606" s="144" t="s">
        <v>3</v>
      </c>
      <c r="L606" s="66" t="s">
        <v>6</v>
      </c>
      <c r="M606" s="67" t="s">
        <v>16</v>
      </c>
      <c r="N606" s="187"/>
      <c r="O606" s="187"/>
      <c r="P606" s="187"/>
      <c r="Q606" s="144" t="s">
        <v>138</v>
      </c>
      <c r="R606" s="90"/>
      <c r="S606" s="90"/>
      <c r="T606" s="65" t="s">
        <v>1540</v>
      </c>
      <c r="U606" s="144">
        <v>2026</v>
      </c>
      <c r="V606" s="96">
        <v>46203</v>
      </c>
      <c r="W606" s="90"/>
      <c r="X606" s="99"/>
      <c r="Y606" s="188">
        <v>29000</v>
      </c>
      <c r="Z606" s="189">
        <v>0</v>
      </c>
      <c r="AA606" s="188">
        <f>+Y606*1.2</f>
        <v>34800</v>
      </c>
      <c r="AB606" s="188"/>
      <c r="AC606" s="188">
        <v>29000</v>
      </c>
      <c r="AD606" s="188">
        <f>AC606*1.2</f>
        <v>34800</v>
      </c>
      <c r="AE606" s="68" t="s">
        <v>102</v>
      </c>
      <c r="AF606" s="217"/>
      <c r="AG606" s="223"/>
      <c r="AH606" s="224"/>
      <c r="AI606" s="224"/>
      <c r="AJ606" s="224"/>
      <c r="AK606" s="225"/>
      <c r="AL606" s="224"/>
      <c r="AM606" s="196"/>
    </row>
    <row r="607" spans="1:39" s="39" customFormat="1" ht="30" hidden="1" customHeight="1" x14ac:dyDescent="0.25">
      <c r="A607" s="136">
        <v>2026</v>
      </c>
      <c r="B607" s="66" t="s">
        <v>64</v>
      </c>
      <c r="C607" s="79" t="s">
        <v>1541</v>
      </c>
      <c r="D607" s="144" t="s">
        <v>106</v>
      </c>
      <c r="E607" s="144">
        <v>1</v>
      </c>
      <c r="F607" s="65" t="s">
        <v>1542</v>
      </c>
      <c r="G607" s="144" t="s">
        <v>121</v>
      </c>
      <c r="H607" s="66" t="s">
        <v>128</v>
      </c>
      <c r="I607" s="79"/>
      <c r="J607" s="144" t="s">
        <v>131</v>
      </c>
      <c r="K607" s="144" t="s">
        <v>3</v>
      </c>
      <c r="L607" s="66" t="s">
        <v>6</v>
      </c>
      <c r="M607" s="67" t="s">
        <v>16</v>
      </c>
      <c r="N607" s="200">
        <v>102000</v>
      </c>
      <c r="O607" s="200">
        <v>85000</v>
      </c>
      <c r="P607" s="199">
        <f>O607/1.2</f>
        <v>70833.333333333343</v>
      </c>
      <c r="Q607" s="144" t="s">
        <v>138</v>
      </c>
      <c r="R607" s="90"/>
      <c r="S607" s="90"/>
      <c r="T607" s="65"/>
      <c r="U607" s="144"/>
      <c r="V607" s="96"/>
      <c r="W607" s="90"/>
      <c r="X607" s="99"/>
      <c r="Y607" s="188"/>
      <c r="Z607" s="189"/>
      <c r="AA607" s="188"/>
      <c r="AB607" s="188"/>
      <c r="AC607" s="188"/>
      <c r="AD607" s="188"/>
      <c r="AE607" s="68" t="s">
        <v>100</v>
      </c>
      <c r="AF607" s="217"/>
      <c r="AG607" s="223"/>
      <c r="AH607" s="224"/>
      <c r="AI607" s="224"/>
      <c r="AJ607" s="224"/>
      <c r="AK607" s="225"/>
      <c r="AL607" s="224"/>
      <c r="AM607" s="196"/>
    </row>
    <row r="608" spans="1:39" s="39" customFormat="1" ht="42.75" hidden="1" customHeight="1" x14ac:dyDescent="0.25">
      <c r="A608" s="136">
        <v>2026</v>
      </c>
      <c r="B608" s="66" t="s">
        <v>705</v>
      </c>
      <c r="C608" s="79" t="s">
        <v>1543</v>
      </c>
      <c r="D608" s="144" t="s">
        <v>106</v>
      </c>
      <c r="E608" s="144">
        <v>1</v>
      </c>
      <c r="F608" s="65" t="s">
        <v>1383</v>
      </c>
      <c r="G608" s="144" t="s">
        <v>121</v>
      </c>
      <c r="H608" s="66" t="s">
        <v>127</v>
      </c>
      <c r="I608" s="79"/>
      <c r="J608" s="144" t="s">
        <v>131</v>
      </c>
      <c r="K608" s="144" t="s">
        <v>2</v>
      </c>
      <c r="L608" s="66" t="s">
        <v>7</v>
      </c>
      <c r="M608" s="67" t="s">
        <v>965</v>
      </c>
      <c r="N608" s="200">
        <f>O608*1.2</f>
        <v>10984982.4</v>
      </c>
      <c r="O608" s="200">
        <v>9154152</v>
      </c>
      <c r="P608" s="199">
        <f>O608/1.2</f>
        <v>7628460</v>
      </c>
      <c r="Q608" s="144" t="s">
        <v>138</v>
      </c>
      <c r="R608" s="90"/>
      <c r="S608" s="90"/>
      <c r="T608" s="65" t="s">
        <v>1830</v>
      </c>
      <c r="U608" s="144"/>
      <c r="V608" s="96">
        <v>46206</v>
      </c>
      <c r="W608" s="90"/>
      <c r="X608" s="99"/>
      <c r="Y608" s="188"/>
      <c r="Z608" s="189"/>
      <c r="AA608" s="188"/>
      <c r="AB608" s="188"/>
      <c r="AC608" s="188"/>
      <c r="AD608" s="188">
        <v>10979856.08</v>
      </c>
      <c r="AE608" s="68" t="s">
        <v>100</v>
      </c>
      <c r="AF608" s="217"/>
      <c r="AG608" s="223"/>
      <c r="AH608" s="224"/>
      <c r="AI608" s="224"/>
      <c r="AJ608" s="224"/>
      <c r="AK608" s="225"/>
      <c r="AL608" s="224"/>
      <c r="AM608" s="196"/>
    </row>
    <row r="609" spans="1:45" s="39" customFormat="1" ht="30" hidden="1" customHeight="1" x14ac:dyDescent="0.25">
      <c r="A609" s="136">
        <v>2026</v>
      </c>
      <c r="B609" s="66" t="s">
        <v>77</v>
      </c>
      <c r="C609" s="79"/>
      <c r="D609" s="144" t="s">
        <v>108</v>
      </c>
      <c r="E609" s="144">
        <v>1</v>
      </c>
      <c r="F609" s="65" t="s">
        <v>1544</v>
      </c>
      <c r="G609" s="144" t="s">
        <v>121</v>
      </c>
      <c r="H609" s="66" t="s">
        <v>126</v>
      </c>
      <c r="I609" s="79"/>
      <c r="J609" s="144" t="s">
        <v>132</v>
      </c>
      <c r="K609" s="144" t="s">
        <v>3</v>
      </c>
      <c r="L609" s="66" t="s">
        <v>6</v>
      </c>
      <c r="M609" s="67" t="s">
        <v>1545</v>
      </c>
      <c r="N609" s="187"/>
      <c r="O609" s="187"/>
      <c r="P609" s="187"/>
      <c r="Q609" s="144" t="s">
        <v>138</v>
      </c>
      <c r="R609" s="90"/>
      <c r="S609" s="90"/>
      <c r="T609" s="65" t="s">
        <v>867</v>
      </c>
      <c r="U609" s="144">
        <v>2026</v>
      </c>
      <c r="V609" s="96"/>
      <c r="W609" s="90"/>
      <c r="X609" s="99">
        <v>46217</v>
      </c>
      <c r="Y609" s="188">
        <v>48780</v>
      </c>
      <c r="Z609" s="189"/>
      <c r="AA609" s="188">
        <v>48780</v>
      </c>
      <c r="AB609" s="188"/>
      <c r="AC609" s="188"/>
      <c r="AD609" s="188">
        <v>48780</v>
      </c>
      <c r="AE609" s="68" t="s">
        <v>102</v>
      </c>
      <c r="AF609" s="217"/>
      <c r="AG609" s="223"/>
      <c r="AH609" s="224"/>
      <c r="AI609" s="224"/>
      <c r="AJ609" s="224"/>
      <c r="AK609" s="225"/>
      <c r="AL609" s="224"/>
      <c r="AM609" s="196"/>
    </row>
    <row r="610" spans="1:45" s="39" customFormat="1" ht="30" hidden="1" customHeight="1" x14ac:dyDescent="0.25">
      <c r="A610" s="136">
        <v>2026</v>
      </c>
      <c r="B610" s="66" t="s">
        <v>77</v>
      </c>
      <c r="C610" s="79"/>
      <c r="D610" s="144" t="s">
        <v>108</v>
      </c>
      <c r="E610" s="144">
        <v>1</v>
      </c>
      <c r="F610" s="65" t="s">
        <v>1546</v>
      </c>
      <c r="G610" s="144" t="s">
        <v>120</v>
      </c>
      <c r="H610" s="66" t="s">
        <v>120</v>
      </c>
      <c r="I610" s="79"/>
      <c r="J610" s="144" t="s">
        <v>132</v>
      </c>
      <c r="K610" s="144" t="s">
        <v>3</v>
      </c>
      <c r="L610" s="66" t="s">
        <v>6</v>
      </c>
      <c r="M610" s="67" t="s">
        <v>1545</v>
      </c>
      <c r="N610" s="187"/>
      <c r="O610" s="187"/>
      <c r="P610" s="187"/>
      <c r="Q610" s="144" t="s">
        <v>138</v>
      </c>
      <c r="R610" s="90"/>
      <c r="S610" s="90"/>
      <c r="T610" s="65" t="s">
        <v>1547</v>
      </c>
      <c r="U610" s="144">
        <v>2026</v>
      </c>
      <c r="V610" s="96"/>
      <c r="W610" s="90"/>
      <c r="X610" s="99"/>
      <c r="Y610" s="188">
        <v>48780</v>
      </c>
      <c r="Z610" s="189"/>
      <c r="AA610" s="188">
        <v>48780</v>
      </c>
      <c r="AB610" s="188"/>
      <c r="AC610" s="188"/>
      <c r="AD610" s="188">
        <v>48780</v>
      </c>
      <c r="AE610" s="68" t="s">
        <v>101</v>
      </c>
      <c r="AF610" s="217"/>
      <c r="AG610" s="223"/>
      <c r="AH610" s="224"/>
      <c r="AI610" s="224"/>
      <c r="AJ610" s="224"/>
      <c r="AK610" s="225"/>
      <c r="AL610" s="224"/>
      <c r="AM610" s="196"/>
    </row>
    <row r="611" spans="1:45" s="39" customFormat="1" ht="36.75" hidden="1" customHeight="1" x14ac:dyDescent="0.25">
      <c r="A611" s="136">
        <v>2026</v>
      </c>
      <c r="B611" s="66" t="s">
        <v>77</v>
      </c>
      <c r="C611" s="79"/>
      <c r="D611" s="144" t="s">
        <v>108</v>
      </c>
      <c r="E611" s="144">
        <v>1</v>
      </c>
      <c r="F611" s="65" t="s">
        <v>1548</v>
      </c>
      <c r="G611" s="144" t="s">
        <v>121</v>
      </c>
      <c r="H611" s="66" t="s">
        <v>126</v>
      </c>
      <c r="I611" s="79"/>
      <c r="J611" s="144" t="s">
        <v>132</v>
      </c>
      <c r="K611" s="144" t="s">
        <v>3</v>
      </c>
      <c r="L611" s="66" t="s">
        <v>6</v>
      </c>
      <c r="M611" s="67" t="s">
        <v>1545</v>
      </c>
      <c r="N611" s="187"/>
      <c r="O611" s="187"/>
      <c r="P611" s="187"/>
      <c r="Q611" s="144" t="s">
        <v>138</v>
      </c>
      <c r="R611" s="90"/>
      <c r="S611" s="90"/>
      <c r="T611" s="65" t="s">
        <v>1549</v>
      </c>
      <c r="U611" s="144">
        <v>2026</v>
      </c>
      <c r="V611" s="96"/>
      <c r="W611" s="90"/>
      <c r="X611" s="99">
        <v>46217</v>
      </c>
      <c r="Y611" s="188" t="s">
        <v>1550</v>
      </c>
      <c r="Z611" s="189"/>
      <c r="AA611" s="188" t="s">
        <v>1550</v>
      </c>
      <c r="AB611" s="188"/>
      <c r="AC611" s="188"/>
      <c r="AD611" s="188" t="s">
        <v>1550</v>
      </c>
      <c r="AE611" s="68" t="s">
        <v>102</v>
      </c>
      <c r="AF611" s="217"/>
      <c r="AG611" s="223"/>
      <c r="AH611" s="224"/>
      <c r="AI611" s="224"/>
      <c r="AJ611" s="224"/>
      <c r="AK611" s="225"/>
      <c r="AL611" s="224"/>
      <c r="AM611" s="196"/>
    </row>
    <row r="612" spans="1:45" s="39" customFormat="1" ht="47.25" hidden="1" customHeight="1" x14ac:dyDescent="0.25">
      <c r="A612" s="136">
        <v>2026</v>
      </c>
      <c r="B612" s="66" t="s">
        <v>77</v>
      </c>
      <c r="C612" s="79"/>
      <c r="D612" s="144" t="s">
        <v>108</v>
      </c>
      <c r="E612" s="144">
        <v>1</v>
      </c>
      <c r="F612" s="65" t="s">
        <v>1551</v>
      </c>
      <c r="G612" s="144" t="s">
        <v>121</v>
      </c>
      <c r="H612" s="66" t="s">
        <v>126</v>
      </c>
      <c r="I612" s="79"/>
      <c r="J612" s="144" t="s">
        <v>132</v>
      </c>
      <c r="K612" s="144" t="s">
        <v>3</v>
      </c>
      <c r="L612" s="66" t="s">
        <v>6</v>
      </c>
      <c r="M612" s="67" t="s">
        <v>1545</v>
      </c>
      <c r="N612" s="187"/>
      <c r="O612" s="187"/>
      <c r="P612" s="187"/>
      <c r="Q612" s="144" t="s">
        <v>138</v>
      </c>
      <c r="R612" s="90"/>
      <c r="S612" s="90"/>
      <c r="T612" s="65" t="s">
        <v>1552</v>
      </c>
      <c r="U612" s="144">
        <v>2026</v>
      </c>
      <c r="V612" s="96"/>
      <c r="W612" s="90"/>
      <c r="X612" s="99">
        <v>46217</v>
      </c>
      <c r="Y612" s="188">
        <v>260000</v>
      </c>
      <c r="Z612" s="189"/>
      <c r="AA612" s="188">
        <v>260000</v>
      </c>
      <c r="AB612" s="188"/>
      <c r="AC612" s="188"/>
      <c r="AD612" s="188">
        <v>260000</v>
      </c>
      <c r="AE612" s="68" t="s">
        <v>102</v>
      </c>
      <c r="AF612" s="217"/>
      <c r="AG612" s="223"/>
      <c r="AH612" s="224"/>
      <c r="AI612" s="224"/>
      <c r="AJ612" s="224"/>
      <c r="AK612" s="225"/>
      <c r="AL612" s="224"/>
      <c r="AM612" s="196"/>
    </row>
    <row r="613" spans="1:45" s="39" customFormat="1" ht="39.75" hidden="1" customHeight="1" x14ac:dyDescent="0.25">
      <c r="A613" s="136">
        <v>2026</v>
      </c>
      <c r="B613" s="66" t="s">
        <v>60</v>
      </c>
      <c r="C613" s="79" t="s">
        <v>1553</v>
      </c>
      <c r="D613" s="144" t="s">
        <v>108</v>
      </c>
      <c r="E613" s="144">
        <v>1</v>
      </c>
      <c r="F613" s="65" t="s">
        <v>1554</v>
      </c>
      <c r="G613" s="144" t="s">
        <v>120</v>
      </c>
      <c r="H613" s="66" t="s">
        <v>120</v>
      </c>
      <c r="I613" s="79"/>
      <c r="J613" s="144" t="s">
        <v>132</v>
      </c>
      <c r="K613" s="144" t="s">
        <v>3</v>
      </c>
      <c r="L613" s="66" t="s">
        <v>6</v>
      </c>
      <c r="M613" s="67" t="s">
        <v>200</v>
      </c>
      <c r="N613" s="187"/>
      <c r="O613" s="187"/>
      <c r="P613" s="187"/>
      <c r="Q613" s="144" t="s">
        <v>138</v>
      </c>
      <c r="R613" s="90"/>
      <c r="S613" s="90"/>
      <c r="T613" s="65" t="s">
        <v>1555</v>
      </c>
      <c r="U613" s="144">
        <v>2026</v>
      </c>
      <c r="V613" s="96"/>
      <c r="W613" s="90"/>
      <c r="X613" s="99"/>
      <c r="Y613" s="188">
        <v>42000</v>
      </c>
      <c r="Z613" s="189"/>
      <c r="AA613" s="188">
        <v>42000</v>
      </c>
      <c r="AB613" s="188"/>
      <c r="AC613" s="188"/>
      <c r="AD613" s="188">
        <v>42000</v>
      </c>
      <c r="AE613" s="68" t="s">
        <v>101</v>
      </c>
      <c r="AF613" s="217"/>
      <c r="AG613" s="223"/>
      <c r="AH613" s="224"/>
      <c r="AI613" s="224"/>
      <c r="AJ613" s="224"/>
      <c r="AK613" s="225"/>
      <c r="AL613" s="224"/>
      <c r="AM613" s="196" t="s">
        <v>1556</v>
      </c>
    </row>
    <row r="614" spans="1:45" s="39" customFormat="1" ht="47.25" hidden="1" customHeight="1" x14ac:dyDescent="0.25">
      <c r="A614" s="61">
        <v>2026</v>
      </c>
      <c r="B614" s="63" t="s">
        <v>705</v>
      </c>
      <c r="C614" s="78" t="s">
        <v>1557</v>
      </c>
      <c r="D614" s="143" t="s">
        <v>106</v>
      </c>
      <c r="E614" s="143">
        <v>1</v>
      </c>
      <c r="F614" s="62" t="s">
        <v>1558</v>
      </c>
      <c r="G614" s="143" t="s">
        <v>121</v>
      </c>
      <c r="H614" s="63" t="s">
        <v>118</v>
      </c>
      <c r="I614" s="78"/>
      <c r="J614" s="143" t="s">
        <v>131</v>
      </c>
      <c r="K614" s="143" t="s">
        <v>3</v>
      </c>
      <c r="L614" s="63" t="s">
        <v>7</v>
      </c>
      <c r="M614" s="64" t="s">
        <v>1008</v>
      </c>
      <c r="N614" s="228">
        <f>O614*1.2</f>
        <v>1186099.2</v>
      </c>
      <c r="O614" s="228">
        <v>988416</v>
      </c>
      <c r="P614" s="228">
        <f>O614/1.2</f>
        <v>823680</v>
      </c>
      <c r="Q614" s="143" t="s">
        <v>138</v>
      </c>
      <c r="R614" s="92"/>
      <c r="S614" s="92"/>
      <c r="T614" s="62"/>
      <c r="U614" s="143"/>
      <c r="V614" s="100">
        <v>46209</v>
      </c>
      <c r="W614" s="92"/>
      <c r="X614" s="98"/>
      <c r="Y614" s="214"/>
      <c r="Z614" s="221"/>
      <c r="AA614" s="214"/>
      <c r="AB614" s="214"/>
      <c r="AC614" s="214"/>
      <c r="AD614" s="214"/>
      <c r="AE614" s="57" t="s">
        <v>103</v>
      </c>
      <c r="AF614" s="222"/>
      <c r="AG614" s="229"/>
      <c r="AH614" s="230"/>
      <c r="AI614" s="230"/>
      <c r="AJ614" s="230"/>
      <c r="AK614" s="231"/>
      <c r="AL614" s="230"/>
      <c r="AM614" s="232"/>
    </row>
    <row r="615" spans="1:45" s="39" customFormat="1" ht="30" hidden="1" customHeight="1" x14ac:dyDescent="0.25">
      <c r="A615" s="61">
        <v>2026</v>
      </c>
      <c r="B615" s="63" t="s">
        <v>71</v>
      </c>
      <c r="C615" s="78" t="s">
        <v>1559</v>
      </c>
      <c r="D615" s="143" t="s">
        <v>109</v>
      </c>
      <c r="E615" s="143">
        <v>1</v>
      </c>
      <c r="F615" s="62" t="s">
        <v>1560</v>
      </c>
      <c r="G615" s="143" t="s">
        <v>120</v>
      </c>
      <c r="H615" s="63" t="s">
        <v>120</v>
      </c>
      <c r="I615" s="78" t="s">
        <v>1559</v>
      </c>
      <c r="J615" s="143" t="s">
        <v>132</v>
      </c>
      <c r="K615" s="143" t="s">
        <v>3</v>
      </c>
      <c r="L615" s="63" t="s">
        <v>6</v>
      </c>
      <c r="M615" s="64" t="s">
        <v>25</v>
      </c>
      <c r="N615" s="233"/>
      <c r="O615" s="233"/>
      <c r="P615" s="233"/>
      <c r="Q615" s="143" t="s">
        <v>139</v>
      </c>
      <c r="R615" s="92"/>
      <c r="S615" s="92"/>
      <c r="T615" s="62" t="s">
        <v>1561</v>
      </c>
      <c r="U615" s="143">
        <v>2026</v>
      </c>
      <c r="V615" s="100">
        <v>46212</v>
      </c>
      <c r="W615" s="92"/>
      <c r="X615" s="98"/>
      <c r="Y615" s="214">
        <v>9600</v>
      </c>
      <c r="Z615" s="221"/>
      <c r="AA615" s="214">
        <f>Engagements2026Juillet[[#This Row],[MONTANT MARCHE HT PART EN MAD]]</f>
        <v>9600</v>
      </c>
      <c r="AB615" s="214"/>
      <c r="AC615" s="234"/>
      <c r="AD615" s="214">
        <f>Engagements2026Juillet[[#This Row],[MONTANT MARCHE HT PART EN MAD]]</f>
        <v>9600</v>
      </c>
      <c r="AE615" s="102" t="s">
        <v>101</v>
      </c>
      <c r="AF615" s="222"/>
      <c r="AG615" s="229"/>
      <c r="AH615" s="230"/>
      <c r="AI615" s="230"/>
      <c r="AJ615" s="230"/>
      <c r="AK615" s="231"/>
      <c r="AL615" s="230"/>
      <c r="AM615" s="232"/>
    </row>
    <row r="616" spans="1:45" s="39" customFormat="1" ht="38.25" hidden="1" customHeight="1" x14ac:dyDescent="0.25">
      <c r="A616" s="103">
        <v>2026</v>
      </c>
      <c r="B616" s="104" t="s">
        <v>79</v>
      </c>
      <c r="C616" s="105" t="s">
        <v>1562</v>
      </c>
      <c r="D616" s="145" t="s">
        <v>114</v>
      </c>
      <c r="E616" s="145">
        <v>1</v>
      </c>
      <c r="F616" s="106" t="s">
        <v>1563</v>
      </c>
      <c r="G616" s="145" t="s">
        <v>121</v>
      </c>
      <c r="H616" s="104" t="s">
        <v>126</v>
      </c>
      <c r="I616" s="105" t="s">
        <v>1562</v>
      </c>
      <c r="J616" s="145" t="s">
        <v>132</v>
      </c>
      <c r="K616" s="145" t="s">
        <v>3</v>
      </c>
      <c r="L616" s="104" t="s">
        <v>6</v>
      </c>
      <c r="M616" s="107" t="s">
        <v>200</v>
      </c>
      <c r="N616" s="235"/>
      <c r="O616" s="235"/>
      <c r="P616" s="235"/>
      <c r="Q616" s="145" t="s">
        <v>141</v>
      </c>
      <c r="R616" s="108"/>
      <c r="S616" s="108"/>
      <c r="T616" s="106" t="s">
        <v>1564</v>
      </c>
      <c r="U616" s="143">
        <v>2026</v>
      </c>
      <c r="V616" s="110"/>
      <c r="W616" s="108"/>
      <c r="X616" s="111"/>
      <c r="Y616" s="236">
        <v>48000</v>
      </c>
      <c r="Z616" s="237"/>
      <c r="AA616" s="238">
        <v>48000</v>
      </c>
      <c r="AB616" s="239"/>
      <c r="AC616" s="239"/>
      <c r="AD616" s="240">
        <v>48000</v>
      </c>
      <c r="AE616" s="112" t="s">
        <v>102</v>
      </c>
      <c r="AF616" s="241"/>
      <c r="AG616" s="242"/>
      <c r="AH616" s="243"/>
      <c r="AI616" s="243"/>
      <c r="AJ616" s="243"/>
      <c r="AK616" s="244"/>
      <c r="AL616" s="243"/>
      <c r="AM616" s="245"/>
      <c r="AN616" s="246"/>
      <c r="AO616" s="247"/>
      <c r="AP616" s="34"/>
      <c r="AQ616" s="34"/>
      <c r="AR616" s="156"/>
      <c r="AS616" s="37"/>
    </row>
    <row r="617" spans="1:45" s="39" customFormat="1" ht="38.25" hidden="1" customHeight="1" x14ac:dyDescent="0.25">
      <c r="A617" s="103">
        <v>2026</v>
      </c>
      <c r="B617" s="104" t="s">
        <v>79</v>
      </c>
      <c r="C617" s="105" t="s">
        <v>1565</v>
      </c>
      <c r="D617" s="145" t="s">
        <v>114</v>
      </c>
      <c r="E617" s="145">
        <v>1</v>
      </c>
      <c r="F617" s="106" t="s">
        <v>1566</v>
      </c>
      <c r="G617" s="145" t="s">
        <v>121</v>
      </c>
      <c r="H617" s="104" t="s">
        <v>126</v>
      </c>
      <c r="I617" s="105" t="s">
        <v>1567</v>
      </c>
      <c r="J617" s="145" t="s">
        <v>132</v>
      </c>
      <c r="K617" s="145" t="s">
        <v>3</v>
      </c>
      <c r="L617" s="104" t="s">
        <v>6</v>
      </c>
      <c r="M617" s="107" t="s">
        <v>200</v>
      </c>
      <c r="N617" s="235"/>
      <c r="O617" s="235"/>
      <c r="P617" s="235"/>
      <c r="Q617" s="145" t="s">
        <v>141</v>
      </c>
      <c r="R617" s="108"/>
      <c r="S617" s="108"/>
      <c r="T617" s="106" t="s">
        <v>1568</v>
      </c>
      <c r="U617" s="143">
        <v>2026</v>
      </c>
      <c r="V617" s="110"/>
      <c r="W617" s="108"/>
      <c r="X617" s="111"/>
      <c r="Y617" s="236">
        <v>48000</v>
      </c>
      <c r="Z617" s="237"/>
      <c r="AA617" s="236">
        <v>48000</v>
      </c>
      <c r="AB617" s="239"/>
      <c r="AC617" s="239"/>
      <c r="AD617" s="236">
        <v>48000</v>
      </c>
      <c r="AE617" s="112" t="s">
        <v>102</v>
      </c>
      <c r="AF617" s="241"/>
      <c r="AG617" s="242"/>
      <c r="AH617" s="243"/>
      <c r="AI617" s="243"/>
      <c r="AJ617" s="243"/>
      <c r="AK617" s="244"/>
      <c r="AL617" s="243"/>
      <c r="AM617" s="245"/>
      <c r="AN617" s="246"/>
      <c r="AO617" s="247"/>
      <c r="AP617" s="34"/>
      <c r="AQ617" s="34"/>
      <c r="AR617" s="156"/>
      <c r="AS617" s="37"/>
    </row>
    <row r="618" spans="1:45" s="39" customFormat="1" ht="38.25" hidden="1" customHeight="1" x14ac:dyDescent="0.25">
      <c r="A618" s="103">
        <v>2026</v>
      </c>
      <c r="B618" s="104" t="s">
        <v>79</v>
      </c>
      <c r="C618" s="105" t="s">
        <v>1569</v>
      </c>
      <c r="D618" s="145" t="s">
        <v>114</v>
      </c>
      <c r="E618" s="145">
        <v>1</v>
      </c>
      <c r="F618" s="106" t="s">
        <v>1570</v>
      </c>
      <c r="G618" s="145" t="s">
        <v>121</v>
      </c>
      <c r="H618" s="104" t="s">
        <v>126</v>
      </c>
      <c r="I618" s="105" t="s">
        <v>1569</v>
      </c>
      <c r="J618" s="145" t="s">
        <v>132</v>
      </c>
      <c r="K618" s="145" t="s">
        <v>3</v>
      </c>
      <c r="L618" s="104" t="s">
        <v>6</v>
      </c>
      <c r="M618" s="107" t="s">
        <v>200</v>
      </c>
      <c r="N618" s="235"/>
      <c r="O618" s="235"/>
      <c r="P618" s="235"/>
      <c r="Q618" s="145" t="s">
        <v>141</v>
      </c>
      <c r="R618" s="108"/>
      <c r="S618" s="108"/>
      <c r="T618" s="106" t="s">
        <v>1571</v>
      </c>
      <c r="U618" s="109">
        <v>2026</v>
      </c>
      <c r="V618" s="110"/>
      <c r="W618" s="108"/>
      <c r="X618" s="111"/>
      <c r="Y618" s="236">
        <v>48000</v>
      </c>
      <c r="Z618" s="237"/>
      <c r="AA618" s="238">
        <v>48000</v>
      </c>
      <c r="AB618" s="239"/>
      <c r="AC618" s="239"/>
      <c r="AD618" s="240">
        <v>48000</v>
      </c>
      <c r="AE618" s="112" t="s">
        <v>102</v>
      </c>
      <c r="AF618" s="241"/>
      <c r="AG618" s="242"/>
      <c r="AH618" s="243"/>
      <c r="AI618" s="243"/>
      <c r="AJ618" s="243"/>
      <c r="AK618" s="244"/>
      <c r="AL618" s="243"/>
      <c r="AM618" s="245"/>
      <c r="AN618" s="246"/>
      <c r="AO618" s="247"/>
      <c r="AP618" s="34"/>
      <c r="AQ618" s="34"/>
      <c r="AR618" s="156"/>
      <c r="AS618" s="37"/>
    </row>
    <row r="619" spans="1:45" s="39" customFormat="1" ht="38.25" hidden="1" customHeight="1" x14ac:dyDescent="0.25">
      <c r="A619" s="61">
        <v>2026</v>
      </c>
      <c r="B619" s="63" t="s">
        <v>58</v>
      </c>
      <c r="C619" s="78" t="s">
        <v>1572</v>
      </c>
      <c r="D619" s="143" t="s">
        <v>106</v>
      </c>
      <c r="E619" s="143">
        <v>1</v>
      </c>
      <c r="F619" s="62" t="s">
        <v>1573</v>
      </c>
      <c r="G619" s="143" t="s">
        <v>121</v>
      </c>
      <c r="H619" s="63" t="s">
        <v>128</v>
      </c>
      <c r="I619" s="78"/>
      <c r="J619" s="143" t="s">
        <v>131</v>
      </c>
      <c r="K619" s="143" t="s">
        <v>3</v>
      </c>
      <c r="L619" s="63" t="s">
        <v>7</v>
      </c>
      <c r="M619" s="64" t="s">
        <v>94</v>
      </c>
      <c r="N619" s="235">
        <f>Engagements2026Juillet[[#This Row],[ESTIMATION TTC]]*1.2</f>
        <v>388353.6</v>
      </c>
      <c r="O619" s="235">
        <v>323628</v>
      </c>
      <c r="P619" s="235">
        <f>Engagements2026Juillet[[#This Row],[ESTIMATION TTC]]/1.2</f>
        <v>269690</v>
      </c>
      <c r="Q619" s="143" t="s">
        <v>138</v>
      </c>
      <c r="R619" s="92"/>
      <c r="S619" s="92"/>
      <c r="T619" s="62"/>
      <c r="U619" s="113"/>
      <c r="V619" s="100">
        <v>46218</v>
      </c>
      <c r="W619" s="92"/>
      <c r="X619" s="114"/>
      <c r="Y619" s="234"/>
      <c r="Z619" s="248"/>
      <c r="AA619" s="249"/>
      <c r="AB619" s="250"/>
      <c r="AC619" s="250"/>
      <c r="AD619" s="251"/>
      <c r="AE619" s="102" t="s">
        <v>100</v>
      </c>
      <c r="AF619" s="252"/>
      <c r="AG619" s="229"/>
      <c r="AH619" s="230"/>
      <c r="AI619" s="230"/>
      <c r="AJ619" s="230"/>
      <c r="AK619" s="253"/>
      <c r="AL619" s="230"/>
      <c r="AM619" s="232"/>
      <c r="AN619" s="246"/>
      <c r="AO619" s="247"/>
      <c r="AP619" s="34"/>
      <c r="AQ619" s="34"/>
      <c r="AR619" s="156"/>
      <c r="AS619" s="37"/>
    </row>
    <row r="620" spans="1:45" s="39" customFormat="1" ht="25.5" hidden="1" customHeight="1" x14ac:dyDescent="0.25">
      <c r="A620" s="61">
        <v>2026</v>
      </c>
      <c r="B620" s="63" t="s">
        <v>58</v>
      </c>
      <c r="C620" s="78" t="s">
        <v>1574</v>
      </c>
      <c r="D620" s="143" t="s">
        <v>106</v>
      </c>
      <c r="E620" s="143">
        <v>1</v>
      </c>
      <c r="F620" s="62" t="s">
        <v>1575</v>
      </c>
      <c r="G620" s="143" t="s">
        <v>121</v>
      </c>
      <c r="H620" s="63" t="s">
        <v>118</v>
      </c>
      <c r="I620" s="78"/>
      <c r="J620" s="143" t="s">
        <v>131</v>
      </c>
      <c r="K620" s="143" t="s">
        <v>4</v>
      </c>
      <c r="L620" s="63" t="s">
        <v>7</v>
      </c>
      <c r="M620" s="64" t="s">
        <v>965</v>
      </c>
      <c r="N620" s="233">
        <f>Engagements2026Juillet[[#This Row],[ESTIMATION TTC]]*1.2</f>
        <v>3758731.1999999997</v>
      </c>
      <c r="O620" s="233">
        <v>3132276</v>
      </c>
      <c r="P620" s="233">
        <f>Engagements2026Juillet[[#This Row],[ESTIMATION TTC]]/1.2</f>
        <v>2610230</v>
      </c>
      <c r="Q620" s="143"/>
      <c r="R620" s="92"/>
      <c r="S620" s="92"/>
      <c r="T620" s="62"/>
      <c r="U620" s="113"/>
      <c r="V620" s="100">
        <v>46127</v>
      </c>
      <c r="W620" s="92"/>
      <c r="X620" s="114"/>
      <c r="Y620" s="234"/>
      <c r="Z620" s="248"/>
      <c r="AA620" s="249"/>
      <c r="AB620" s="250"/>
      <c r="AC620" s="250"/>
      <c r="AD620" s="251"/>
      <c r="AE620" s="102" t="s">
        <v>103</v>
      </c>
      <c r="AF620" s="252"/>
      <c r="AG620" s="229"/>
      <c r="AH620" s="230"/>
      <c r="AI620" s="230"/>
      <c r="AJ620" s="230"/>
      <c r="AK620" s="253"/>
      <c r="AL620" s="230"/>
      <c r="AM620" s="232"/>
      <c r="AN620" s="246"/>
      <c r="AO620" s="247"/>
      <c r="AP620" s="34"/>
      <c r="AQ620" s="34"/>
      <c r="AR620" s="156"/>
      <c r="AS620" s="37"/>
    </row>
    <row r="621" spans="1:45" s="39" customFormat="1" ht="38.25" hidden="1" customHeight="1" x14ac:dyDescent="0.25">
      <c r="A621" s="103">
        <v>2026</v>
      </c>
      <c r="B621" s="104" t="s">
        <v>68</v>
      </c>
      <c r="C621" s="105" t="s">
        <v>1576</v>
      </c>
      <c r="D621" s="145" t="s">
        <v>114</v>
      </c>
      <c r="E621" s="145">
        <v>1</v>
      </c>
      <c r="F621" s="106" t="s">
        <v>1577</v>
      </c>
      <c r="G621" s="145" t="s">
        <v>120</v>
      </c>
      <c r="H621" s="104" t="s">
        <v>120</v>
      </c>
      <c r="I621" s="105"/>
      <c r="J621" s="145" t="s">
        <v>132</v>
      </c>
      <c r="K621" s="145" t="s">
        <v>3</v>
      </c>
      <c r="L621" s="104" t="s">
        <v>6</v>
      </c>
      <c r="M621" s="107" t="s">
        <v>200</v>
      </c>
      <c r="N621" s="235"/>
      <c r="O621" s="235"/>
      <c r="P621" s="235"/>
      <c r="Q621" s="145" t="s">
        <v>141</v>
      </c>
      <c r="R621" s="108"/>
      <c r="S621" s="108"/>
      <c r="T621" s="106" t="s">
        <v>1578</v>
      </c>
      <c r="U621" s="109">
        <v>2026</v>
      </c>
      <c r="V621" s="110"/>
      <c r="W621" s="108"/>
      <c r="X621" s="111"/>
      <c r="Y621" s="236"/>
      <c r="Z621" s="237"/>
      <c r="AA621" s="238">
        <v>350000</v>
      </c>
      <c r="AB621" s="239"/>
      <c r="AC621" s="239"/>
      <c r="AD621" s="240">
        <f>Engagements2026Juillet[[#This Row],[MONTANT MARCHE TTC  PART EN MAD]]</f>
        <v>350000</v>
      </c>
      <c r="AE621" s="112" t="s">
        <v>101</v>
      </c>
      <c r="AF621" s="241"/>
      <c r="AG621" s="242"/>
      <c r="AH621" s="243"/>
      <c r="AI621" s="243"/>
      <c r="AJ621" s="243"/>
      <c r="AK621" s="244"/>
      <c r="AL621" s="243"/>
      <c r="AM621" s="245"/>
      <c r="AN621" s="246"/>
      <c r="AO621" s="247"/>
      <c r="AP621" s="34"/>
      <c r="AQ621" s="34"/>
      <c r="AR621" s="156"/>
      <c r="AS621" s="37"/>
    </row>
    <row r="622" spans="1:45" s="39" customFormat="1" ht="25.5" hidden="1" customHeight="1" x14ac:dyDescent="0.25">
      <c r="A622" s="103">
        <v>2026</v>
      </c>
      <c r="B622" s="104" t="s">
        <v>60</v>
      </c>
      <c r="C622" s="105" t="s">
        <v>1579</v>
      </c>
      <c r="D622" s="145" t="s">
        <v>109</v>
      </c>
      <c r="E622" s="145">
        <v>1</v>
      </c>
      <c r="F622" s="106" t="s">
        <v>1580</v>
      </c>
      <c r="G622" s="145" t="s">
        <v>120</v>
      </c>
      <c r="H622" s="104" t="s">
        <v>120</v>
      </c>
      <c r="I622" s="105" t="s">
        <v>1579</v>
      </c>
      <c r="J622" s="145" t="s">
        <v>132</v>
      </c>
      <c r="K622" s="145"/>
      <c r="L622" s="104" t="s">
        <v>6</v>
      </c>
      <c r="M622" s="107" t="s">
        <v>16</v>
      </c>
      <c r="N622" s="235"/>
      <c r="O622" s="235"/>
      <c r="P622" s="235"/>
      <c r="Q622" s="145" t="s">
        <v>138</v>
      </c>
      <c r="R622" s="108"/>
      <c r="S622" s="108"/>
      <c r="T622" s="106" t="s">
        <v>1581</v>
      </c>
      <c r="U622" s="109"/>
      <c r="V622" s="110">
        <v>46223</v>
      </c>
      <c r="W622" s="108"/>
      <c r="X622" s="111"/>
      <c r="Y622" s="236">
        <v>11660</v>
      </c>
      <c r="Z622" s="237"/>
      <c r="AA622" s="238">
        <f>+Engagements2026Juillet[[#This Row],[MONTANT MARCHE HT PART EN MAD]]*1.2</f>
        <v>13992</v>
      </c>
      <c r="AB622" s="239"/>
      <c r="AC622" s="239"/>
      <c r="AD622" s="240">
        <f>Engagements2026Juillet[[#This Row],[MONTANT MARCHE TTC  PART EN MAD]]</f>
        <v>13992</v>
      </c>
      <c r="AE622" s="112" t="s">
        <v>101</v>
      </c>
      <c r="AF622" s="241"/>
      <c r="AG622" s="242"/>
      <c r="AH622" s="243"/>
      <c r="AI622" s="243"/>
      <c r="AJ622" s="243"/>
      <c r="AK622" s="244"/>
      <c r="AL622" s="243"/>
      <c r="AM622" s="245"/>
      <c r="AN622" s="246"/>
      <c r="AO622" s="247"/>
      <c r="AP622" s="34"/>
      <c r="AQ622" s="34"/>
      <c r="AR622" s="156"/>
      <c r="AS622" s="37"/>
    </row>
    <row r="623" spans="1:45" s="39" customFormat="1" ht="25.5" hidden="1" customHeight="1" x14ac:dyDescent="0.25">
      <c r="A623" s="103">
        <v>2026</v>
      </c>
      <c r="B623" s="104" t="s">
        <v>58</v>
      </c>
      <c r="C623" s="105" t="s">
        <v>1582</v>
      </c>
      <c r="D623" s="145" t="s">
        <v>106</v>
      </c>
      <c r="E623" s="145">
        <v>1</v>
      </c>
      <c r="F623" s="106" t="s">
        <v>1475</v>
      </c>
      <c r="G623" s="145" t="s">
        <v>121</v>
      </c>
      <c r="H623" s="104" t="s">
        <v>128</v>
      </c>
      <c r="I623" s="105"/>
      <c r="J623" s="145" t="s">
        <v>131</v>
      </c>
      <c r="K623" s="145" t="s">
        <v>3</v>
      </c>
      <c r="L623" s="104" t="s">
        <v>6</v>
      </c>
      <c r="M623" s="107" t="s">
        <v>25</v>
      </c>
      <c r="N623" s="254">
        <f>Engagements2026Juillet[[#This Row],[ESTIMATION TTC]]*1.2</f>
        <v>135388.79999999999</v>
      </c>
      <c r="O623" s="254">
        <v>112824</v>
      </c>
      <c r="P623" s="254">
        <f>Engagements2026Juillet[[#This Row],[ESTIMATION TTC]]/1.2</f>
        <v>94020</v>
      </c>
      <c r="Q623" s="145" t="s">
        <v>138</v>
      </c>
      <c r="R623" s="108"/>
      <c r="S623" s="108"/>
      <c r="T623" s="106"/>
      <c r="U623" s="109"/>
      <c r="V623" s="110"/>
      <c r="W623" s="108"/>
      <c r="X623" s="111"/>
      <c r="Y623" s="236"/>
      <c r="Z623" s="237"/>
      <c r="AA623" s="238"/>
      <c r="AB623" s="239"/>
      <c r="AC623" s="239"/>
      <c r="AD623" s="240"/>
      <c r="AE623" s="112" t="s">
        <v>100</v>
      </c>
      <c r="AF623" s="241"/>
      <c r="AG623" s="242"/>
      <c r="AH623" s="243"/>
      <c r="AI623" s="243"/>
      <c r="AJ623" s="243"/>
      <c r="AK623" s="244"/>
      <c r="AL623" s="243"/>
      <c r="AM623" s="245"/>
      <c r="AN623" s="246"/>
      <c r="AO623" s="247"/>
      <c r="AP623" s="34"/>
      <c r="AQ623" s="34"/>
      <c r="AR623" s="156"/>
      <c r="AS623" s="37"/>
    </row>
    <row r="624" spans="1:45" s="39" customFormat="1" ht="38.25" hidden="1" customHeight="1" x14ac:dyDescent="0.25">
      <c r="A624" s="61">
        <v>2026</v>
      </c>
      <c r="B624" s="63" t="s">
        <v>77</v>
      </c>
      <c r="C624" s="78" t="s">
        <v>1583</v>
      </c>
      <c r="D624" s="143" t="s">
        <v>114</v>
      </c>
      <c r="E624" s="143">
        <v>1</v>
      </c>
      <c r="F624" s="62" t="s">
        <v>1584</v>
      </c>
      <c r="G624" s="143" t="s">
        <v>120</v>
      </c>
      <c r="H624" s="63" t="s">
        <v>120</v>
      </c>
      <c r="I624" s="78"/>
      <c r="J624" s="143" t="s">
        <v>132</v>
      </c>
      <c r="K624" s="143" t="s">
        <v>3</v>
      </c>
      <c r="L624" s="104" t="s">
        <v>6</v>
      </c>
      <c r="M624" s="64" t="s">
        <v>180</v>
      </c>
      <c r="N624" s="233"/>
      <c r="O624" s="233"/>
      <c r="P624" s="233"/>
      <c r="Q624" s="143" t="s">
        <v>138</v>
      </c>
      <c r="R624" s="92"/>
      <c r="S624" s="92"/>
      <c r="T624" s="62" t="s">
        <v>1585</v>
      </c>
      <c r="U624" s="113">
        <v>46224</v>
      </c>
      <c r="V624" s="100"/>
      <c r="W624" s="92"/>
      <c r="X624" s="114"/>
      <c r="Y624" s="234">
        <v>12000</v>
      </c>
      <c r="Z624" s="248"/>
      <c r="AA624" s="249">
        <v>12000</v>
      </c>
      <c r="AB624" s="250"/>
      <c r="AC624" s="250"/>
      <c r="AD624" s="251">
        <v>0</v>
      </c>
      <c r="AE624" s="102" t="s">
        <v>103</v>
      </c>
      <c r="AF624" s="252"/>
      <c r="AG624" s="229"/>
      <c r="AH624" s="230"/>
      <c r="AI624" s="230"/>
      <c r="AJ624" s="230"/>
      <c r="AK624" s="253"/>
      <c r="AL624" s="230"/>
      <c r="AM624" s="232"/>
      <c r="AN624" s="246"/>
      <c r="AO624" s="247"/>
      <c r="AP624" s="34"/>
      <c r="AQ624" s="34"/>
      <c r="AR624" s="156"/>
      <c r="AS624" s="37"/>
    </row>
    <row r="625" spans="1:45" s="39" customFormat="1" ht="38.25" hidden="1" customHeight="1" x14ac:dyDescent="0.25">
      <c r="A625" s="61">
        <v>2026</v>
      </c>
      <c r="B625" s="63" t="s">
        <v>77</v>
      </c>
      <c r="C625" s="78" t="s">
        <v>1586</v>
      </c>
      <c r="D625" s="143" t="s">
        <v>114</v>
      </c>
      <c r="E625" s="143"/>
      <c r="F625" s="62" t="s">
        <v>1587</v>
      </c>
      <c r="G625" s="143" t="s">
        <v>121</v>
      </c>
      <c r="H625" s="63" t="s">
        <v>126</v>
      </c>
      <c r="I625" s="78"/>
      <c r="J625" s="143" t="s">
        <v>132</v>
      </c>
      <c r="K625" s="143" t="s">
        <v>3</v>
      </c>
      <c r="L625" s="63" t="s">
        <v>6</v>
      </c>
      <c r="M625" s="64" t="s">
        <v>180</v>
      </c>
      <c r="N625" s="233"/>
      <c r="O625" s="233"/>
      <c r="P625" s="233"/>
      <c r="Q625" s="143" t="s">
        <v>138</v>
      </c>
      <c r="R625" s="92"/>
      <c r="S625" s="92"/>
      <c r="T625" s="62" t="s">
        <v>1588</v>
      </c>
      <c r="U625" s="113">
        <v>46224</v>
      </c>
      <c r="V625" s="100"/>
      <c r="W625" s="92"/>
      <c r="X625" s="114"/>
      <c r="Y625" s="234">
        <v>36600</v>
      </c>
      <c r="Z625" s="248"/>
      <c r="AA625" s="249">
        <v>36600</v>
      </c>
      <c r="AB625" s="250"/>
      <c r="AC625" s="250"/>
      <c r="AD625" s="251">
        <v>36600</v>
      </c>
      <c r="AE625" s="102" t="s">
        <v>102</v>
      </c>
      <c r="AF625" s="252"/>
      <c r="AG625" s="229"/>
      <c r="AH625" s="230"/>
      <c r="AI625" s="230"/>
      <c r="AJ625" s="230"/>
      <c r="AK625" s="253"/>
      <c r="AL625" s="230"/>
      <c r="AM625" s="232"/>
      <c r="AN625" s="246"/>
      <c r="AO625" s="247"/>
      <c r="AP625" s="34"/>
      <c r="AQ625" s="34"/>
      <c r="AR625" s="156"/>
      <c r="AS625" s="37"/>
    </row>
    <row r="626" spans="1:45" s="39" customFormat="1" ht="38.25" hidden="1" customHeight="1" x14ac:dyDescent="0.25">
      <c r="A626" s="103">
        <v>2026</v>
      </c>
      <c r="B626" s="104" t="s">
        <v>65</v>
      </c>
      <c r="C626" s="105" t="s">
        <v>1589</v>
      </c>
      <c r="D626" s="145" t="s">
        <v>114</v>
      </c>
      <c r="E626" s="145">
        <v>1</v>
      </c>
      <c r="F626" s="106" t="s">
        <v>1590</v>
      </c>
      <c r="G626" s="145" t="s">
        <v>121</v>
      </c>
      <c r="H626" s="104" t="s">
        <v>126</v>
      </c>
      <c r="I626" s="105"/>
      <c r="J626" s="145" t="s">
        <v>132</v>
      </c>
      <c r="K626" s="145" t="s">
        <v>3</v>
      </c>
      <c r="L626" s="104" t="s">
        <v>6</v>
      </c>
      <c r="M626" s="107" t="s">
        <v>200</v>
      </c>
      <c r="N626" s="235"/>
      <c r="O626" s="235"/>
      <c r="P626" s="235"/>
      <c r="Q626" s="145" t="s">
        <v>138</v>
      </c>
      <c r="R626" s="108"/>
      <c r="S626" s="108"/>
      <c r="T626" s="106" t="s">
        <v>1591</v>
      </c>
      <c r="U626" s="109"/>
      <c r="V626" s="110"/>
      <c r="W626" s="108"/>
      <c r="X626" s="111"/>
      <c r="Y626" s="236">
        <v>50400</v>
      </c>
      <c r="Z626" s="237"/>
      <c r="AA626" s="238">
        <v>50400</v>
      </c>
      <c r="AB626" s="239"/>
      <c r="AC626" s="239"/>
      <c r="AD626" s="240">
        <v>50400</v>
      </c>
      <c r="AE626" s="112" t="s">
        <v>102</v>
      </c>
      <c r="AF626" s="241"/>
      <c r="AG626" s="242"/>
      <c r="AH626" s="243"/>
      <c r="AI626" s="243"/>
      <c r="AJ626" s="243"/>
      <c r="AK626" s="244"/>
      <c r="AL626" s="243"/>
      <c r="AM626" s="245"/>
      <c r="AN626" s="246"/>
      <c r="AO626" s="247"/>
      <c r="AP626" s="34"/>
      <c r="AQ626" s="34"/>
      <c r="AR626" s="156"/>
      <c r="AS626" s="37"/>
    </row>
    <row r="627" spans="1:45" s="39" customFormat="1" ht="38.25" hidden="1" customHeight="1" x14ac:dyDescent="0.25">
      <c r="A627" s="61">
        <v>2026</v>
      </c>
      <c r="B627" s="63" t="s">
        <v>58</v>
      </c>
      <c r="C627" s="78" t="s">
        <v>1592</v>
      </c>
      <c r="D627" s="143" t="s">
        <v>106</v>
      </c>
      <c r="E627" s="143">
        <v>1</v>
      </c>
      <c r="F627" s="62" t="s">
        <v>1593</v>
      </c>
      <c r="G627" s="143" t="s">
        <v>121</v>
      </c>
      <c r="H627" s="63" t="s">
        <v>128</v>
      </c>
      <c r="I627" s="78"/>
      <c r="J627" s="143" t="s">
        <v>132</v>
      </c>
      <c r="K627" s="143" t="s">
        <v>2</v>
      </c>
      <c r="L627" s="63" t="s">
        <v>7</v>
      </c>
      <c r="M627" s="64" t="s">
        <v>965</v>
      </c>
      <c r="N627" s="233">
        <f>Engagements2026Juillet[[#This Row],[ESTIMATION TTC]]*1.2</f>
        <v>6531436.7999999998</v>
      </c>
      <c r="O627" s="233">
        <v>5442864</v>
      </c>
      <c r="P627" s="233">
        <f>Engagements2026Juillet[[#This Row],[ESTIMATION TTC]]/1.2</f>
        <v>4535720</v>
      </c>
      <c r="Q627" s="143" t="s">
        <v>138</v>
      </c>
      <c r="R627" s="92"/>
      <c r="S627" s="92"/>
      <c r="T627" s="62"/>
      <c r="U627" s="113"/>
      <c r="V627" s="100"/>
      <c r="W627" s="92"/>
      <c r="X627" s="114"/>
      <c r="Y627" s="234"/>
      <c r="Z627" s="248"/>
      <c r="AA627" s="249"/>
      <c r="AB627" s="250"/>
      <c r="AC627" s="250"/>
      <c r="AD627" s="251"/>
      <c r="AE627" s="102" t="s">
        <v>100</v>
      </c>
      <c r="AF627" s="252"/>
      <c r="AG627" s="229"/>
      <c r="AH627" s="230"/>
      <c r="AI627" s="230"/>
      <c r="AJ627" s="230"/>
      <c r="AK627" s="253"/>
      <c r="AL627" s="230"/>
      <c r="AM627" s="232"/>
      <c r="AN627" s="246"/>
      <c r="AO627" s="247"/>
      <c r="AP627" s="34"/>
      <c r="AQ627" s="34"/>
      <c r="AR627" s="156"/>
      <c r="AS627" s="37"/>
    </row>
    <row r="628" spans="1:45" s="39" customFormat="1" ht="38.25" hidden="1" customHeight="1" x14ac:dyDescent="0.25">
      <c r="A628" s="61">
        <v>2026</v>
      </c>
      <c r="B628" s="63" t="s">
        <v>58</v>
      </c>
      <c r="C628" s="78" t="s">
        <v>1592</v>
      </c>
      <c r="D628" s="143" t="s">
        <v>106</v>
      </c>
      <c r="E628" s="143">
        <v>2</v>
      </c>
      <c r="F628" s="62" t="s">
        <v>1594</v>
      </c>
      <c r="G628" s="143" t="s">
        <v>121</v>
      </c>
      <c r="H628" s="63" t="s">
        <v>128</v>
      </c>
      <c r="I628" s="78"/>
      <c r="J628" s="143" t="s">
        <v>132</v>
      </c>
      <c r="K628" s="143" t="s">
        <v>2</v>
      </c>
      <c r="L628" s="63" t="s">
        <v>7</v>
      </c>
      <c r="M628" s="64" t="s">
        <v>965</v>
      </c>
      <c r="N628" s="233">
        <f>Engagements2026Juillet[[#This Row],[ESTIMATION TTC]]*1.2</f>
        <v>726451.19999999995</v>
      </c>
      <c r="O628" s="233">
        <v>605376</v>
      </c>
      <c r="P628" s="233">
        <f>Engagements2026Juillet[[#This Row],[ESTIMATION TTC]]/1.2</f>
        <v>504480</v>
      </c>
      <c r="Q628" s="143" t="s">
        <v>138</v>
      </c>
      <c r="R628" s="92"/>
      <c r="S628" s="92"/>
      <c r="T628" s="62"/>
      <c r="U628" s="113"/>
      <c r="V628" s="100"/>
      <c r="W628" s="92"/>
      <c r="X628" s="114"/>
      <c r="Y628" s="234"/>
      <c r="Z628" s="248"/>
      <c r="AA628" s="249"/>
      <c r="AB628" s="250"/>
      <c r="AC628" s="250"/>
      <c r="AD628" s="251"/>
      <c r="AE628" s="102" t="s">
        <v>100</v>
      </c>
      <c r="AF628" s="252"/>
      <c r="AG628" s="229"/>
      <c r="AH628" s="230"/>
      <c r="AI628" s="230"/>
      <c r="AJ628" s="230"/>
      <c r="AK628" s="253"/>
      <c r="AL628" s="230"/>
      <c r="AM628" s="232"/>
      <c r="AN628" s="246"/>
      <c r="AO628" s="247"/>
      <c r="AP628" s="34"/>
      <c r="AQ628" s="34"/>
      <c r="AR628" s="156"/>
      <c r="AS628" s="37"/>
    </row>
    <row r="629" spans="1:45" ht="25.5" hidden="1" customHeight="1" x14ac:dyDescent="0.25">
      <c r="A629" s="103">
        <v>2026</v>
      </c>
      <c r="B629" s="104" t="s">
        <v>58</v>
      </c>
      <c r="C629" s="105" t="s">
        <v>1595</v>
      </c>
      <c r="D629" s="145" t="s">
        <v>106</v>
      </c>
      <c r="E629" s="145">
        <v>1</v>
      </c>
      <c r="F629" s="106" t="s">
        <v>1473</v>
      </c>
      <c r="G629" s="145" t="s">
        <v>121</v>
      </c>
      <c r="H629" s="104" t="s">
        <v>128</v>
      </c>
      <c r="I629" s="105"/>
      <c r="J629" s="145" t="s">
        <v>131</v>
      </c>
      <c r="K629" s="145" t="s">
        <v>3</v>
      </c>
      <c r="L629" s="104" t="s">
        <v>7</v>
      </c>
      <c r="M629" s="64" t="s">
        <v>965</v>
      </c>
      <c r="N629" s="254">
        <v>2465640</v>
      </c>
      <c r="O629" s="254">
        <v>2054700</v>
      </c>
      <c r="P629" s="254">
        <v>1712250</v>
      </c>
      <c r="Q629" s="145" t="s">
        <v>138</v>
      </c>
      <c r="R629" s="108"/>
      <c r="S629" s="108"/>
      <c r="T629" s="106"/>
      <c r="U629" s="109"/>
      <c r="V629" s="110"/>
      <c r="W629" s="108"/>
      <c r="X629" s="111"/>
      <c r="Y629" s="236"/>
      <c r="Z629" s="237"/>
      <c r="AA629" s="238"/>
      <c r="AB629" s="239"/>
      <c r="AC629" s="239"/>
      <c r="AD629" s="240"/>
      <c r="AE629" s="112" t="s">
        <v>100</v>
      </c>
      <c r="AF629" s="241"/>
      <c r="AG629" s="242"/>
      <c r="AH629" s="243"/>
      <c r="AI629" s="243"/>
      <c r="AJ629" s="243"/>
      <c r="AK629" s="244"/>
      <c r="AL629" s="243"/>
      <c r="AM629" s="245" t="s">
        <v>1596</v>
      </c>
    </row>
    <row r="630" spans="1:45" ht="25.5" hidden="1" customHeight="1" x14ac:dyDescent="0.25">
      <c r="A630" s="61">
        <v>2026</v>
      </c>
      <c r="B630" s="63" t="s">
        <v>58</v>
      </c>
      <c r="C630" s="78" t="s">
        <v>1597</v>
      </c>
      <c r="D630" s="143" t="s">
        <v>106</v>
      </c>
      <c r="E630" s="143">
        <v>1</v>
      </c>
      <c r="F630" s="62" t="s">
        <v>1598</v>
      </c>
      <c r="G630" s="143" t="s">
        <v>121</v>
      </c>
      <c r="H630" s="63" t="s">
        <v>128</v>
      </c>
      <c r="I630" s="78"/>
      <c r="J630" s="143" t="s">
        <v>131</v>
      </c>
      <c r="K630" s="143" t="s">
        <v>4</v>
      </c>
      <c r="L630" s="63" t="s">
        <v>7</v>
      </c>
      <c r="M630" s="64" t="s">
        <v>965</v>
      </c>
      <c r="N630" s="233">
        <f>Engagements2026Juillet[[#This Row],[ESTIMATION TTC]]*1.2</f>
        <v>2236852.7999999998</v>
      </c>
      <c r="O630" s="233">
        <v>1864044</v>
      </c>
      <c r="P630" s="233"/>
      <c r="Q630" s="143" t="s">
        <v>138</v>
      </c>
      <c r="R630" s="92"/>
      <c r="S630" s="92"/>
      <c r="T630" s="62"/>
      <c r="U630" s="113"/>
      <c r="V630" s="100"/>
      <c r="W630" s="92"/>
      <c r="X630" s="114"/>
      <c r="Y630" s="234"/>
      <c r="Z630" s="248"/>
      <c r="AA630" s="249"/>
      <c r="AB630" s="250"/>
      <c r="AC630" s="250"/>
      <c r="AD630" s="251"/>
      <c r="AE630" s="102" t="s">
        <v>100</v>
      </c>
      <c r="AF630" s="252"/>
      <c r="AG630" s="229"/>
      <c r="AH630" s="230"/>
      <c r="AI630" s="230"/>
      <c r="AJ630" s="230"/>
      <c r="AK630" s="253"/>
      <c r="AL630" s="230"/>
      <c r="AM630" s="232"/>
    </row>
    <row r="631" spans="1:45" ht="114.75" hidden="1" customHeight="1" x14ac:dyDescent="0.25">
      <c r="A631" s="115">
        <v>2026</v>
      </c>
      <c r="B631" s="116" t="s">
        <v>55</v>
      </c>
      <c r="C631" s="117" t="s">
        <v>1599</v>
      </c>
      <c r="D631" s="146" t="s">
        <v>106</v>
      </c>
      <c r="E631" s="146">
        <v>1</v>
      </c>
      <c r="F631" s="118" t="s">
        <v>1600</v>
      </c>
      <c r="G631" s="146" t="s">
        <v>121</v>
      </c>
      <c r="H631" s="116" t="s">
        <v>128</v>
      </c>
      <c r="I631" s="117"/>
      <c r="J631" s="146" t="s">
        <v>131</v>
      </c>
      <c r="K631" s="146" t="s">
        <v>3</v>
      </c>
      <c r="L631" s="116" t="s">
        <v>7</v>
      </c>
      <c r="M631" s="119" t="s">
        <v>955</v>
      </c>
      <c r="N631" s="255">
        <f>Engagements2026Juillet[[#This Row],[ESTIMATION TTC]]*1.2</f>
        <v>4969440</v>
      </c>
      <c r="O631" s="255">
        <v>4141200</v>
      </c>
      <c r="P631" s="255"/>
      <c r="Q631" s="146" t="s">
        <v>138</v>
      </c>
      <c r="R631" s="120"/>
      <c r="S631" s="120"/>
      <c r="T631" s="118"/>
      <c r="U631" s="121"/>
      <c r="V631" s="122"/>
      <c r="W631" s="120"/>
      <c r="X631" s="123"/>
      <c r="Y631" s="256"/>
      <c r="Z631" s="257"/>
      <c r="AA631" s="258"/>
      <c r="AB631" s="259"/>
      <c r="AC631" s="259"/>
      <c r="AD631" s="260"/>
      <c r="AE631" s="124" t="s">
        <v>100</v>
      </c>
      <c r="AF631" s="261"/>
      <c r="AG631" s="262"/>
      <c r="AH631" s="263"/>
      <c r="AI631" s="263"/>
      <c r="AJ631" s="263"/>
      <c r="AK631" s="264"/>
      <c r="AL631" s="263"/>
      <c r="AM631" s="265"/>
    </row>
    <row r="632" spans="1:45" ht="38.25" hidden="1" customHeight="1" x14ac:dyDescent="0.25">
      <c r="A632" s="115">
        <v>2026</v>
      </c>
      <c r="B632" s="116" t="s">
        <v>58</v>
      </c>
      <c r="C632" s="117" t="s">
        <v>1601</v>
      </c>
      <c r="D632" s="146" t="s">
        <v>110</v>
      </c>
      <c r="E632" s="146">
        <v>1</v>
      </c>
      <c r="F632" s="118" t="s">
        <v>1602</v>
      </c>
      <c r="G632" s="146" t="s">
        <v>120</v>
      </c>
      <c r="H632" s="116" t="s">
        <v>120</v>
      </c>
      <c r="I632" s="117"/>
      <c r="J632" s="146" t="s">
        <v>131</v>
      </c>
      <c r="K632" s="146" t="s">
        <v>3</v>
      </c>
      <c r="L632" s="116" t="s">
        <v>6</v>
      </c>
      <c r="M632" s="119" t="s">
        <v>874</v>
      </c>
      <c r="N632" s="255"/>
      <c r="O632" s="255"/>
      <c r="P632" s="255"/>
      <c r="Q632" s="146"/>
      <c r="R632" s="120"/>
      <c r="S632" s="120"/>
      <c r="T632" s="118" t="s">
        <v>1603</v>
      </c>
      <c r="U632" s="121">
        <v>2026</v>
      </c>
      <c r="V632" s="122"/>
      <c r="W632" s="120"/>
      <c r="X632" s="123">
        <v>46234</v>
      </c>
      <c r="Y632" s="256"/>
      <c r="Z632" s="257"/>
      <c r="AA632" s="258"/>
      <c r="AB632" s="259"/>
      <c r="AC632" s="259"/>
      <c r="AD632" s="260">
        <v>134289.07999999999</v>
      </c>
      <c r="AE632" s="124" t="s">
        <v>102</v>
      </c>
      <c r="AF632" s="261"/>
      <c r="AG632" s="262"/>
      <c r="AH632" s="263"/>
      <c r="AI632" s="263"/>
      <c r="AJ632" s="263"/>
      <c r="AK632" s="264"/>
      <c r="AL632" s="263"/>
      <c r="AM632" s="265"/>
    </row>
    <row r="633" spans="1:45" ht="25.5" hidden="1" customHeight="1" x14ac:dyDescent="0.25">
      <c r="A633" s="115">
        <v>2026</v>
      </c>
      <c r="B633" s="116" t="s">
        <v>60</v>
      </c>
      <c r="C633" s="117" t="s">
        <v>1604</v>
      </c>
      <c r="D633" s="146" t="s">
        <v>109</v>
      </c>
      <c r="E633" s="146">
        <v>1</v>
      </c>
      <c r="F633" s="118" t="s">
        <v>1605</v>
      </c>
      <c r="G633" s="146" t="s">
        <v>121</v>
      </c>
      <c r="H633" s="116" t="s">
        <v>126</v>
      </c>
      <c r="I633" s="117"/>
      <c r="J633" s="146" t="s">
        <v>131</v>
      </c>
      <c r="K633" s="146" t="s">
        <v>3</v>
      </c>
      <c r="L633" s="116" t="s">
        <v>6</v>
      </c>
      <c r="M633" s="119" t="s">
        <v>26</v>
      </c>
      <c r="N633" s="255"/>
      <c r="O633" s="255"/>
      <c r="P633" s="255"/>
      <c r="Q633" s="146"/>
      <c r="R633" s="120"/>
      <c r="S633" s="120"/>
      <c r="T633" s="118" t="s">
        <v>928</v>
      </c>
      <c r="U633" s="121">
        <v>46120</v>
      </c>
      <c r="V633" s="122"/>
      <c r="W633" s="120"/>
      <c r="X633" s="123"/>
      <c r="Y633" s="256"/>
      <c r="Z633" s="257"/>
      <c r="AA633" s="258"/>
      <c r="AB633" s="260">
        <v>490050</v>
      </c>
      <c r="AC633" s="259">
        <v>445500</v>
      </c>
      <c r="AD633" s="260">
        <v>490050</v>
      </c>
      <c r="AE633" s="124" t="s">
        <v>102</v>
      </c>
      <c r="AF633" s="261"/>
      <c r="AG633" s="262"/>
      <c r="AH633" s="263"/>
      <c r="AI633" s="263"/>
      <c r="AJ633" s="263"/>
      <c r="AK633" s="264"/>
      <c r="AL633" s="263"/>
      <c r="AM633" s="265"/>
    </row>
    <row r="634" spans="1:45" ht="25.5" hidden="1" customHeight="1" x14ac:dyDescent="0.25">
      <c r="A634" s="115">
        <v>2026</v>
      </c>
      <c r="B634" s="116" t="s">
        <v>60</v>
      </c>
      <c r="C634" s="117" t="s">
        <v>1606</v>
      </c>
      <c r="D634" s="146" t="s">
        <v>109</v>
      </c>
      <c r="E634" s="146">
        <v>1</v>
      </c>
      <c r="F634" s="118" t="s">
        <v>1607</v>
      </c>
      <c r="G634" s="146" t="s">
        <v>121</v>
      </c>
      <c r="H634" s="116" t="s">
        <v>126</v>
      </c>
      <c r="I634" s="117"/>
      <c r="J634" s="146" t="s">
        <v>131</v>
      </c>
      <c r="K634" s="146" t="s">
        <v>3</v>
      </c>
      <c r="L634" s="116" t="s">
        <v>6</v>
      </c>
      <c r="M634" s="119" t="s">
        <v>16</v>
      </c>
      <c r="N634" s="255"/>
      <c r="O634" s="255"/>
      <c r="P634" s="255"/>
      <c r="Q634" s="146"/>
      <c r="R634" s="120"/>
      <c r="S634" s="120"/>
      <c r="T634" s="118" t="s">
        <v>1273</v>
      </c>
      <c r="U634" s="121">
        <v>46129</v>
      </c>
      <c r="V634" s="122"/>
      <c r="W634" s="120"/>
      <c r="X634" s="123"/>
      <c r="Y634" s="256"/>
      <c r="Z634" s="257"/>
      <c r="AA634" s="258"/>
      <c r="AB634" s="260">
        <v>297000</v>
      </c>
      <c r="AC634" s="259">
        <v>270000</v>
      </c>
      <c r="AD634" s="260">
        <v>297000</v>
      </c>
      <c r="AE634" s="124" t="s">
        <v>102</v>
      </c>
      <c r="AF634" s="261"/>
      <c r="AG634" s="262"/>
      <c r="AH634" s="263"/>
      <c r="AI634" s="263"/>
      <c r="AJ634" s="263"/>
      <c r="AK634" s="264"/>
      <c r="AL634" s="263"/>
      <c r="AM634" s="265"/>
    </row>
    <row r="635" spans="1:45" ht="25.5" hidden="1" customHeight="1" x14ac:dyDescent="0.25">
      <c r="A635" s="115">
        <v>2026</v>
      </c>
      <c r="B635" s="116" t="s">
        <v>60</v>
      </c>
      <c r="C635" s="117" t="s">
        <v>1608</v>
      </c>
      <c r="D635" s="146" t="s">
        <v>109</v>
      </c>
      <c r="E635" s="146">
        <v>1</v>
      </c>
      <c r="F635" s="118" t="s">
        <v>1609</v>
      </c>
      <c r="G635" s="146" t="s">
        <v>121</v>
      </c>
      <c r="H635" s="116" t="s">
        <v>126</v>
      </c>
      <c r="I635" s="117"/>
      <c r="J635" s="146" t="s">
        <v>131</v>
      </c>
      <c r="K635" s="146" t="s">
        <v>3</v>
      </c>
      <c r="L635" s="116" t="s">
        <v>6</v>
      </c>
      <c r="M635" s="119" t="s">
        <v>15</v>
      </c>
      <c r="N635" s="255"/>
      <c r="O635" s="255"/>
      <c r="P635" s="255"/>
      <c r="Q635" s="146"/>
      <c r="R635" s="120"/>
      <c r="S635" s="120"/>
      <c r="T635" s="118" t="s">
        <v>1610</v>
      </c>
      <c r="U635" s="121">
        <v>46135</v>
      </c>
      <c r="V635" s="122"/>
      <c r="W635" s="120"/>
      <c r="X635" s="123"/>
      <c r="Y635" s="256"/>
      <c r="Z635" s="257"/>
      <c r="AA635" s="258"/>
      <c r="AB635" s="259">
        <v>57000</v>
      </c>
      <c r="AC635" s="259">
        <v>47500</v>
      </c>
      <c r="AD635" s="260">
        <v>57000</v>
      </c>
      <c r="AE635" s="124" t="s">
        <v>102</v>
      </c>
      <c r="AF635" s="261"/>
      <c r="AG635" s="262"/>
      <c r="AH635" s="263"/>
      <c r="AI635" s="263"/>
      <c r="AJ635" s="263"/>
      <c r="AK635" s="264"/>
      <c r="AL635" s="263"/>
      <c r="AM635" s="265"/>
    </row>
    <row r="636" spans="1:45" ht="25.5" hidden="1" customHeight="1" x14ac:dyDescent="0.25">
      <c r="A636" s="115">
        <v>2026</v>
      </c>
      <c r="B636" s="116" t="s">
        <v>60</v>
      </c>
      <c r="C636" s="117" t="s">
        <v>1611</v>
      </c>
      <c r="D636" s="146" t="s">
        <v>109</v>
      </c>
      <c r="E636" s="146">
        <v>1</v>
      </c>
      <c r="F636" s="118" t="s">
        <v>1612</v>
      </c>
      <c r="G636" s="146" t="s">
        <v>121</v>
      </c>
      <c r="H636" s="116" t="s">
        <v>126</v>
      </c>
      <c r="I636" s="117"/>
      <c r="J636" s="146" t="s">
        <v>131</v>
      </c>
      <c r="K636" s="146" t="s">
        <v>3</v>
      </c>
      <c r="L636" s="116" t="s">
        <v>6</v>
      </c>
      <c r="M636" s="119" t="s">
        <v>26</v>
      </c>
      <c r="N636" s="255"/>
      <c r="O636" s="255"/>
      <c r="P636" s="255"/>
      <c r="Q636" s="146"/>
      <c r="R636" s="120"/>
      <c r="S636" s="120"/>
      <c r="T636" s="118" t="s">
        <v>1613</v>
      </c>
      <c r="U636" s="121">
        <v>46135</v>
      </c>
      <c r="V636" s="122"/>
      <c r="W636" s="120"/>
      <c r="X636" s="123"/>
      <c r="Y636" s="256"/>
      <c r="Z636" s="257"/>
      <c r="AA636" s="258"/>
      <c r="AB636" s="259">
        <v>65592</v>
      </c>
      <c r="AC636" s="259">
        <v>54660</v>
      </c>
      <c r="AD636" s="260">
        <v>65592</v>
      </c>
      <c r="AE636" s="124" t="s">
        <v>102</v>
      </c>
      <c r="AF636" s="261"/>
      <c r="AG636" s="262"/>
      <c r="AH636" s="263"/>
      <c r="AI636" s="263"/>
      <c r="AJ636" s="263"/>
      <c r="AK636" s="264"/>
      <c r="AL636" s="263"/>
      <c r="AM636" s="265"/>
    </row>
    <row r="637" spans="1:45" ht="25.5" hidden="1" customHeight="1" x14ac:dyDescent="0.25">
      <c r="A637" s="115">
        <v>2026</v>
      </c>
      <c r="B637" s="116" t="s">
        <v>66</v>
      </c>
      <c r="C637" s="117" t="s">
        <v>1614</v>
      </c>
      <c r="D637" s="146" t="s">
        <v>109</v>
      </c>
      <c r="E637" s="146">
        <v>1</v>
      </c>
      <c r="F637" s="118" t="s">
        <v>1615</v>
      </c>
      <c r="G637" s="146" t="s">
        <v>121</v>
      </c>
      <c r="H637" s="116" t="s">
        <v>126</v>
      </c>
      <c r="I637" s="117"/>
      <c r="J637" s="146" t="s">
        <v>131</v>
      </c>
      <c r="K637" s="146" t="s">
        <v>3</v>
      </c>
      <c r="L637" s="116" t="s">
        <v>6</v>
      </c>
      <c r="M637" s="119" t="s">
        <v>27</v>
      </c>
      <c r="N637" s="255"/>
      <c r="O637" s="255"/>
      <c r="P637" s="255"/>
      <c r="Q637" s="146"/>
      <c r="R637" s="120"/>
      <c r="S637" s="120"/>
      <c r="T637" s="118" t="s">
        <v>1616</v>
      </c>
      <c r="U637" s="121">
        <v>46150</v>
      </c>
      <c r="V637" s="122"/>
      <c r="W637" s="120"/>
      <c r="X637" s="123"/>
      <c r="Y637" s="256"/>
      <c r="Z637" s="257"/>
      <c r="AA637" s="258"/>
      <c r="AB637" s="259">
        <v>106200</v>
      </c>
      <c r="AC637" s="259">
        <v>88500</v>
      </c>
      <c r="AD637" s="260">
        <v>106200</v>
      </c>
      <c r="AE637" s="124" t="s">
        <v>102</v>
      </c>
      <c r="AF637" s="261"/>
      <c r="AG637" s="262"/>
      <c r="AH637" s="263"/>
      <c r="AI637" s="263"/>
      <c r="AJ637" s="263"/>
      <c r="AK637" s="264"/>
      <c r="AL637" s="263"/>
      <c r="AM637" s="265"/>
    </row>
    <row r="638" spans="1:45" ht="25.5" hidden="1" customHeight="1" x14ac:dyDescent="0.25">
      <c r="A638" s="115">
        <v>2026</v>
      </c>
      <c r="B638" s="116" t="s">
        <v>60</v>
      </c>
      <c r="C638" s="117" t="s">
        <v>1617</v>
      </c>
      <c r="D638" s="146" t="s">
        <v>109</v>
      </c>
      <c r="E638" s="146">
        <v>1</v>
      </c>
      <c r="F638" s="118" t="s">
        <v>1618</v>
      </c>
      <c r="G638" s="146" t="s">
        <v>121</v>
      </c>
      <c r="H638" s="116" t="s">
        <v>126</v>
      </c>
      <c r="I638" s="117"/>
      <c r="J638" s="146" t="s">
        <v>131</v>
      </c>
      <c r="K638" s="146" t="s">
        <v>3</v>
      </c>
      <c r="L638" s="116" t="s">
        <v>6</v>
      </c>
      <c r="M638" s="119" t="s">
        <v>41</v>
      </c>
      <c r="N638" s="255"/>
      <c r="O638" s="255"/>
      <c r="P638" s="255"/>
      <c r="Q638" s="146"/>
      <c r="R638" s="120"/>
      <c r="S638" s="120"/>
      <c r="T638" s="118" t="s">
        <v>1619</v>
      </c>
      <c r="U638" s="121">
        <v>46183</v>
      </c>
      <c r="V638" s="122"/>
      <c r="W638" s="120"/>
      <c r="X638" s="123"/>
      <c r="Y638" s="256"/>
      <c r="Z638" s="257"/>
      <c r="AA638" s="258"/>
      <c r="AB638" s="259">
        <v>4200</v>
      </c>
      <c r="AC638" s="259">
        <v>3500</v>
      </c>
      <c r="AD638" s="260">
        <v>4200</v>
      </c>
      <c r="AE638" s="124" t="s">
        <v>102</v>
      </c>
      <c r="AF638" s="261"/>
      <c r="AG638" s="262"/>
      <c r="AH638" s="263"/>
      <c r="AI638" s="263"/>
      <c r="AJ638" s="263"/>
      <c r="AK638" s="264"/>
      <c r="AL638" s="263"/>
      <c r="AM638" s="265"/>
    </row>
    <row r="639" spans="1:45" ht="25.5" hidden="1" customHeight="1" x14ac:dyDescent="0.25">
      <c r="A639" s="115">
        <v>2026</v>
      </c>
      <c r="B639" s="116" t="s">
        <v>77</v>
      </c>
      <c r="C639" s="117" t="s">
        <v>1620</v>
      </c>
      <c r="D639" s="146" t="s">
        <v>109</v>
      </c>
      <c r="E639" s="146">
        <v>1</v>
      </c>
      <c r="F639" s="118" t="s">
        <v>1621</v>
      </c>
      <c r="G639" s="146" t="s">
        <v>121</v>
      </c>
      <c r="H639" s="116" t="s">
        <v>126</v>
      </c>
      <c r="I639" s="117"/>
      <c r="J639" s="146" t="s">
        <v>131</v>
      </c>
      <c r="K639" s="146" t="s">
        <v>3</v>
      </c>
      <c r="L639" s="116" t="s">
        <v>6</v>
      </c>
      <c r="M639" s="119" t="s">
        <v>16</v>
      </c>
      <c r="N639" s="255"/>
      <c r="O639" s="255"/>
      <c r="P639" s="255"/>
      <c r="Q639" s="146"/>
      <c r="R639" s="120"/>
      <c r="S639" s="120"/>
      <c r="T639" s="118" t="s">
        <v>1540</v>
      </c>
      <c r="U639" s="121">
        <v>46092</v>
      </c>
      <c r="V639" s="122"/>
      <c r="W639" s="120"/>
      <c r="X639" s="123"/>
      <c r="Y639" s="256"/>
      <c r="Z639" s="257"/>
      <c r="AA639" s="258"/>
      <c r="AB639" s="259">
        <v>22800</v>
      </c>
      <c r="AC639" s="259">
        <v>19000</v>
      </c>
      <c r="AD639" s="260">
        <v>22800</v>
      </c>
      <c r="AE639" s="124" t="s">
        <v>102</v>
      </c>
      <c r="AF639" s="261"/>
      <c r="AG639" s="262"/>
      <c r="AH639" s="263"/>
      <c r="AI639" s="263"/>
      <c r="AJ639" s="263"/>
      <c r="AK639" s="264"/>
      <c r="AL639" s="263"/>
      <c r="AM639" s="265"/>
    </row>
    <row r="640" spans="1:45" ht="38.25" hidden="1" customHeight="1" x14ac:dyDescent="0.25">
      <c r="A640" s="115">
        <v>2026</v>
      </c>
      <c r="B640" s="116" t="s">
        <v>60</v>
      </c>
      <c r="C640" s="117" t="s">
        <v>1622</v>
      </c>
      <c r="D640" s="146" t="s">
        <v>109</v>
      </c>
      <c r="E640" s="146">
        <v>1</v>
      </c>
      <c r="F640" s="118" t="s">
        <v>1623</v>
      </c>
      <c r="G640" s="146" t="s">
        <v>121</v>
      </c>
      <c r="H640" s="116" t="s">
        <v>126</v>
      </c>
      <c r="I640" s="117"/>
      <c r="J640" s="146" t="s">
        <v>131</v>
      </c>
      <c r="K640" s="146" t="s">
        <v>3</v>
      </c>
      <c r="L640" s="116" t="s">
        <v>6</v>
      </c>
      <c r="M640" s="119" t="s">
        <v>26</v>
      </c>
      <c r="N640" s="255"/>
      <c r="O640" s="255"/>
      <c r="P640" s="255"/>
      <c r="Q640" s="146"/>
      <c r="R640" s="120"/>
      <c r="S640" s="120"/>
      <c r="T640" s="118" t="s">
        <v>928</v>
      </c>
      <c r="U640" s="121"/>
      <c r="V640" s="122"/>
      <c r="W640" s="120"/>
      <c r="X640" s="123">
        <v>46232</v>
      </c>
      <c r="Y640" s="256"/>
      <c r="Z640" s="257"/>
      <c r="AA640" s="258"/>
      <c r="AB640" s="259">
        <v>459030</v>
      </c>
      <c r="AC640" s="259">
        <v>417300</v>
      </c>
      <c r="AD640" s="260">
        <v>459030</v>
      </c>
      <c r="AE640" s="124" t="s">
        <v>102</v>
      </c>
      <c r="AF640" s="261"/>
      <c r="AG640" s="262"/>
      <c r="AH640" s="263"/>
      <c r="AI640" s="263"/>
      <c r="AJ640" s="263"/>
      <c r="AK640" s="264"/>
      <c r="AL640" s="263"/>
      <c r="AM640" s="265"/>
    </row>
    <row r="641" spans="1:39" ht="25.5" hidden="1" customHeight="1" x14ac:dyDescent="0.25">
      <c r="A641" s="115">
        <v>2026</v>
      </c>
      <c r="B641" s="116" t="s">
        <v>55</v>
      </c>
      <c r="C641" s="117" t="s">
        <v>1624</v>
      </c>
      <c r="D641" s="146" t="s">
        <v>109</v>
      </c>
      <c r="E641" s="146">
        <v>1</v>
      </c>
      <c r="F641" s="118" t="s">
        <v>1625</v>
      </c>
      <c r="G641" s="146" t="s">
        <v>121</v>
      </c>
      <c r="H641" s="116" t="s">
        <v>126</v>
      </c>
      <c r="I641" s="117"/>
      <c r="J641" s="146" t="s">
        <v>131</v>
      </c>
      <c r="K641" s="146" t="s">
        <v>3</v>
      </c>
      <c r="L641" s="116" t="s">
        <v>7</v>
      </c>
      <c r="M641" s="119" t="s">
        <v>34</v>
      </c>
      <c r="N641" s="255"/>
      <c r="O641" s="255"/>
      <c r="P641" s="255"/>
      <c r="Q641" s="146"/>
      <c r="R641" s="120"/>
      <c r="S641" s="120"/>
      <c r="T641" s="118" t="s">
        <v>1626</v>
      </c>
      <c r="U641" s="121"/>
      <c r="V641" s="122"/>
      <c r="W641" s="120"/>
      <c r="X641" s="123">
        <v>46245</v>
      </c>
      <c r="Y641" s="256"/>
      <c r="Z641" s="257"/>
      <c r="AA641" s="258"/>
      <c r="AB641" s="259">
        <v>19200</v>
      </c>
      <c r="AC641" s="259">
        <v>16000</v>
      </c>
      <c r="AD641" s="260">
        <v>19200</v>
      </c>
      <c r="AE641" s="124" t="s">
        <v>102</v>
      </c>
      <c r="AF641" s="261"/>
      <c r="AG641" s="262"/>
      <c r="AH641" s="263"/>
      <c r="AI641" s="263"/>
      <c r="AJ641" s="263"/>
      <c r="AK641" s="264"/>
      <c r="AL641" s="263"/>
      <c r="AM641" s="265"/>
    </row>
    <row r="642" spans="1:39" ht="25.5" hidden="1" customHeight="1" x14ac:dyDescent="0.25">
      <c r="A642" s="61">
        <v>2026</v>
      </c>
      <c r="B642" s="63" t="s">
        <v>60</v>
      </c>
      <c r="C642" s="78" t="s">
        <v>1627</v>
      </c>
      <c r="D642" s="143" t="s">
        <v>106</v>
      </c>
      <c r="E642" s="143">
        <v>1</v>
      </c>
      <c r="F642" s="62" t="s">
        <v>1628</v>
      </c>
      <c r="G642" s="143" t="s">
        <v>120</v>
      </c>
      <c r="H642" s="63" t="s">
        <v>120</v>
      </c>
      <c r="I642" s="78"/>
      <c r="J642" s="143" t="s">
        <v>131</v>
      </c>
      <c r="K642" s="143" t="s">
        <v>3</v>
      </c>
      <c r="L642" s="63" t="s">
        <v>6</v>
      </c>
      <c r="M642" s="64" t="s">
        <v>1629</v>
      </c>
      <c r="N642" s="233">
        <f>Engagements2026Juillet[[#This Row],[ESTIMATION TTC]]*1.2</f>
        <v>2880000</v>
      </c>
      <c r="O642" s="233">
        <v>2400000</v>
      </c>
      <c r="P642" s="233"/>
      <c r="Q642" s="143"/>
      <c r="R642" s="92"/>
      <c r="S642" s="92"/>
      <c r="T642" s="62"/>
      <c r="U642" s="113"/>
      <c r="V642" s="100"/>
      <c r="W642" s="92"/>
      <c r="X642" s="114"/>
      <c r="Y642" s="234"/>
      <c r="Z642" s="248"/>
      <c r="AA642" s="249"/>
      <c r="AB642" s="250"/>
      <c r="AC642" s="250"/>
      <c r="AD642" s="251"/>
      <c r="AE642" s="102" t="s">
        <v>99</v>
      </c>
      <c r="AF642" s="252"/>
      <c r="AG642" s="229"/>
      <c r="AH642" s="230"/>
      <c r="AI642" s="230"/>
      <c r="AJ642" s="230"/>
      <c r="AK642" s="253"/>
      <c r="AL642" s="230"/>
      <c r="AM642" s="232"/>
    </row>
    <row r="643" spans="1:39" ht="25.5" hidden="1" customHeight="1" x14ac:dyDescent="0.25">
      <c r="A643" s="115">
        <v>2026</v>
      </c>
      <c r="B643" s="116" t="s">
        <v>60</v>
      </c>
      <c r="C643" s="117" t="s">
        <v>1630</v>
      </c>
      <c r="D643" s="146" t="s">
        <v>114</v>
      </c>
      <c r="E643" s="146">
        <v>1</v>
      </c>
      <c r="F643" s="118" t="s">
        <v>1631</v>
      </c>
      <c r="G643" s="146" t="s">
        <v>121</v>
      </c>
      <c r="H643" s="116" t="s">
        <v>126</v>
      </c>
      <c r="I643" s="117"/>
      <c r="J643" s="146" t="s">
        <v>131</v>
      </c>
      <c r="K643" s="146" t="s">
        <v>3</v>
      </c>
      <c r="L643" s="116" t="s">
        <v>6</v>
      </c>
      <c r="M643" s="119" t="s">
        <v>26</v>
      </c>
      <c r="N643" s="255"/>
      <c r="O643" s="255"/>
      <c r="P643" s="255"/>
      <c r="Q643" s="146"/>
      <c r="R643" s="120"/>
      <c r="S643" s="120"/>
      <c r="T643" s="118" t="s">
        <v>1458</v>
      </c>
      <c r="U643" s="121"/>
      <c r="V643" s="122"/>
      <c r="W643" s="120"/>
      <c r="X643" s="123"/>
      <c r="Y643" s="256"/>
      <c r="Z643" s="257"/>
      <c r="AA643" s="258"/>
      <c r="AB643" s="259">
        <v>200000</v>
      </c>
      <c r="AC643" s="259"/>
      <c r="AD643" s="260">
        <v>200000</v>
      </c>
      <c r="AE643" s="124" t="s">
        <v>102</v>
      </c>
      <c r="AF643" s="261"/>
      <c r="AG643" s="262"/>
      <c r="AH643" s="263"/>
      <c r="AI643" s="263"/>
      <c r="AJ643" s="263"/>
      <c r="AK643" s="264"/>
      <c r="AL643" s="263"/>
      <c r="AM643" s="265"/>
    </row>
    <row r="644" spans="1:39" ht="38.25" hidden="1" customHeight="1" x14ac:dyDescent="0.25">
      <c r="A644" s="61">
        <v>2026</v>
      </c>
      <c r="B644" s="63" t="s">
        <v>68</v>
      </c>
      <c r="C644" s="78" t="s">
        <v>1632</v>
      </c>
      <c r="D644" s="143" t="s">
        <v>114</v>
      </c>
      <c r="E644" s="143">
        <v>1</v>
      </c>
      <c r="F644" s="62" t="s">
        <v>1633</v>
      </c>
      <c r="G644" s="143" t="s">
        <v>120</v>
      </c>
      <c r="H644" s="63" t="s">
        <v>120</v>
      </c>
      <c r="I644" s="78"/>
      <c r="J644" s="143" t="s">
        <v>131</v>
      </c>
      <c r="K644" s="143" t="s">
        <v>3</v>
      </c>
      <c r="L644" s="63" t="s">
        <v>6</v>
      </c>
      <c r="M644" s="64" t="s">
        <v>1109</v>
      </c>
      <c r="N644" s="233"/>
      <c r="O644" s="233"/>
      <c r="P644" s="233"/>
      <c r="Q644" s="143"/>
      <c r="R644" s="92"/>
      <c r="S644" s="92"/>
      <c r="T644" s="62" t="s">
        <v>1634</v>
      </c>
      <c r="U644" s="113"/>
      <c r="V644" s="100"/>
      <c r="W644" s="92"/>
      <c r="X644" s="114"/>
      <c r="Y644" s="234"/>
      <c r="Z644" s="248"/>
      <c r="AA644" s="249"/>
      <c r="AB644" s="250"/>
      <c r="AC644" s="250"/>
      <c r="AD644" s="251">
        <v>1082231.3400000001</v>
      </c>
      <c r="AE644" s="102" t="s">
        <v>101</v>
      </c>
      <c r="AF644" s="252"/>
      <c r="AG644" s="229"/>
      <c r="AH644" s="230"/>
      <c r="AI644" s="230"/>
      <c r="AJ644" s="230"/>
      <c r="AK644" s="253"/>
      <c r="AL644" s="230"/>
      <c r="AM644" s="232"/>
    </row>
    <row r="645" spans="1:39" ht="25.5" hidden="1" customHeight="1" x14ac:dyDescent="0.25">
      <c r="A645" s="61">
        <v>2026</v>
      </c>
      <c r="B645" s="63" t="s">
        <v>56</v>
      </c>
      <c r="C645" s="78" t="s">
        <v>1635</v>
      </c>
      <c r="D645" s="143" t="s">
        <v>106</v>
      </c>
      <c r="E645" s="143">
        <v>1</v>
      </c>
      <c r="F645" s="62" t="s">
        <v>1481</v>
      </c>
      <c r="G645" s="143" t="s">
        <v>121</v>
      </c>
      <c r="H645" s="63" t="s">
        <v>128</v>
      </c>
      <c r="I645" s="78"/>
      <c r="J645" s="143" t="s">
        <v>131</v>
      </c>
      <c r="K645" s="143" t="s">
        <v>3</v>
      </c>
      <c r="L645" s="63" t="s">
        <v>6</v>
      </c>
      <c r="M645" s="64" t="s">
        <v>15</v>
      </c>
      <c r="N645" s="233">
        <f>Engagements2026Juillet[[#This Row],[ESTIMATION TTC]]*1.2</f>
        <v>3535056</v>
      </c>
      <c r="O645" s="233">
        <v>2945880</v>
      </c>
      <c r="P645" s="233"/>
      <c r="Q645" s="143"/>
      <c r="R645" s="92"/>
      <c r="S645" s="92"/>
      <c r="T645" s="62"/>
      <c r="U645" s="113"/>
      <c r="V645" s="100"/>
      <c r="W645" s="92"/>
      <c r="X645" s="114"/>
      <c r="Y645" s="234"/>
      <c r="Z645" s="248"/>
      <c r="AA645" s="249"/>
      <c r="AB645" s="250"/>
      <c r="AC645" s="250"/>
      <c r="AD645" s="251"/>
      <c r="AE645" s="102" t="s">
        <v>100</v>
      </c>
      <c r="AF645" s="252"/>
      <c r="AG645" s="229"/>
      <c r="AH645" s="230"/>
      <c r="AI645" s="230"/>
      <c r="AJ645" s="230"/>
      <c r="AK645" s="253"/>
      <c r="AL645" s="230"/>
      <c r="AM645" s="232"/>
    </row>
    <row r="646" spans="1:39" ht="51" hidden="1" customHeight="1" x14ac:dyDescent="0.25">
      <c r="A646" s="61">
        <v>2026</v>
      </c>
      <c r="B646" s="63" t="s">
        <v>60</v>
      </c>
      <c r="C646" s="78" t="s">
        <v>1636</v>
      </c>
      <c r="D646" s="143" t="s">
        <v>106</v>
      </c>
      <c r="E646" s="143">
        <v>1</v>
      </c>
      <c r="F646" s="62" t="s">
        <v>1637</v>
      </c>
      <c r="G646" s="143" t="s">
        <v>121</v>
      </c>
      <c r="H646" s="63" t="s">
        <v>128</v>
      </c>
      <c r="I646" s="78"/>
      <c r="J646" s="143" t="s">
        <v>131</v>
      </c>
      <c r="K646" s="143" t="s">
        <v>3</v>
      </c>
      <c r="L646" s="63" t="s">
        <v>6</v>
      </c>
      <c r="M646" s="64" t="s">
        <v>23</v>
      </c>
      <c r="N646" s="233">
        <f>Engagements2026Juillet[[#This Row],[ESTIMATION TTC]]*1.2</f>
        <v>876000</v>
      </c>
      <c r="O646" s="233">
        <v>730000</v>
      </c>
      <c r="P646" s="233"/>
      <c r="Q646" s="143"/>
      <c r="R646" s="92"/>
      <c r="S646" s="92"/>
      <c r="T646" s="62"/>
      <c r="U646" s="113"/>
      <c r="V646" s="100"/>
      <c r="W646" s="92"/>
      <c r="X646" s="114"/>
      <c r="Y646" s="234"/>
      <c r="Z646" s="248"/>
      <c r="AA646" s="249"/>
      <c r="AB646" s="250"/>
      <c r="AC646" s="250"/>
      <c r="AD646" s="251"/>
      <c r="AE646" s="102" t="s">
        <v>100</v>
      </c>
      <c r="AF646" s="252"/>
      <c r="AG646" s="229"/>
      <c r="AH646" s="230"/>
      <c r="AI646" s="230"/>
      <c r="AJ646" s="230"/>
      <c r="AK646" s="253"/>
      <c r="AL646" s="230"/>
      <c r="AM646" s="232"/>
    </row>
    <row r="647" spans="1:39" ht="33" hidden="1" customHeight="1" x14ac:dyDescent="0.25">
      <c r="A647" s="61">
        <v>2026</v>
      </c>
      <c r="B647" s="63" t="s">
        <v>63</v>
      </c>
      <c r="C647" s="78" t="s">
        <v>1638</v>
      </c>
      <c r="D647" s="143" t="s">
        <v>114</v>
      </c>
      <c r="E647" s="143">
        <v>1</v>
      </c>
      <c r="F647" s="62" t="s">
        <v>1639</v>
      </c>
      <c r="G647" s="143" t="s">
        <v>121</v>
      </c>
      <c r="H647" s="63" t="s">
        <v>126</v>
      </c>
      <c r="I647" s="78"/>
      <c r="J647" s="143" t="s">
        <v>131</v>
      </c>
      <c r="K647" s="143" t="s">
        <v>3</v>
      </c>
      <c r="L647" s="63" t="s">
        <v>6</v>
      </c>
      <c r="M647" s="64" t="s">
        <v>947</v>
      </c>
      <c r="N647" s="233"/>
      <c r="O647" s="233"/>
      <c r="P647" s="233"/>
      <c r="Q647" s="143"/>
      <c r="R647" s="92"/>
      <c r="S647" s="92"/>
      <c r="T647" s="62" t="s">
        <v>1822</v>
      </c>
      <c r="U647" s="113"/>
      <c r="V647" s="100"/>
      <c r="W647" s="92"/>
      <c r="X647" s="114"/>
      <c r="Y647" s="234"/>
      <c r="Z647" s="248"/>
      <c r="AA647" s="249"/>
      <c r="AB647" s="250"/>
      <c r="AC647" s="250"/>
      <c r="AD647" s="251">
        <v>534310</v>
      </c>
      <c r="AE647" s="102" t="s">
        <v>102</v>
      </c>
      <c r="AF647" s="252"/>
      <c r="AG647" s="229"/>
      <c r="AH647" s="230"/>
      <c r="AI647" s="230"/>
      <c r="AJ647" s="230"/>
      <c r="AK647" s="253"/>
      <c r="AL647" s="230"/>
      <c r="AM647" s="232"/>
    </row>
    <row r="648" spans="1:39" ht="25.5" hidden="1" customHeight="1" x14ac:dyDescent="0.25">
      <c r="A648" s="137">
        <v>2026</v>
      </c>
      <c r="B648" s="125" t="s">
        <v>77</v>
      </c>
      <c r="C648" s="126" t="s">
        <v>1640</v>
      </c>
      <c r="D648" s="147" t="s">
        <v>107</v>
      </c>
      <c r="E648" s="147">
        <v>1</v>
      </c>
      <c r="F648" s="127" t="s">
        <v>1641</v>
      </c>
      <c r="G648" s="147" t="s">
        <v>120</v>
      </c>
      <c r="H648" s="125" t="s">
        <v>120</v>
      </c>
      <c r="I648" s="126"/>
      <c r="J648" s="147" t="s">
        <v>131</v>
      </c>
      <c r="K648" s="147" t="s">
        <v>3</v>
      </c>
      <c r="L648" s="125" t="s">
        <v>6</v>
      </c>
      <c r="M648" s="128" t="s">
        <v>913</v>
      </c>
      <c r="N648" s="266"/>
      <c r="O648" s="266"/>
      <c r="P648" s="266"/>
      <c r="Q648" s="147"/>
      <c r="R648" s="129"/>
      <c r="S648" s="129"/>
      <c r="T648" s="127" t="s">
        <v>1642</v>
      </c>
      <c r="U648" s="130"/>
      <c r="V648" s="131"/>
      <c r="W648" s="129"/>
      <c r="X648" s="132"/>
      <c r="Y648" s="267"/>
      <c r="Z648" s="268"/>
      <c r="AA648" s="269"/>
      <c r="AB648" s="270"/>
      <c r="AC648" s="271">
        <v>3339840</v>
      </c>
      <c r="AD648" s="271">
        <v>3339840</v>
      </c>
      <c r="AE648" s="133" t="s">
        <v>102</v>
      </c>
      <c r="AF648" s="272"/>
      <c r="AG648" s="273"/>
      <c r="AH648" s="274"/>
      <c r="AI648" s="274"/>
      <c r="AJ648" s="274"/>
      <c r="AK648" s="275"/>
      <c r="AL648" s="274"/>
      <c r="AM648" s="276"/>
    </row>
    <row r="649" spans="1:39" ht="25.5" hidden="1" customHeight="1" x14ac:dyDescent="0.25">
      <c r="A649" s="137">
        <v>2026</v>
      </c>
      <c r="B649" s="125" t="s">
        <v>77</v>
      </c>
      <c r="C649" s="126" t="s">
        <v>1643</v>
      </c>
      <c r="D649" s="147" t="s">
        <v>107</v>
      </c>
      <c r="E649" s="147">
        <v>1</v>
      </c>
      <c r="F649" s="127" t="s">
        <v>1644</v>
      </c>
      <c r="G649" s="147" t="s">
        <v>120</v>
      </c>
      <c r="H649" s="125" t="s">
        <v>120</v>
      </c>
      <c r="I649" s="126"/>
      <c r="J649" s="147" t="s">
        <v>131</v>
      </c>
      <c r="K649" s="147" t="s">
        <v>3</v>
      </c>
      <c r="L649" s="125" t="s">
        <v>6</v>
      </c>
      <c r="M649" s="128" t="s">
        <v>913</v>
      </c>
      <c r="N649" s="266"/>
      <c r="O649" s="266"/>
      <c r="P649" s="266"/>
      <c r="Q649" s="147"/>
      <c r="R649" s="129"/>
      <c r="S649" s="129"/>
      <c r="T649" s="127" t="s">
        <v>1645</v>
      </c>
      <c r="U649" s="130"/>
      <c r="V649" s="131"/>
      <c r="W649" s="129"/>
      <c r="X649" s="132"/>
      <c r="Y649" s="267"/>
      <c r="Z649" s="268"/>
      <c r="AA649" s="269"/>
      <c r="AB649" s="270"/>
      <c r="AC649" s="271">
        <v>3581536</v>
      </c>
      <c r="AD649" s="271">
        <v>3581536</v>
      </c>
      <c r="AE649" s="133" t="s">
        <v>101</v>
      </c>
      <c r="AF649" s="272"/>
      <c r="AG649" s="273"/>
      <c r="AH649" s="274"/>
      <c r="AI649" s="274"/>
      <c r="AJ649" s="274"/>
      <c r="AK649" s="275"/>
      <c r="AL649" s="274"/>
      <c r="AM649" s="276"/>
    </row>
    <row r="650" spans="1:39" ht="25.5" hidden="1" customHeight="1" x14ac:dyDescent="0.25">
      <c r="A650" s="137">
        <v>2026</v>
      </c>
      <c r="B650" s="125" t="s">
        <v>77</v>
      </c>
      <c r="C650" s="126" t="s">
        <v>1646</v>
      </c>
      <c r="D650" s="147" t="s">
        <v>107</v>
      </c>
      <c r="E650" s="147">
        <v>1</v>
      </c>
      <c r="F650" s="127" t="s">
        <v>1647</v>
      </c>
      <c r="G650" s="147" t="s">
        <v>120</v>
      </c>
      <c r="H650" s="125" t="s">
        <v>120</v>
      </c>
      <c r="I650" s="126"/>
      <c r="J650" s="147" t="s">
        <v>131</v>
      </c>
      <c r="K650" s="147" t="s">
        <v>3</v>
      </c>
      <c r="L650" s="125" t="s">
        <v>6</v>
      </c>
      <c r="M650" s="128" t="s">
        <v>913</v>
      </c>
      <c r="N650" s="266"/>
      <c r="O650" s="266"/>
      <c r="P650" s="266"/>
      <c r="Q650" s="147"/>
      <c r="R650" s="129"/>
      <c r="S650" s="129"/>
      <c r="T650" s="127" t="s">
        <v>1645</v>
      </c>
      <c r="U650" s="130"/>
      <c r="V650" s="131"/>
      <c r="W650" s="129"/>
      <c r="X650" s="132"/>
      <c r="Y650" s="267"/>
      <c r="Z650" s="268"/>
      <c r="AA650" s="277"/>
      <c r="AB650" s="278"/>
      <c r="AC650" s="278">
        <v>4086096</v>
      </c>
      <c r="AD650" s="271">
        <v>4086096</v>
      </c>
      <c r="AE650" s="133" t="s">
        <v>102</v>
      </c>
      <c r="AF650" s="272"/>
      <c r="AG650" s="273"/>
      <c r="AH650" s="274"/>
      <c r="AI650" s="274"/>
      <c r="AJ650" s="274"/>
      <c r="AK650" s="275"/>
      <c r="AL650" s="274"/>
      <c r="AM650" s="276"/>
    </row>
    <row r="651" spans="1:39" ht="25.5" hidden="1" customHeight="1" x14ac:dyDescent="0.25">
      <c r="A651" s="137">
        <v>2026</v>
      </c>
      <c r="B651" s="125" t="s">
        <v>77</v>
      </c>
      <c r="C651" s="126" t="s">
        <v>1648</v>
      </c>
      <c r="D651" s="147" t="s">
        <v>107</v>
      </c>
      <c r="E651" s="147">
        <v>1</v>
      </c>
      <c r="F651" s="127" t="s">
        <v>1649</v>
      </c>
      <c r="G651" s="147" t="s">
        <v>120</v>
      </c>
      <c r="H651" s="125" t="s">
        <v>120</v>
      </c>
      <c r="I651" s="126"/>
      <c r="J651" s="147" t="s">
        <v>131</v>
      </c>
      <c r="K651" s="147" t="s">
        <v>3</v>
      </c>
      <c r="L651" s="125" t="s">
        <v>6</v>
      </c>
      <c r="M651" s="128" t="s">
        <v>913</v>
      </c>
      <c r="N651" s="266"/>
      <c r="O651" s="266"/>
      <c r="P651" s="266"/>
      <c r="Q651" s="147"/>
      <c r="R651" s="129"/>
      <c r="S651" s="129"/>
      <c r="T651" s="127" t="s">
        <v>1650</v>
      </c>
      <c r="U651" s="130"/>
      <c r="V651" s="131"/>
      <c r="W651" s="129"/>
      <c r="X651" s="132"/>
      <c r="Y651" s="267"/>
      <c r="Z651" s="268"/>
      <c r="AA651" s="277"/>
      <c r="AB651" s="278"/>
      <c r="AC651" s="278">
        <v>3901912.01</v>
      </c>
      <c r="AD651" s="271">
        <f>AC651*1.2</f>
        <v>4682294.4119999995</v>
      </c>
      <c r="AE651" s="133" t="s">
        <v>102</v>
      </c>
      <c r="AF651" s="272"/>
      <c r="AG651" s="273"/>
      <c r="AH651" s="274"/>
      <c r="AI651" s="274"/>
      <c r="AJ651" s="274"/>
      <c r="AK651" s="275"/>
      <c r="AL651" s="274"/>
      <c r="AM651" s="276"/>
    </row>
    <row r="652" spans="1:39" ht="25.5" hidden="1" customHeight="1" x14ac:dyDescent="0.25">
      <c r="A652" s="137">
        <v>2026</v>
      </c>
      <c r="B652" s="125" t="s">
        <v>77</v>
      </c>
      <c r="C652" s="126" t="s">
        <v>1651</v>
      </c>
      <c r="D652" s="147" t="s">
        <v>107</v>
      </c>
      <c r="E652" s="147">
        <v>1</v>
      </c>
      <c r="F652" s="127" t="s">
        <v>1652</v>
      </c>
      <c r="G652" s="147" t="s">
        <v>120</v>
      </c>
      <c r="H652" s="125" t="s">
        <v>120</v>
      </c>
      <c r="I652" s="126"/>
      <c r="J652" s="147" t="s">
        <v>131</v>
      </c>
      <c r="K652" s="147" t="s">
        <v>3</v>
      </c>
      <c r="L652" s="125" t="s">
        <v>6</v>
      </c>
      <c r="M652" s="128" t="s">
        <v>913</v>
      </c>
      <c r="N652" s="266"/>
      <c r="O652" s="266"/>
      <c r="P652" s="266"/>
      <c r="Q652" s="147"/>
      <c r="R652" s="129"/>
      <c r="S652" s="129"/>
      <c r="T652" s="127" t="s">
        <v>1653</v>
      </c>
      <c r="U652" s="130"/>
      <c r="V652" s="131"/>
      <c r="W652" s="129"/>
      <c r="X652" s="132"/>
      <c r="Y652" s="267"/>
      <c r="Z652" s="268"/>
      <c r="AA652" s="277"/>
      <c r="AB652" s="278"/>
      <c r="AC652" s="278">
        <v>4101440</v>
      </c>
      <c r="AD652" s="271">
        <f>AC652*1.2</f>
        <v>4921728</v>
      </c>
      <c r="AE652" s="133" t="s">
        <v>102</v>
      </c>
      <c r="AF652" s="272"/>
      <c r="AG652" s="273"/>
      <c r="AH652" s="274"/>
      <c r="AI652" s="274"/>
      <c r="AJ652" s="274"/>
      <c r="AK652" s="275"/>
      <c r="AL652" s="274"/>
      <c r="AM652" s="276"/>
    </row>
    <row r="653" spans="1:39" ht="25.5" hidden="1" customHeight="1" x14ac:dyDescent="0.25">
      <c r="A653" s="137">
        <v>2026</v>
      </c>
      <c r="B653" s="125" t="s">
        <v>77</v>
      </c>
      <c r="C653" s="126" t="s">
        <v>1654</v>
      </c>
      <c r="D653" s="147" t="s">
        <v>107</v>
      </c>
      <c r="E653" s="147">
        <v>1</v>
      </c>
      <c r="F653" s="127" t="s">
        <v>1655</v>
      </c>
      <c r="G653" s="147" t="s">
        <v>120</v>
      </c>
      <c r="H653" s="125" t="s">
        <v>120</v>
      </c>
      <c r="I653" s="126"/>
      <c r="J653" s="147" t="s">
        <v>131</v>
      </c>
      <c r="K653" s="147" t="s">
        <v>3</v>
      </c>
      <c r="L653" s="125" t="s">
        <v>6</v>
      </c>
      <c r="M653" s="128" t="s">
        <v>913</v>
      </c>
      <c r="N653" s="266"/>
      <c r="O653" s="266"/>
      <c r="P653" s="266"/>
      <c r="Q653" s="147"/>
      <c r="R653" s="129"/>
      <c r="S653" s="129"/>
      <c r="T653" s="127" t="s">
        <v>1656</v>
      </c>
      <c r="U653" s="130"/>
      <c r="V653" s="131"/>
      <c r="W653" s="129"/>
      <c r="X653" s="132"/>
      <c r="Y653" s="267"/>
      <c r="Z653" s="268"/>
      <c r="AA653" s="277"/>
      <c r="AB653" s="278"/>
      <c r="AC653" s="278">
        <v>1460480</v>
      </c>
      <c r="AD653" s="271">
        <f>AC653*1.2</f>
        <v>1752576</v>
      </c>
      <c r="AE653" s="133" t="s">
        <v>102</v>
      </c>
      <c r="AF653" s="272"/>
      <c r="AG653" s="273"/>
      <c r="AH653" s="274"/>
      <c r="AI653" s="274"/>
      <c r="AJ653" s="274"/>
      <c r="AK653" s="275"/>
      <c r="AL653" s="274"/>
      <c r="AM653" s="276"/>
    </row>
    <row r="654" spans="1:39" ht="25.5" hidden="1" customHeight="1" x14ac:dyDescent="0.25">
      <c r="A654" s="137">
        <v>2026</v>
      </c>
      <c r="B654" s="125" t="s">
        <v>77</v>
      </c>
      <c r="C654" s="126" t="s">
        <v>1657</v>
      </c>
      <c r="D654" s="147" t="s">
        <v>107</v>
      </c>
      <c r="E654" s="147">
        <v>1</v>
      </c>
      <c r="F654" s="127" t="s">
        <v>1658</v>
      </c>
      <c r="G654" s="147" t="s">
        <v>120</v>
      </c>
      <c r="H654" s="125" t="s">
        <v>120</v>
      </c>
      <c r="I654" s="126"/>
      <c r="J654" s="147" t="s">
        <v>131</v>
      </c>
      <c r="K654" s="147" t="s">
        <v>3</v>
      </c>
      <c r="L654" s="125" t="s">
        <v>6</v>
      </c>
      <c r="M654" s="128" t="s">
        <v>913</v>
      </c>
      <c r="N654" s="266"/>
      <c r="O654" s="266"/>
      <c r="P654" s="266"/>
      <c r="Q654" s="147"/>
      <c r="R654" s="129"/>
      <c r="S654" s="129"/>
      <c r="T654" s="127" t="s">
        <v>1659</v>
      </c>
      <c r="U654" s="130"/>
      <c r="V654" s="131"/>
      <c r="W654" s="129"/>
      <c r="X654" s="132"/>
      <c r="Y654" s="267"/>
      <c r="Z654" s="268"/>
      <c r="AA654" s="277"/>
      <c r="AB654" s="278"/>
      <c r="AC654" s="278">
        <v>6183900.7999999998</v>
      </c>
      <c r="AD654" s="271">
        <f>AC654*1.2</f>
        <v>7420680.96</v>
      </c>
      <c r="AE654" s="133" t="s">
        <v>102</v>
      </c>
      <c r="AF654" s="272"/>
      <c r="AG654" s="273"/>
      <c r="AH654" s="274"/>
      <c r="AI654" s="274"/>
      <c r="AJ654" s="274"/>
      <c r="AK654" s="275"/>
      <c r="AL654" s="274"/>
      <c r="AM654" s="276"/>
    </row>
    <row r="655" spans="1:39" ht="25.5" hidden="1" customHeight="1" x14ac:dyDescent="0.25">
      <c r="A655" s="137">
        <v>2026</v>
      </c>
      <c r="B655" s="125" t="s">
        <v>77</v>
      </c>
      <c r="C655" s="126" t="s">
        <v>1660</v>
      </c>
      <c r="D655" s="147" t="s">
        <v>107</v>
      </c>
      <c r="E655" s="147">
        <v>1</v>
      </c>
      <c r="F655" s="127" t="s">
        <v>1661</v>
      </c>
      <c r="G655" s="147" t="s">
        <v>120</v>
      </c>
      <c r="H655" s="125" t="s">
        <v>120</v>
      </c>
      <c r="I655" s="126"/>
      <c r="J655" s="147" t="s">
        <v>131</v>
      </c>
      <c r="K655" s="147" t="s">
        <v>3</v>
      </c>
      <c r="L655" s="125" t="s">
        <v>6</v>
      </c>
      <c r="M655" s="128" t="s">
        <v>913</v>
      </c>
      <c r="N655" s="266"/>
      <c r="O655" s="266"/>
      <c r="P655" s="266"/>
      <c r="Q655" s="147"/>
      <c r="R655" s="129"/>
      <c r="S655" s="129"/>
      <c r="T655" s="127" t="s">
        <v>1659</v>
      </c>
      <c r="U655" s="130"/>
      <c r="V655" s="131"/>
      <c r="W655" s="129"/>
      <c r="X655" s="132"/>
      <c r="Y655" s="267"/>
      <c r="Z655" s="268"/>
      <c r="AA655" s="277"/>
      <c r="AB655" s="278"/>
      <c r="AC655" s="278">
        <v>5048959.96</v>
      </c>
      <c r="AD655" s="271">
        <f>AC655*1.2</f>
        <v>6058751.9519999996</v>
      </c>
      <c r="AE655" s="133" t="s">
        <v>101</v>
      </c>
      <c r="AF655" s="272"/>
      <c r="AG655" s="273"/>
      <c r="AH655" s="274"/>
      <c r="AI655" s="274"/>
      <c r="AJ655" s="274"/>
      <c r="AK655" s="275"/>
      <c r="AL655" s="274"/>
      <c r="AM655" s="276"/>
    </row>
    <row r="656" spans="1:39" ht="25.5" hidden="1" customHeight="1" x14ac:dyDescent="0.25">
      <c r="A656" s="137">
        <v>2026</v>
      </c>
      <c r="B656" s="125" t="s">
        <v>58</v>
      </c>
      <c r="C656" s="126" t="s">
        <v>1662</v>
      </c>
      <c r="D656" s="147" t="s">
        <v>109</v>
      </c>
      <c r="E656" s="147">
        <v>1</v>
      </c>
      <c r="F656" s="127" t="s">
        <v>1663</v>
      </c>
      <c r="G656" s="147" t="s">
        <v>121</v>
      </c>
      <c r="H656" s="125" t="s">
        <v>126</v>
      </c>
      <c r="I656" s="126"/>
      <c r="J656" s="147" t="s">
        <v>131</v>
      </c>
      <c r="K656" s="147" t="s">
        <v>3</v>
      </c>
      <c r="L656" s="125" t="s">
        <v>6</v>
      </c>
      <c r="M656" s="128" t="s">
        <v>15</v>
      </c>
      <c r="N656" s="266"/>
      <c r="O656" s="266"/>
      <c r="P656" s="266"/>
      <c r="Q656" s="147"/>
      <c r="R656" s="129"/>
      <c r="S656" s="129"/>
      <c r="T656" s="127" t="s">
        <v>1664</v>
      </c>
      <c r="U656" s="130"/>
      <c r="V656" s="131">
        <v>46246</v>
      </c>
      <c r="W656" s="129"/>
      <c r="X656" s="132"/>
      <c r="Y656" s="267"/>
      <c r="Z656" s="268"/>
      <c r="AA656" s="269"/>
      <c r="AB656" s="270"/>
      <c r="AC656" s="271"/>
      <c r="AD656" s="271">
        <v>137160</v>
      </c>
      <c r="AE656" s="133" t="s">
        <v>102</v>
      </c>
      <c r="AF656" s="272"/>
      <c r="AG656" s="273"/>
      <c r="AH656" s="274"/>
      <c r="AI656" s="274"/>
      <c r="AJ656" s="274"/>
      <c r="AK656" s="275"/>
      <c r="AL656" s="274"/>
      <c r="AM656" s="276"/>
    </row>
    <row r="657" spans="1:45" ht="38.25" hidden="1" customHeight="1" x14ac:dyDescent="0.25">
      <c r="A657" s="138">
        <v>2026</v>
      </c>
      <c r="B657" s="133" t="s">
        <v>55</v>
      </c>
      <c r="C657" s="133" t="s">
        <v>1665</v>
      </c>
      <c r="D657" s="133" t="s">
        <v>109</v>
      </c>
      <c r="E657" s="138">
        <v>1</v>
      </c>
      <c r="F657" s="133" t="s">
        <v>1666</v>
      </c>
      <c r="G657" s="133" t="s">
        <v>121</v>
      </c>
      <c r="H657" s="133" t="s">
        <v>126</v>
      </c>
      <c r="I657" s="133"/>
      <c r="J657" s="133" t="s">
        <v>131</v>
      </c>
      <c r="K657" s="133" t="s">
        <v>3</v>
      </c>
      <c r="L657" s="133" t="s">
        <v>6</v>
      </c>
      <c r="M657" s="133" t="s">
        <v>874</v>
      </c>
      <c r="N657" s="133"/>
      <c r="O657" s="133"/>
      <c r="P657" s="133"/>
      <c r="Q657" s="133"/>
      <c r="R657" s="133"/>
      <c r="S657" s="133"/>
      <c r="T657" s="102" t="s">
        <v>1667</v>
      </c>
      <c r="U657" s="133"/>
      <c r="V657" s="148"/>
      <c r="W657" s="133"/>
      <c r="X657" s="148">
        <v>46247</v>
      </c>
      <c r="Y657" s="133"/>
      <c r="Z657" s="133"/>
      <c r="AA657" s="133"/>
      <c r="AB657" s="133"/>
      <c r="AC657" s="133">
        <v>21200</v>
      </c>
      <c r="AD657" s="133">
        <v>25440</v>
      </c>
      <c r="AE657" s="133" t="s">
        <v>102</v>
      </c>
    </row>
    <row r="658" spans="1:45" s="39" customFormat="1" ht="25.5" hidden="1" customHeight="1" x14ac:dyDescent="0.25">
      <c r="A658" s="150">
        <v>2026</v>
      </c>
      <c r="B658" s="151" t="s">
        <v>61</v>
      </c>
      <c r="C658" s="68" t="s">
        <v>1668</v>
      </c>
      <c r="D658" s="151" t="s">
        <v>114</v>
      </c>
      <c r="E658" s="150">
        <v>1</v>
      </c>
      <c r="F658" s="68" t="s">
        <v>1669</v>
      </c>
      <c r="G658" s="151" t="s">
        <v>121</v>
      </c>
      <c r="H658" s="151" t="s">
        <v>126</v>
      </c>
      <c r="I658" s="151"/>
      <c r="J658" s="151" t="s">
        <v>131</v>
      </c>
      <c r="K658" s="151" t="s">
        <v>3</v>
      </c>
      <c r="L658" s="151" t="s">
        <v>6</v>
      </c>
      <c r="M658" s="68" t="s">
        <v>25</v>
      </c>
      <c r="N658" s="151"/>
      <c r="O658" s="151"/>
      <c r="P658" s="151"/>
      <c r="Q658" s="151"/>
      <c r="R658" s="151"/>
      <c r="S658" s="151"/>
      <c r="T658" s="68" t="s">
        <v>1670</v>
      </c>
      <c r="U658" s="151"/>
      <c r="V658" s="152"/>
      <c r="W658" s="151"/>
      <c r="X658" s="152"/>
      <c r="Y658" s="151"/>
      <c r="Z658" s="151"/>
      <c r="AA658" s="151"/>
      <c r="AB658" s="151"/>
      <c r="AC658" s="151"/>
      <c r="AD658" s="151">
        <v>5675853.2599999998</v>
      </c>
      <c r="AE658" s="151" t="s">
        <v>102</v>
      </c>
      <c r="AF658" s="153"/>
      <c r="AG658" s="153"/>
      <c r="AH658" s="154"/>
      <c r="AI658" s="247"/>
      <c r="AJ658" s="156"/>
      <c r="AK658" s="279"/>
      <c r="AL658" s="155"/>
      <c r="AM658" s="155"/>
      <c r="AN658" s="246"/>
      <c r="AO658" s="247"/>
      <c r="AP658" s="34"/>
      <c r="AQ658" s="34"/>
      <c r="AR658" s="156"/>
      <c r="AS658" s="37"/>
    </row>
    <row r="659" spans="1:45" s="39" customFormat="1" ht="25.5" hidden="1" customHeight="1" x14ac:dyDescent="0.25">
      <c r="A659" s="150">
        <v>2026</v>
      </c>
      <c r="B659" s="151" t="s">
        <v>59</v>
      </c>
      <c r="C659" s="151" t="s">
        <v>1671</v>
      </c>
      <c r="D659" s="151" t="s">
        <v>106</v>
      </c>
      <c r="E659" s="150">
        <v>1</v>
      </c>
      <c r="F659" s="68" t="s">
        <v>1672</v>
      </c>
      <c r="G659" s="151" t="s">
        <v>121</v>
      </c>
      <c r="H659" s="151" t="s">
        <v>128</v>
      </c>
      <c r="I659" s="151"/>
      <c r="J659" s="151" t="s">
        <v>131</v>
      </c>
      <c r="K659" s="151" t="s">
        <v>3</v>
      </c>
      <c r="L659" s="151" t="s">
        <v>6</v>
      </c>
      <c r="M659" s="68" t="s">
        <v>24</v>
      </c>
      <c r="N659" s="151">
        <f>O659*1.2</f>
        <v>403580.15999999997</v>
      </c>
      <c r="O659" s="151">
        <v>336316.8</v>
      </c>
      <c r="P659" s="151"/>
      <c r="Q659" s="151"/>
      <c r="R659" s="151"/>
      <c r="S659" s="151"/>
      <c r="T659" s="68"/>
      <c r="U659" s="151"/>
      <c r="V659" s="152"/>
      <c r="W659" s="151"/>
      <c r="X659" s="152"/>
      <c r="Y659" s="151"/>
      <c r="Z659" s="151"/>
      <c r="AA659" s="151"/>
      <c r="AB659" s="151"/>
      <c r="AC659" s="151"/>
      <c r="AD659" s="151"/>
      <c r="AE659" s="151" t="s">
        <v>100</v>
      </c>
      <c r="AF659" s="153"/>
      <c r="AG659" s="153"/>
      <c r="AH659" s="154"/>
      <c r="AI659" s="247"/>
      <c r="AJ659" s="156"/>
      <c r="AK659" s="279"/>
      <c r="AL659" s="155"/>
      <c r="AM659" s="155"/>
      <c r="AN659" s="246"/>
      <c r="AO659" s="247"/>
      <c r="AP659" s="34"/>
      <c r="AQ659" s="34"/>
      <c r="AR659" s="156"/>
      <c r="AS659" s="37"/>
    </row>
    <row r="660" spans="1:45" s="39" customFormat="1" ht="25.5" hidden="1" customHeight="1" x14ac:dyDescent="0.25">
      <c r="A660" s="150">
        <v>2026</v>
      </c>
      <c r="B660" s="151" t="s">
        <v>59</v>
      </c>
      <c r="C660" s="151" t="s">
        <v>1671</v>
      </c>
      <c r="D660" s="151" t="s">
        <v>106</v>
      </c>
      <c r="E660" s="150">
        <v>2</v>
      </c>
      <c r="F660" s="68" t="s">
        <v>1673</v>
      </c>
      <c r="G660" s="151" t="s">
        <v>121</v>
      </c>
      <c r="H660" s="151" t="s">
        <v>128</v>
      </c>
      <c r="I660" s="151"/>
      <c r="J660" s="151" t="s">
        <v>131</v>
      </c>
      <c r="K660" s="151" t="s">
        <v>3</v>
      </c>
      <c r="L660" s="151" t="s">
        <v>6</v>
      </c>
      <c r="M660" s="68" t="s">
        <v>24</v>
      </c>
      <c r="N660" s="151">
        <f>O660*1.2</f>
        <v>456883.20000000001</v>
      </c>
      <c r="O660" s="151">
        <v>380736</v>
      </c>
      <c r="P660" s="151"/>
      <c r="Q660" s="151"/>
      <c r="R660" s="151"/>
      <c r="S660" s="151"/>
      <c r="T660" s="68"/>
      <c r="U660" s="151"/>
      <c r="V660" s="152"/>
      <c r="W660" s="151"/>
      <c r="X660" s="152"/>
      <c r="Y660" s="151"/>
      <c r="Z660" s="151"/>
      <c r="AA660" s="151"/>
      <c r="AB660" s="151"/>
      <c r="AC660" s="151"/>
      <c r="AD660" s="151"/>
      <c r="AE660" s="151" t="s">
        <v>100</v>
      </c>
      <c r="AF660" s="153"/>
      <c r="AG660" s="153"/>
      <c r="AH660" s="154"/>
      <c r="AI660" s="247"/>
      <c r="AJ660" s="156"/>
      <c r="AK660" s="279"/>
      <c r="AL660" s="155"/>
      <c r="AM660" s="155"/>
      <c r="AN660" s="246"/>
      <c r="AO660" s="247"/>
      <c r="AP660" s="34"/>
      <c r="AQ660" s="34"/>
      <c r="AR660" s="156"/>
      <c r="AS660" s="37"/>
    </row>
    <row r="661" spans="1:45" s="39" customFormat="1" ht="25.5" hidden="1" customHeight="1" x14ac:dyDescent="0.25">
      <c r="A661" s="150">
        <v>2026</v>
      </c>
      <c r="B661" s="151" t="s">
        <v>60</v>
      </c>
      <c r="C661" s="68" t="s">
        <v>1842</v>
      </c>
      <c r="D661" s="151" t="s">
        <v>106</v>
      </c>
      <c r="E661" s="150">
        <v>1</v>
      </c>
      <c r="F661" s="68" t="s">
        <v>1675</v>
      </c>
      <c r="G661" s="151" t="s">
        <v>120</v>
      </c>
      <c r="H661" s="151" t="s">
        <v>120</v>
      </c>
      <c r="I661" s="151"/>
      <c r="J661" s="151" t="s">
        <v>131</v>
      </c>
      <c r="K661" s="151" t="s">
        <v>3</v>
      </c>
      <c r="L661" s="151" t="s">
        <v>7</v>
      </c>
      <c r="M661" s="68" t="s">
        <v>36</v>
      </c>
      <c r="N661" s="151">
        <f>O661*1.2</f>
        <v>972504</v>
      </c>
      <c r="O661" s="151">
        <v>810420</v>
      </c>
      <c r="P661" s="151"/>
      <c r="Q661" s="151"/>
      <c r="R661" s="151"/>
      <c r="S661" s="151"/>
      <c r="T661" s="68"/>
      <c r="U661" s="151"/>
      <c r="V661" s="152"/>
      <c r="W661" s="151"/>
      <c r="X661" s="152"/>
      <c r="Y661" s="151"/>
      <c r="Z661" s="151"/>
      <c r="AA661" s="151"/>
      <c r="AB661" s="151"/>
      <c r="AC661" s="151"/>
      <c r="AD661" s="151"/>
      <c r="AE661" s="151" t="s">
        <v>99</v>
      </c>
      <c r="AF661" s="153"/>
      <c r="AG661" s="153"/>
      <c r="AH661" s="154"/>
      <c r="AI661" s="247"/>
      <c r="AJ661" s="156"/>
      <c r="AK661" s="279"/>
      <c r="AL661" s="155"/>
      <c r="AM661" s="155"/>
      <c r="AN661" s="246"/>
      <c r="AO661" s="247"/>
      <c r="AP661" s="34"/>
      <c r="AQ661" s="34"/>
      <c r="AR661" s="156"/>
      <c r="AS661" s="37"/>
    </row>
    <row r="662" spans="1:45" s="39" customFormat="1" ht="25.5" hidden="1" customHeight="1" x14ac:dyDescent="0.25">
      <c r="A662" s="150">
        <v>2026</v>
      </c>
      <c r="B662" s="151" t="s">
        <v>60</v>
      </c>
      <c r="C662" s="68" t="s">
        <v>1842</v>
      </c>
      <c r="D662" s="151" t="s">
        <v>106</v>
      </c>
      <c r="E662" s="150">
        <v>2</v>
      </c>
      <c r="F662" s="68" t="s">
        <v>1676</v>
      </c>
      <c r="G662" s="151" t="s">
        <v>120</v>
      </c>
      <c r="H662" s="151" t="s">
        <v>120</v>
      </c>
      <c r="I662" s="151"/>
      <c r="J662" s="151" t="s">
        <v>131</v>
      </c>
      <c r="K662" s="151" t="s">
        <v>3</v>
      </c>
      <c r="L662" s="151" t="s">
        <v>7</v>
      </c>
      <c r="M662" s="68" t="s">
        <v>36</v>
      </c>
      <c r="N662" s="151">
        <f>O662*1.2</f>
        <v>692640</v>
      </c>
      <c r="O662" s="151">
        <v>577200</v>
      </c>
      <c r="P662" s="151"/>
      <c r="Q662" s="151"/>
      <c r="R662" s="151"/>
      <c r="S662" s="151"/>
      <c r="T662" s="68"/>
      <c r="U662" s="151"/>
      <c r="V662" s="152"/>
      <c r="W662" s="151"/>
      <c r="X662" s="152"/>
      <c r="Y662" s="151"/>
      <c r="Z662" s="151"/>
      <c r="AA662" s="151"/>
      <c r="AB662" s="151"/>
      <c r="AC662" s="151"/>
      <c r="AD662" s="151"/>
      <c r="AE662" s="151" t="s">
        <v>99</v>
      </c>
      <c r="AF662" s="153"/>
      <c r="AG662" s="153"/>
      <c r="AH662" s="154"/>
      <c r="AI662" s="247"/>
      <c r="AJ662" s="156"/>
      <c r="AK662" s="279"/>
      <c r="AL662" s="155"/>
      <c r="AM662" s="155"/>
      <c r="AN662" s="246"/>
      <c r="AO662" s="247"/>
      <c r="AP662" s="34"/>
      <c r="AQ662" s="34"/>
      <c r="AR662" s="156"/>
      <c r="AS662" s="37"/>
    </row>
    <row r="663" spans="1:45" s="39" customFormat="1" ht="25.5" hidden="1" customHeight="1" x14ac:dyDescent="0.25">
      <c r="A663" s="150">
        <v>2026</v>
      </c>
      <c r="B663" s="68" t="s">
        <v>60</v>
      </c>
      <c r="C663" s="68" t="s">
        <v>1677</v>
      </c>
      <c r="D663" s="151" t="s">
        <v>109</v>
      </c>
      <c r="E663" s="150">
        <v>1</v>
      </c>
      <c r="F663" s="68" t="s">
        <v>1678</v>
      </c>
      <c r="G663" s="151" t="s">
        <v>120</v>
      </c>
      <c r="H663" s="151" t="s">
        <v>120</v>
      </c>
      <c r="I663" s="151"/>
      <c r="J663" s="151" t="s">
        <v>131</v>
      </c>
      <c r="K663" s="151" t="s">
        <v>3</v>
      </c>
      <c r="L663" s="151" t="s">
        <v>6</v>
      </c>
      <c r="M663" s="68" t="s">
        <v>16</v>
      </c>
      <c r="N663" s="151"/>
      <c r="O663" s="151"/>
      <c r="P663" s="151"/>
      <c r="Q663" s="151"/>
      <c r="R663" s="151"/>
      <c r="S663" s="151"/>
      <c r="T663" s="68" t="s">
        <v>1679</v>
      </c>
      <c r="U663" s="151"/>
      <c r="V663" s="152">
        <v>46261</v>
      </c>
      <c r="W663" s="151"/>
      <c r="X663" s="152"/>
      <c r="Y663" s="151"/>
      <c r="Z663" s="151"/>
      <c r="AA663" s="151"/>
      <c r="AB663" s="151"/>
      <c r="AC663" s="151">
        <v>175500</v>
      </c>
      <c r="AD663" s="151">
        <v>210600</v>
      </c>
      <c r="AE663" s="151" t="s">
        <v>102</v>
      </c>
      <c r="AF663" s="153"/>
      <c r="AG663" s="153"/>
      <c r="AH663" s="154"/>
      <c r="AI663" s="247"/>
      <c r="AJ663" s="156"/>
      <c r="AK663" s="279"/>
      <c r="AL663" s="155"/>
      <c r="AM663" s="155"/>
      <c r="AN663" s="246"/>
      <c r="AO663" s="247"/>
      <c r="AP663" s="34"/>
      <c r="AQ663" s="34"/>
      <c r="AR663" s="156"/>
      <c r="AS663" s="37"/>
    </row>
    <row r="664" spans="1:45" s="39" customFormat="1" ht="25.5" customHeight="1" x14ac:dyDescent="0.25">
      <c r="A664" s="150">
        <v>2026</v>
      </c>
      <c r="B664" s="68" t="s">
        <v>60</v>
      </c>
      <c r="C664" s="68" t="s">
        <v>1680</v>
      </c>
      <c r="D664" s="151" t="s">
        <v>109</v>
      </c>
      <c r="E664" s="150">
        <v>1</v>
      </c>
      <c r="F664" s="68" t="s">
        <v>1681</v>
      </c>
      <c r="G664" s="151" t="s">
        <v>121</v>
      </c>
      <c r="H664" s="151" t="s">
        <v>126</v>
      </c>
      <c r="I664" s="151"/>
      <c r="J664" s="151" t="s">
        <v>131</v>
      </c>
      <c r="K664" s="151" t="s">
        <v>3</v>
      </c>
      <c r="L664" s="151" t="s">
        <v>7</v>
      </c>
      <c r="M664" s="68" t="s">
        <v>36</v>
      </c>
      <c r="N664" s="151"/>
      <c r="O664" s="151"/>
      <c r="P664" s="151"/>
      <c r="Q664" s="151"/>
      <c r="R664" s="151"/>
      <c r="S664" s="151"/>
      <c r="T664" s="68" t="s">
        <v>1682</v>
      </c>
      <c r="U664" s="151"/>
      <c r="V664" s="152">
        <v>46261</v>
      </c>
      <c r="W664" s="151"/>
      <c r="X664" s="152"/>
      <c r="Y664" s="151"/>
      <c r="Z664" s="151"/>
      <c r="AA664" s="151"/>
      <c r="AB664" s="151"/>
      <c r="AC664" s="151">
        <v>82760</v>
      </c>
      <c r="AD664" s="151">
        <v>99312</v>
      </c>
      <c r="AE664" s="151" t="s">
        <v>102</v>
      </c>
      <c r="AF664" s="153"/>
      <c r="AG664" s="153"/>
      <c r="AH664" s="154"/>
      <c r="AI664" s="247"/>
      <c r="AJ664" s="156"/>
      <c r="AK664" s="279"/>
      <c r="AL664" s="155"/>
      <c r="AM664" s="155"/>
      <c r="AN664" s="246"/>
      <c r="AO664" s="247"/>
      <c r="AP664" s="34"/>
      <c r="AQ664" s="34"/>
      <c r="AR664" s="156"/>
      <c r="AS664" s="37"/>
    </row>
    <row r="665" spans="1:45" s="39" customFormat="1" ht="25.5" hidden="1" customHeight="1" x14ac:dyDescent="0.25">
      <c r="A665" s="150">
        <v>2026</v>
      </c>
      <c r="B665" s="68" t="s">
        <v>60</v>
      </c>
      <c r="C665" s="68" t="s">
        <v>1683</v>
      </c>
      <c r="D665" s="151" t="s">
        <v>109</v>
      </c>
      <c r="E665" s="150">
        <v>1</v>
      </c>
      <c r="F665" s="68" t="s">
        <v>1684</v>
      </c>
      <c r="G665" s="151" t="s">
        <v>120</v>
      </c>
      <c r="H665" s="151" t="s">
        <v>120</v>
      </c>
      <c r="I665" s="151"/>
      <c r="J665" s="151" t="s">
        <v>131</v>
      </c>
      <c r="K665" s="151" t="s">
        <v>3</v>
      </c>
      <c r="L665" s="151" t="s">
        <v>7</v>
      </c>
      <c r="M665" s="68" t="s">
        <v>36</v>
      </c>
      <c r="N665" s="151"/>
      <c r="O665" s="151"/>
      <c r="P665" s="151"/>
      <c r="Q665" s="151"/>
      <c r="R665" s="151"/>
      <c r="S665" s="151"/>
      <c r="T665" s="68" t="s">
        <v>1685</v>
      </c>
      <c r="U665" s="151"/>
      <c r="V665" s="152">
        <v>46261</v>
      </c>
      <c r="W665" s="151"/>
      <c r="X665" s="152"/>
      <c r="Y665" s="151"/>
      <c r="Z665" s="151"/>
      <c r="AA665" s="151"/>
      <c r="AB665" s="151"/>
      <c r="AC665" s="151">
        <f>AD665/1.2</f>
        <v>133334</v>
      </c>
      <c r="AD665" s="151">
        <v>160000.79999999999</v>
      </c>
      <c r="AE665" s="151" t="s">
        <v>101</v>
      </c>
      <c r="AF665" s="153"/>
      <c r="AG665" s="153"/>
      <c r="AH665" s="154"/>
      <c r="AI665" s="247"/>
      <c r="AJ665" s="156"/>
      <c r="AK665" s="279"/>
      <c r="AL665" s="155"/>
      <c r="AM665" s="155"/>
      <c r="AN665" s="246"/>
      <c r="AO665" s="247"/>
      <c r="AP665" s="34"/>
      <c r="AQ665" s="34"/>
      <c r="AR665" s="156"/>
      <c r="AS665" s="37"/>
    </row>
    <row r="666" spans="1:45" s="39" customFormat="1" ht="51" hidden="1" customHeight="1" x14ac:dyDescent="0.25">
      <c r="A666" s="150">
        <v>2026</v>
      </c>
      <c r="B666" s="68" t="s">
        <v>55</v>
      </c>
      <c r="C666" s="68" t="s">
        <v>1686</v>
      </c>
      <c r="D666" s="151" t="s">
        <v>106</v>
      </c>
      <c r="E666" s="150">
        <v>1</v>
      </c>
      <c r="F666" s="68" t="s">
        <v>1687</v>
      </c>
      <c r="G666" s="151" t="s">
        <v>121</v>
      </c>
      <c r="H666" s="151" t="s">
        <v>128</v>
      </c>
      <c r="I666" s="151"/>
      <c r="J666" s="151" t="s">
        <v>131</v>
      </c>
      <c r="K666" s="151" t="s">
        <v>3</v>
      </c>
      <c r="L666" s="151" t="s">
        <v>7</v>
      </c>
      <c r="M666" s="68" t="s">
        <v>38</v>
      </c>
      <c r="N666" s="280">
        <f>O666*1.2</f>
        <v>4332960</v>
      </c>
      <c r="O666" s="151">
        <v>3610800</v>
      </c>
      <c r="P666" s="151"/>
      <c r="Q666" s="151"/>
      <c r="R666" s="151"/>
      <c r="S666" s="151"/>
      <c r="T666" s="68"/>
      <c r="U666" s="151"/>
      <c r="V666" s="152">
        <v>46262</v>
      </c>
      <c r="W666" s="151"/>
      <c r="X666" s="152"/>
      <c r="Y666" s="151"/>
      <c r="Z666" s="151"/>
      <c r="AA666" s="151"/>
      <c r="AB666" s="151"/>
      <c r="AC666" s="151"/>
      <c r="AD666" s="151"/>
      <c r="AE666" s="151" t="s">
        <v>100</v>
      </c>
      <c r="AF666" s="153"/>
      <c r="AG666" s="153"/>
      <c r="AH666" s="154"/>
      <c r="AI666" s="247"/>
      <c r="AJ666" s="156"/>
      <c r="AK666" s="279"/>
      <c r="AL666" s="155"/>
      <c r="AM666" s="155"/>
      <c r="AN666" s="246"/>
      <c r="AO666" s="247"/>
      <c r="AP666" s="34"/>
      <c r="AQ666" s="34"/>
      <c r="AR666" s="156"/>
      <c r="AS666" s="37"/>
    </row>
    <row r="667" spans="1:45" s="39" customFormat="1" ht="25.5" hidden="1" customHeight="1" x14ac:dyDescent="0.25">
      <c r="A667" s="150">
        <v>2026</v>
      </c>
      <c r="B667" s="68" t="s">
        <v>63</v>
      </c>
      <c r="C667" s="68" t="s">
        <v>1688</v>
      </c>
      <c r="D667" s="151" t="s">
        <v>114</v>
      </c>
      <c r="E667" s="150">
        <v>1</v>
      </c>
      <c r="F667" s="68" t="s">
        <v>1689</v>
      </c>
      <c r="G667" s="151" t="s">
        <v>120</v>
      </c>
      <c r="H667" s="151" t="s">
        <v>120</v>
      </c>
      <c r="I667" s="151"/>
      <c r="J667" s="151" t="s">
        <v>131</v>
      </c>
      <c r="K667" s="151" t="s">
        <v>3</v>
      </c>
      <c r="L667" s="151" t="s">
        <v>6</v>
      </c>
      <c r="M667" s="68" t="s">
        <v>947</v>
      </c>
      <c r="N667" s="280"/>
      <c r="O667" s="151"/>
      <c r="P667" s="151"/>
      <c r="Q667" s="151"/>
      <c r="R667" s="151"/>
      <c r="S667" s="151"/>
      <c r="T667" s="68" t="s">
        <v>1690</v>
      </c>
      <c r="U667" s="151"/>
      <c r="V667" s="152">
        <v>46262</v>
      </c>
      <c r="W667" s="151"/>
      <c r="X667" s="152"/>
      <c r="Y667" s="151"/>
      <c r="Z667" s="151"/>
      <c r="AA667" s="151"/>
      <c r="AB667" s="68" t="s">
        <v>1691</v>
      </c>
      <c r="AC667" s="151"/>
      <c r="AD667" s="151">
        <v>16653.240000000002</v>
      </c>
      <c r="AE667" s="151" t="s">
        <v>101</v>
      </c>
      <c r="AF667" s="153"/>
      <c r="AG667" s="153"/>
      <c r="AH667" s="154"/>
      <c r="AI667" s="247"/>
      <c r="AJ667" s="156"/>
      <c r="AK667" s="279"/>
      <c r="AL667" s="155"/>
      <c r="AM667" s="155"/>
      <c r="AN667" s="246"/>
      <c r="AO667" s="247"/>
      <c r="AP667" s="34"/>
      <c r="AQ667" s="34"/>
      <c r="AR667" s="156"/>
      <c r="AS667" s="37"/>
    </row>
    <row r="668" spans="1:45" s="39" customFormat="1" ht="25.5" hidden="1" customHeight="1" x14ac:dyDescent="0.25">
      <c r="A668" s="150">
        <v>2026</v>
      </c>
      <c r="B668" s="68" t="s">
        <v>56</v>
      </c>
      <c r="C668" s="68"/>
      <c r="D668" s="151" t="s">
        <v>106</v>
      </c>
      <c r="E668" s="150">
        <v>1</v>
      </c>
      <c r="F668" s="68" t="s">
        <v>1692</v>
      </c>
      <c r="G668" s="151" t="s">
        <v>120</v>
      </c>
      <c r="H668" s="151" t="s">
        <v>120</v>
      </c>
      <c r="I668" s="151"/>
      <c r="J668" s="151" t="s">
        <v>131</v>
      </c>
      <c r="K668" s="151" t="s">
        <v>3</v>
      </c>
      <c r="L668" s="151" t="s">
        <v>6</v>
      </c>
      <c r="M668" s="68" t="s">
        <v>23</v>
      </c>
      <c r="N668" s="280">
        <f>O668*1.2</f>
        <v>3120000</v>
      </c>
      <c r="O668" s="151">
        <v>2600000</v>
      </c>
      <c r="P668" s="151"/>
      <c r="Q668" s="151"/>
      <c r="R668" s="151"/>
      <c r="S668" s="151"/>
      <c r="T668" s="68"/>
      <c r="U668" s="151"/>
      <c r="V668" s="152">
        <v>46265</v>
      </c>
      <c r="W668" s="151"/>
      <c r="X668" s="152"/>
      <c r="Y668" s="151"/>
      <c r="Z668" s="151"/>
      <c r="AA668" s="151"/>
      <c r="AB668" s="68"/>
      <c r="AC668" s="151"/>
      <c r="AD668" s="151"/>
      <c r="AE668" s="151" t="s">
        <v>99</v>
      </c>
      <c r="AF668" s="153"/>
      <c r="AG668" s="153"/>
      <c r="AH668" s="154"/>
      <c r="AI668" s="247"/>
      <c r="AJ668" s="156"/>
      <c r="AK668" s="279"/>
      <c r="AL668" s="155"/>
      <c r="AM668" s="155"/>
      <c r="AN668" s="246"/>
      <c r="AO668" s="247"/>
      <c r="AP668" s="34"/>
      <c r="AQ668" s="34"/>
      <c r="AR668" s="156"/>
      <c r="AS668" s="37"/>
    </row>
    <row r="669" spans="1:45" s="39" customFormat="1" ht="25.5" hidden="1" customHeight="1" x14ac:dyDescent="0.25">
      <c r="A669" s="150">
        <v>2026</v>
      </c>
      <c r="B669" s="68" t="s">
        <v>56</v>
      </c>
      <c r="C669" s="68" t="s">
        <v>1807</v>
      </c>
      <c r="D669" s="151" t="s">
        <v>106</v>
      </c>
      <c r="E669" s="150">
        <v>1</v>
      </c>
      <c r="F669" s="68" t="s">
        <v>1693</v>
      </c>
      <c r="G669" s="151" t="s">
        <v>121</v>
      </c>
      <c r="H669" s="151" t="s">
        <v>128</v>
      </c>
      <c r="I669" s="151"/>
      <c r="J669" s="151" t="s">
        <v>131</v>
      </c>
      <c r="K669" s="151" t="s">
        <v>3</v>
      </c>
      <c r="L669" s="151" t="s">
        <v>6</v>
      </c>
      <c r="M669" s="68" t="s">
        <v>15</v>
      </c>
      <c r="N669" s="280">
        <f>O669*1.2</f>
        <v>3971520</v>
      </c>
      <c r="O669" s="151">
        <v>3309600</v>
      </c>
      <c r="P669" s="151"/>
      <c r="Q669" s="151"/>
      <c r="R669" s="151"/>
      <c r="S669" s="151"/>
      <c r="T669" s="68"/>
      <c r="U669" s="151"/>
      <c r="V669" s="152">
        <v>46265</v>
      </c>
      <c r="W669" s="151"/>
      <c r="X669" s="152"/>
      <c r="Y669" s="151"/>
      <c r="Z669" s="151"/>
      <c r="AA669" s="151"/>
      <c r="AB669" s="68"/>
      <c r="AC669" s="151"/>
      <c r="AD669" s="151"/>
      <c r="AE669" s="151" t="s">
        <v>100</v>
      </c>
      <c r="AF669" s="153"/>
      <c r="AG669" s="153"/>
      <c r="AH669" s="154"/>
      <c r="AI669" s="247"/>
      <c r="AJ669" s="156"/>
      <c r="AK669" s="279"/>
      <c r="AL669" s="155"/>
      <c r="AM669" s="155"/>
      <c r="AN669" s="246"/>
      <c r="AO669" s="247"/>
      <c r="AP669" s="34"/>
      <c r="AQ669" s="34"/>
      <c r="AR669" s="156"/>
      <c r="AS669" s="37"/>
    </row>
    <row r="670" spans="1:45" s="39" customFormat="1" ht="25.5" hidden="1" customHeight="1" x14ac:dyDescent="0.25">
      <c r="A670" s="150">
        <v>2026</v>
      </c>
      <c r="B670" s="68" t="s">
        <v>56</v>
      </c>
      <c r="C670" s="68" t="s">
        <v>1807</v>
      </c>
      <c r="D670" s="151" t="s">
        <v>106</v>
      </c>
      <c r="E670" s="150">
        <v>2</v>
      </c>
      <c r="F670" s="68" t="s">
        <v>1694</v>
      </c>
      <c r="G670" s="151" t="s">
        <v>121</v>
      </c>
      <c r="H670" s="151" t="s">
        <v>128</v>
      </c>
      <c r="I670" s="151"/>
      <c r="J670" s="151" t="s">
        <v>131</v>
      </c>
      <c r="K670" s="151" t="s">
        <v>3</v>
      </c>
      <c r="L670" s="151" t="s">
        <v>6</v>
      </c>
      <c r="M670" s="68" t="s">
        <v>15</v>
      </c>
      <c r="N670" s="280">
        <f>O670*1.2</f>
        <v>1920000</v>
      </c>
      <c r="O670" s="151">
        <v>1600000</v>
      </c>
      <c r="P670" s="151"/>
      <c r="Q670" s="151"/>
      <c r="R670" s="151"/>
      <c r="S670" s="151"/>
      <c r="T670" s="68"/>
      <c r="U670" s="151"/>
      <c r="V670" s="152">
        <v>46265</v>
      </c>
      <c r="W670" s="151"/>
      <c r="X670" s="152"/>
      <c r="Y670" s="151"/>
      <c r="Z670" s="151"/>
      <c r="AA670" s="151"/>
      <c r="AB670" s="68"/>
      <c r="AC670" s="151"/>
      <c r="AD670" s="151"/>
      <c r="AE670" s="151" t="s">
        <v>100</v>
      </c>
      <c r="AF670" s="153"/>
      <c r="AG670" s="153"/>
      <c r="AH670" s="154"/>
      <c r="AI670" s="247"/>
      <c r="AJ670" s="156"/>
      <c r="AK670" s="279"/>
      <c r="AL670" s="155"/>
      <c r="AM670" s="155"/>
      <c r="AN670" s="246"/>
      <c r="AO670" s="247"/>
      <c r="AP670" s="34"/>
      <c r="AQ670" s="34"/>
      <c r="AR670" s="156"/>
      <c r="AS670" s="37"/>
    </row>
    <row r="671" spans="1:45" s="39" customFormat="1" ht="38.25" hidden="1" customHeight="1" x14ac:dyDescent="0.25">
      <c r="A671" s="150">
        <v>2026</v>
      </c>
      <c r="B671" s="68" t="s">
        <v>55</v>
      </c>
      <c r="C671" s="68" t="s">
        <v>1695</v>
      </c>
      <c r="D671" s="151" t="s">
        <v>106</v>
      </c>
      <c r="E671" s="150">
        <v>1</v>
      </c>
      <c r="F671" s="68" t="s">
        <v>1696</v>
      </c>
      <c r="G671" s="151" t="s">
        <v>121</v>
      </c>
      <c r="H671" s="151" t="s">
        <v>128</v>
      </c>
      <c r="I671" s="151"/>
      <c r="J671" s="151" t="s">
        <v>131</v>
      </c>
      <c r="K671" s="151" t="s">
        <v>3</v>
      </c>
      <c r="L671" s="151" t="s">
        <v>7</v>
      </c>
      <c r="M671" s="68" t="s">
        <v>38</v>
      </c>
      <c r="N671" s="280">
        <f>O671*1.2</f>
        <v>4932000</v>
      </c>
      <c r="O671" s="151">
        <v>4110000</v>
      </c>
      <c r="P671" s="151"/>
      <c r="Q671" s="151"/>
      <c r="R671" s="151"/>
      <c r="S671" s="151"/>
      <c r="T671" s="68"/>
      <c r="U671" s="151"/>
      <c r="V671" s="152">
        <v>46266</v>
      </c>
      <c r="W671" s="151"/>
      <c r="X671" s="152"/>
      <c r="Y671" s="151"/>
      <c r="Z671" s="151"/>
      <c r="AA671" s="151"/>
      <c r="AB671" s="68"/>
      <c r="AC671" s="151"/>
      <c r="AD671" s="151"/>
      <c r="AE671" s="151" t="s">
        <v>100</v>
      </c>
      <c r="AF671" s="153"/>
      <c r="AG671" s="153"/>
      <c r="AH671" s="154"/>
      <c r="AI671" s="247"/>
      <c r="AJ671" s="156"/>
      <c r="AK671" s="279"/>
      <c r="AL671" s="155"/>
      <c r="AM671" s="155"/>
      <c r="AN671" s="246"/>
      <c r="AO671" s="247"/>
      <c r="AP671" s="34"/>
      <c r="AQ671" s="34"/>
      <c r="AR671" s="156"/>
      <c r="AS671" s="37"/>
    </row>
    <row r="672" spans="1:45" s="39" customFormat="1" ht="38.25" hidden="1" customHeight="1" x14ac:dyDescent="0.25">
      <c r="A672" s="150">
        <v>2026</v>
      </c>
      <c r="B672" s="68" t="s">
        <v>60</v>
      </c>
      <c r="C672" s="68" t="s">
        <v>1803</v>
      </c>
      <c r="D672" s="151" t="s">
        <v>114</v>
      </c>
      <c r="E672" s="150">
        <v>1</v>
      </c>
      <c r="F672" s="68" t="s">
        <v>1800</v>
      </c>
      <c r="G672" s="151" t="s">
        <v>120</v>
      </c>
      <c r="H672" s="151" t="s">
        <v>120</v>
      </c>
      <c r="I672" s="151"/>
      <c r="J672" s="151" t="s">
        <v>131</v>
      </c>
      <c r="K672" s="151" t="s">
        <v>4</v>
      </c>
      <c r="L672" s="151" t="s">
        <v>7</v>
      </c>
      <c r="M672" s="68" t="s">
        <v>1801</v>
      </c>
      <c r="N672" s="280"/>
      <c r="O672" s="151"/>
      <c r="P672" s="151"/>
      <c r="Q672" s="151"/>
      <c r="R672" s="151"/>
      <c r="S672" s="151"/>
      <c r="T672" s="68" t="s">
        <v>1802</v>
      </c>
      <c r="U672" s="151"/>
      <c r="V672" s="152">
        <v>46268</v>
      </c>
      <c r="W672" s="151"/>
      <c r="X672" s="152"/>
      <c r="Y672" s="151"/>
      <c r="Z672" s="151"/>
      <c r="AA672" s="151"/>
      <c r="AB672" s="68"/>
      <c r="AC672" s="151"/>
      <c r="AD672" s="151">
        <v>3547200</v>
      </c>
      <c r="AE672" s="151" t="s">
        <v>101</v>
      </c>
      <c r="AF672" s="153"/>
      <c r="AG672" s="153"/>
      <c r="AH672" s="154"/>
      <c r="AI672" s="247"/>
      <c r="AJ672" s="156"/>
      <c r="AK672" s="279"/>
      <c r="AL672" s="155"/>
      <c r="AM672" s="155"/>
      <c r="AN672" s="246"/>
      <c r="AO672" s="247"/>
      <c r="AP672" s="34"/>
      <c r="AQ672" s="34"/>
      <c r="AR672" s="156"/>
      <c r="AS672" s="37"/>
    </row>
    <row r="673" spans="1:45" s="39" customFormat="1" ht="38.25" hidden="1" customHeight="1" x14ac:dyDescent="0.25">
      <c r="A673" s="150">
        <v>2026</v>
      </c>
      <c r="B673" s="68" t="s">
        <v>58</v>
      </c>
      <c r="C673" s="68" t="s">
        <v>1804</v>
      </c>
      <c r="D673" s="151" t="s">
        <v>106</v>
      </c>
      <c r="E673" s="150">
        <v>1</v>
      </c>
      <c r="F673" s="68" t="s">
        <v>1805</v>
      </c>
      <c r="G673" s="151" t="s">
        <v>121</v>
      </c>
      <c r="H673" s="151" t="s">
        <v>128</v>
      </c>
      <c r="I673" s="151"/>
      <c r="J673" s="151" t="s">
        <v>131</v>
      </c>
      <c r="K673" s="151" t="s">
        <v>4</v>
      </c>
      <c r="L673" s="151" t="s">
        <v>7</v>
      </c>
      <c r="M673" s="68" t="s">
        <v>965</v>
      </c>
      <c r="N673" s="280">
        <f>Engagements2026Juillet[[#This Row],[ESTIMATION TTC]]*1.2</f>
        <v>3324974.4</v>
      </c>
      <c r="O673" s="151">
        <v>2770812</v>
      </c>
      <c r="P673" s="151"/>
      <c r="Q673" s="151"/>
      <c r="R673" s="151"/>
      <c r="S673" s="151"/>
      <c r="T673" s="68"/>
      <c r="U673" s="151"/>
      <c r="V673" s="152">
        <v>46266</v>
      </c>
      <c r="W673" s="151"/>
      <c r="X673" s="152"/>
      <c r="Y673" s="151"/>
      <c r="Z673" s="151"/>
      <c r="AA673" s="151"/>
      <c r="AB673" s="68"/>
      <c r="AC673" s="151"/>
      <c r="AD673" s="151"/>
      <c r="AE673" s="151" t="s">
        <v>100</v>
      </c>
      <c r="AF673" s="153"/>
      <c r="AG673" s="153"/>
      <c r="AH673" s="154"/>
      <c r="AI673" s="247"/>
      <c r="AJ673" s="156"/>
      <c r="AK673" s="279"/>
      <c r="AL673" s="155"/>
      <c r="AM673" s="155"/>
      <c r="AN673" s="246"/>
      <c r="AO673" s="247"/>
      <c r="AP673" s="34"/>
      <c r="AQ673" s="34"/>
      <c r="AR673" s="156"/>
      <c r="AS673" s="37"/>
    </row>
    <row r="674" spans="1:45" s="39" customFormat="1" ht="38.25" hidden="1" customHeight="1" x14ac:dyDescent="0.25">
      <c r="A674" s="282">
        <v>2026</v>
      </c>
      <c r="B674" s="283" t="s">
        <v>77</v>
      </c>
      <c r="C674" s="284"/>
      <c r="D674" s="285" t="s">
        <v>114</v>
      </c>
      <c r="E674" s="286">
        <v>1</v>
      </c>
      <c r="F674" s="287" t="s">
        <v>1584</v>
      </c>
      <c r="G674" s="285" t="s">
        <v>121</v>
      </c>
      <c r="H674" s="283" t="s">
        <v>126</v>
      </c>
      <c r="I674" s="284"/>
      <c r="J674" s="288" t="s">
        <v>132</v>
      </c>
      <c r="K674" s="285" t="s">
        <v>3</v>
      </c>
      <c r="L674" s="283" t="s">
        <v>6</v>
      </c>
      <c r="M674" s="289" t="s">
        <v>1806</v>
      </c>
      <c r="N674" s="290"/>
      <c r="O674" s="290"/>
      <c r="P674" s="290"/>
      <c r="Q674" s="285"/>
      <c r="R674" s="291"/>
      <c r="S674" s="291"/>
      <c r="T674" s="287" t="s">
        <v>1585</v>
      </c>
      <c r="U674" s="285"/>
      <c r="V674" s="292"/>
      <c r="W674" s="291"/>
      <c r="X674" s="293"/>
      <c r="Y674" s="294"/>
      <c r="Z674" s="295"/>
      <c r="AA674" s="296"/>
      <c r="AB674" s="296"/>
      <c r="AC674" s="296"/>
      <c r="AD674" s="297">
        <v>36600</v>
      </c>
      <c r="AE674" s="298" t="s">
        <v>102</v>
      </c>
      <c r="AF674" s="299"/>
      <c r="AG674" s="300"/>
      <c r="AH674" s="301"/>
      <c r="AI674" s="301"/>
      <c r="AJ674" s="301"/>
      <c r="AK674" s="302"/>
      <c r="AL674" s="301"/>
      <c r="AM674" s="303"/>
      <c r="AN674" s="246"/>
      <c r="AO674" s="247"/>
      <c r="AP674" s="34"/>
      <c r="AQ674" s="34"/>
      <c r="AR674" s="156"/>
      <c r="AS674" s="37"/>
    </row>
    <row r="675" spans="1:45" s="1" customFormat="1" ht="25.5" customHeight="1" x14ac:dyDescent="0.25">
      <c r="A675" s="137">
        <v>2026</v>
      </c>
      <c r="B675" s="125" t="s">
        <v>77</v>
      </c>
      <c r="C675" s="78" t="s">
        <v>1808</v>
      </c>
      <c r="D675" s="147" t="s">
        <v>107</v>
      </c>
      <c r="E675" s="147">
        <v>1</v>
      </c>
      <c r="F675" s="62" t="s">
        <v>1809</v>
      </c>
      <c r="G675" s="147" t="s">
        <v>121</v>
      </c>
      <c r="H675" s="125" t="s">
        <v>126</v>
      </c>
      <c r="I675" s="126"/>
      <c r="J675" s="147" t="s">
        <v>131</v>
      </c>
      <c r="K675" s="147" t="s">
        <v>3</v>
      </c>
      <c r="L675" s="125" t="s">
        <v>6</v>
      </c>
      <c r="M675" s="128" t="s">
        <v>913</v>
      </c>
      <c r="N675" s="266"/>
      <c r="O675" s="266"/>
      <c r="P675" s="266"/>
      <c r="Q675" s="147"/>
      <c r="R675" s="129"/>
      <c r="S675" s="129"/>
      <c r="T675" s="62" t="s">
        <v>1810</v>
      </c>
      <c r="U675" s="130"/>
      <c r="V675" s="131"/>
      <c r="W675" s="129"/>
      <c r="X675" s="132"/>
      <c r="Y675" s="267"/>
      <c r="Z675" s="268"/>
      <c r="AA675" s="277"/>
      <c r="AB675" s="278"/>
      <c r="AC675" s="278"/>
      <c r="AD675" s="271">
        <v>5489836.7999999998</v>
      </c>
      <c r="AE675" s="133" t="s">
        <v>102</v>
      </c>
      <c r="AF675" s="272"/>
      <c r="AG675" s="273"/>
      <c r="AH675" s="274"/>
      <c r="AI675" s="274"/>
      <c r="AJ675" s="274"/>
      <c r="AK675" s="275"/>
      <c r="AL675" s="274"/>
      <c r="AM675" s="276"/>
      <c r="AN675" s="182"/>
      <c r="AO675" s="180"/>
      <c r="AP675" s="23"/>
      <c r="AQ675" s="23"/>
      <c r="AR675" s="139"/>
      <c r="AS675" s="27"/>
    </row>
    <row r="676" spans="1:45" s="1" customFormat="1" ht="25.5" customHeight="1" x14ac:dyDescent="0.25">
      <c r="A676" s="137">
        <v>2026</v>
      </c>
      <c r="B676" s="125" t="s">
        <v>77</v>
      </c>
      <c r="C676" s="78" t="s">
        <v>1811</v>
      </c>
      <c r="D676" s="147" t="s">
        <v>107</v>
      </c>
      <c r="E676" s="147">
        <v>1</v>
      </c>
      <c r="F676" s="62" t="s">
        <v>1812</v>
      </c>
      <c r="G676" s="147" t="s">
        <v>121</v>
      </c>
      <c r="H676" s="125" t="s">
        <v>126</v>
      </c>
      <c r="I676" s="126"/>
      <c r="J676" s="147" t="s">
        <v>131</v>
      </c>
      <c r="K676" s="147" t="s">
        <v>3</v>
      </c>
      <c r="L676" s="125" t="s">
        <v>6</v>
      </c>
      <c r="M676" s="128" t="s">
        <v>913</v>
      </c>
      <c r="N676" s="266"/>
      <c r="O676" s="266"/>
      <c r="P676" s="266"/>
      <c r="Q676" s="147"/>
      <c r="R676" s="129"/>
      <c r="S676" s="129"/>
      <c r="T676" s="62" t="s">
        <v>1813</v>
      </c>
      <c r="U676" s="130"/>
      <c r="V676" s="131"/>
      <c r="W676" s="129"/>
      <c r="X676" s="132"/>
      <c r="Y676" s="267"/>
      <c r="Z676" s="268"/>
      <c r="AA676" s="277"/>
      <c r="AB676" s="278"/>
      <c r="AC676" s="278"/>
      <c r="AD676" s="271">
        <v>4082624.04</v>
      </c>
      <c r="AE676" s="133" t="s">
        <v>102</v>
      </c>
      <c r="AF676" s="272"/>
      <c r="AG676" s="273"/>
      <c r="AH676" s="274"/>
      <c r="AI676" s="274"/>
      <c r="AJ676" s="274"/>
      <c r="AK676" s="275"/>
      <c r="AL676" s="274"/>
      <c r="AM676" s="276"/>
      <c r="AN676" s="182"/>
      <c r="AO676" s="180"/>
      <c r="AP676" s="23"/>
      <c r="AQ676" s="23"/>
      <c r="AR676" s="139"/>
      <c r="AS676" s="27"/>
    </row>
    <row r="677" spans="1:45" s="1" customFormat="1" ht="25.5" customHeight="1" x14ac:dyDescent="0.25">
      <c r="A677" s="137">
        <v>2026</v>
      </c>
      <c r="B677" s="125" t="s">
        <v>77</v>
      </c>
      <c r="C677" s="78" t="s">
        <v>1814</v>
      </c>
      <c r="D677" s="147" t="s">
        <v>107</v>
      </c>
      <c r="E677" s="147">
        <v>1</v>
      </c>
      <c r="F677" s="62" t="s">
        <v>1815</v>
      </c>
      <c r="G677" s="147" t="s">
        <v>121</v>
      </c>
      <c r="H677" s="125" t="s">
        <v>126</v>
      </c>
      <c r="I677" s="126"/>
      <c r="J677" s="147" t="s">
        <v>131</v>
      </c>
      <c r="K677" s="147" t="s">
        <v>3</v>
      </c>
      <c r="L677" s="125" t="s">
        <v>6</v>
      </c>
      <c r="M677" s="128" t="s">
        <v>913</v>
      </c>
      <c r="N677" s="266"/>
      <c r="O677" s="266"/>
      <c r="P677" s="266"/>
      <c r="Q677" s="147"/>
      <c r="R677" s="129"/>
      <c r="S677" s="129"/>
      <c r="T677" s="62" t="s">
        <v>1820</v>
      </c>
      <c r="U677" s="130"/>
      <c r="V677" s="131"/>
      <c r="W677" s="129"/>
      <c r="X677" s="132"/>
      <c r="Y677" s="267"/>
      <c r="Z677" s="268"/>
      <c r="AA677" s="277"/>
      <c r="AB677" s="278"/>
      <c r="AC677" s="278"/>
      <c r="AD677" s="271">
        <v>2885702.4</v>
      </c>
      <c r="AE677" s="133" t="s">
        <v>102</v>
      </c>
      <c r="AF677" s="272"/>
      <c r="AG677" s="273"/>
      <c r="AH677" s="274"/>
      <c r="AI677" s="274"/>
      <c r="AJ677" s="274"/>
      <c r="AK677" s="275"/>
      <c r="AL677" s="274"/>
      <c r="AM677" s="276"/>
      <c r="AN677" s="182"/>
      <c r="AO677" s="180"/>
      <c r="AP677" s="23"/>
      <c r="AQ677" s="23"/>
      <c r="AR677" s="139"/>
      <c r="AS677" s="27"/>
    </row>
    <row r="678" spans="1:45" s="1" customFormat="1" ht="25.5" customHeight="1" x14ac:dyDescent="0.25">
      <c r="A678" s="137">
        <v>2026</v>
      </c>
      <c r="B678" s="125" t="s">
        <v>77</v>
      </c>
      <c r="C678" s="78" t="s">
        <v>1816</v>
      </c>
      <c r="D678" s="147" t="s">
        <v>107</v>
      </c>
      <c r="E678" s="147">
        <v>1</v>
      </c>
      <c r="F678" s="62" t="s">
        <v>1817</v>
      </c>
      <c r="G678" s="147" t="s">
        <v>121</v>
      </c>
      <c r="H678" s="125" t="s">
        <v>126</v>
      </c>
      <c r="I678" s="126"/>
      <c r="J678" s="147" t="s">
        <v>131</v>
      </c>
      <c r="K678" s="147" t="s">
        <v>3</v>
      </c>
      <c r="L678" s="125" t="s">
        <v>6</v>
      </c>
      <c r="M678" s="128" t="s">
        <v>913</v>
      </c>
      <c r="N678" s="266"/>
      <c r="O678" s="266"/>
      <c r="P678" s="266"/>
      <c r="Q678" s="147"/>
      <c r="R678" s="129"/>
      <c r="S678" s="129"/>
      <c r="T678" s="62" t="s">
        <v>1821</v>
      </c>
      <c r="U678" s="130"/>
      <c r="V678" s="131"/>
      <c r="W678" s="129"/>
      <c r="X678" s="132"/>
      <c r="Y678" s="267"/>
      <c r="Z678" s="268"/>
      <c r="AA678" s="277"/>
      <c r="AB678" s="278"/>
      <c r="AC678" s="278"/>
      <c r="AD678" s="271">
        <v>3107440</v>
      </c>
      <c r="AE678" s="133" t="s">
        <v>102</v>
      </c>
      <c r="AF678" s="272"/>
      <c r="AG678" s="273"/>
      <c r="AH678" s="274"/>
      <c r="AI678" s="274"/>
      <c r="AJ678" s="274"/>
      <c r="AK678" s="275"/>
      <c r="AL678" s="274"/>
      <c r="AM678" s="276"/>
      <c r="AN678" s="182"/>
      <c r="AO678" s="180"/>
      <c r="AP678" s="23"/>
      <c r="AQ678" s="23"/>
      <c r="AR678" s="139"/>
      <c r="AS678" s="27"/>
    </row>
    <row r="679" spans="1:45" s="1" customFormat="1" ht="25.5" customHeight="1" x14ac:dyDescent="0.25">
      <c r="A679" s="137">
        <v>2026</v>
      </c>
      <c r="B679" s="125" t="s">
        <v>77</v>
      </c>
      <c r="C679" s="78" t="s">
        <v>1818</v>
      </c>
      <c r="D679" s="147" t="s">
        <v>107</v>
      </c>
      <c r="E679" s="147">
        <v>1</v>
      </c>
      <c r="F679" s="62" t="s">
        <v>1819</v>
      </c>
      <c r="G679" s="147" t="s">
        <v>121</v>
      </c>
      <c r="H679" s="125" t="s">
        <v>126</v>
      </c>
      <c r="I679" s="126"/>
      <c r="J679" s="147" t="s">
        <v>131</v>
      </c>
      <c r="K679" s="147" t="s">
        <v>3</v>
      </c>
      <c r="L679" s="125" t="s">
        <v>6</v>
      </c>
      <c r="M679" s="128" t="s">
        <v>913</v>
      </c>
      <c r="N679" s="266"/>
      <c r="O679" s="266"/>
      <c r="P679" s="266"/>
      <c r="Q679" s="147"/>
      <c r="R679" s="129"/>
      <c r="S679" s="129"/>
      <c r="T679" s="62" t="s">
        <v>1656</v>
      </c>
      <c r="U679" s="130"/>
      <c r="V679" s="131"/>
      <c r="W679" s="129"/>
      <c r="X679" s="132"/>
      <c r="Y679" s="267"/>
      <c r="Z679" s="268"/>
      <c r="AA679" s="304"/>
      <c r="AB679" s="305"/>
      <c r="AC679" s="305"/>
      <c r="AD679" s="271">
        <v>1958880</v>
      </c>
      <c r="AE679" s="133" t="s">
        <v>102</v>
      </c>
      <c r="AF679" s="272"/>
      <c r="AG679" s="273"/>
      <c r="AH679" s="274"/>
      <c r="AI679" s="274"/>
      <c r="AJ679" s="274"/>
      <c r="AK679" s="275"/>
      <c r="AL679" s="274"/>
      <c r="AM679" s="276"/>
      <c r="AN679" s="182"/>
      <c r="AO679" s="180"/>
      <c r="AP679" s="23"/>
      <c r="AQ679" s="23"/>
      <c r="AR679" s="139"/>
      <c r="AS679" s="27"/>
    </row>
    <row r="680" spans="1:45" s="39" customFormat="1" ht="32.25" customHeight="1" x14ac:dyDescent="0.25">
      <c r="A680" s="306">
        <v>2026</v>
      </c>
      <c r="B680" s="307" t="s">
        <v>60</v>
      </c>
      <c r="C680" s="79" t="s">
        <v>1823</v>
      </c>
      <c r="D680" s="308" t="s">
        <v>106</v>
      </c>
      <c r="E680" s="308">
        <v>1</v>
      </c>
      <c r="F680" s="65" t="s">
        <v>1824</v>
      </c>
      <c r="G680" s="308" t="s">
        <v>120</v>
      </c>
      <c r="H680" s="307" t="s">
        <v>120</v>
      </c>
      <c r="I680" s="309"/>
      <c r="J680" s="308" t="s">
        <v>130</v>
      </c>
      <c r="K680" s="308" t="s">
        <v>1</v>
      </c>
      <c r="L680" s="307" t="s">
        <v>7</v>
      </c>
      <c r="M680" s="67" t="s">
        <v>36</v>
      </c>
      <c r="N680" s="310">
        <f>O680*1.2</f>
        <v>3891240</v>
      </c>
      <c r="O680" s="310">
        <v>3242700</v>
      </c>
      <c r="P680" s="310"/>
      <c r="Q680" s="308"/>
      <c r="R680" s="311"/>
      <c r="S680" s="311"/>
      <c r="T680" s="65"/>
      <c r="U680" s="312"/>
      <c r="V680" s="313"/>
      <c r="W680" s="311"/>
      <c r="X680" s="314"/>
      <c r="Y680" s="277"/>
      <c r="Z680" s="315"/>
      <c r="AA680" s="277"/>
      <c r="AB680" s="278"/>
      <c r="AC680" s="278"/>
      <c r="AD680" s="278"/>
      <c r="AE680" s="151" t="s">
        <v>99</v>
      </c>
      <c r="AF680" s="316"/>
      <c r="AG680" s="317"/>
      <c r="AH680" s="318"/>
      <c r="AI680" s="318"/>
      <c r="AJ680" s="318"/>
      <c r="AK680" s="319"/>
      <c r="AL680" s="318"/>
      <c r="AM680" s="320"/>
      <c r="AN680" s="246"/>
      <c r="AO680" s="247"/>
      <c r="AP680" s="34"/>
      <c r="AQ680" s="34"/>
      <c r="AR680" s="156"/>
      <c r="AS680" s="37"/>
    </row>
    <row r="681" spans="1:45" s="39" customFormat="1" ht="34.5" customHeight="1" x14ac:dyDescent="0.25">
      <c r="A681" s="306">
        <v>2026</v>
      </c>
      <c r="B681" s="307" t="s">
        <v>77</v>
      </c>
      <c r="C681" s="79" t="s">
        <v>1825</v>
      </c>
      <c r="D681" s="308" t="s">
        <v>114</v>
      </c>
      <c r="E681" s="308">
        <v>1</v>
      </c>
      <c r="F681" s="65" t="s">
        <v>1826</v>
      </c>
      <c r="G681" s="308" t="s">
        <v>120</v>
      </c>
      <c r="H681" s="307" t="s">
        <v>120</v>
      </c>
      <c r="I681" s="309"/>
      <c r="J681" s="308" t="s">
        <v>131</v>
      </c>
      <c r="K681" s="308" t="s">
        <v>3</v>
      </c>
      <c r="L681" s="307" t="s">
        <v>6</v>
      </c>
      <c r="M681" s="67" t="s">
        <v>1827</v>
      </c>
      <c r="N681" s="310"/>
      <c r="O681" s="310"/>
      <c r="P681" s="310"/>
      <c r="Q681" s="308"/>
      <c r="R681" s="311"/>
      <c r="S681" s="311"/>
      <c r="T681" s="65" t="s">
        <v>1828</v>
      </c>
      <c r="U681" s="312"/>
      <c r="V681" s="313"/>
      <c r="W681" s="311"/>
      <c r="X681" s="314"/>
      <c r="Y681" s="277"/>
      <c r="Z681" s="315"/>
      <c r="AA681" s="277"/>
      <c r="AB681" s="278"/>
      <c r="AC681" s="278"/>
      <c r="AD681" s="278">
        <v>200000</v>
      </c>
      <c r="AE681" s="151" t="s">
        <v>101</v>
      </c>
      <c r="AF681" s="316"/>
      <c r="AG681" s="317"/>
      <c r="AH681" s="318"/>
      <c r="AI681" s="318"/>
      <c r="AJ681" s="318"/>
      <c r="AK681" s="319"/>
      <c r="AL681" s="318"/>
      <c r="AM681" s="320"/>
      <c r="AN681" s="246"/>
      <c r="AO681" s="247"/>
      <c r="AP681" s="34"/>
      <c r="AQ681" s="34"/>
      <c r="AR681" s="156"/>
      <c r="AS681" s="37"/>
    </row>
    <row r="682" spans="1:45" s="39" customFormat="1" ht="34.5" customHeight="1" x14ac:dyDescent="0.25">
      <c r="A682" s="306">
        <v>2026</v>
      </c>
      <c r="B682" s="307" t="s">
        <v>56</v>
      </c>
      <c r="C682" s="79" t="s">
        <v>1834</v>
      </c>
      <c r="D682" s="308" t="s">
        <v>106</v>
      </c>
      <c r="E682" s="308">
        <v>1</v>
      </c>
      <c r="F682" s="65" t="s">
        <v>1835</v>
      </c>
      <c r="G682" s="308" t="s">
        <v>121</v>
      </c>
      <c r="H682" s="307" t="s">
        <v>128</v>
      </c>
      <c r="I682" s="309"/>
      <c r="J682" s="308" t="s">
        <v>130</v>
      </c>
      <c r="K682" s="308" t="s">
        <v>3</v>
      </c>
      <c r="L682" s="307" t="s">
        <v>6</v>
      </c>
      <c r="M682" s="67" t="s">
        <v>23</v>
      </c>
      <c r="N682" s="310">
        <f>O682*1.2</f>
        <v>600000</v>
      </c>
      <c r="O682" s="310">
        <v>500000</v>
      </c>
      <c r="P682" s="310"/>
      <c r="Q682" s="308"/>
      <c r="R682" s="311"/>
      <c r="S682" s="311"/>
      <c r="T682" s="65"/>
      <c r="U682" s="312"/>
      <c r="V682" s="313"/>
      <c r="W682" s="311"/>
      <c r="X682" s="314"/>
      <c r="Y682" s="277"/>
      <c r="Z682" s="315"/>
      <c r="AA682" s="277"/>
      <c r="AB682" s="278"/>
      <c r="AC682" s="278"/>
      <c r="AD682" s="278"/>
      <c r="AE682" s="151" t="s">
        <v>100</v>
      </c>
      <c r="AF682" s="316"/>
      <c r="AG682" s="317"/>
      <c r="AH682" s="318"/>
      <c r="AI682" s="318"/>
      <c r="AJ682" s="318"/>
      <c r="AK682" s="319"/>
      <c r="AL682" s="318"/>
      <c r="AM682" s="320"/>
      <c r="AN682" s="246"/>
      <c r="AO682" s="247"/>
      <c r="AP682" s="34"/>
      <c r="AQ682" s="34"/>
      <c r="AR682" s="156"/>
      <c r="AS682" s="37"/>
    </row>
    <row r="683" spans="1:45" s="39" customFormat="1" ht="34.5" customHeight="1" x14ac:dyDescent="0.25">
      <c r="A683" s="306">
        <v>2026</v>
      </c>
      <c r="B683" s="307" t="s">
        <v>66</v>
      </c>
      <c r="C683" s="79" t="s">
        <v>1836</v>
      </c>
      <c r="D683" s="308" t="s">
        <v>114</v>
      </c>
      <c r="E683" s="308">
        <v>1</v>
      </c>
      <c r="F683" s="65" t="s">
        <v>1837</v>
      </c>
      <c r="G683" s="308" t="s">
        <v>120</v>
      </c>
      <c r="H683" s="307" t="s">
        <v>120</v>
      </c>
      <c r="I683" s="309"/>
      <c r="J683" s="308" t="s">
        <v>132</v>
      </c>
      <c r="K683" s="308" t="s">
        <v>3</v>
      </c>
      <c r="L683" s="307" t="s">
        <v>6</v>
      </c>
      <c r="M683" s="67" t="s">
        <v>27</v>
      </c>
      <c r="N683" s="310"/>
      <c r="O683" s="310"/>
      <c r="P683" s="310"/>
      <c r="Q683" s="308"/>
      <c r="R683" s="311"/>
      <c r="S683" s="311"/>
      <c r="T683" s="65" t="s">
        <v>1838</v>
      </c>
      <c r="U683" s="312"/>
      <c r="V683" s="313"/>
      <c r="W683" s="311"/>
      <c r="X683" s="314"/>
      <c r="Y683" s="277"/>
      <c r="Z683" s="315"/>
      <c r="AA683" s="277"/>
      <c r="AB683" s="278"/>
      <c r="AC683" s="278"/>
      <c r="AD683" s="278">
        <v>552106.61</v>
      </c>
      <c r="AE683" s="151" t="s">
        <v>101</v>
      </c>
      <c r="AF683" s="316"/>
      <c r="AG683" s="317"/>
      <c r="AH683" s="318"/>
      <c r="AI683" s="318"/>
      <c r="AJ683" s="318"/>
      <c r="AK683" s="319"/>
      <c r="AL683" s="318"/>
      <c r="AM683" s="320"/>
      <c r="AN683" s="246"/>
      <c r="AO683" s="247"/>
      <c r="AP683" s="34"/>
      <c r="AQ683" s="34"/>
      <c r="AR683" s="156"/>
      <c r="AS683" s="37"/>
    </row>
    <row r="684" spans="1:45" s="39" customFormat="1" ht="34.5" customHeight="1" x14ac:dyDescent="0.25">
      <c r="A684" s="306">
        <v>2026</v>
      </c>
      <c r="B684" s="307" t="s">
        <v>60</v>
      </c>
      <c r="C684" s="79" t="s">
        <v>1839</v>
      </c>
      <c r="D684" s="308" t="s">
        <v>114</v>
      </c>
      <c r="E684" s="308">
        <v>1</v>
      </c>
      <c r="F684" s="65" t="s">
        <v>1840</v>
      </c>
      <c r="G684" s="308" t="s">
        <v>120</v>
      </c>
      <c r="H684" s="307" t="s">
        <v>120</v>
      </c>
      <c r="I684" s="309"/>
      <c r="J684" s="308" t="s">
        <v>132</v>
      </c>
      <c r="K684" s="308" t="s">
        <v>3</v>
      </c>
      <c r="L684" s="307" t="s">
        <v>6</v>
      </c>
      <c r="M684" s="67" t="s">
        <v>874</v>
      </c>
      <c r="N684" s="310"/>
      <c r="O684" s="310"/>
      <c r="P684" s="310"/>
      <c r="Q684" s="308"/>
      <c r="R684" s="311"/>
      <c r="S684" s="311"/>
      <c r="T684" s="65" t="s">
        <v>1841</v>
      </c>
      <c r="U684" s="312"/>
      <c r="V684" s="313"/>
      <c r="W684" s="311"/>
      <c r="X684" s="314"/>
      <c r="Y684" s="277"/>
      <c r="Z684" s="315"/>
      <c r="AA684" s="277"/>
      <c r="AB684" s="278"/>
      <c r="AC684" s="278"/>
      <c r="AD684" s="278">
        <v>79676.929999999993</v>
      </c>
      <c r="AE684" s="151" t="s">
        <v>101</v>
      </c>
      <c r="AF684" s="316"/>
      <c r="AG684" s="317"/>
      <c r="AH684" s="318"/>
      <c r="AI684" s="318"/>
      <c r="AJ684" s="318"/>
      <c r="AK684" s="319"/>
      <c r="AL684" s="318"/>
      <c r="AM684" s="320"/>
      <c r="AN684" s="246"/>
      <c r="AO684" s="247"/>
      <c r="AP684" s="34"/>
      <c r="AQ684" s="34"/>
      <c r="AR684" s="156"/>
      <c r="AS684" s="37"/>
    </row>
    <row r="685" spans="1:45" s="39" customFormat="1" ht="34.5" customHeight="1" x14ac:dyDescent="0.25">
      <c r="A685" s="306">
        <v>2026</v>
      </c>
      <c r="B685" s="307" t="s">
        <v>58</v>
      </c>
      <c r="C685" s="79" t="s">
        <v>1674</v>
      </c>
      <c r="D685" s="308" t="s">
        <v>106</v>
      </c>
      <c r="E685" s="308">
        <v>1</v>
      </c>
      <c r="F685" s="65" t="s">
        <v>1843</v>
      </c>
      <c r="G685" s="308" t="s">
        <v>120</v>
      </c>
      <c r="H685" s="307" t="s">
        <v>120</v>
      </c>
      <c r="I685" s="309"/>
      <c r="J685" s="308" t="s">
        <v>131</v>
      </c>
      <c r="K685" s="308" t="s">
        <v>2</v>
      </c>
      <c r="L685" s="307" t="s">
        <v>7</v>
      </c>
      <c r="M685" s="67" t="s">
        <v>965</v>
      </c>
      <c r="N685" s="310">
        <f>O685*1.2</f>
        <v>11556000</v>
      </c>
      <c r="O685" s="310">
        <v>9630000</v>
      </c>
      <c r="P685" s="310"/>
      <c r="Q685" s="308"/>
      <c r="R685" s="311"/>
      <c r="S685" s="311"/>
      <c r="T685" s="65"/>
      <c r="U685" s="312"/>
      <c r="V685" s="313"/>
      <c r="W685" s="311"/>
      <c r="X685" s="314"/>
      <c r="Y685" s="277"/>
      <c r="Z685" s="315"/>
      <c r="AA685" s="277"/>
      <c r="AB685" s="278"/>
      <c r="AC685" s="278"/>
      <c r="AD685" s="278"/>
      <c r="AE685" s="151" t="s">
        <v>99</v>
      </c>
      <c r="AF685" s="316"/>
      <c r="AG685" s="317"/>
      <c r="AH685" s="318"/>
      <c r="AI685" s="318"/>
      <c r="AJ685" s="318"/>
      <c r="AK685" s="319"/>
      <c r="AL685" s="318"/>
      <c r="AM685" s="320"/>
      <c r="AN685" s="246"/>
      <c r="AO685" s="247"/>
      <c r="AP685" s="34"/>
      <c r="AQ685" s="34"/>
      <c r="AR685" s="156"/>
      <c r="AS685" s="37"/>
    </row>
    <row r="686" spans="1:45" ht="15" customHeight="1" x14ac:dyDescent="0.25">
      <c r="N686" s="281"/>
    </row>
    <row r="687" spans="1:45" ht="15" customHeight="1" x14ac:dyDescent="0.25">
      <c r="N687" s="281"/>
    </row>
    <row r="688" spans="1:45" ht="15" customHeight="1" x14ac:dyDescent="0.25">
      <c r="N688" s="281"/>
    </row>
    <row r="689" spans="14:14" ht="15" customHeight="1" x14ac:dyDescent="0.25">
      <c r="N689" s="281"/>
    </row>
    <row r="690" spans="14:14" ht="15" customHeight="1" x14ac:dyDescent="0.25">
      <c r="N690" s="281"/>
    </row>
    <row r="691" spans="14:14" ht="15" customHeight="1" x14ac:dyDescent="0.25">
      <c r="N691" s="281"/>
    </row>
    <row r="692" spans="14:14" ht="15" customHeight="1" x14ac:dyDescent="0.25">
      <c r="N692" s="281"/>
    </row>
    <row r="693" spans="14:14" ht="15" customHeight="1" x14ac:dyDescent="0.25">
      <c r="N693" s="281"/>
    </row>
    <row r="694" spans="14:14" ht="15" customHeight="1" x14ac:dyDescent="0.25">
      <c r="N694" s="281"/>
    </row>
    <row r="695" spans="14:14" ht="15" customHeight="1" x14ac:dyDescent="0.25">
      <c r="N695" s="281"/>
    </row>
    <row r="696" spans="14:14" ht="15" customHeight="1" x14ac:dyDescent="0.25">
      <c r="N696" s="281"/>
    </row>
    <row r="697" spans="14:14" ht="15" customHeight="1" x14ac:dyDescent="0.25">
      <c r="N697" s="281"/>
    </row>
    <row r="698" spans="14:14" ht="15" customHeight="1" x14ac:dyDescent="0.25">
      <c r="N698" s="281"/>
    </row>
    <row r="699" spans="14:14" ht="15" customHeight="1" x14ac:dyDescent="0.25">
      <c r="N699" s="281"/>
    </row>
    <row r="700" spans="14:14" ht="15" customHeight="1" x14ac:dyDescent="0.25">
      <c r="N700" s="281"/>
    </row>
    <row r="701" spans="14:14" ht="15" customHeight="1" x14ac:dyDescent="0.25">
      <c r="N701" s="281"/>
    </row>
    <row r="702" spans="14:14" ht="15" customHeight="1" x14ac:dyDescent="0.25">
      <c r="N702" s="281"/>
    </row>
    <row r="703" spans="14:14" ht="15" customHeight="1" x14ac:dyDescent="0.25">
      <c r="N703" s="281"/>
    </row>
    <row r="704" spans="14:14" ht="15" customHeight="1" x14ac:dyDescent="0.25">
      <c r="N704" s="281"/>
    </row>
    <row r="705" spans="14:14" ht="15" customHeight="1" x14ac:dyDescent="0.25">
      <c r="N705" s="281"/>
    </row>
    <row r="706" spans="14:14" ht="15" customHeight="1" x14ac:dyDescent="0.25">
      <c r="N706" s="281"/>
    </row>
    <row r="707" spans="14:14" ht="15" customHeight="1" x14ac:dyDescent="0.25">
      <c r="N707" s="281"/>
    </row>
    <row r="708" spans="14:14" ht="15" customHeight="1" x14ac:dyDescent="0.25">
      <c r="N708" s="281"/>
    </row>
    <row r="709" spans="14:14" ht="15" customHeight="1" x14ac:dyDescent="0.25">
      <c r="N709" s="281"/>
    </row>
    <row r="710" spans="14:14" ht="15" customHeight="1" x14ac:dyDescent="0.25">
      <c r="N710" s="281"/>
    </row>
    <row r="711" spans="14:14" ht="15" customHeight="1" x14ac:dyDescent="0.25">
      <c r="N711" s="281"/>
    </row>
    <row r="712" spans="14:14" ht="15" customHeight="1" x14ac:dyDescent="0.25">
      <c r="N712" s="281"/>
    </row>
    <row r="713" spans="14:14" ht="15" customHeight="1" x14ac:dyDescent="0.25">
      <c r="N713" s="281"/>
    </row>
    <row r="714" spans="14:14" ht="15" customHeight="1" x14ac:dyDescent="0.25">
      <c r="N714" s="281"/>
    </row>
    <row r="715" spans="14:14" ht="15" customHeight="1" x14ac:dyDescent="0.25">
      <c r="N715" s="281"/>
    </row>
    <row r="716" spans="14:14" ht="15" customHeight="1" x14ac:dyDescent="0.25">
      <c r="N716" s="281"/>
    </row>
    <row r="717" spans="14:14" ht="15" customHeight="1" x14ac:dyDescent="0.25">
      <c r="N717" s="281"/>
    </row>
    <row r="718" spans="14:14" ht="15" customHeight="1" x14ac:dyDescent="0.25">
      <c r="N718" s="281"/>
    </row>
    <row r="719" spans="14:14" ht="15" customHeight="1" x14ac:dyDescent="0.25">
      <c r="N719" s="281"/>
    </row>
    <row r="720" spans="14:14" ht="15" customHeight="1" x14ac:dyDescent="0.25">
      <c r="N720" s="281"/>
    </row>
    <row r="721" spans="14:14" ht="15" customHeight="1" x14ac:dyDescent="0.25">
      <c r="N721" s="281"/>
    </row>
    <row r="722" spans="14:14" ht="15" customHeight="1" x14ac:dyDescent="0.25">
      <c r="N722" s="281"/>
    </row>
    <row r="723" spans="14:14" ht="15" customHeight="1" x14ac:dyDescent="0.25">
      <c r="N723" s="281"/>
    </row>
    <row r="724" spans="14:14" ht="15" customHeight="1" x14ac:dyDescent="0.25">
      <c r="N724" s="281"/>
    </row>
    <row r="725" spans="14:14" ht="15" customHeight="1" x14ac:dyDescent="0.25">
      <c r="N725" s="281"/>
    </row>
    <row r="726" spans="14:14" ht="15" customHeight="1" x14ac:dyDescent="0.25">
      <c r="N726" s="281"/>
    </row>
    <row r="727" spans="14:14" ht="15" customHeight="1" x14ac:dyDescent="0.25">
      <c r="N727" s="281"/>
    </row>
    <row r="728" spans="14:14" ht="15" customHeight="1" x14ac:dyDescent="0.25">
      <c r="N728" s="281"/>
    </row>
    <row r="729" spans="14:14" ht="15" customHeight="1" x14ac:dyDescent="0.25">
      <c r="N729" s="281"/>
    </row>
    <row r="730" spans="14:14" ht="15" customHeight="1" x14ac:dyDescent="0.25">
      <c r="N730" s="281"/>
    </row>
    <row r="731" spans="14:14" ht="15" customHeight="1" x14ac:dyDescent="0.25">
      <c r="N731" s="281"/>
    </row>
    <row r="732" spans="14:14" ht="15" customHeight="1" x14ac:dyDescent="0.25">
      <c r="N732" s="281"/>
    </row>
    <row r="733" spans="14:14" ht="15" customHeight="1" x14ac:dyDescent="0.25">
      <c r="N733" s="281"/>
    </row>
    <row r="734" spans="14:14" ht="15" customHeight="1" x14ac:dyDescent="0.25">
      <c r="N734" s="281"/>
    </row>
    <row r="735" spans="14:14" ht="15" customHeight="1" x14ac:dyDescent="0.25">
      <c r="N735" s="281"/>
    </row>
    <row r="736" spans="14:14" ht="15" customHeight="1" x14ac:dyDescent="0.25">
      <c r="N736" s="281"/>
    </row>
    <row r="737" spans="14:14" ht="15" customHeight="1" x14ac:dyDescent="0.25">
      <c r="N737" s="281"/>
    </row>
    <row r="738" spans="14:14" ht="15" customHeight="1" x14ac:dyDescent="0.25">
      <c r="N738" s="281"/>
    </row>
    <row r="739" spans="14:14" ht="15" customHeight="1" x14ac:dyDescent="0.25">
      <c r="N739" s="281"/>
    </row>
    <row r="740" spans="14:14" ht="15" customHeight="1" x14ac:dyDescent="0.25">
      <c r="N740" s="281"/>
    </row>
    <row r="741" spans="14:14" ht="15" customHeight="1" x14ac:dyDescent="0.25">
      <c r="N741" s="281"/>
    </row>
    <row r="742" spans="14:14" ht="15" customHeight="1" x14ac:dyDescent="0.25">
      <c r="N742" s="281"/>
    </row>
    <row r="743" spans="14:14" ht="15" customHeight="1" x14ac:dyDescent="0.25">
      <c r="N743" s="281"/>
    </row>
    <row r="744" spans="14:14" ht="15" customHeight="1" x14ac:dyDescent="0.25">
      <c r="N744" s="281"/>
    </row>
    <row r="745" spans="14:14" ht="15" customHeight="1" x14ac:dyDescent="0.25">
      <c r="N745" s="281"/>
    </row>
    <row r="746" spans="14:14" ht="15" customHeight="1" x14ac:dyDescent="0.25">
      <c r="N746" s="281"/>
    </row>
    <row r="747" spans="14:14" ht="15" customHeight="1" x14ac:dyDescent="0.25">
      <c r="N747" s="281"/>
    </row>
    <row r="748" spans="14:14" ht="15" customHeight="1" x14ac:dyDescent="0.25">
      <c r="N748" s="281"/>
    </row>
    <row r="749" spans="14:14" ht="15" customHeight="1" x14ac:dyDescent="0.25">
      <c r="N749" s="281"/>
    </row>
    <row r="750" spans="14:14" ht="15" customHeight="1" x14ac:dyDescent="0.25">
      <c r="N750" s="281"/>
    </row>
    <row r="751" spans="14:14" ht="15" customHeight="1" x14ac:dyDescent="0.25">
      <c r="N751" s="281"/>
    </row>
    <row r="752" spans="14:14" ht="15" customHeight="1" x14ac:dyDescent="0.25">
      <c r="N752" s="281"/>
    </row>
    <row r="753" spans="14:14" ht="15" customHeight="1" x14ac:dyDescent="0.25">
      <c r="N753" s="281"/>
    </row>
    <row r="754" spans="14:14" ht="15" customHeight="1" x14ac:dyDescent="0.25">
      <c r="N754" s="281"/>
    </row>
    <row r="755" spans="14:14" ht="15" customHeight="1" x14ac:dyDescent="0.25">
      <c r="N755" s="281"/>
    </row>
    <row r="756" spans="14:14" ht="15" customHeight="1" x14ac:dyDescent="0.25">
      <c r="N756" s="281"/>
    </row>
    <row r="757" spans="14:14" ht="15" customHeight="1" x14ac:dyDescent="0.25">
      <c r="N757" s="281"/>
    </row>
    <row r="758" spans="14:14" ht="15" customHeight="1" x14ac:dyDescent="0.25">
      <c r="N758" s="281"/>
    </row>
    <row r="759" spans="14:14" ht="15" customHeight="1" x14ac:dyDescent="0.25">
      <c r="N759" s="281"/>
    </row>
    <row r="760" spans="14:14" ht="15" customHeight="1" x14ac:dyDescent="0.25">
      <c r="N760" s="281"/>
    </row>
    <row r="761" spans="14:14" ht="15" customHeight="1" x14ac:dyDescent="0.25">
      <c r="N761" s="281"/>
    </row>
    <row r="762" spans="14:14" ht="15" customHeight="1" x14ac:dyDescent="0.25">
      <c r="N762" s="281"/>
    </row>
    <row r="763" spans="14:14" ht="15" customHeight="1" x14ac:dyDescent="0.25">
      <c r="N763" s="281"/>
    </row>
    <row r="764" spans="14:14" ht="15" customHeight="1" x14ac:dyDescent="0.25">
      <c r="N764" s="281"/>
    </row>
    <row r="765" spans="14:14" ht="15" customHeight="1" x14ac:dyDescent="0.25">
      <c r="N765" s="281"/>
    </row>
    <row r="766" spans="14:14" ht="15" customHeight="1" x14ac:dyDescent="0.25">
      <c r="N766" s="281"/>
    </row>
    <row r="767" spans="14:14" ht="15" customHeight="1" x14ac:dyDescent="0.25">
      <c r="N767" s="281"/>
    </row>
    <row r="768" spans="14:14" ht="15" customHeight="1" x14ac:dyDescent="0.25">
      <c r="N768" s="281"/>
    </row>
    <row r="769" spans="14:14" ht="15" customHeight="1" x14ac:dyDescent="0.25">
      <c r="N769" s="281"/>
    </row>
    <row r="770" spans="14:14" ht="15" customHeight="1" x14ac:dyDescent="0.25">
      <c r="N770" s="281"/>
    </row>
    <row r="771" spans="14:14" ht="15" customHeight="1" x14ac:dyDescent="0.25">
      <c r="N771" s="281"/>
    </row>
    <row r="772" spans="14:14" ht="15" customHeight="1" x14ac:dyDescent="0.25">
      <c r="N772" s="281"/>
    </row>
    <row r="773" spans="14:14" ht="15" customHeight="1" x14ac:dyDescent="0.25">
      <c r="N773" s="281"/>
    </row>
    <row r="774" spans="14:14" ht="15" customHeight="1" x14ac:dyDescent="0.25">
      <c r="N774" s="281"/>
    </row>
    <row r="775" spans="14:14" ht="15" customHeight="1" x14ac:dyDescent="0.25">
      <c r="N775" s="281"/>
    </row>
    <row r="776" spans="14:14" ht="15" customHeight="1" x14ac:dyDescent="0.25">
      <c r="N776" s="281"/>
    </row>
    <row r="777" spans="14:14" ht="15" customHeight="1" x14ac:dyDescent="0.25">
      <c r="N777" s="281"/>
    </row>
    <row r="778" spans="14:14" ht="15" customHeight="1" x14ac:dyDescent="0.25">
      <c r="N778" s="281"/>
    </row>
    <row r="779" spans="14:14" ht="15" customHeight="1" x14ac:dyDescent="0.25">
      <c r="N779" s="281"/>
    </row>
    <row r="780" spans="14:14" ht="15" customHeight="1" x14ac:dyDescent="0.25">
      <c r="N780" s="281"/>
    </row>
    <row r="781" spans="14:14" ht="15" customHeight="1" x14ac:dyDescent="0.25">
      <c r="N781" s="281"/>
    </row>
    <row r="782" spans="14:14" ht="15" customHeight="1" x14ac:dyDescent="0.25">
      <c r="N782" s="281"/>
    </row>
    <row r="783" spans="14:14" ht="15" customHeight="1" x14ac:dyDescent="0.25">
      <c r="N783" s="281"/>
    </row>
    <row r="784" spans="14:14" ht="15" customHeight="1" x14ac:dyDescent="0.25">
      <c r="N784" s="281"/>
    </row>
    <row r="785" spans="14:14" ht="15" customHeight="1" x14ac:dyDescent="0.25">
      <c r="N785" s="281"/>
    </row>
    <row r="786" spans="14:14" ht="15" customHeight="1" x14ac:dyDescent="0.25">
      <c r="N786" s="281"/>
    </row>
    <row r="787" spans="14:14" ht="15" customHeight="1" x14ac:dyDescent="0.25">
      <c r="N787" s="281"/>
    </row>
    <row r="788" spans="14:14" ht="15" customHeight="1" x14ac:dyDescent="0.25">
      <c r="N788" s="281"/>
    </row>
    <row r="789" spans="14:14" ht="15" customHeight="1" x14ac:dyDescent="0.25">
      <c r="N789" s="281"/>
    </row>
    <row r="790" spans="14:14" ht="15" customHeight="1" x14ac:dyDescent="0.25">
      <c r="N790" s="281"/>
    </row>
    <row r="791" spans="14:14" ht="15" customHeight="1" x14ac:dyDescent="0.25">
      <c r="N791" s="281"/>
    </row>
    <row r="792" spans="14:14" ht="15" customHeight="1" x14ac:dyDescent="0.25">
      <c r="N792" s="281"/>
    </row>
    <row r="793" spans="14:14" ht="15" customHeight="1" x14ac:dyDescent="0.25">
      <c r="N793" s="281"/>
    </row>
    <row r="794" spans="14:14" ht="15" customHeight="1" x14ac:dyDescent="0.25">
      <c r="N794" s="281"/>
    </row>
    <row r="795" spans="14:14" ht="15" customHeight="1" x14ac:dyDescent="0.25">
      <c r="N795" s="281"/>
    </row>
    <row r="796" spans="14:14" ht="15" customHeight="1" x14ac:dyDescent="0.25">
      <c r="N796" s="281"/>
    </row>
    <row r="797" spans="14:14" ht="15" customHeight="1" x14ac:dyDescent="0.25">
      <c r="N797" s="281"/>
    </row>
    <row r="798" spans="14:14" ht="15" customHeight="1" x14ac:dyDescent="0.25">
      <c r="N798" s="281"/>
    </row>
    <row r="799" spans="14:14" ht="15" customHeight="1" x14ac:dyDescent="0.25">
      <c r="N799" s="281"/>
    </row>
    <row r="800" spans="14:14" ht="15" customHeight="1" x14ac:dyDescent="0.25">
      <c r="N800" s="281"/>
    </row>
    <row r="801" spans="14:14" ht="15" customHeight="1" x14ac:dyDescent="0.25">
      <c r="N801" s="281"/>
    </row>
    <row r="802" spans="14:14" ht="15" customHeight="1" x14ac:dyDescent="0.25">
      <c r="N802" s="281"/>
    </row>
    <row r="803" spans="14:14" ht="15" customHeight="1" x14ac:dyDescent="0.25">
      <c r="N803" s="281"/>
    </row>
    <row r="804" spans="14:14" ht="15" customHeight="1" x14ac:dyDescent="0.25">
      <c r="N804" s="281"/>
    </row>
    <row r="805" spans="14:14" ht="15" customHeight="1" x14ac:dyDescent="0.25">
      <c r="N805" s="281"/>
    </row>
    <row r="806" spans="14:14" ht="15" customHeight="1" x14ac:dyDescent="0.25">
      <c r="N806" s="281"/>
    </row>
    <row r="807" spans="14:14" ht="15" customHeight="1" x14ac:dyDescent="0.25">
      <c r="N807" s="281"/>
    </row>
    <row r="808" spans="14:14" ht="15" customHeight="1" x14ac:dyDescent="0.25">
      <c r="N808" s="281"/>
    </row>
    <row r="809" spans="14:14" ht="15" customHeight="1" x14ac:dyDescent="0.25">
      <c r="N809" s="281"/>
    </row>
    <row r="810" spans="14:14" ht="15" customHeight="1" x14ac:dyDescent="0.25">
      <c r="N810" s="281"/>
    </row>
    <row r="811" spans="14:14" ht="15" customHeight="1" x14ac:dyDescent="0.25">
      <c r="N811" s="281"/>
    </row>
    <row r="812" spans="14:14" ht="15" customHeight="1" x14ac:dyDescent="0.25">
      <c r="N812" s="281"/>
    </row>
    <row r="813" spans="14:14" ht="15" customHeight="1" x14ac:dyDescent="0.25">
      <c r="N813" s="281"/>
    </row>
    <row r="814" spans="14:14" ht="15" customHeight="1" x14ac:dyDescent="0.25">
      <c r="N814" s="281"/>
    </row>
    <row r="815" spans="14:14" ht="15" customHeight="1" x14ac:dyDescent="0.25">
      <c r="N815" s="281"/>
    </row>
    <row r="816" spans="14:14" ht="15" customHeight="1" x14ac:dyDescent="0.25">
      <c r="N816" s="281"/>
    </row>
    <row r="817" spans="14:14" ht="15" customHeight="1" x14ac:dyDescent="0.25">
      <c r="N817" s="281"/>
    </row>
    <row r="818" spans="14:14" ht="15" customHeight="1" x14ac:dyDescent="0.25">
      <c r="N818" s="281"/>
    </row>
    <row r="819" spans="14:14" ht="15" customHeight="1" x14ac:dyDescent="0.25">
      <c r="N819" s="281"/>
    </row>
    <row r="820" spans="14:14" ht="15" customHeight="1" x14ac:dyDescent="0.25">
      <c r="N820" s="281"/>
    </row>
    <row r="821" spans="14:14" ht="15" customHeight="1" x14ac:dyDescent="0.25">
      <c r="N821" s="281"/>
    </row>
    <row r="822" spans="14:14" ht="15" customHeight="1" x14ac:dyDescent="0.25">
      <c r="N822" s="281"/>
    </row>
    <row r="823" spans="14:14" ht="15" customHeight="1" x14ac:dyDescent="0.25">
      <c r="N823" s="281"/>
    </row>
    <row r="824" spans="14:14" ht="15" customHeight="1" x14ac:dyDescent="0.25">
      <c r="N824" s="281"/>
    </row>
    <row r="825" spans="14:14" ht="15" customHeight="1" x14ac:dyDescent="0.25">
      <c r="N825" s="281"/>
    </row>
    <row r="826" spans="14:14" ht="15" customHeight="1" x14ac:dyDescent="0.25">
      <c r="N826" s="281"/>
    </row>
    <row r="827" spans="14:14" ht="15" customHeight="1" x14ac:dyDescent="0.25">
      <c r="N827" s="281"/>
    </row>
    <row r="828" spans="14:14" ht="15" customHeight="1" x14ac:dyDescent="0.25">
      <c r="N828" s="281"/>
    </row>
    <row r="829" spans="14:14" ht="15" customHeight="1" x14ac:dyDescent="0.25">
      <c r="N829" s="281"/>
    </row>
    <row r="830" spans="14:14" ht="15" customHeight="1" x14ac:dyDescent="0.25">
      <c r="N830" s="281"/>
    </row>
    <row r="831" spans="14:14" ht="15" customHeight="1" x14ac:dyDescent="0.25">
      <c r="N831" s="281"/>
    </row>
    <row r="832" spans="14:14" ht="15" customHeight="1" x14ac:dyDescent="0.25">
      <c r="N832" s="281"/>
    </row>
    <row r="833" spans="14:14" ht="15" customHeight="1" x14ac:dyDescent="0.25">
      <c r="N833" s="281"/>
    </row>
    <row r="834" spans="14:14" ht="15" customHeight="1" x14ac:dyDescent="0.25">
      <c r="N834" s="281"/>
    </row>
    <row r="835" spans="14:14" ht="15" customHeight="1" x14ac:dyDescent="0.25">
      <c r="N835" s="281"/>
    </row>
    <row r="836" spans="14:14" ht="15" customHeight="1" x14ac:dyDescent="0.25">
      <c r="N836" s="281"/>
    </row>
    <row r="837" spans="14:14" ht="15" customHeight="1" x14ac:dyDescent="0.25">
      <c r="N837" s="281"/>
    </row>
    <row r="838" spans="14:14" ht="15" customHeight="1" x14ac:dyDescent="0.25">
      <c r="N838" s="281"/>
    </row>
    <row r="839" spans="14:14" ht="15" customHeight="1" x14ac:dyDescent="0.25">
      <c r="N839" s="281"/>
    </row>
    <row r="840" spans="14:14" ht="15" customHeight="1" x14ac:dyDescent="0.25">
      <c r="N840" s="281"/>
    </row>
    <row r="841" spans="14:14" ht="15" customHeight="1" x14ac:dyDescent="0.25">
      <c r="N841" s="281"/>
    </row>
    <row r="842" spans="14:14" ht="15" customHeight="1" x14ac:dyDescent="0.25">
      <c r="N842" s="281"/>
    </row>
    <row r="843" spans="14:14" ht="15" customHeight="1" x14ac:dyDescent="0.25">
      <c r="N843" s="281"/>
    </row>
    <row r="844" spans="14:14" ht="15" customHeight="1" x14ac:dyDescent="0.25">
      <c r="N844" s="281"/>
    </row>
    <row r="845" spans="14:14" ht="15" customHeight="1" x14ac:dyDescent="0.25">
      <c r="N845" s="281"/>
    </row>
    <row r="846" spans="14:14" ht="15" customHeight="1" x14ac:dyDescent="0.25">
      <c r="N846" s="281"/>
    </row>
    <row r="847" spans="14:14" ht="15" customHeight="1" x14ac:dyDescent="0.25">
      <c r="N847" s="281"/>
    </row>
    <row r="848" spans="14:14" ht="15" customHeight="1" x14ac:dyDescent="0.25">
      <c r="N848" s="281"/>
    </row>
    <row r="849" spans="14:14" ht="15" customHeight="1" x14ac:dyDescent="0.25">
      <c r="N849" s="281"/>
    </row>
    <row r="850" spans="14:14" ht="15" customHeight="1" x14ac:dyDescent="0.25">
      <c r="N850" s="281"/>
    </row>
    <row r="851" spans="14:14" ht="15" customHeight="1" x14ac:dyDescent="0.25">
      <c r="N851" s="281"/>
    </row>
    <row r="852" spans="14:14" ht="15" customHeight="1" x14ac:dyDescent="0.25">
      <c r="N852" s="281"/>
    </row>
    <row r="853" spans="14:14" ht="15" customHeight="1" x14ac:dyDescent="0.25">
      <c r="N853" s="281"/>
    </row>
    <row r="854" spans="14:14" ht="15" customHeight="1" x14ac:dyDescent="0.25">
      <c r="N854" s="281"/>
    </row>
    <row r="855" spans="14:14" ht="15" customHeight="1" x14ac:dyDescent="0.25">
      <c r="N855" s="281"/>
    </row>
    <row r="856" spans="14:14" ht="15" customHeight="1" x14ac:dyDescent="0.25">
      <c r="N856" s="281"/>
    </row>
    <row r="857" spans="14:14" ht="15" customHeight="1" x14ac:dyDescent="0.25">
      <c r="N857" s="281"/>
    </row>
    <row r="858" spans="14:14" ht="15" customHeight="1" x14ac:dyDescent="0.25">
      <c r="N858" s="281"/>
    </row>
    <row r="859" spans="14:14" ht="15" customHeight="1" x14ac:dyDescent="0.25">
      <c r="N859" s="281"/>
    </row>
    <row r="860" spans="14:14" ht="15" customHeight="1" x14ac:dyDescent="0.25">
      <c r="N860" s="281"/>
    </row>
    <row r="861" spans="14:14" ht="15" customHeight="1" x14ac:dyDescent="0.25">
      <c r="N861" s="281"/>
    </row>
    <row r="862" spans="14:14" ht="15" customHeight="1" x14ac:dyDescent="0.25">
      <c r="N862" s="281"/>
    </row>
    <row r="863" spans="14:14" ht="15" customHeight="1" x14ac:dyDescent="0.25">
      <c r="N863" s="281"/>
    </row>
    <row r="864" spans="14:14" ht="15" customHeight="1" x14ac:dyDescent="0.25">
      <c r="N864" s="281"/>
    </row>
    <row r="865" spans="14:14" ht="15" customHeight="1" x14ac:dyDescent="0.25">
      <c r="N865" s="281"/>
    </row>
    <row r="866" spans="14:14" ht="15" customHeight="1" x14ac:dyDescent="0.25">
      <c r="N866" s="281"/>
    </row>
    <row r="867" spans="14:14" ht="15" customHeight="1" x14ac:dyDescent="0.25">
      <c r="N867" s="281"/>
    </row>
  </sheetData>
  <conditionalFormatting sqref="A2:F93 A108:F184 A240:F441 A442:A445 A502:J525 A527:J546 A547 A548:I548 A549:D549 A550:AM552 A567:D568 A569:I571 A572:J584 A616:J647 A649:AL649 A686:AL1048576 B94:F107 B185:F239 B440:F470 B471:H476 B477:J501 B553:J556 B557:E557 B558:J564 B565:D566 B585:J588 E548:F549 E565:F571 G2:J470 G549:J549 G557:J557 G565:J568 J471:J476 K2:L8 K9:S9 K10:L60 K61:S88 K89:L97 K98:AM324 K325:W354 K355:U356 K357:W363 K365:L387 K388:AM393 K394:L394 K395:AM397 K398:L398 K399:AM402 K403:AL425 K426:L428 K429:AL432 K433:L433 K434:AL434 K435:L438 K439:AL445 K446:L476 K477:AM477 K478:L478 K479:AM479 K480:L480 K481:AM509 K511:AL512 K513:AM525 K527:AM542 K543:U546 K548:U549 K553:L553 K554:AM564 K565:L566 K567:AM567 K568:V569 K570:AM570 K571:V571 K572:AM580 K581:AE581 K582:AM584 K585:L587 K588:AE588 K616:M616 K617:AL647 M2:U3 M366:W379 N4:U5 N6:S8 N10:S60 N89:S92 N93:AM97 N364:W365 N380:W381 N382:AM387 N394:AM394 N398:AM398 N426:AL428 N433:AL433 N435:AL438 N446:S476 N478:AM478 N480:AM480 N510:AL510 N553:AM553 N565:V565 N566:AM566 N585:AM586 N587:AE587 N592 P592 Q616:AL616 T6:U92 U446:AL446 U447:AM476 V357:X357 W543:AM546 W548:AM549 X325:AD352 X353:X354 X357:X375 X376:AD381 X565:AM565 X568:AM569 X571:AM571 Y353:AD357 Y358:AE358 Y359:AL360 Y361:AD361 Y362:AE362 Y363:AD375 AE325:AE357 AE359:AE361 AE363:AE381 AF325:AM381 AF657:AL658 AM403:AM446 V2:AM92">
    <cfRule type="expression" dxfId="783" priority="794">
      <formula>IF(OR(#REF!=INF,#REF!=ANN),1,0)</formula>
    </cfRule>
    <cfRule type="expression" dxfId="782" priority="795">
      <formula>IF(#REF!=NA,1,0)</formula>
    </cfRule>
  </conditionalFormatting>
  <conditionalFormatting sqref="B547:L547 N547:U547 W547:AM547">
    <cfRule type="expression" dxfId="781" priority="798">
      <formula>IF(OR(#REF!=INF,#REF!=ANN),1,0)</formula>
    </cfRule>
    <cfRule type="expression" dxfId="780" priority="799">
      <formula>IF(#REF!=NA,1,0)</formula>
    </cfRule>
  </conditionalFormatting>
  <conditionalFormatting sqref="AF587:AF588">
    <cfRule type="expression" dxfId="779" priority="791">
      <formula>IF(OR(#REF!=INF,#REF!=ANN),1,0)</formula>
    </cfRule>
    <cfRule type="expression" dxfId="778" priority="792">
      <formula>IF(#REF!=NA,1,0)</formula>
    </cfRule>
  </conditionalFormatting>
  <conditionalFormatting sqref="M380:M387">
    <cfRule type="expression" dxfId="777" priority="789">
      <formula>IF(OR(#REF!=INF,#REF!=ANN),1,0)</formula>
    </cfRule>
  </conditionalFormatting>
  <conditionalFormatting sqref="A526:AM526 B589:D589 B593:J595 B599:J604 C596:J598 E589:F592 E605:E615 G589:AE589 J590:J592 J605:J615 K590:S590 K591:L591 K593:S593 K594:L604 M380:M387">
    <cfRule type="expression" dxfId="776" priority="790">
      <formula>IF(#REF!=NA,1,0)</formula>
    </cfRule>
  </conditionalFormatting>
  <conditionalFormatting sqref="A526:AM526 B589:D589 B593:J595 B599:J604 C596:J598 E589:F592 E605:E615 G589:AE589 J590:J592 J605:J615 K590:S590 K591:L591 K593:S593 K594:L604 T446:T476">
    <cfRule type="expression" dxfId="775" priority="783">
      <formula>IF(OR(#REF!=INF,#REF!=ANN),1,0)</formula>
    </cfRule>
  </conditionalFormatting>
  <conditionalFormatting sqref="T446:T476 Y606:Y609 Z599:Z605">
    <cfRule type="expression" dxfId="774" priority="784">
      <formula>IF(#REF!=NA,1,0)</formula>
    </cfRule>
  </conditionalFormatting>
  <conditionalFormatting sqref="M398">
    <cfRule type="expression" dxfId="773" priority="785">
      <formula>IF(OR(#REF!=INF,#REF!=ANN),1,0)</formula>
    </cfRule>
    <cfRule type="expression" dxfId="772" priority="786">
      <formula>IF(#REF!=NA,1,0)</formula>
    </cfRule>
  </conditionalFormatting>
  <conditionalFormatting sqref="M547">
    <cfRule type="expression" dxfId="771" priority="781">
      <formula>IF(OR(#REF!=INF,#REF!=ANN),1,0)</formula>
    </cfRule>
    <cfRule type="expression" dxfId="770" priority="782">
      <formula>IF(#REF!=NA,1,0)</formula>
    </cfRule>
  </conditionalFormatting>
  <conditionalFormatting sqref="V543:V549">
    <cfRule type="expression" dxfId="769" priority="779">
      <formula>IF(OR(#REF!=INF,#REF!=ANN),1,0)</formula>
    </cfRule>
    <cfRule type="expression" dxfId="768" priority="780">
      <formula>IF(#REF!=NA,1,0)</formula>
    </cfRule>
  </conditionalFormatting>
  <conditionalFormatting sqref="J548">
    <cfRule type="expression" dxfId="767" priority="777">
      <formula>IF(OR(#REF!=INF,#REF!=ANN),1,0)</formula>
    </cfRule>
    <cfRule type="expression" dxfId="766" priority="778">
      <formula>IF(#REF!=NA,1,0)</formula>
    </cfRule>
  </conditionalFormatting>
  <conditionalFormatting sqref="W565">
    <cfRule type="expression" dxfId="765" priority="775">
      <formula>IF(OR(#REF!=INF,#REF!=ANN),1,0)</formula>
    </cfRule>
    <cfRule type="expression" dxfId="764" priority="776">
      <formula>IF(#REF!=NA,1,0)</formula>
    </cfRule>
  </conditionalFormatting>
  <conditionalFormatting sqref="W568">
    <cfRule type="expression" dxfId="763" priority="773">
      <formula>IF(OR(#REF!=INF,#REF!=ANN),1,0)</formula>
    </cfRule>
    <cfRule type="expression" dxfId="762" priority="774">
      <formula>IF(#REF!=NA,1,0)</formula>
    </cfRule>
  </conditionalFormatting>
  <conditionalFormatting sqref="M426:M428 M433">
    <cfRule type="expression" dxfId="761" priority="771">
      <formula>IF(OR(#REF!=INF,#REF!=ANN),1,0)</formula>
    </cfRule>
    <cfRule type="expression" dxfId="760" priority="772">
      <formula>IF(#REF!=NA,1,0)</formula>
    </cfRule>
  </conditionalFormatting>
  <conditionalFormatting sqref="W569">
    <cfRule type="expression" dxfId="759" priority="769">
      <formula>IF(OR(#REF!=INF,#REF!=ANN),1,0)</formula>
    </cfRule>
    <cfRule type="expression" dxfId="758" priority="770">
      <formula>IF(#REF!=NA,1,0)</formula>
    </cfRule>
  </conditionalFormatting>
  <conditionalFormatting sqref="J569:J571">
    <cfRule type="expression" dxfId="757" priority="767">
      <formula>IF(OR(#REF!=INF,#REF!=ANN),1,0)</formula>
    </cfRule>
    <cfRule type="expression" dxfId="756" priority="768">
      <formula>IF(#REF!=NA,1,0)</formula>
    </cfRule>
  </conditionalFormatting>
  <conditionalFormatting sqref="W571">
    <cfRule type="expression" dxfId="755" priority="765">
      <formula>IF(OR(#REF!=INF,#REF!=ANN),1,0)</formula>
    </cfRule>
    <cfRule type="expression" dxfId="754" priority="766">
      <formula>IF(#REF!=NA,1,0)</formula>
    </cfRule>
  </conditionalFormatting>
  <conditionalFormatting sqref="A585:A588">
    <cfRule type="expression" dxfId="753" priority="763">
      <formula>IF(OR(#REF!=INF,#REF!=ANN),1,0)</formula>
    </cfRule>
    <cfRule type="expression" dxfId="752" priority="764">
      <formula>IF(#REF!=NA,1,0)</formula>
    </cfRule>
  </conditionalFormatting>
  <conditionalFormatting sqref="A446:A476">
    <cfRule type="expression" dxfId="751" priority="761">
      <formula>IF(OR(#REF!=INF,#REF!=ANN),1,0)</formula>
    </cfRule>
    <cfRule type="expression" dxfId="750" priority="762">
      <formula>IF(#REF!=NA,1,0)</formula>
    </cfRule>
  </conditionalFormatting>
  <conditionalFormatting sqref="AM587:AM588">
    <cfRule type="expression" dxfId="749" priority="759">
      <formula>IF(OR(#REF!=INF,#REF!=ANN),1,0)</formula>
    </cfRule>
    <cfRule type="expression" dxfId="748" priority="760">
      <formula>IF(#REF!=NA,1,0)</formula>
    </cfRule>
  </conditionalFormatting>
  <conditionalFormatting sqref="AF589">
    <cfRule type="expression" dxfId="747" priority="755">
      <formula>IF(OR(#REF!=INF,#REF!=ANN),1,0)</formula>
    </cfRule>
    <cfRule type="expression" dxfId="746" priority="756">
      <formula>IF(#REF!=NA,1,0)</formula>
    </cfRule>
  </conditionalFormatting>
  <conditionalFormatting sqref="A589">
    <cfRule type="expression" dxfId="745" priority="753">
      <formula>IF(OR(#REF!=INF,#REF!=ANN),1,0)</formula>
    </cfRule>
    <cfRule type="expression" dxfId="744" priority="754">
      <formula>IF(#REF!=NA,1,0)</formula>
    </cfRule>
  </conditionalFormatting>
  <conditionalFormatting sqref="AM589">
    <cfRule type="expression" dxfId="743" priority="751">
      <formula>IF(OR(#REF!=INF,#REF!=ANN),1,0)</formula>
    </cfRule>
    <cfRule type="expression" dxfId="742" priority="752">
      <formula>IF(#REF!=NA,1,0)</formula>
    </cfRule>
  </conditionalFormatting>
  <conditionalFormatting sqref="B590:H592 O592 Q591:S591 R592:S592 V590:W590 V591 V592:W592 AE590:AF592">
    <cfRule type="expression" dxfId="741" priority="749">
      <formula>IF(OR(#REF!=INF,#REF!=ANN),1,0)</formula>
    </cfRule>
    <cfRule type="expression" dxfId="740" priority="750">
      <formula>IF(#REF!=NA,1,0)</formula>
    </cfRule>
  </conditionalFormatting>
  <conditionalFormatting sqref="A590:A592">
    <cfRule type="expression" dxfId="739" priority="747">
      <formula>IF(OR(#REF!=INF,#REF!=ANN),1,0)</formula>
    </cfRule>
    <cfRule type="expression" dxfId="738" priority="748">
      <formula>IF(#REF!=NA,1,0)</formula>
    </cfRule>
  </conditionalFormatting>
  <conditionalFormatting sqref="T590:T592">
    <cfRule type="expression" dxfId="737" priority="745">
      <formula>IF(OR(#REF!=INF,#REF!=ANN),1,0)</formula>
    </cfRule>
    <cfRule type="expression" dxfId="736" priority="746">
      <formula>IF(#REF!=NA,1,0)</formula>
    </cfRule>
  </conditionalFormatting>
  <conditionalFormatting sqref="U590:U592">
    <cfRule type="expression" dxfId="735" priority="743">
      <formula>IF(OR(#REF!=INF,#REF!=ANN),1,0)</formula>
    </cfRule>
    <cfRule type="expression" dxfId="734" priority="744">
      <formula>IF(#REF!=NA,1,0)</formula>
    </cfRule>
  </conditionalFormatting>
  <conditionalFormatting sqref="X590:X592">
    <cfRule type="expression" dxfId="733" priority="741">
      <formula>IF(OR(#REF!=INF,#REF!=ANN),1,0)</formula>
    </cfRule>
    <cfRule type="expression" dxfId="732" priority="742">
      <formula>IF(#REF!=NA,1,0)</formula>
    </cfRule>
  </conditionalFormatting>
  <conditionalFormatting sqref="Y590:Y592">
    <cfRule type="expression" dxfId="731" priority="739">
      <formula>IF(OR(#REF!=INF,#REF!=ANN),1,0)</formula>
    </cfRule>
    <cfRule type="expression" dxfId="730" priority="740">
      <formula>IF(#REF!=NA,1,0)</formula>
    </cfRule>
  </conditionalFormatting>
  <conditionalFormatting sqref="Z590:Z592">
    <cfRule type="expression" dxfId="729" priority="737">
      <formula>IF(OR(#REF!=INF,#REF!=ANN),1,0)</formula>
    </cfRule>
    <cfRule type="expression" dxfId="728" priority="738">
      <formula>IF(#REF!=NA,1,0)</formula>
    </cfRule>
  </conditionalFormatting>
  <conditionalFormatting sqref="AA590:AA592">
    <cfRule type="expression" dxfId="727" priority="735">
      <formula>IF(OR(#REF!=INF,#REF!=ANN),1,0)</formula>
    </cfRule>
    <cfRule type="expression" dxfId="726" priority="736">
      <formula>IF(#REF!=NA,1,0)</formula>
    </cfRule>
  </conditionalFormatting>
  <conditionalFormatting sqref="AB590:AB592">
    <cfRule type="expression" dxfId="725" priority="733">
      <formula>IF(OR(#REF!=INF,#REF!=ANN),1,0)</formula>
    </cfRule>
    <cfRule type="expression" dxfId="724" priority="734">
      <formula>IF(#REF!=NA,1,0)</formula>
    </cfRule>
  </conditionalFormatting>
  <conditionalFormatting sqref="Y606:Y609 Z599:Z605 AC590:AC592">
    <cfRule type="expression" dxfId="723" priority="731">
      <formula>IF(OR(#REF!=INF,#REF!=ANN),1,0)</formula>
    </cfRule>
  </conditionalFormatting>
  <conditionalFormatting sqref="AC590:AC592">
    <cfRule type="expression" dxfId="722" priority="732">
      <formula>IF(#REF!=NA,1,0)</formula>
    </cfRule>
  </conditionalFormatting>
  <conditionalFormatting sqref="AD590:AD592">
    <cfRule type="expression" dxfId="721" priority="729">
      <formula>IF(OR(#REF!=INF,#REF!=ANN),1,0)</formula>
    </cfRule>
    <cfRule type="expression" dxfId="720" priority="730">
      <formula>IF(#REF!=NA,1,0)</formula>
    </cfRule>
  </conditionalFormatting>
  <conditionalFormatting sqref="AM590:AM592">
    <cfRule type="expression" dxfId="719" priority="727">
      <formula>IF(OR(#REF!=INF,#REF!=ANN),1,0)</formula>
    </cfRule>
    <cfRule type="expression" dxfId="718" priority="728">
      <formula>IF(#REF!=NA,1,0)</formula>
    </cfRule>
  </conditionalFormatting>
  <conditionalFormatting sqref="Q594:S594 AE593:AF594">
    <cfRule type="expression" dxfId="717" priority="725">
      <formula>IF(OR(#REF!=INF,#REF!=ANN),1,0)</formula>
    </cfRule>
    <cfRule type="expression" dxfId="716" priority="726">
      <formula>IF(#REF!=NA,1,0)</formula>
    </cfRule>
  </conditionalFormatting>
  <conditionalFormatting sqref="AM593:AM594">
    <cfRule type="expression" dxfId="715" priority="723">
      <formula>IF(OR(#REF!=INF,#REF!=ANN),1,0)</formula>
    </cfRule>
    <cfRule type="expression" dxfId="714" priority="724">
      <formula>IF(#REF!=NA,1,0)</formula>
    </cfRule>
  </conditionalFormatting>
  <conditionalFormatting sqref="V593:W593 V594">
    <cfRule type="expression" dxfId="713" priority="721">
      <formula>IF(OR(#REF!=INF,#REF!=ANN),1,0)</formula>
    </cfRule>
    <cfRule type="expression" dxfId="712" priority="722">
      <formula>IF(#REF!=NA,1,0)</formula>
    </cfRule>
  </conditionalFormatting>
  <conditionalFormatting sqref="T593:T594">
    <cfRule type="expression" dxfId="711" priority="719">
      <formula>IF(OR(#REF!=INF,#REF!=ANN),1,0)</formula>
    </cfRule>
    <cfRule type="expression" dxfId="710" priority="720">
      <formula>IF(#REF!=NA,1,0)</formula>
    </cfRule>
  </conditionalFormatting>
  <conditionalFormatting sqref="U593:U594">
    <cfRule type="expression" dxfId="709" priority="717">
      <formula>IF(OR(#REF!=INF,#REF!=ANN),1,0)</formula>
    </cfRule>
    <cfRule type="expression" dxfId="708" priority="718">
      <formula>IF(#REF!=NA,1,0)</formula>
    </cfRule>
  </conditionalFormatting>
  <conditionalFormatting sqref="X593:X594">
    <cfRule type="expression" dxfId="707" priority="715">
      <formula>IF(OR(#REF!=INF,#REF!=ANN),1,0)</formula>
    </cfRule>
    <cfRule type="expression" dxfId="706" priority="716">
      <formula>IF(#REF!=NA,1,0)</formula>
    </cfRule>
  </conditionalFormatting>
  <conditionalFormatting sqref="Y593:Y594">
    <cfRule type="expression" dxfId="705" priority="713">
      <formula>IF(OR(#REF!=INF,#REF!=ANN),1,0)</formula>
    </cfRule>
    <cfRule type="expression" dxfId="704" priority="714">
      <formula>IF(#REF!=NA,1,0)</formula>
    </cfRule>
  </conditionalFormatting>
  <conditionalFormatting sqref="Z593:Z594">
    <cfRule type="expression" dxfId="703" priority="711">
      <formula>IF(OR(#REF!=INF,#REF!=ANN),1,0)</formula>
    </cfRule>
    <cfRule type="expression" dxfId="702" priority="712">
      <formula>IF(#REF!=NA,1,0)</formula>
    </cfRule>
  </conditionalFormatting>
  <conditionalFormatting sqref="AA593:AA594">
    <cfRule type="expression" dxfId="701" priority="709">
      <formula>IF(OR(#REF!=INF,#REF!=ANN),1,0)</formula>
    </cfRule>
    <cfRule type="expression" dxfId="700" priority="710">
      <formula>IF(#REF!=NA,1,0)</formula>
    </cfRule>
  </conditionalFormatting>
  <conditionalFormatting sqref="AB593:AB594">
    <cfRule type="expression" dxfId="699" priority="707">
      <formula>IF(OR(#REF!=INF,#REF!=ANN),1,0)</formula>
    </cfRule>
    <cfRule type="expression" dxfId="698" priority="708">
      <formula>IF(#REF!=NA,1,0)</formula>
    </cfRule>
  </conditionalFormatting>
  <conditionalFormatting sqref="AC593">
    <cfRule type="expression" dxfId="697" priority="705">
      <formula>IF(OR(#REF!=INF,#REF!=ANN),1,0)</formula>
    </cfRule>
    <cfRule type="expression" dxfId="696" priority="706">
      <formula>IF(#REF!=NA,1,0)</formula>
    </cfRule>
  </conditionalFormatting>
  <conditionalFormatting sqref="AD593">
    <cfRule type="expression" dxfId="695" priority="703">
      <formula>IF(OR(#REF!=INF,#REF!=ANN),1,0)</formula>
    </cfRule>
    <cfRule type="expression" dxfId="694" priority="704">
      <formula>IF(#REF!=NA,1,0)</formula>
    </cfRule>
  </conditionalFormatting>
  <conditionalFormatting sqref="A593:A594">
    <cfRule type="expression" dxfId="693" priority="701">
      <formula>IF(OR(#REF!=INF,#REF!=ANN),1,0)</formula>
    </cfRule>
    <cfRule type="expression" dxfId="692" priority="702">
      <formula>IF(#REF!=NA,1,0)</formula>
    </cfRule>
  </conditionalFormatting>
  <conditionalFormatting sqref="M585:M587">
    <cfRule type="expression" dxfId="691" priority="699">
      <formula>IF(OR(#REF!=INF,#REF!=ANN),1,0)</formula>
    </cfRule>
    <cfRule type="expression" dxfId="690" priority="700">
      <formula>IF(#REF!=NA,1,0)</formula>
    </cfRule>
  </conditionalFormatting>
  <conditionalFormatting sqref="I590 I592">
    <cfRule type="expression" dxfId="689" priority="697">
      <formula>IF(OR(#REF!=INF,#REF!=ANN),1,0)</formula>
    </cfRule>
    <cfRule type="expression" dxfId="688" priority="698">
      <formula>IF(#REF!=NA,1,0)</formula>
    </cfRule>
  </conditionalFormatting>
  <conditionalFormatting sqref="K592:M592">
    <cfRule type="expression" dxfId="687" priority="695">
      <formula>IF(OR(#REF!=INF,#REF!=ANN),1,0)</formula>
    </cfRule>
    <cfRule type="expression" dxfId="686" priority="696">
      <formula>IF(#REF!=NA,1,0)</formula>
    </cfRule>
  </conditionalFormatting>
  <conditionalFormatting sqref="Q592">
    <cfRule type="expression" dxfId="685" priority="693">
      <formula>IF(OR(#REF!=INF,#REF!=ANN),1,0)</formula>
    </cfRule>
    <cfRule type="expression" dxfId="684" priority="694">
      <formula>IF(#REF!=NA,1,0)</formula>
    </cfRule>
  </conditionalFormatting>
  <conditionalFormatting sqref="M591">
    <cfRule type="expression" dxfId="683" priority="689">
      <formula>IF(OR(#REF!=INF,#REF!=ANN),1,0)</formula>
    </cfRule>
    <cfRule type="expression" dxfId="682" priority="690">
      <formula>IF(#REF!=NA,1,0)</formula>
    </cfRule>
  </conditionalFormatting>
  <conditionalFormatting sqref="N591:P591">
    <cfRule type="expression" dxfId="681" priority="687">
      <formula>IF(OR(#REF!=INF,#REF!=ANN),1,0)</formula>
    </cfRule>
    <cfRule type="expression" dxfId="680" priority="688">
      <formula>IF(#REF!=NA,1,0)</formula>
    </cfRule>
  </conditionalFormatting>
  <conditionalFormatting sqref="W591">
    <cfRule type="expression" dxfId="679" priority="685">
      <formula>IF(OR(#REF!=INF,#REF!=ANN),1,0)</formula>
    </cfRule>
    <cfRule type="expression" dxfId="678" priority="686">
      <formula>IF(#REF!=NA,1,0)</formula>
    </cfRule>
  </conditionalFormatting>
  <conditionalFormatting sqref="A486">
    <cfRule type="expression" dxfId="677" priority="683">
      <formula>IF(OR(#REF!=INF,#REF!=ANN),1,0)</formula>
    </cfRule>
    <cfRule type="expression" dxfId="676" priority="684">
      <formula>IF(#REF!=NA,1,0)</formula>
    </cfRule>
  </conditionalFormatting>
  <conditionalFormatting sqref="A485">
    <cfRule type="expression" dxfId="675" priority="681">
      <formula>IF(OR(#REF!=INF,#REF!=ANN),1,0)</formula>
    </cfRule>
    <cfRule type="expression" dxfId="674" priority="682">
      <formula>IF(#REF!=NA,1,0)</formula>
    </cfRule>
  </conditionalFormatting>
  <conditionalFormatting sqref="M10:M60">
    <cfRule type="expression" dxfId="673" priority="673">
      <formula>IF(OR(#REF!=INF,#REF!=ANN),1,0)</formula>
    </cfRule>
    <cfRule type="expression" dxfId="672" priority="674">
      <formula>IF(#REF!=NA,1,0)</formula>
    </cfRule>
  </conditionalFormatting>
  <conditionalFormatting sqref="M553 M566">
    <cfRule type="expression" dxfId="671" priority="671">
      <formula>IF(OR(#REF!=INF,#REF!=ANN),1,0)</formula>
    </cfRule>
    <cfRule type="expression" dxfId="670" priority="672">
      <formula>IF(#REF!=NA,1,0)</formula>
    </cfRule>
  </conditionalFormatting>
  <conditionalFormatting sqref="M435:M438">
    <cfRule type="expression" dxfId="669" priority="669">
      <formula>IF(OR(#REF!=INF,#REF!=ANN),1,0)</formula>
    </cfRule>
    <cfRule type="expression" dxfId="668" priority="670">
      <formula>IF(#REF!=NA,1,0)</formula>
    </cfRule>
  </conditionalFormatting>
  <conditionalFormatting sqref="K510:L510">
    <cfRule type="expression" dxfId="667" priority="667">
      <formula>IF(OR(#REF!=INF,#REF!=ANN),1,0)</formula>
    </cfRule>
    <cfRule type="expression" dxfId="666" priority="668">
      <formula>IF(#REF!=NA,1,0)</formula>
    </cfRule>
  </conditionalFormatting>
  <conditionalFormatting sqref="M510">
    <cfRule type="expression" dxfId="665" priority="665">
      <formula>IF(OR(#REF!=INF,#REF!=ANN),1,0)</formula>
    </cfRule>
    <cfRule type="expression" dxfId="664" priority="666">
      <formula>IF(#REF!=NA,1,0)</formula>
    </cfRule>
  </conditionalFormatting>
  <conditionalFormatting sqref="A553:A566">
    <cfRule type="expression" dxfId="663" priority="663">
      <formula>IF(OR(#REF!=INF,#REF!=ANN),1,0)</formula>
    </cfRule>
    <cfRule type="expression" dxfId="662" priority="664">
      <formula>IF(#REF!=NA,1,0)</formula>
    </cfRule>
  </conditionalFormatting>
  <conditionalFormatting sqref="AM510:AM512">
    <cfRule type="expression" dxfId="661" priority="661">
      <formula>IF(OR(#REF!=INF,#REF!=ANN),1,0)</formula>
    </cfRule>
    <cfRule type="expression" dxfId="660" priority="662">
      <formula>IF(#REF!=NA,1,0)</formula>
    </cfRule>
  </conditionalFormatting>
  <conditionalFormatting sqref="M4:M8">
    <cfRule type="expression" dxfId="659" priority="659">
      <formula>IF(OR(#REF!=INF,#REF!=ANN),1,0)</formula>
    </cfRule>
    <cfRule type="expression" dxfId="658" priority="660">
      <formula>IF(#REF!=NA,1,0)</formula>
    </cfRule>
  </conditionalFormatting>
  <conditionalFormatting sqref="M89:M97">
    <cfRule type="expression" dxfId="657" priority="657">
      <formula>IF(OR(#REF!=INF,#REF!=ANN),1,0)</formula>
    </cfRule>
    <cfRule type="expression" dxfId="656" priority="658">
      <formula>IF(#REF!=NA,1,0)</formula>
    </cfRule>
  </conditionalFormatting>
  <conditionalFormatting sqref="K364:L364">
    <cfRule type="expression" dxfId="655" priority="655">
      <formula>IF(OR(#REF!=INF,#REF!=ANN),1,0)</formula>
    </cfRule>
    <cfRule type="expression" dxfId="654" priority="656">
      <formula>IF(#REF!=NA,1,0)</formula>
    </cfRule>
  </conditionalFormatting>
  <conditionalFormatting sqref="M364:M365">
    <cfRule type="expression" dxfId="653" priority="653">
      <formula>IF(OR(#REF!=INF,#REF!=ANN),1,0)</formula>
    </cfRule>
    <cfRule type="expression" dxfId="652" priority="654">
      <formula>IF(#REF!=NA,1,0)</formula>
    </cfRule>
  </conditionalFormatting>
  <conditionalFormatting sqref="M394">
    <cfRule type="expression" dxfId="651" priority="651">
      <formula>IF(OR(#REF!=INF,#REF!=ANN),1,0)</formula>
    </cfRule>
    <cfRule type="expression" dxfId="650" priority="652">
      <formula>IF(#REF!=NA,1,0)</formula>
    </cfRule>
  </conditionalFormatting>
  <conditionalFormatting sqref="M565">
    <cfRule type="expression" dxfId="649" priority="649">
      <formula>IF(OR(#REF!=INF,#REF!=ANN),1,0)</formula>
    </cfRule>
    <cfRule type="expression" dxfId="648" priority="650">
      <formula>IF(#REF!=NA,1,0)</formula>
    </cfRule>
  </conditionalFormatting>
  <conditionalFormatting sqref="V356:X356">
    <cfRule type="expression" dxfId="647" priority="647">
      <formula>IF(OR(#REF!=INF,#REF!=ANN),1,0)</formula>
    </cfRule>
    <cfRule type="expression" dxfId="646" priority="648">
      <formula>IF(#REF!=NA,1,0)</formula>
    </cfRule>
  </conditionalFormatting>
  <conditionalFormatting sqref="V355:X355">
    <cfRule type="expression" dxfId="645" priority="645">
      <formula>IF(OR(#REF!=INF,#REF!=ANN),1,0)</formula>
    </cfRule>
    <cfRule type="expression" dxfId="644" priority="646">
      <formula>IF(#REF!=NA,1,0)</formula>
    </cfRule>
  </conditionalFormatting>
  <conditionalFormatting sqref="A185:A239">
    <cfRule type="expression" dxfId="643" priority="643">
      <formula>IF(OR(#REF!=INF,#REF!=ANN),1,0)</formula>
    </cfRule>
    <cfRule type="expression" dxfId="642" priority="644">
      <formula>IF(#REF!=NA,1,0)</formula>
    </cfRule>
  </conditionalFormatting>
  <conditionalFormatting sqref="A477:A484">
    <cfRule type="expression" dxfId="641" priority="641">
      <formula>IF(OR(#REF!=INF,#REF!=ANN),1,0)</formula>
    </cfRule>
    <cfRule type="expression" dxfId="640" priority="642">
      <formula>IF(#REF!=NA,1,0)</formula>
    </cfRule>
  </conditionalFormatting>
  <conditionalFormatting sqref="A487">
    <cfRule type="expression" dxfId="639" priority="639">
      <formula>IF(OR(#REF!=INF,#REF!=ANN),1,0)</formula>
    </cfRule>
    <cfRule type="expression" dxfId="638" priority="640">
      <formula>IF(#REF!=NA,1,0)</formula>
    </cfRule>
  </conditionalFormatting>
  <conditionalFormatting sqref="A488:A501">
    <cfRule type="expression" dxfId="637" priority="637">
      <formula>IF(OR(#REF!=INF,#REF!=ANN),1,0)</formula>
    </cfRule>
    <cfRule type="expression" dxfId="636" priority="638">
      <formula>IF(#REF!=NA,1,0)</formula>
    </cfRule>
  </conditionalFormatting>
  <conditionalFormatting sqref="M446:M476">
    <cfRule type="expression" dxfId="635" priority="635">
      <formula>IF(OR(#REF!=INF,#REF!=ANN),1,0)</formula>
    </cfRule>
    <cfRule type="expression" dxfId="634" priority="636">
      <formula>IF(#REF!=NA,1,0)</formula>
    </cfRule>
  </conditionalFormatting>
  <conditionalFormatting sqref="M478">
    <cfRule type="expression" dxfId="633" priority="633">
      <formula>IF(OR(#REF!=INF,#REF!=ANN),1,0)</formula>
    </cfRule>
    <cfRule type="expression" dxfId="632" priority="634">
      <formula>IF(#REF!=NA,1,0)</formula>
    </cfRule>
  </conditionalFormatting>
  <conditionalFormatting sqref="M480">
    <cfRule type="expression" dxfId="631" priority="631">
      <formula>IF(OR(#REF!=INF,#REF!=ANN),1,0)</formula>
    </cfRule>
    <cfRule type="expression" dxfId="630" priority="632">
      <formula>IF(#REF!=NA,1,0)</formula>
    </cfRule>
  </conditionalFormatting>
  <conditionalFormatting sqref="A1:AM1">
    <cfRule type="expression" dxfId="629" priority="922">
      <formula>IF(OR($G1=INF,$G1=ANN),1,0)</formula>
    </cfRule>
    <cfRule type="expression" dxfId="628" priority="923">
      <formula>IF($G1046874=NA,1,0)</formula>
    </cfRule>
  </conditionalFormatting>
  <conditionalFormatting sqref="A94:A107">
    <cfRule type="expression" dxfId="627" priority="629">
      <formula>IF(OR(#REF!=INF,#REF!=ANN),1,0)</formula>
    </cfRule>
    <cfRule type="expression" dxfId="626" priority="630">
      <formula>IF(#REF!=NA,1,0)</formula>
    </cfRule>
  </conditionalFormatting>
  <conditionalFormatting sqref="M594">
    <cfRule type="expression" dxfId="625" priority="627">
      <formula>IF(OR(#REF!=INF,#REF!=ANN),1,0)</formula>
    </cfRule>
    <cfRule type="expression" dxfId="624" priority="628">
      <formula>IF(#REF!=NA,1,0)</formula>
    </cfRule>
  </conditionalFormatting>
  <conditionalFormatting sqref="N594:P594">
    <cfRule type="expression" dxfId="623" priority="625">
      <formula>IF(OR(#REF!=INF,#REF!=ANN),1,0)</formula>
    </cfRule>
    <cfRule type="expression" dxfId="622" priority="626">
      <formula>IF(#REF!=NA,1,0)</formula>
    </cfRule>
  </conditionalFormatting>
  <conditionalFormatting sqref="W594">
    <cfRule type="expression" dxfId="621" priority="623">
      <formula>IF(OR(#REF!=INF,#REF!=ANN),1,0)</formula>
    </cfRule>
    <cfRule type="expression" dxfId="620" priority="624">
      <formula>IF(#REF!=NA,1,0)</formula>
    </cfRule>
  </conditionalFormatting>
  <conditionalFormatting sqref="AC594">
    <cfRule type="expression" dxfId="619" priority="621">
      <formula>IF(OR(#REF!=INF,#REF!=ANN),1,0)</formula>
    </cfRule>
    <cfRule type="expression" dxfId="618" priority="622">
      <formula>IF(#REF!=NA,1,0)</formula>
    </cfRule>
  </conditionalFormatting>
  <conditionalFormatting sqref="AD594">
    <cfRule type="expression" dxfId="617" priority="619">
      <formula>IF(OR(#REF!=INF,#REF!=ANN),1,0)</formula>
    </cfRule>
    <cfRule type="expression" dxfId="616" priority="620">
      <formula>IF(#REF!=NA,1,0)</formula>
    </cfRule>
  </conditionalFormatting>
  <conditionalFormatting sqref="Q595:S598 AE595:AF598">
    <cfRule type="expression" dxfId="615" priority="617">
      <formula>IF(OR(#REF!=INF,#REF!=ANN),1,0)</formula>
    </cfRule>
    <cfRule type="expression" dxfId="614" priority="618">
      <formula>IF(#REF!=NA,1,0)</formula>
    </cfRule>
  </conditionalFormatting>
  <conditionalFormatting sqref="AM595:AM598">
    <cfRule type="expression" dxfId="613" priority="615">
      <formula>IF(OR(#REF!=INF,#REF!=ANN),1,0)</formula>
    </cfRule>
    <cfRule type="expression" dxfId="612" priority="616">
      <formula>IF(#REF!=NA,1,0)</formula>
    </cfRule>
  </conditionalFormatting>
  <conditionalFormatting sqref="V595:V598">
    <cfRule type="expression" dxfId="611" priority="613">
      <formula>IF(OR(#REF!=INF,#REF!=ANN),1,0)</formula>
    </cfRule>
    <cfRule type="expression" dxfId="610" priority="614">
      <formula>IF(#REF!=NA,1,0)</formula>
    </cfRule>
  </conditionalFormatting>
  <conditionalFormatting sqref="T595:T598">
    <cfRule type="expression" dxfId="609" priority="611">
      <formula>IF(OR(#REF!=INF,#REF!=ANN),1,0)</formula>
    </cfRule>
    <cfRule type="expression" dxfId="608" priority="612">
      <formula>IF(#REF!=NA,1,0)</formula>
    </cfRule>
  </conditionalFormatting>
  <conditionalFormatting sqref="U595:U598">
    <cfRule type="expression" dxfId="607" priority="609">
      <formula>IF(OR(#REF!=INF,#REF!=ANN),1,0)</formula>
    </cfRule>
    <cfRule type="expression" dxfId="606" priority="610">
      <formula>IF(#REF!=NA,1,0)</formula>
    </cfRule>
  </conditionalFormatting>
  <conditionalFormatting sqref="X595:X598">
    <cfRule type="expression" dxfId="605" priority="607">
      <formula>IF(OR(#REF!=INF,#REF!=ANN),1,0)</formula>
    </cfRule>
    <cfRule type="expression" dxfId="604" priority="608">
      <formula>IF(#REF!=NA,1,0)</formula>
    </cfRule>
  </conditionalFormatting>
  <conditionalFormatting sqref="Y595:Y598">
    <cfRule type="expression" dxfId="603" priority="605">
      <formula>IF(OR(#REF!=INF,#REF!=ANN),1,0)</formula>
    </cfRule>
    <cfRule type="expression" dxfId="602" priority="606">
      <formula>IF(#REF!=NA,1,0)</formula>
    </cfRule>
  </conditionalFormatting>
  <conditionalFormatting sqref="Z595:Z598">
    <cfRule type="expression" dxfId="601" priority="603">
      <formula>IF(OR(#REF!=INF,#REF!=ANN),1,0)</formula>
    </cfRule>
    <cfRule type="expression" dxfId="600" priority="604">
      <formula>IF(#REF!=NA,1,0)</formula>
    </cfRule>
  </conditionalFormatting>
  <conditionalFormatting sqref="AB595:AB598">
    <cfRule type="expression" dxfId="599" priority="599">
      <formula>IF(OR(#REF!=INF,#REF!=ANN),1,0)</formula>
    </cfRule>
    <cfRule type="expression" dxfId="598" priority="600">
      <formula>IF(#REF!=NA,1,0)</formula>
    </cfRule>
  </conditionalFormatting>
  <conditionalFormatting sqref="A595:A598">
    <cfRule type="expression" dxfId="597" priority="597">
      <formula>IF(OR(#REF!=INF,#REF!=ANN),1,0)</formula>
    </cfRule>
    <cfRule type="expression" dxfId="596" priority="598">
      <formula>IF(#REF!=NA,1,0)</formula>
    </cfRule>
  </conditionalFormatting>
  <conditionalFormatting sqref="M595:M598">
    <cfRule type="expression" dxfId="595" priority="595">
      <formula>IF(OR(#REF!=INF,#REF!=ANN),1,0)</formula>
    </cfRule>
    <cfRule type="expression" dxfId="594" priority="596">
      <formula>IF(#REF!=NA,1,0)</formula>
    </cfRule>
  </conditionalFormatting>
  <conditionalFormatting sqref="N595:P598">
    <cfRule type="expression" dxfId="593" priority="593">
      <formula>IF(OR(#REF!=INF,#REF!=ANN),1,0)</formula>
    </cfRule>
    <cfRule type="expression" dxfId="592" priority="594">
      <formula>IF(#REF!=NA,1,0)</formula>
    </cfRule>
  </conditionalFormatting>
  <conditionalFormatting sqref="W596:W598">
    <cfRule type="expression" dxfId="591" priority="591">
      <formula>IF(OR(#REF!=INF,#REF!=ANN),1,0)</formula>
    </cfRule>
    <cfRule type="expression" dxfId="590" priority="592">
      <formula>IF(#REF!=NA,1,0)</formula>
    </cfRule>
  </conditionalFormatting>
  <conditionalFormatting sqref="AC595">
    <cfRule type="expression" dxfId="589" priority="585">
      <formula>IF(OR(#REF!=INF,#REF!=ANN),1,0)</formula>
    </cfRule>
    <cfRule type="expression" dxfId="588" priority="586">
      <formula>IF(#REF!=NA,1,0)</formula>
    </cfRule>
  </conditionalFormatting>
  <conditionalFormatting sqref="AA595:AA597">
    <cfRule type="expression" dxfId="587" priority="583">
      <formula>IF(OR(#REF!=INF,#REF!=ANN),1,0)</formula>
    </cfRule>
    <cfRule type="expression" dxfId="586" priority="584">
      <formula>IF(#REF!=NA,1,0)</formula>
    </cfRule>
  </conditionalFormatting>
  <conditionalFormatting sqref="AD595">
    <cfRule type="expression" dxfId="585" priority="581">
      <formula>IF(OR(#REF!=INF,#REF!=ANN),1,0)</formula>
    </cfRule>
    <cfRule type="expression" dxfId="584" priority="582">
      <formula>IF(#REF!=NA,1,0)</formula>
    </cfRule>
  </conditionalFormatting>
  <conditionalFormatting sqref="B596">
    <cfRule type="expression" dxfId="583" priority="579">
      <formula>IF(OR(#REF!=INF,#REF!=ANN),1,0)</formula>
    </cfRule>
    <cfRule type="expression" dxfId="582" priority="580">
      <formula>IF(#REF!=NA,1,0)</formula>
    </cfRule>
  </conditionalFormatting>
  <conditionalFormatting sqref="AC596">
    <cfRule type="expression" dxfId="581" priority="577">
      <formula>IF(OR(#REF!=INF,#REF!=ANN),1,0)</formula>
    </cfRule>
    <cfRule type="expression" dxfId="580" priority="578">
      <formula>IF(#REF!=NA,1,0)</formula>
    </cfRule>
  </conditionalFormatting>
  <conditionalFormatting sqref="AD596">
    <cfRule type="expression" dxfId="579" priority="575">
      <formula>IF(OR(#REF!=INF,#REF!=ANN),1,0)</formula>
    </cfRule>
    <cfRule type="expression" dxfId="578" priority="576">
      <formula>IF(#REF!=NA,1,0)</formula>
    </cfRule>
  </conditionalFormatting>
  <conditionalFormatting sqref="B597:B598">
    <cfRule type="expression" dxfId="577" priority="573">
      <formula>IF(OR(#REF!=INF,#REF!=ANN),1,0)</formula>
    </cfRule>
    <cfRule type="expression" dxfId="576" priority="574">
      <formula>IF(#REF!=NA,1,0)</formula>
    </cfRule>
  </conditionalFormatting>
  <conditionalFormatting sqref="AC597">
    <cfRule type="expression" dxfId="575" priority="571">
      <formula>IF(OR(#REF!=INF,#REF!=ANN),1,0)</formula>
    </cfRule>
    <cfRule type="expression" dxfId="574" priority="572">
      <formula>IF(#REF!=NA,1,0)</formula>
    </cfRule>
  </conditionalFormatting>
  <conditionalFormatting sqref="AD597">
    <cfRule type="expression" dxfId="573" priority="569">
      <formula>IF(OR(#REF!=INF,#REF!=ANN),1,0)</formula>
    </cfRule>
    <cfRule type="expression" dxfId="572" priority="570">
      <formula>IF(#REF!=NA,1,0)</formula>
    </cfRule>
  </conditionalFormatting>
  <conditionalFormatting sqref="AC598">
    <cfRule type="expression" dxfId="571" priority="567">
      <formula>IF(OR(#REF!=INF,#REF!=ANN),1,0)</formula>
    </cfRule>
    <cfRule type="expression" dxfId="570" priority="568">
      <formula>IF(#REF!=NA,1,0)</formula>
    </cfRule>
  </conditionalFormatting>
  <conditionalFormatting sqref="AA598">
    <cfRule type="expression" dxfId="569" priority="565">
      <formula>IF(OR(#REF!=INF,#REF!=ANN),1,0)</formula>
    </cfRule>
    <cfRule type="expression" dxfId="568" priority="566">
      <formula>IF(#REF!=NA,1,0)</formula>
    </cfRule>
  </conditionalFormatting>
  <conditionalFormatting sqref="AD598">
    <cfRule type="expression" dxfId="567" priority="563">
      <formula>IF(OR(#REF!=INF,#REF!=ANN),1,0)</formula>
    </cfRule>
    <cfRule type="expression" dxfId="566" priority="564">
      <formula>IF(#REF!=NA,1,0)</formula>
    </cfRule>
  </conditionalFormatting>
  <conditionalFormatting sqref="B605:H609 K605:L609 Q599:S601 R602:S609 AE599:AF609">
    <cfRule type="expression" dxfId="565" priority="561">
      <formula>IF(OR(#REF!=INF,#REF!=ANN),1,0)</formula>
    </cfRule>
    <cfRule type="expression" dxfId="564" priority="562">
      <formula>IF(#REF!=NA,1,0)</formula>
    </cfRule>
  </conditionalFormatting>
  <conditionalFormatting sqref="AM599:AM609">
    <cfRule type="expression" dxfId="563" priority="559">
      <formula>IF(OR(#REF!=INF,#REF!=ANN),1,0)</formula>
    </cfRule>
    <cfRule type="expression" dxfId="562" priority="560">
      <formula>IF(#REF!=NA,1,0)</formula>
    </cfRule>
  </conditionalFormatting>
  <conditionalFormatting sqref="V599:V600">
    <cfRule type="expression" dxfId="561" priority="557">
      <formula>IF(OR(#REF!=INF,#REF!=ANN),1,0)</formula>
    </cfRule>
    <cfRule type="expression" dxfId="560" priority="558">
      <formula>IF(#REF!=NA,1,0)</formula>
    </cfRule>
  </conditionalFormatting>
  <conditionalFormatting sqref="T599:T609">
    <cfRule type="expression" dxfId="559" priority="555">
      <formula>IF(OR(#REF!=INF,#REF!=ANN),1,0)</formula>
    </cfRule>
    <cfRule type="expression" dxfId="558" priority="556">
      <formula>IF(#REF!=NA,1,0)</formula>
    </cfRule>
  </conditionalFormatting>
  <conditionalFormatting sqref="U599:U609">
    <cfRule type="expression" dxfId="557" priority="553">
      <formula>IF(OR(#REF!=INF,#REF!=ANN),1,0)</formula>
    </cfRule>
    <cfRule type="expression" dxfId="556" priority="554">
      <formula>IF(#REF!=NA,1,0)</formula>
    </cfRule>
  </conditionalFormatting>
  <conditionalFormatting sqref="X599:X609">
    <cfRule type="expression" dxfId="555" priority="551">
      <formula>IF(OR(#REF!=INF,#REF!=ANN),1,0)</formula>
    </cfRule>
    <cfRule type="expression" dxfId="554" priority="552">
      <formula>IF(#REF!=NA,1,0)</formula>
    </cfRule>
  </conditionalFormatting>
  <conditionalFormatting sqref="Y599:Y605">
    <cfRule type="expression" dxfId="553" priority="549">
      <formula>IF(OR(#REF!=INF,#REF!=ANN),1,0)</formula>
    </cfRule>
    <cfRule type="expression" dxfId="552" priority="550">
      <formula>IF(#REF!=NA,1,0)</formula>
    </cfRule>
  </conditionalFormatting>
  <conditionalFormatting sqref="AB599">
    <cfRule type="expression" dxfId="551" priority="545">
      <formula>IF(OR(#REF!=INF,#REF!=ANN),1,0)</formula>
    </cfRule>
    <cfRule type="expression" dxfId="550" priority="546">
      <formula>IF(#REF!=NA,1,0)</formula>
    </cfRule>
  </conditionalFormatting>
  <conditionalFormatting sqref="A599:A609">
    <cfRule type="expression" dxfId="549" priority="543">
      <formula>IF(OR(#REF!=INF,#REF!=ANN),1,0)</formula>
    </cfRule>
    <cfRule type="expression" dxfId="548" priority="544">
      <formula>IF(#REF!=NA,1,0)</formula>
    </cfRule>
  </conditionalFormatting>
  <conditionalFormatting sqref="M599:M600">
    <cfRule type="expression" dxfId="547" priority="541">
      <formula>IF(OR(#REF!=INF,#REF!=ANN),1,0)</formula>
    </cfRule>
    <cfRule type="expression" dxfId="546" priority="542">
      <formula>IF(#REF!=NA,1,0)</formula>
    </cfRule>
  </conditionalFormatting>
  <conditionalFormatting sqref="N599:P600 P601:P603">
    <cfRule type="expression" dxfId="545" priority="539">
      <formula>IF(OR(#REF!=INF,#REF!=ANN),1,0)</formula>
    </cfRule>
    <cfRule type="expression" dxfId="544" priority="540">
      <formula>IF(#REF!=NA,1,0)</formula>
    </cfRule>
  </conditionalFormatting>
  <conditionalFormatting sqref="W599:W609">
    <cfRule type="expression" dxfId="543" priority="537">
      <formula>IF(OR(#REF!=INF,#REF!=ANN),1,0)</formula>
    </cfRule>
    <cfRule type="expression" dxfId="542" priority="538">
      <formula>IF(#REF!=NA,1,0)</formula>
    </cfRule>
  </conditionalFormatting>
  <conditionalFormatting sqref="AC599">
    <cfRule type="expression" dxfId="541" priority="535">
      <formula>IF(OR(#REF!=INF,#REF!=ANN),1,0)</formula>
    </cfRule>
    <cfRule type="expression" dxfId="540" priority="536">
      <formula>IF(#REF!=NA,1,0)</formula>
    </cfRule>
  </conditionalFormatting>
  <conditionalFormatting sqref="AA599">
    <cfRule type="expression" dxfId="539" priority="533">
      <formula>IF(OR(#REF!=INF,#REF!=ANN),1,0)</formula>
    </cfRule>
    <cfRule type="expression" dxfId="538" priority="534">
      <formula>IF(#REF!=NA,1,0)</formula>
    </cfRule>
  </conditionalFormatting>
  <conditionalFormatting sqref="AD599">
    <cfRule type="expression" dxfId="537" priority="531">
      <formula>IF(OR(#REF!=INF,#REF!=ANN),1,0)</formula>
    </cfRule>
    <cfRule type="expression" dxfId="536" priority="532">
      <formula>IF(#REF!=NA,1,0)</formula>
    </cfRule>
  </conditionalFormatting>
  <conditionalFormatting sqref="AA600:AA608">
    <cfRule type="expression" dxfId="535" priority="529">
      <formula>IF(OR(#REF!=INF,#REF!=ANN),1,0)</formula>
    </cfRule>
    <cfRule type="expression" dxfId="534" priority="530">
      <formula>IF(#REF!=NA,1,0)</formula>
    </cfRule>
  </conditionalFormatting>
  <conditionalFormatting sqref="AB600:AB604">
    <cfRule type="expression" dxfId="533" priority="527">
      <formula>IF(OR(#REF!=INF,#REF!=ANN),1,0)</formula>
    </cfRule>
    <cfRule type="expression" dxfId="532" priority="528">
      <formula>IF(#REF!=NA,1,0)</formula>
    </cfRule>
  </conditionalFormatting>
  <conditionalFormatting sqref="AC600:AC604">
    <cfRule type="expression" dxfId="531" priority="525">
      <formula>IF(OR(#REF!=INF,#REF!=ANN),1,0)</formula>
    </cfRule>
    <cfRule type="expression" dxfId="530" priority="526">
      <formula>IF(#REF!=NA,1,0)</formula>
    </cfRule>
  </conditionalFormatting>
  <conditionalFormatting sqref="AD600:AD604">
    <cfRule type="expression" dxfId="529" priority="523">
      <formula>IF(OR(#REF!=INF,#REF!=ANN),1,0)</formula>
    </cfRule>
    <cfRule type="expression" dxfId="528" priority="524">
      <formula>IF(#REF!=NA,1,0)</formula>
    </cfRule>
  </conditionalFormatting>
  <conditionalFormatting sqref="M601">
    <cfRule type="expression" dxfId="527" priority="521">
      <formula>IF(OR(#REF!=INF,#REF!=ANN),1,0)</formula>
    </cfRule>
    <cfRule type="expression" dxfId="526" priority="522">
      <formula>IF(#REF!=NA,1,0)</formula>
    </cfRule>
  </conditionalFormatting>
  <conditionalFormatting sqref="M602:M604">
    <cfRule type="expression" dxfId="525" priority="519">
      <formula>IF(OR(#REF!=INF,#REF!=ANN),1,0)</formula>
    </cfRule>
    <cfRule type="expression" dxfId="524" priority="520">
      <formula>IF(#REF!=NA,1,0)</formula>
    </cfRule>
  </conditionalFormatting>
  <conditionalFormatting sqref="O601">
    <cfRule type="expression" dxfId="523" priority="517">
      <formula>IF(OR(#REF!=INF,#REF!=ANN),1,0)</formula>
    </cfRule>
    <cfRule type="expression" dxfId="522" priority="518">
      <formula>IF(#REF!=NA,1,0)</formula>
    </cfRule>
  </conditionalFormatting>
  <conditionalFormatting sqref="N601">
    <cfRule type="expression" dxfId="521" priority="515">
      <formula>IF(OR(#REF!=INF,#REF!=ANN),1,0)</formula>
    </cfRule>
    <cfRule type="expression" dxfId="520" priority="516">
      <formula>IF(#REF!=NA,1,0)</formula>
    </cfRule>
  </conditionalFormatting>
  <conditionalFormatting sqref="N602:N603">
    <cfRule type="expression" dxfId="519" priority="509">
      <formula>IF(OR(#REF!=INF,#REF!=ANN),1,0)</formula>
    </cfRule>
    <cfRule type="expression" dxfId="518" priority="510">
      <formula>IF(#REF!=NA,1,0)</formula>
    </cfRule>
  </conditionalFormatting>
  <conditionalFormatting sqref="O602:O603">
    <cfRule type="expression" dxfId="517" priority="507">
      <formula>IF(OR(#REF!=INF,#REF!=ANN),1,0)</formula>
    </cfRule>
    <cfRule type="expression" dxfId="516" priority="508">
      <formula>IF(#REF!=NA,1,0)</formula>
    </cfRule>
  </conditionalFormatting>
  <conditionalFormatting sqref="Q602:Q609">
    <cfRule type="expression" dxfId="515" priority="505">
      <formula>IF(OR(#REF!=INF,#REF!=ANN),1,0)</formula>
    </cfRule>
    <cfRule type="expression" dxfId="514" priority="506">
      <formula>IF(#REF!=NA,1,0)</formula>
    </cfRule>
  </conditionalFormatting>
  <conditionalFormatting sqref="V601">
    <cfRule type="expression" dxfId="513" priority="503">
      <formula>IF(OR(#REF!=INF,#REF!=ANN),1,0)</formula>
    </cfRule>
    <cfRule type="expression" dxfId="512" priority="504">
      <formula>IF(#REF!=NA,1,0)</formula>
    </cfRule>
  </conditionalFormatting>
  <conditionalFormatting sqref="V602:V609">
    <cfRule type="expression" dxfId="511" priority="501">
      <formula>IF(OR(#REF!=INF,#REF!=ANN),1,0)</formula>
    </cfRule>
    <cfRule type="expression" dxfId="510" priority="502">
      <formula>IF(#REF!=NA,1,0)</formula>
    </cfRule>
  </conditionalFormatting>
  <conditionalFormatting sqref="O604">
    <cfRule type="expression" dxfId="509" priority="499">
      <formula>IF(OR(#REF!=INF,#REF!=ANN),1,0)</formula>
    </cfRule>
    <cfRule type="expression" dxfId="508" priority="500">
      <formula>IF(#REF!=NA,1,0)</formula>
    </cfRule>
  </conditionalFormatting>
  <conditionalFormatting sqref="N604">
    <cfRule type="expression" dxfId="507" priority="497">
      <formula>IF(OR(#REF!=INF,#REF!=ANN),1,0)</formula>
    </cfRule>
    <cfRule type="expression" dxfId="506" priority="498">
      <formula>IF(#REF!=NA,1,0)</formula>
    </cfRule>
  </conditionalFormatting>
  <conditionalFormatting sqref="P604">
    <cfRule type="expression" dxfId="505" priority="495">
      <formula>IF(OR(#REF!=INF,#REF!=ANN),1,0)</formula>
    </cfRule>
    <cfRule type="expression" dxfId="504" priority="496">
      <formula>IF(#REF!=NA,1,0)</formula>
    </cfRule>
  </conditionalFormatting>
  <conditionalFormatting sqref="I605:I609">
    <cfRule type="expression" dxfId="503" priority="493">
      <formula>IF(OR(#REF!=INF,#REF!=ANN),1,0)</formula>
    </cfRule>
    <cfRule type="expression" dxfId="502" priority="494">
      <formula>IF(#REF!=NA,1,0)</formula>
    </cfRule>
  </conditionalFormatting>
  <conditionalFormatting sqref="F605:F609">
    <cfRule type="expression" dxfId="501" priority="491">
      <formula>IF(OR(#REF!=INF,#REF!=ANN),1,0)</formula>
    </cfRule>
    <cfRule type="expression" dxfId="500" priority="492">
      <formula>IF(#REF!=NA,1,0)</formula>
    </cfRule>
  </conditionalFormatting>
  <conditionalFormatting sqref="M605:M609">
    <cfRule type="expression" dxfId="499" priority="489">
      <formula>IF(OR(#REF!=INF,#REF!=ANN),1,0)</formula>
    </cfRule>
    <cfRule type="expression" dxfId="498" priority="490">
      <formula>IF(#REF!=NA,1,0)</formula>
    </cfRule>
  </conditionalFormatting>
  <conditionalFormatting sqref="N605:P606 N607:O608">
    <cfRule type="expression" dxfId="497" priority="487">
      <formula>IF(OR(#REF!=INF,#REF!=ANN),1,0)</formula>
    </cfRule>
    <cfRule type="expression" dxfId="496" priority="488">
      <formula>IF(#REF!=NA,1,0)</formula>
    </cfRule>
  </conditionalFormatting>
  <conditionalFormatting sqref="AB605:AB609">
    <cfRule type="expression" dxfId="495" priority="485">
      <formula>IF(OR(#REF!=INF,#REF!=ANN),1,0)</formula>
    </cfRule>
    <cfRule type="expression" dxfId="494" priority="486">
      <formula>IF(#REF!=NA,1,0)</formula>
    </cfRule>
  </conditionalFormatting>
  <conditionalFormatting sqref="AC605">
    <cfRule type="expression" dxfId="493" priority="483">
      <formula>IF(OR(#REF!=INF,#REF!=ANN),1,0)</formula>
    </cfRule>
    <cfRule type="expression" dxfId="492" priority="484">
      <formula>IF(#REF!=NA,1,0)</formula>
    </cfRule>
  </conditionalFormatting>
  <conditionalFormatting sqref="AD605">
    <cfRule type="expression" dxfId="491" priority="481">
      <formula>IF(OR(#REF!=INF,#REF!=ANN),1,0)</formula>
    </cfRule>
    <cfRule type="expression" dxfId="490" priority="482">
      <formula>IF(#REF!=NA,1,0)</formula>
    </cfRule>
  </conditionalFormatting>
  <conditionalFormatting sqref="W594:W605">
    <cfRule type="expression" dxfId="489" priority="479">
      <formula>IF(OR(#REF!=INF,#REF!=ANN),1,0)</formula>
    </cfRule>
    <cfRule type="expression" dxfId="488" priority="480">
      <formula>IF(#REF!=NA,1,0)</formula>
    </cfRule>
  </conditionalFormatting>
  <conditionalFormatting sqref="AF581">
    <cfRule type="expression" dxfId="487" priority="477">
      <formula>IF(OR(#REF!=INF,#REF!=ANN),1,0)</formula>
    </cfRule>
    <cfRule type="expression" dxfId="486" priority="478">
      <formula>IF(#REF!=NA,1,0)</formula>
    </cfRule>
  </conditionalFormatting>
  <conditionalFormatting sqref="Z606:Z609">
    <cfRule type="expression" dxfId="485" priority="475">
      <formula>IF(OR(#REF!=INF,#REF!=ANN),1,0)</formula>
    </cfRule>
    <cfRule type="expression" dxfId="484" priority="476">
      <formula>IF(#REF!=NA,1,0)</formula>
    </cfRule>
  </conditionalFormatting>
  <conditionalFormatting sqref="AD606:AD608">
    <cfRule type="expression" dxfId="483" priority="473">
      <formula>IF(OR(#REF!=INF,#REF!=ANN),1,0)</formula>
    </cfRule>
    <cfRule type="expression" dxfId="482" priority="474">
      <formula>IF(#REF!=NA,1,0)</formula>
    </cfRule>
  </conditionalFormatting>
  <conditionalFormatting sqref="AC606:AC609">
    <cfRule type="expression" dxfId="481" priority="471">
      <formula>IF(OR(#REF!=INF,#REF!=ANN),1,0)</formula>
    </cfRule>
    <cfRule type="expression" dxfId="480" priority="472">
      <formula>IF(#REF!=NA,1,0)</formula>
    </cfRule>
  </conditionalFormatting>
  <conditionalFormatting sqref="I591">
    <cfRule type="expression" dxfId="479" priority="469">
      <formula>IF(OR(#REF!=INF,#REF!=ANN),1,0)</formula>
    </cfRule>
    <cfRule type="expression" dxfId="478" priority="470">
      <formula>IF(#REF!=NA,1,0)</formula>
    </cfRule>
  </conditionalFormatting>
  <conditionalFormatting sqref="P607:P608">
    <cfRule type="expression" dxfId="477" priority="467">
      <formula>IF(OR(#REF!=INF,#REF!=ANN),1,0)</formula>
    </cfRule>
    <cfRule type="expression" dxfId="476" priority="468">
      <formula>IF(#REF!=NA,1,0)</formula>
    </cfRule>
  </conditionalFormatting>
  <conditionalFormatting sqref="N609:P609 N616:P616">
    <cfRule type="expression" dxfId="475" priority="465">
      <formula>IF(OR(#REF!=INF,#REF!=ANN),1,0)</formula>
    </cfRule>
    <cfRule type="expression" dxfId="474" priority="466">
      <formula>IF(#REF!=NA,1,0)</formula>
    </cfRule>
  </conditionalFormatting>
  <conditionalFormatting sqref="AA609">
    <cfRule type="expression" dxfId="473" priority="463">
      <formula>IF(OR(#REF!=INF,#REF!=ANN),1,0)</formula>
    </cfRule>
    <cfRule type="expression" dxfId="472" priority="464">
      <formula>IF(#REF!=NA,1,0)</formula>
    </cfRule>
  </conditionalFormatting>
  <conditionalFormatting sqref="AD609">
    <cfRule type="expression" dxfId="471" priority="461">
      <formula>IF(OR(#REF!=INF,#REF!=ANN),1,0)</formula>
    </cfRule>
    <cfRule type="expression" dxfId="470" priority="462">
      <formula>IF(#REF!=NA,1,0)</formula>
    </cfRule>
  </conditionalFormatting>
  <conditionalFormatting sqref="Y610">
    <cfRule type="expression" dxfId="469" priority="459">
      <formula>IF(OR(#REF!=INF,#REF!=ANN),1,0)</formula>
    </cfRule>
    <cfRule type="expression" dxfId="468" priority="460">
      <formula>IF(#REF!=NA,1,0)</formula>
    </cfRule>
  </conditionalFormatting>
  <conditionalFormatting sqref="B610:H610 K610:L610 R610:S610 AE610:AF610">
    <cfRule type="expression" dxfId="467" priority="457">
      <formula>IF(OR(#REF!=INF,#REF!=ANN),1,0)</formula>
    </cfRule>
    <cfRule type="expression" dxfId="466" priority="458">
      <formula>IF(#REF!=NA,1,0)</formula>
    </cfRule>
  </conditionalFormatting>
  <conditionalFormatting sqref="AM610">
    <cfRule type="expression" dxfId="465" priority="455">
      <formula>IF(OR(#REF!=INF,#REF!=ANN),1,0)</formula>
    </cfRule>
    <cfRule type="expression" dxfId="464" priority="456">
      <formula>IF(#REF!=NA,1,0)</formula>
    </cfRule>
  </conditionalFormatting>
  <conditionalFormatting sqref="T610">
    <cfRule type="expression" dxfId="463" priority="453">
      <formula>IF(OR(#REF!=INF,#REF!=ANN),1,0)</formula>
    </cfRule>
    <cfRule type="expression" dxfId="462" priority="454">
      <formula>IF(#REF!=NA,1,0)</formula>
    </cfRule>
  </conditionalFormatting>
  <conditionalFormatting sqref="U610">
    <cfRule type="expression" dxfId="461" priority="451">
      <formula>IF(OR(#REF!=INF,#REF!=ANN),1,0)</formula>
    </cfRule>
    <cfRule type="expression" dxfId="460" priority="452">
      <formula>IF(#REF!=NA,1,0)</formula>
    </cfRule>
  </conditionalFormatting>
  <conditionalFormatting sqref="X610">
    <cfRule type="expression" dxfId="459" priority="449">
      <formula>IF(OR(#REF!=INF,#REF!=ANN),1,0)</formula>
    </cfRule>
    <cfRule type="expression" dxfId="458" priority="450">
      <formula>IF(#REF!=NA,1,0)</formula>
    </cfRule>
  </conditionalFormatting>
  <conditionalFormatting sqref="A610">
    <cfRule type="expression" dxfId="457" priority="447">
      <formula>IF(OR(#REF!=INF,#REF!=ANN),1,0)</formula>
    </cfRule>
    <cfRule type="expression" dxfId="456" priority="448">
      <formula>IF(#REF!=NA,1,0)</formula>
    </cfRule>
  </conditionalFormatting>
  <conditionalFormatting sqref="W610">
    <cfRule type="expression" dxfId="455" priority="445">
      <formula>IF(OR(#REF!=INF,#REF!=ANN),1,0)</formula>
    </cfRule>
    <cfRule type="expression" dxfId="454" priority="446">
      <formula>IF(#REF!=NA,1,0)</formula>
    </cfRule>
  </conditionalFormatting>
  <conditionalFormatting sqref="Q610">
    <cfRule type="expression" dxfId="453" priority="443">
      <formula>IF(OR(#REF!=INF,#REF!=ANN),1,0)</formula>
    </cfRule>
    <cfRule type="expression" dxfId="452" priority="444">
      <formula>IF(#REF!=NA,1,0)</formula>
    </cfRule>
  </conditionalFormatting>
  <conditionalFormatting sqref="V610">
    <cfRule type="expression" dxfId="451" priority="441">
      <formula>IF(OR(#REF!=INF,#REF!=ANN),1,0)</formula>
    </cfRule>
    <cfRule type="expression" dxfId="450" priority="442">
      <formula>IF(#REF!=NA,1,0)</formula>
    </cfRule>
  </conditionalFormatting>
  <conditionalFormatting sqref="I610">
    <cfRule type="expression" dxfId="449" priority="439">
      <formula>IF(OR(#REF!=INF,#REF!=ANN),1,0)</formula>
    </cfRule>
    <cfRule type="expression" dxfId="448" priority="440">
      <formula>IF(#REF!=NA,1,0)</formula>
    </cfRule>
  </conditionalFormatting>
  <conditionalFormatting sqref="F610">
    <cfRule type="expression" dxfId="447" priority="437">
      <formula>IF(OR(#REF!=INF,#REF!=ANN),1,0)</formula>
    </cfRule>
    <cfRule type="expression" dxfId="446" priority="438">
      <formula>IF(#REF!=NA,1,0)</formula>
    </cfRule>
  </conditionalFormatting>
  <conditionalFormatting sqref="M610">
    <cfRule type="expression" dxfId="445" priority="435">
      <formula>IF(OR(#REF!=INF,#REF!=ANN),1,0)</formula>
    </cfRule>
    <cfRule type="expression" dxfId="444" priority="436">
      <formula>IF(#REF!=NA,1,0)</formula>
    </cfRule>
  </conditionalFormatting>
  <conditionalFormatting sqref="AB610">
    <cfRule type="expression" dxfId="443" priority="433">
      <formula>IF(OR(#REF!=INF,#REF!=ANN),1,0)</formula>
    </cfRule>
    <cfRule type="expression" dxfId="442" priority="434">
      <formula>IF(#REF!=NA,1,0)</formula>
    </cfRule>
  </conditionalFormatting>
  <conditionalFormatting sqref="Z610">
    <cfRule type="expression" dxfId="441" priority="431">
      <formula>IF(OR(#REF!=INF,#REF!=ANN),1,0)</formula>
    </cfRule>
    <cfRule type="expression" dxfId="440" priority="432">
      <formula>IF(#REF!=NA,1,0)</formula>
    </cfRule>
  </conditionalFormatting>
  <conditionalFormatting sqref="AC610">
    <cfRule type="expression" dxfId="439" priority="429">
      <formula>IF(OR(#REF!=INF,#REF!=ANN),1,0)</formula>
    </cfRule>
    <cfRule type="expression" dxfId="438" priority="430">
      <formula>IF(#REF!=NA,1,0)</formula>
    </cfRule>
  </conditionalFormatting>
  <conditionalFormatting sqref="N610:P610">
    <cfRule type="expression" dxfId="437" priority="427">
      <formula>IF(OR(#REF!=INF,#REF!=ANN),1,0)</formula>
    </cfRule>
    <cfRule type="expression" dxfId="436" priority="428">
      <formula>IF(#REF!=NA,1,0)</formula>
    </cfRule>
  </conditionalFormatting>
  <conditionalFormatting sqref="AA610">
    <cfRule type="expression" dxfId="435" priority="425">
      <formula>IF(OR(#REF!=INF,#REF!=ANN),1,0)</formula>
    </cfRule>
    <cfRule type="expression" dxfId="434" priority="426">
      <formula>IF(#REF!=NA,1,0)</formula>
    </cfRule>
  </conditionalFormatting>
  <conditionalFormatting sqref="AD610">
    <cfRule type="expression" dxfId="433" priority="423">
      <formula>IF(OR(#REF!=INF,#REF!=ANN),1,0)</formula>
    </cfRule>
    <cfRule type="expression" dxfId="432" priority="424">
      <formula>IF(#REF!=NA,1,0)</formula>
    </cfRule>
  </conditionalFormatting>
  <conditionalFormatting sqref="Y611">
    <cfRule type="expression" dxfId="431" priority="421">
      <formula>IF(OR(#REF!=INF,#REF!=ANN),1,0)</formula>
    </cfRule>
    <cfRule type="expression" dxfId="430" priority="422">
      <formula>IF(#REF!=NA,1,0)</formula>
    </cfRule>
  </conditionalFormatting>
  <conditionalFormatting sqref="B611:H611 K611:L611 R611:S611 AE611:AF611">
    <cfRule type="expression" dxfId="429" priority="419">
      <formula>IF(OR(#REF!=INF,#REF!=ANN),1,0)</formula>
    </cfRule>
    <cfRule type="expression" dxfId="428" priority="420">
      <formula>IF(#REF!=NA,1,0)</formula>
    </cfRule>
  </conditionalFormatting>
  <conditionalFormatting sqref="AM611">
    <cfRule type="expression" dxfId="427" priority="417">
      <formula>IF(OR(#REF!=INF,#REF!=ANN),1,0)</formula>
    </cfRule>
    <cfRule type="expression" dxfId="426" priority="418">
      <formula>IF(#REF!=NA,1,0)</formula>
    </cfRule>
  </conditionalFormatting>
  <conditionalFormatting sqref="T611">
    <cfRule type="expression" dxfId="425" priority="415">
      <formula>IF(OR(#REF!=INF,#REF!=ANN),1,0)</formula>
    </cfRule>
    <cfRule type="expression" dxfId="424" priority="416">
      <formula>IF(#REF!=NA,1,0)</formula>
    </cfRule>
  </conditionalFormatting>
  <conditionalFormatting sqref="U611">
    <cfRule type="expression" dxfId="423" priority="413">
      <formula>IF(OR(#REF!=INF,#REF!=ANN),1,0)</formula>
    </cfRule>
    <cfRule type="expression" dxfId="422" priority="414">
      <formula>IF(#REF!=NA,1,0)</formula>
    </cfRule>
  </conditionalFormatting>
  <conditionalFormatting sqref="X611">
    <cfRule type="expression" dxfId="421" priority="411">
      <formula>IF(OR(#REF!=INF,#REF!=ANN),1,0)</formula>
    </cfRule>
    <cfRule type="expression" dxfId="420" priority="412">
      <formula>IF(#REF!=NA,1,0)</formula>
    </cfRule>
  </conditionalFormatting>
  <conditionalFormatting sqref="A611">
    <cfRule type="expression" dxfId="419" priority="409">
      <formula>IF(OR(#REF!=INF,#REF!=ANN),1,0)</formula>
    </cfRule>
    <cfRule type="expression" dxfId="418" priority="410">
      <formula>IF(#REF!=NA,1,0)</formula>
    </cfRule>
  </conditionalFormatting>
  <conditionalFormatting sqref="W611">
    <cfRule type="expression" dxfId="417" priority="407">
      <formula>IF(OR(#REF!=INF,#REF!=ANN),1,0)</formula>
    </cfRule>
    <cfRule type="expression" dxfId="416" priority="408">
      <formula>IF(#REF!=NA,1,0)</formula>
    </cfRule>
  </conditionalFormatting>
  <conditionalFormatting sqref="Q611">
    <cfRule type="expression" dxfId="415" priority="405">
      <formula>IF(OR(#REF!=INF,#REF!=ANN),1,0)</formula>
    </cfRule>
    <cfRule type="expression" dxfId="414" priority="406">
      <formula>IF(#REF!=NA,1,0)</formula>
    </cfRule>
  </conditionalFormatting>
  <conditionalFormatting sqref="V611">
    <cfRule type="expression" dxfId="413" priority="403">
      <formula>IF(OR(#REF!=INF,#REF!=ANN),1,0)</formula>
    </cfRule>
    <cfRule type="expression" dxfId="412" priority="404">
      <formula>IF(#REF!=NA,1,0)</formula>
    </cfRule>
  </conditionalFormatting>
  <conditionalFormatting sqref="I611">
    <cfRule type="expression" dxfId="411" priority="401">
      <formula>IF(OR(#REF!=INF,#REF!=ANN),1,0)</formula>
    </cfRule>
    <cfRule type="expression" dxfId="410" priority="402">
      <formula>IF(#REF!=NA,1,0)</formula>
    </cfRule>
  </conditionalFormatting>
  <conditionalFormatting sqref="F611">
    <cfRule type="expression" dxfId="409" priority="399">
      <formula>IF(OR(#REF!=INF,#REF!=ANN),1,0)</formula>
    </cfRule>
    <cfRule type="expression" dxfId="408" priority="400">
      <formula>IF(#REF!=NA,1,0)</formula>
    </cfRule>
  </conditionalFormatting>
  <conditionalFormatting sqref="M611">
    <cfRule type="expression" dxfId="407" priority="397">
      <formula>IF(OR(#REF!=INF,#REF!=ANN),1,0)</formula>
    </cfRule>
    <cfRule type="expression" dxfId="406" priority="398">
      <formula>IF(#REF!=NA,1,0)</formula>
    </cfRule>
  </conditionalFormatting>
  <conditionalFormatting sqref="AB611">
    <cfRule type="expression" dxfId="405" priority="395">
      <formula>IF(OR(#REF!=INF,#REF!=ANN),1,0)</formula>
    </cfRule>
    <cfRule type="expression" dxfId="404" priority="396">
      <formula>IF(#REF!=NA,1,0)</formula>
    </cfRule>
  </conditionalFormatting>
  <conditionalFormatting sqref="Z611">
    <cfRule type="expression" dxfId="403" priority="393">
      <formula>IF(OR(#REF!=INF,#REF!=ANN),1,0)</formula>
    </cfRule>
    <cfRule type="expression" dxfId="402" priority="394">
      <formula>IF(#REF!=NA,1,0)</formula>
    </cfRule>
  </conditionalFormatting>
  <conditionalFormatting sqref="AC611">
    <cfRule type="expression" dxfId="401" priority="391">
      <formula>IF(OR(#REF!=INF,#REF!=ANN),1,0)</formula>
    </cfRule>
    <cfRule type="expression" dxfId="400" priority="392">
      <formula>IF(#REF!=NA,1,0)</formula>
    </cfRule>
  </conditionalFormatting>
  <conditionalFormatting sqref="N611:P611">
    <cfRule type="expression" dxfId="399" priority="389">
      <formula>IF(OR(#REF!=INF,#REF!=ANN),1,0)</formula>
    </cfRule>
    <cfRule type="expression" dxfId="398" priority="390">
      <formula>IF(#REF!=NA,1,0)</formula>
    </cfRule>
  </conditionalFormatting>
  <conditionalFormatting sqref="AA611">
    <cfRule type="expression" dxfId="397" priority="383">
      <formula>IF(OR(#REF!=INF,#REF!=ANN),1,0)</formula>
    </cfRule>
    <cfRule type="expression" dxfId="396" priority="384">
      <formula>IF(#REF!=NA,1,0)</formula>
    </cfRule>
  </conditionalFormatting>
  <conditionalFormatting sqref="AD611">
    <cfRule type="expression" dxfId="395" priority="381">
      <formula>IF(OR(#REF!=INF,#REF!=ANN),1,0)</formula>
    </cfRule>
    <cfRule type="expression" dxfId="394" priority="382">
      <formula>IF(#REF!=NA,1,0)</formula>
    </cfRule>
  </conditionalFormatting>
  <conditionalFormatting sqref="Y612:Y615">
    <cfRule type="expression" dxfId="393" priority="379">
      <formula>IF(OR(#REF!=INF,#REF!=ANN),1,0)</formula>
    </cfRule>
    <cfRule type="expression" dxfId="392" priority="380">
      <formula>IF(#REF!=NA,1,0)</formula>
    </cfRule>
  </conditionalFormatting>
  <conditionalFormatting sqref="B612:H615 K612:L615 R612:S615 AE612:AF615">
    <cfRule type="expression" dxfId="391" priority="377">
      <formula>IF(OR(#REF!=INF,#REF!=ANN),1,0)</formula>
    </cfRule>
    <cfRule type="expression" dxfId="390" priority="378">
      <formula>IF(#REF!=NA,1,0)</formula>
    </cfRule>
  </conditionalFormatting>
  <conditionalFormatting sqref="AM612:AM615">
    <cfRule type="expression" dxfId="389" priority="375">
      <formula>IF(OR(#REF!=INF,#REF!=ANN),1,0)</formula>
    </cfRule>
    <cfRule type="expression" dxfId="388" priority="376">
      <formula>IF(#REF!=NA,1,0)</formula>
    </cfRule>
  </conditionalFormatting>
  <conditionalFormatting sqref="T612:T615">
    <cfRule type="expression" dxfId="387" priority="373">
      <formula>IF(OR(#REF!=INF,#REF!=ANN),1,0)</formula>
    </cfRule>
    <cfRule type="expression" dxfId="386" priority="374">
      <formula>IF(#REF!=NA,1,0)</formula>
    </cfRule>
  </conditionalFormatting>
  <conditionalFormatting sqref="U612:U617">
    <cfRule type="expression" dxfId="385" priority="371">
      <formula>IF(OR(#REF!=INF,#REF!=ANN),1,0)</formula>
    </cfRule>
    <cfRule type="expression" dxfId="384" priority="372">
      <formula>IF(#REF!=NA,1,0)</formula>
    </cfRule>
  </conditionalFormatting>
  <conditionalFormatting sqref="X612:X615">
    <cfRule type="expression" dxfId="383" priority="369">
      <formula>IF(OR(#REF!=INF,#REF!=ANN),1,0)</formula>
    </cfRule>
    <cfRule type="expression" dxfId="382" priority="370">
      <formula>IF(#REF!=NA,1,0)</formula>
    </cfRule>
  </conditionalFormatting>
  <conditionalFormatting sqref="A612:A615">
    <cfRule type="expression" dxfId="381" priority="367">
      <formula>IF(OR(#REF!=INF,#REF!=ANN),1,0)</formula>
    </cfRule>
    <cfRule type="expression" dxfId="380" priority="368">
      <formula>IF(#REF!=NA,1,0)</formula>
    </cfRule>
  </conditionalFormatting>
  <conditionalFormatting sqref="W612:W615">
    <cfRule type="expression" dxfId="379" priority="365">
      <formula>IF(OR(#REF!=INF,#REF!=ANN),1,0)</formula>
    </cfRule>
    <cfRule type="expression" dxfId="378" priority="366">
      <formula>IF(#REF!=NA,1,0)</formula>
    </cfRule>
  </conditionalFormatting>
  <conditionalFormatting sqref="Q612:Q615">
    <cfRule type="expression" dxfId="377" priority="363">
      <formula>IF(OR(#REF!=INF,#REF!=ANN),1,0)</formula>
    </cfRule>
    <cfRule type="expression" dxfId="376" priority="364">
      <formula>IF(#REF!=NA,1,0)</formula>
    </cfRule>
  </conditionalFormatting>
  <conditionalFormatting sqref="V612:V615">
    <cfRule type="expression" dxfId="375" priority="361">
      <formula>IF(OR(#REF!=INF,#REF!=ANN),1,0)</formula>
    </cfRule>
    <cfRule type="expression" dxfId="374" priority="362">
      <formula>IF(#REF!=NA,1,0)</formula>
    </cfRule>
  </conditionalFormatting>
  <conditionalFormatting sqref="I612:I615">
    <cfRule type="expression" dxfId="373" priority="359">
      <formula>IF(OR(#REF!=INF,#REF!=ANN),1,0)</formula>
    </cfRule>
    <cfRule type="expression" dxfId="372" priority="360">
      <formula>IF(#REF!=NA,1,0)</formula>
    </cfRule>
  </conditionalFormatting>
  <conditionalFormatting sqref="F612:F615">
    <cfRule type="expression" dxfId="371" priority="357">
      <formula>IF(OR(#REF!=INF,#REF!=ANN),1,0)</formula>
    </cfRule>
    <cfRule type="expression" dxfId="370" priority="358">
      <formula>IF(#REF!=NA,1,0)</formula>
    </cfRule>
  </conditionalFormatting>
  <conditionalFormatting sqref="M612:M615">
    <cfRule type="expression" dxfId="369" priority="355">
      <formula>IF(OR(#REF!=INF,#REF!=ANN),1,0)</formula>
    </cfRule>
    <cfRule type="expression" dxfId="368" priority="356">
      <formula>IF(#REF!=NA,1,0)</formula>
    </cfRule>
  </conditionalFormatting>
  <conditionalFormatting sqref="AB612:AB615">
    <cfRule type="expression" dxfId="367" priority="353">
      <formula>IF(OR(#REF!=INF,#REF!=ANN),1,0)</formula>
    </cfRule>
    <cfRule type="expression" dxfId="366" priority="354">
      <formula>IF(#REF!=NA,1,0)</formula>
    </cfRule>
  </conditionalFormatting>
  <conditionalFormatting sqref="Z612:Z615">
    <cfRule type="expression" dxfId="365" priority="351">
      <formula>IF(OR(#REF!=INF,#REF!=ANN),1,0)</formula>
    </cfRule>
    <cfRule type="expression" dxfId="364" priority="352">
      <formula>IF(#REF!=NA,1,0)</formula>
    </cfRule>
  </conditionalFormatting>
  <conditionalFormatting sqref="AC612:AC615">
    <cfRule type="expression" dxfId="363" priority="349">
      <formula>IF(OR(#REF!=INF,#REF!=ANN),1,0)</formula>
    </cfRule>
    <cfRule type="expression" dxfId="362" priority="350">
      <formula>IF(#REF!=NA,1,0)</formula>
    </cfRule>
  </conditionalFormatting>
  <conditionalFormatting sqref="N612:P615">
    <cfRule type="expression" dxfId="361" priority="347">
      <formula>IF(OR(#REF!=INF,#REF!=ANN),1,0)</formula>
    </cfRule>
    <cfRule type="expression" dxfId="360" priority="348">
      <formula>IF(#REF!=NA,1,0)</formula>
    </cfRule>
  </conditionalFormatting>
  <conditionalFormatting sqref="AA612:AA615">
    <cfRule type="expression" dxfId="359" priority="345">
      <formula>IF(OR(#REF!=INF,#REF!=ANN),1,0)</formula>
    </cfRule>
    <cfRule type="expression" dxfId="358" priority="346">
      <formula>IF(#REF!=NA,1,0)</formula>
    </cfRule>
  </conditionalFormatting>
  <conditionalFormatting sqref="AD612:AD615">
    <cfRule type="expression" dxfId="357" priority="343">
      <formula>IF(OR(#REF!=INF,#REF!=ANN),1,0)</formula>
    </cfRule>
    <cfRule type="expression" dxfId="356" priority="344">
      <formula>IF(#REF!=NA,1,0)</formula>
    </cfRule>
  </conditionalFormatting>
  <conditionalFormatting sqref="A649:AM649 A2:AM647">
    <cfRule type="expression" dxfId="355" priority="924">
      <formula>$AE2="ENGAGE"</formula>
    </cfRule>
    <cfRule type="expression" dxfId="354" priority="925">
      <formula>$AE2="PREENGAGE"</formula>
    </cfRule>
    <cfRule type="expression" dxfId="353" priority="926">
      <formula>$AE2="EN COURS D'ENGAGEMENT"</formula>
    </cfRule>
    <cfRule type="expression" dxfId="352" priority="927">
      <formula>$AE2="EN COURS DE PREENGAGEMENT"</formula>
    </cfRule>
    <cfRule type="expression" dxfId="351" priority="928">
      <formula>$AE2="NON ENGAGE"</formula>
    </cfRule>
  </conditionalFormatting>
  <conditionalFormatting sqref="AE2:AE647 AE649">
    <cfRule type="cellIs" dxfId="350" priority="929" stopIfTrue="1" operator="equal">
      <formula>"""ENGAGE"""</formula>
    </cfRule>
    <cfRule type="cellIs" dxfId="349" priority="930" stopIfTrue="1" operator="equal">
      <formula>"""PREENGAGE"""</formula>
    </cfRule>
    <cfRule type="cellIs" dxfId="348" priority="931" stopIfTrue="1" operator="equal">
      <formula>"""EN COURS D'ENGAGEMENT"""</formula>
    </cfRule>
    <cfRule type="cellIs" dxfId="347" priority="932" stopIfTrue="1" operator="equal">
      <formula>"""EN COURS DE PREENGAGEMENT"""</formula>
    </cfRule>
    <cfRule type="cellIs" dxfId="346" priority="933" stopIfTrue="1" operator="equal">
      <formula>"""NON ENGAGE"""</formula>
    </cfRule>
  </conditionalFormatting>
  <conditionalFormatting sqref="I615">
    <cfRule type="expression" dxfId="345" priority="341">
      <formula>IF(OR(#REF!=INF,#REF!=ANN),1,0)</formula>
    </cfRule>
    <cfRule type="expression" dxfId="344" priority="342">
      <formula>IF(#REF!=NA,1,0)</formula>
    </cfRule>
  </conditionalFormatting>
  <conditionalFormatting sqref="A648:AL648">
    <cfRule type="expression" dxfId="343" priority="329">
      <formula>IF(OR(#REF!=INF,#REF!=ANN),1,0)</formula>
    </cfRule>
    <cfRule type="expression" dxfId="342" priority="330">
      <formula>IF(#REF!=NA,1,0)</formula>
    </cfRule>
  </conditionalFormatting>
  <conditionalFormatting sqref="A648:AM648">
    <cfRule type="expression" dxfId="341" priority="331">
      <formula>$AE648="ENGAGE"</formula>
    </cfRule>
    <cfRule type="expression" dxfId="340" priority="332">
      <formula>$AE648="PREENGAGE"</formula>
    </cfRule>
    <cfRule type="expression" dxfId="339" priority="333">
      <formula>$AE648="EN COURS D'ENGAGEMENT"</formula>
    </cfRule>
    <cfRule type="expression" dxfId="338" priority="334">
      <formula>$AE648="EN COURS DE PREENGAGEMENT"</formula>
    </cfRule>
    <cfRule type="expression" dxfId="337" priority="335">
      <formula>$AE648="NON ENGAGE"</formula>
    </cfRule>
  </conditionalFormatting>
  <conditionalFormatting sqref="AE648">
    <cfRule type="cellIs" dxfId="336" priority="336" stopIfTrue="1" operator="equal">
      <formula>"""ENGAGE"""</formula>
    </cfRule>
    <cfRule type="cellIs" dxfId="335" priority="337" stopIfTrue="1" operator="equal">
      <formula>"""PREENGAGE"""</formula>
    </cfRule>
    <cfRule type="cellIs" dxfId="334" priority="338" stopIfTrue="1" operator="equal">
      <formula>"""EN COURS D'ENGAGEMENT"""</formula>
    </cfRule>
    <cfRule type="cellIs" dxfId="333" priority="339" stopIfTrue="1" operator="equal">
      <formula>"""EN COURS DE PREENGAGEMENT"""</formula>
    </cfRule>
    <cfRule type="cellIs" dxfId="332" priority="340" stopIfTrue="1" operator="equal">
      <formula>"""NON ENGAGE"""</formula>
    </cfRule>
  </conditionalFormatting>
  <conditionalFormatting sqref="A650:AL650">
    <cfRule type="expression" dxfId="331" priority="317">
      <formula>IF(OR(#REF!=INF,#REF!=ANN),1,0)</formula>
    </cfRule>
    <cfRule type="expression" dxfId="330" priority="318">
      <formula>IF(#REF!=NA,1,0)</formula>
    </cfRule>
  </conditionalFormatting>
  <conditionalFormatting sqref="A650:AM650">
    <cfRule type="expression" dxfId="329" priority="319">
      <formula>$AE650="ENGAGE"</formula>
    </cfRule>
    <cfRule type="expression" dxfId="328" priority="320">
      <formula>$AE650="PREENGAGE"</formula>
    </cfRule>
    <cfRule type="expression" dxfId="327" priority="321">
      <formula>$AE650="EN COURS D'ENGAGEMENT"</formula>
    </cfRule>
    <cfRule type="expression" dxfId="326" priority="322">
      <formula>$AE650="EN COURS DE PREENGAGEMENT"</formula>
    </cfRule>
    <cfRule type="expression" dxfId="325" priority="323">
      <formula>$AE650="NON ENGAGE"</formula>
    </cfRule>
  </conditionalFormatting>
  <conditionalFormatting sqref="AE650">
    <cfRule type="cellIs" dxfId="324" priority="324" stopIfTrue="1" operator="equal">
      <formula>"""ENGAGE"""</formula>
    </cfRule>
    <cfRule type="cellIs" dxfId="323" priority="325" stopIfTrue="1" operator="equal">
      <formula>"""PREENGAGE"""</formula>
    </cfRule>
    <cfRule type="cellIs" dxfId="322" priority="326" stopIfTrue="1" operator="equal">
      <formula>"""EN COURS D'ENGAGEMENT"""</formula>
    </cfRule>
    <cfRule type="cellIs" dxfId="321" priority="327" stopIfTrue="1" operator="equal">
      <formula>"""EN COURS DE PREENGAGEMENT"""</formula>
    </cfRule>
    <cfRule type="cellIs" dxfId="320" priority="328" stopIfTrue="1" operator="equal">
      <formula>"""NON ENGAGE"""</formula>
    </cfRule>
  </conditionalFormatting>
  <conditionalFormatting sqref="A651:AL651">
    <cfRule type="expression" dxfId="319" priority="305">
      <formula>IF(OR(#REF!=INF,#REF!=ANN),1,0)</formula>
    </cfRule>
    <cfRule type="expression" dxfId="318" priority="306">
      <formula>IF(#REF!=NA,1,0)</formula>
    </cfRule>
  </conditionalFormatting>
  <conditionalFormatting sqref="A651:AM651">
    <cfRule type="expression" dxfId="317" priority="307">
      <formula>$AE651="ENGAGE"</formula>
    </cfRule>
    <cfRule type="expression" dxfId="316" priority="308">
      <formula>$AE651="PREENGAGE"</formula>
    </cfRule>
    <cfRule type="expression" dxfId="315" priority="309">
      <formula>$AE651="EN COURS D'ENGAGEMENT"</formula>
    </cfRule>
    <cfRule type="expression" dxfId="314" priority="310">
      <formula>$AE651="EN COURS DE PREENGAGEMENT"</formula>
    </cfRule>
    <cfRule type="expression" dxfId="313" priority="311">
      <formula>$AE651="NON ENGAGE"</formula>
    </cfRule>
  </conditionalFormatting>
  <conditionalFormatting sqref="AE651">
    <cfRule type="cellIs" dxfId="312" priority="312" stopIfTrue="1" operator="equal">
      <formula>"""ENGAGE"""</formula>
    </cfRule>
    <cfRule type="cellIs" dxfId="311" priority="313" stopIfTrue="1" operator="equal">
      <formula>"""PREENGAGE"""</formula>
    </cfRule>
    <cfRule type="cellIs" dxfId="310" priority="314" stopIfTrue="1" operator="equal">
      <formula>"""EN COURS D'ENGAGEMENT"""</formula>
    </cfRule>
    <cfRule type="cellIs" dxfId="309" priority="315" stopIfTrue="1" operator="equal">
      <formula>"""EN COURS DE PREENGAGEMENT"""</formula>
    </cfRule>
    <cfRule type="cellIs" dxfId="308" priority="316" stopIfTrue="1" operator="equal">
      <formula>"""NON ENGAGE"""</formula>
    </cfRule>
  </conditionalFormatting>
  <conditionalFormatting sqref="A652:AL652">
    <cfRule type="expression" dxfId="307" priority="293">
      <formula>IF(OR(#REF!=INF,#REF!=ANN),1,0)</formula>
    </cfRule>
    <cfRule type="expression" dxfId="306" priority="294">
      <formula>IF(#REF!=NA,1,0)</formula>
    </cfRule>
  </conditionalFormatting>
  <conditionalFormatting sqref="A652:AM652">
    <cfRule type="expression" dxfId="305" priority="295">
      <formula>$AE652="ENGAGE"</formula>
    </cfRule>
    <cfRule type="expression" dxfId="304" priority="296">
      <formula>$AE652="PREENGAGE"</formula>
    </cfRule>
    <cfRule type="expression" dxfId="303" priority="297">
      <formula>$AE652="EN COURS D'ENGAGEMENT"</formula>
    </cfRule>
    <cfRule type="expression" dxfId="302" priority="298">
      <formula>$AE652="EN COURS DE PREENGAGEMENT"</formula>
    </cfRule>
    <cfRule type="expression" dxfId="301" priority="299">
      <formula>$AE652="NON ENGAGE"</formula>
    </cfRule>
  </conditionalFormatting>
  <conditionalFormatting sqref="AE652">
    <cfRule type="cellIs" dxfId="300" priority="300" stopIfTrue="1" operator="equal">
      <formula>"""ENGAGE"""</formula>
    </cfRule>
    <cfRule type="cellIs" dxfId="299" priority="301" stopIfTrue="1" operator="equal">
      <formula>"""PREENGAGE"""</formula>
    </cfRule>
    <cfRule type="cellIs" dxfId="298" priority="302" stopIfTrue="1" operator="equal">
      <formula>"""EN COURS D'ENGAGEMENT"""</formula>
    </cfRule>
    <cfRule type="cellIs" dxfId="297" priority="303" stopIfTrue="1" operator="equal">
      <formula>"""EN COURS DE PREENGAGEMENT"""</formula>
    </cfRule>
    <cfRule type="cellIs" dxfId="296" priority="304" stopIfTrue="1" operator="equal">
      <formula>"""NON ENGAGE"""</formula>
    </cfRule>
  </conditionalFormatting>
  <conditionalFormatting sqref="A653:AL653">
    <cfRule type="expression" dxfId="295" priority="281">
      <formula>IF(OR(#REF!=INF,#REF!=ANN),1,0)</formula>
    </cfRule>
    <cfRule type="expression" dxfId="294" priority="282">
      <formula>IF(#REF!=NA,1,0)</formula>
    </cfRule>
  </conditionalFormatting>
  <conditionalFormatting sqref="A653:AM653">
    <cfRule type="expression" dxfId="293" priority="283">
      <formula>$AE653="ENGAGE"</formula>
    </cfRule>
    <cfRule type="expression" dxfId="292" priority="284">
      <formula>$AE653="PREENGAGE"</formula>
    </cfRule>
    <cfRule type="expression" dxfId="291" priority="285">
      <formula>$AE653="EN COURS D'ENGAGEMENT"</formula>
    </cfRule>
    <cfRule type="expression" dxfId="290" priority="286">
      <formula>$AE653="EN COURS DE PREENGAGEMENT"</formula>
    </cfRule>
    <cfRule type="expression" dxfId="289" priority="287">
      <formula>$AE653="NON ENGAGE"</formula>
    </cfRule>
  </conditionalFormatting>
  <conditionalFormatting sqref="AE653">
    <cfRule type="cellIs" dxfId="288" priority="288" stopIfTrue="1" operator="equal">
      <formula>"""ENGAGE"""</formula>
    </cfRule>
    <cfRule type="cellIs" dxfId="287" priority="289" stopIfTrue="1" operator="equal">
      <formula>"""PREENGAGE"""</formula>
    </cfRule>
    <cfRule type="cellIs" dxfId="286" priority="290" stopIfTrue="1" operator="equal">
      <formula>"""EN COURS D'ENGAGEMENT"""</formula>
    </cfRule>
    <cfRule type="cellIs" dxfId="285" priority="291" stopIfTrue="1" operator="equal">
      <formula>"""EN COURS DE PREENGAGEMENT"""</formula>
    </cfRule>
    <cfRule type="cellIs" dxfId="284" priority="292" stopIfTrue="1" operator="equal">
      <formula>"""NON ENGAGE"""</formula>
    </cfRule>
  </conditionalFormatting>
  <conditionalFormatting sqref="A654:AL654">
    <cfRule type="expression" dxfId="283" priority="269">
      <formula>IF(OR(#REF!=INF,#REF!=ANN),1,0)</formula>
    </cfRule>
    <cfRule type="expression" dxfId="282" priority="270">
      <formula>IF(#REF!=NA,1,0)</formula>
    </cfRule>
  </conditionalFormatting>
  <conditionalFormatting sqref="A654:AM654">
    <cfRule type="expression" dxfId="281" priority="271">
      <formula>$AE654="ENGAGE"</formula>
    </cfRule>
    <cfRule type="expression" dxfId="280" priority="272">
      <formula>$AE654="PREENGAGE"</formula>
    </cfRule>
    <cfRule type="expression" dxfId="279" priority="273">
      <formula>$AE654="EN COURS D'ENGAGEMENT"</formula>
    </cfRule>
    <cfRule type="expression" dxfId="278" priority="274">
      <formula>$AE654="EN COURS DE PREENGAGEMENT"</formula>
    </cfRule>
    <cfRule type="expression" dxfId="277" priority="275">
      <formula>$AE654="NON ENGAGE"</formula>
    </cfRule>
  </conditionalFormatting>
  <conditionalFormatting sqref="AE654">
    <cfRule type="cellIs" dxfId="276" priority="276" stopIfTrue="1" operator="equal">
      <formula>"""ENGAGE"""</formula>
    </cfRule>
    <cfRule type="cellIs" dxfId="275" priority="277" stopIfTrue="1" operator="equal">
      <formula>"""PREENGAGE"""</formula>
    </cfRule>
    <cfRule type="cellIs" dxfId="274" priority="278" stopIfTrue="1" operator="equal">
      <formula>"""EN COURS D'ENGAGEMENT"""</formula>
    </cfRule>
    <cfRule type="cellIs" dxfId="273" priority="279" stopIfTrue="1" operator="equal">
      <formula>"""EN COURS DE PREENGAGEMENT"""</formula>
    </cfRule>
    <cfRule type="cellIs" dxfId="272" priority="280" stopIfTrue="1" operator="equal">
      <formula>"""NON ENGAGE"""</formula>
    </cfRule>
  </conditionalFormatting>
  <conditionalFormatting sqref="A655:AL655">
    <cfRule type="expression" dxfId="271" priority="257">
      <formula>IF(OR(#REF!=INF,#REF!=ANN),1,0)</formula>
    </cfRule>
    <cfRule type="expression" dxfId="270" priority="258">
      <formula>IF(#REF!=NA,1,0)</formula>
    </cfRule>
  </conditionalFormatting>
  <conditionalFormatting sqref="A655:AM655">
    <cfRule type="expression" dxfId="269" priority="259">
      <formula>$AE655="ENGAGE"</formula>
    </cfRule>
    <cfRule type="expression" dxfId="268" priority="260">
      <formula>$AE655="PREENGAGE"</formula>
    </cfRule>
    <cfRule type="expression" dxfId="267" priority="261">
      <formula>$AE655="EN COURS D'ENGAGEMENT"</formula>
    </cfRule>
    <cfRule type="expression" dxfId="266" priority="262">
      <formula>$AE655="EN COURS DE PREENGAGEMENT"</formula>
    </cfRule>
    <cfRule type="expression" dxfId="265" priority="263">
      <formula>$AE655="NON ENGAGE"</formula>
    </cfRule>
  </conditionalFormatting>
  <conditionalFormatting sqref="AE655">
    <cfRule type="cellIs" dxfId="264" priority="264" stopIfTrue="1" operator="equal">
      <formula>"""ENGAGE"""</formula>
    </cfRule>
    <cfRule type="cellIs" dxfId="263" priority="265" stopIfTrue="1" operator="equal">
      <formula>"""PREENGAGE"""</formula>
    </cfRule>
    <cfRule type="cellIs" dxfId="262" priority="266" stopIfTrue="1" operator="equal">
      <formula>"""EN COURS D'ENGAGEMENT"""</formula>
    </cfRule>
    <cfRule type="cellIs" dxfId="261" priority="267" stopIfTrue="1" operator="equal">
      <formula>"""EN COURS DE PREENGAGEMENT"""</formula>
    </cfRule>
    <cfRule type="cellIs" dxfId="260" priority="268" stopIfTrue="1" operator="equal">
      <formula>"""NON ENGAGE"""</formula>
    </cfRule>
  </conditionalFormatting>
  <conditionalFormatting sqref="A656:AL656">
    <cfRule type="expression" dxfId="259" priority="233">
      <formula>IF(OR(#REF!=INF,#REF!=ANN),1,0)</formula>
    </cfRule>
    <cfRule type="expression" dxfId="258" priority="234">
      <formula>IF(#REF!=NA,1,0)</formula>
    </cfRule>
  </conditionalFormatting>
  <conditionalFormatting sqref="A656:AM656">
    <cfRule type="expression" dxfId="257" priority="235">
      <formula>$AE656="ENGAGE"</formula>
    </cfRule>
    <cfRule type="expression" dxfId="256" priority="236">
      <formula>$AE656="PREENGAGE"</formula>
    </cfRule>
    <cfRule type="expression" dxfId="255" priority="237">
      <formula>$AE656="EN COURS D'ENGAGEMENT"</formula>
    </cfRule>
    <cfRule type="expression" dxfId="254" priority="238">
      <formula>$AE656="EN COURS DE PREENGAGEMENT"</formula>
    </cfRule>
    <cfRule type="expression" dxfId="253" priority="239">
      <formula>$AE656="NON ENGAGE"</formula>
    </cfRule>
  </conditionalFormatting>
  <conditionalFormatting sqref="AE656">
    <cfRule type="cellIs" dxfId="252" priority="240" stopIfTrue="1" operator="equal">
      <formula>"""ENGAGE"""</formula>
    </cfRule>
    <cfRule type="cellIs" dxfId="251" priority="241" stopIfTrue="1" operator="equal">
      <formula>"""PREENGAGE"""</formula>
    </cfRule>
    <cfRule type="cellIs" dxfId="250" priority="242" stopIfTrue="1" operator="equal">
      <formula>"""EN COURS D'ENGAGEMENT"""</formula>
    </cfRule>
    <cfRule type="cellIs" dxfId="249" priority="243" stopIfTrue="1" operator="equal">
      <formula>"""EN COURS DE PREENGAGEMENT"""</formula>
    </cfRule>
    <cfRule type="cellIs" dxfId="248" priority="244" stopIfTrue="1" operator="equal">
      <formula>"""NON ENGAGE"""</formula>
    </cfRule>
  </conditionalFormatting>
  <conditionalFormatting sqref="A657:AE658">
    <cfRule type="expression" dxfId="247" priority="221">
      <formula>IF(OR(#REF!=INF,#REF!=ANN),1,0)</formula>
    </cfRule>
    <cfRule type="expression" dxfId="246" priority="222">
      <formula>IF(#REF!=NA,1,0)</formula>
    </cfRule>
    <cfRule type="expression" dxfId="245" priority="223">
      <formula>$AE657="ENGAGE"</formula>
    </cfRule>
    <cfRule type="expression" dxfId="244" priority="224">
      <formula>$AE657="PREENGAGE"</formula>
    </cfRule>
    <cfRule type="expression" dxfId="243" priority="225">
      <formula>$AE657="EN COURS D'ENGAGEMENT"</formula>
    </cfRule>
    <cfRule type="expression" dxfId="242" priority="226">
      <formula>$AE657="EN COURS DE PREENGAGEMENT"</formula>
    </cfRule>
    <cfRule type="expression" dxfId="241" priority="227">
      <formula>$AE657="NON ENGAGE"</formula>
    </cfRule>
    <cfRule type="cellIs" dxfId="240" priority="228" stopIfTrue="1" operator="equal">
      <formula>"""ENGAGE"""</formula>
    </cfRule>
    <cfRule type="cellIs" dxfId="239" priority="229" stopIfTrue="1" operator="equal">
      <formula>"""PREENGAGE"""</formula>
    </cfRule>
    <cfRule type="cellIs" dxfId="238" priority="230" stopIfTrue="1" operator="equal">
      <formula>"""EN COURS D'ENGAGEMENT"""</formula>
    </cfRule>
    <cfRule type="cellIs" dxfId="237" priority="231" stopIfTrue="1" operator="equal">
      <formula>"""EN COURS DE PREENGAGEMENT"""</formula>
    </cfRule>
    <cfRule type="cellIs" dxfId="236" priority="232" stopIfTrue="1" operator="equal">
      <formula>"""NON ENGAGE"""</formula>
    </cfRule>
  </conditionalFormatting>
  <conditionalFormatting sqref="AF659:AL659">
    <cfRule type="expression" dxfId="235" priority="219">
      <formula>IF(OR(#REF!=INF,#REF!=ANN),1,0)</formula>
    </cfRule>
    <cfRule type="expression" dxfId="234" priority="220">
      <formula>IF(#REF!=NA,1,0)</formula>
    </cfRule>
  </conditionalFormatting>
  <conditionalFormatting sqref="A659:AE659">
    <cfRule type="expression" dxfId="233" priority="207">
      <formula>IF(OR(#REF!=INF,#REF!=ANN),1,0)</formula>
    </cfRule>
    <cfRule type="expression" dxfId="232" priority="208">
      <formula>IF(#REF!=NA,1,0)</formula>
    </cfRule>
    <cfRule type="expression" dxfId="231" priority="209">
      <formula>$AE659="ENGAGE"</formula>
    </cfRule>
    <cfRule type="expression" dxfId="230" priority="210">
      <formula>$AE659="PREENGAGE"</formula>
    </cfRule>
    <cfRule type="expression" dxfId="229" priority="211">
      <formula>$AE659="EN COURS D'ENGAGEMENT"</formula>
    </cfRule>
    <cfRule type="expression" dxfId="228" priority="212">
      <formula>$AE659="EN COURS DE PREENGAGEMENT"</formula>
    </cfRule>
    <cfRule type="expression" dxfId="227" priority="213">
      <formula>$AE659="NON ENGAGE"</formula>
    </cfRule>
    <cfRule type="cellIs" dxfId="226" priority="214" stopIfTrue="1" operator="equal">
      <formula>"""ENGAGE"""</formula>
    </cfRule>
    <cfRule type="cellIs" dxfId="225" priority="215" stopIfTrue="1" operator="equal">
      <formula>"""PREENGAGE"""</formula>
    </cfRule>
    <cfRule type="cellIs" dxfId="224" priority="216" stopIfTrue="1" operator="equal">
      <formula>"""EN COURS D'ENGAGEMENT"""</formula>
    </cfRule>
    <cfRule type="cellIs" dxfId="223" priority="217" stopIfTrue="1" operator="equal">
      <formula>"""EN COURS DE PREENGAGEMENT"""</formula>
    </cfRule>
    <cfRule type="cellIs" dxfId="222" priority="218" stopIfTrue="1" operator="equal">
      <formula>"""NON ENGAGE"""</formula>
    </cfRule>
  </conditionalFormatting>
  <conditionalFormatting sqref="AF660:AL661">
    <cfRule type="expression" dxfId="221" priority="205">
      <formula>IF(OR(#REF!=INF,#REF!=ANN),1,0)</formula>
    </cfRule>
    <cfRule type="expression" dxfId="220" priority="206">
      <formula>IF(#REF!=NA,1,0)</formula>
    </cfRule>
  </conditionalFormatting>
  <conditionalFormatting sqref="A660:AE661">
    <cfRule type="expression" dxfId="219" priority="193">
      <formula>IF(OR(#REF!=INF,#REF!=ANN),1,0)</formula>
    </cfRule>
    <cfRule type="expression" dxfId="218" priority="194">
      <formula>IF(#REF!=NA,1,0)</formula>
    </cfRule>
    <cfRule type="expression" dxfId="217" priority="195">
      <formula>$AE660="ENGAGE"</formula>
    </cfRule>
    <cfRule type="expression" dxfId="216" priority="196">
      <formula>$AE660="PREENGAGE"</formula>
    </cfRule>
    <cfRule type="expression" dxfId="215" priority="197">
      <formula>$AE660="EN COURS D'ENGAGEMENT"</formula>
    </cfRule>
    <cfRule type="expression" dxfId="214" priority="198">
      <formula>$AE660="EN COURS DE PREENGAGEMENT"</formula>
    </cfRule>
    <cfRule type="expression" dxfId="213" priority="199">
      <formula>$AE660="NON ENGAGE"</formula>
    </cfRule>
    <cfRule type="cellIs" dxfId="212" priority="200" stopIfTrue="1" operator="equal">
      <formula>"""ENGAGE"""</formula>
    </cfRule>
    <cfRule type="cellIs" dxfId="211" priority="201" stopIfTrue="1" operator="equal">
      <formula>"""PREENGAGE"""</formula>
    </cfRule>
    <cfRule type="cellIs" dxfId="210" priority="202" stopIfTrue="1" operator="equal">
      <formula>"""EN COURS D'ENGAGEMENT"""</formula>
    </cfRule>
    <cfRule type="cellIs" dxfId="209" priority="203" stopIfTrue="1" operator="equal">
      <formula>"""EN COURS DE PREENGAGEMENT"""</formula>
    </cfRule>
    <cfRule type="cellIs" dxfId="208" priority="204" stopIfTrue="1" operator="equal">
      <formula>"""NON ENGAGE"""</formula>
    </cfRule>
  </conditionalFormatting>
  <conditionalFormatting sqref="AF662:AL668">
    <cfRule type="expression" dxfId="207" priority="179">
      <formula>IF(OR(#REF!=INF,#REF!=ANN),1,0)</formula>
    </cfRule>
    <cfRule type="expression" dxfId="206" priority="180">
      <formula>IF(#REF!=NA,1,0)</formula>
    </cfRule>
  </conditionalFormatting>
  <conditionalFormatting sqref="A662:AE668 J669:L669 V669">
    <cfRule type="expression" dxfId="205" priority="167">
      <formula>IF(OR(#REF!=INF,#REF!=ANN),1,0)</formula>
    </cfRule>
    <cfRule type="expression" dxfId="204" priority="168">
      <formula>IF(#REF!=NA,1,0)</formula>
    </cfRule>
    <cfRule type="expression" dxfId="203" priority="169">
      <formula>$AE662="ENGAGE"</formula>
    </cfRule>
    <cfRule type="expression" dxfId="202" priority="170">
      <formula>$AE662="PREENGAGE"</formula>
    </cfRule>
    <cfRule type="expression" dxfId="201" priority="171">
      <formula>$AE662="EN COURS D'ENGAGEMENT"</formula>
    </cfRule>
    <cfRule type="expression" dxfId="200" priority="172">
      <formula>$AE662="EN COURS DE PREENGAGEMENT"</formula>
    </cfRule>
    <cfRule type="expression" dxfId="199" priority="173">
      <formula>$AE662="NON ENGAGE"</formula>
    </cfRule>
    <cfRule type="cellIs" dxfId="198" priority="174" stopIfTrue="1" operator="equal">
      <formula>"""ENGAGE"""</formula>
    </cfRule>
    <cfRule type="cellIs" dxfId="197" priority="175" stopIfTrue="1" operator="equal">
      <formula>"""PREENGAGE"""</formula>
    </cfRule>
    <cfRule type="cellIs" dxfId="196" priority="176" stopIfTrue="1" operator="equal">
      <formula>"""EN COURS D'ENGAGEMENT"""</formula>
    </cfRule>
    <cfRule type="cellIs" dxfId="195" priority="177" stopIfTrue="1" operator="equal">
      <formula>"""EN COURS DE PREENGAGEMENT"""</formula>
    </cfRule>
    <cfRule type="cellIs" dxfId="194" priority="178" stopIfTrue="1" operator="equal">
      <formula>"""NON ENGAGE"""</formula>
    </cfRule>
  </conditionalFormatting>
  <conditionalFormatting sqref="AF669:AL669">
    <cfRule type="expression" dxfId="193" priority="165">
      <formula>IF(OR(#REF!=INF,#REF!=ANN),1,0)</formula>
    </cfRule>
    <cfRule type="expression" dxfId="192" priority="166">
      <formula>IF(#REF!=NA,1,0)</formula>
    </cfRule>
  </conditionalFormatting>
  <conditionalFormatting sqref="A669:I669 M669:U669 W669:AE669 C670">
    <cfRule type="expression" dxfId="191" priority="153">
      <formula>IF(OR(#REF!=INF,#REF!=ANN),1,0)</formula>
    </cfRule>
    <cfRule type="expression" dxfId="190" priority="154">
      <formula>IF(#REF!=NA,1,0)</formula>
    </cfRule>
    <cfRule type="expression" dxfId="189" priority="155">
      <formula>$AE669="ENGAGE"</formula>
    </cfRule>
    <cfRule type="expression" dxfId="188" priority="156">
      <formula>$AE669="PREENGAGE"</formula>
    </cfRule>
    <cfRule type="expression" dxfId="187" priority="157">
      <formula>$AE669="EN COURS D'ENGAGEMENT"</formula>
    </cfRule>
    <cfRule type="expression" dxfId="186" priority="158">
      <formula>$AE669="EN COURS DE PREENGAGEMENT"</formula>
    </cfRule>
    <cfRule type="expression" dxfId="185" priority="159">
      <formula>$AE669="NON ENGAGE"</formula>
    </cfRule>
    <cfRule type="cellIs" dxfId="184" priority="160" stopIfTrue="1" operator="equal">
      <formula>"""ENGAGE"""</formula>
    </cfRule>
    <cfRule type="cellIs" dxfId="183" priority="161" stopIfTrue="1" operator="equal">
      <formula>"""PREENGAGE"""</formula>
    </cfRule>
    <cfRule type="cellIs" dxfId="182" priority="162" stopIfTrue="1" operator="equal">
      <formula>"""EN COURS D'ENGAGEMENT"""</formula>
    </cfRule>
    <cfRule type="cellIs" dxfId="181" priority="163" stopIfTrue="1" operator="equal">
      <formula>"""EN COURS DE PREENGAGEMENT"""</formula>
    </cfRule>
    <cfRule type="cellIs" dxfId="180" priority="164" stopIfTrue="1" operator="equal">
      <formula>"""NON ENGAGE"""</formula>
    </cfRule>
  </conditionalFormatting>
  <conditionalFormatting sqref="J670:L671 V670:V671">
    <cfRule type="expression" dxfId="179" priority="127">
      <formula>IF(OR(#REF!=INF,#REF!=ANN),1,0)</formula>
    </cfRule>
    <cfRule type="expression" dxfId="178" priority="128">
      <formula>IF(#REF!=NA,1,0)</formula>
    </cfRule>
    <cfRule type="expression" dxfId="177" priority="129">
      <formula>$AE670="ENGAGE"</formula>
    </cfRule>
    <cfRule type="expression" dxfId="176" priority="130">
      <formula>$AE670="PREENGAGE"</formula>
    </cfRule>
    <cfRule type="expression" dxfId="175" priority="131">
      <formula>$AE670="EN COURS D'ENGAGEMENT"</formula>
    </cfRule>
    <cfRule type="expression" dxfId="174" priority="132">
      <formula>$AE670="EN COURS DE PREENGAGEMENT"</formula>
    </cfRule>
    <cfRule type="expression" dxfId="173" priority="133">
      <formula>$AE670="NON ENGAGE"</formula>
    </cfRule>
    <cfRule type="cellIs" dxfId="172" priority="134" stopIfTrue="1" operator="equal">
      <formula>"""ENGAGE"""</formula>
    </cfRule>
    <cfRule type="cellIs" dxfId="171" priority="135" stopIfTrue="1" operator="equal">
      <formula>"""PREENGAGE"""</formula>
    </cfRule>
    <cfRule type="cellIs" dxfId="170" priority="136" stopIfTrue="1" operator="equal">
      <formula>"""EN COURS D'ENGAGEMENT"""</formula>
    </cfRule>
    <cfRule type="cellIs" dxfId="169" priority="137" stopIfTrue="1" operator="equal">
      <formula>"""EN COURS DE PREENGAGEMENT"""</formula>
    </cfRule>
    <cfRule type="cellIs" dxfId="168" priority="138" stopIfTrue="1" operator="equal">
      <formula>"""NON ENGAGE"""</formula>
    </cfRule>
  </conditionalFormatting>
  <conditionalFormatting sqref="AF670:AL671">
    <cfRule type="expression" dxfId="167" priority="125">
      <formula>IF(OR(#REF!=INF,#REF!=ANN),1,0)</formula>
    </cfRule>
    <cfRule type="expression" dxfId="166" priority="126">
      <formula>IF(#REF!=NA,1,0)</formula>
    </cfRule>
  </conditionalFormatting>
  <conditionalFormatting sqref="A671:I671 M670:U671 W670:AE671 A670:B670 D670:I670">
    <cfRule type="expression" dxfId="165" priority="113">
      <formula>IF(OR(#REF!=INF,#REF!=ANN),1,0)</formula>
    </cfRule>
    <cfRule type="expression" dxfId="164" priority="114">
      <formula>IF(#REF!=NA,1,0)</formula>
    </cfRule>
    <cfRule type="expression" dxfId="163" priority="115">
      <formula>$AE670="ENGAGE"</formula>
    </cfRule>
    <cfRule type="expression" dxfId="162" priority="116">
      <formula>$AE670="PREENGAGE"</formula>
    </cfRule>
    <cfRule type="expression" dxfId="161" priority="117">
      <formula>$AE670="EN COURS D'ENGAGEMENT"</formula>
    </cfRule>
    <cfRule type="expression" dxfId="160" priority="118">
      <formula>$AE670="EN COURS DE PREENGAGEMENT"</formula>
    </cfRule>
    <cfRule type="expression" dxfId="159" priority="119">
      <formula>$AE670="NON ENGAGE"</formula>
    </cfRule>
    <cfRule type="cellIs" dxfId="158" priority="120" stopIfTrue="1" operator="equal">
      <formula>"""ENGAGE"""</formula>
    </cfRule>
    <cfRule type="cellIs" dxfId="157" priority="121" stopIfTrue="1" operator="equal">
      <formula>"""PREENGAGE"""</formula>
    </cfRule>
    <cfRule type="cellIs" dxfId="156" priority="122" stopIfTrue="1" operator="equal">
      <formula>"""EN COURS D'ENGAGEMENT"""</formula>
    </cfRule>
    <cfRule type="cellIs" dxfId="155" priority="123" stopIfTrue="1" operator="equal">
      <formula>"""EN COURS DE PREENGAGEMENT"""</formula>
    </cfRule>
    <cfRule type="cellIs" dxfId="154" priority="124" stopIfTrue="1" operator="equal">
      <formula>"""NON ENGAGE"""</formula>
    </cfRule>
  </conditionalFormatting>
  <conditionalFormatting sqref="J672:L672 V672">
    <cfRule type="expression" dxfId="153" priority="101">
      <formula>IF(OR(#REF!=INF,#REF!=ANN),1,0)</formula>
    </cfRule>
    <cfRule type="expression" dxfId="152" priority="102">
      <formula>IF(#REF!=NA,1,0)</formula>
    </cfRule>
    <cfRule type="expression" dxfId="151" priority="103">
      <formula>$AE672="ENGAGE"</formula>
    </cfRule>
    <cfRule type="expression" dxfId="150" priority="104">
      <formula>$AE672="PREENGAGE"</formula>
    </cfRule>
    <cfRule type="expression" dxfId="149" priority="105">
      <formula>$AE672="EN COURS D'ENGAGEMENT"</formula>
    </cfRule>
    <cfRule type="expression" dxfId="148" priority="106">
      <formula>$AE672="EN COURS DE PREENGAGEMENT"</formula>
    </cfRule>
    <cfRule type="expression" dxfId="147" priority="107">
      <formula>$AE672="NON ENGAGE"</formula>
    </cfRule>
    <cfRule type="cellIs" dxfId="146" priority="108" stopIfTrue="1" operator="equal">
      <formula>"""ENGAGE"""</formula>
    </cfRule>
    <cfRule type="cellIs" dxfId="145" priority="109" stopIfTrue="1" operator="equal">
      <formula>"""PREENGAGE"""</formula>
    </cfRule>
    <cfRule type="cellIs" dxfId="144" priority="110" stopIfTrue="1" operator="equal">
      <formula>"""EN COURS D'ENGAGEMENT"""</formula>
    </cfRule>
    <cfRule type="cellIs" dxfId="143" priority="111" stopIfTrue="1" operator="equal">
      <formula>"""EN COURS DE PREENGAGEMENT"""</formula>
    </cfRule>
    <cfRule type="cellIs" dxfId="142" priority="112" stopIfTrue="1" operator="equal">
      <formula>"""NON ENGAGE"""</formula>
    </cfRule>
  </conditionalFormatting>
  <conditionalFormatting sqref="AF672:AL672">
    <cfRule type="expression" dxfId="141" priority="99">
      <formula>IF(OR(#REF!=INF,#REF!=ANN),1,0)</formula>
    </cfRule>
    <cfRule type="expression" dxfId="140" priority="100">
      <formula>IF(#REF!=NA,1,0)</formula>
    </cfRule>
  </conditionalFormatting>
  <conditionalFormatting sqref="A672:I672 M672:U672 W672:AE672">
    <cfRule type="expression" dxfId="139" priority="87">
      <formula>IF(OR(#REF!=INF,#REF!=ANN),1,0)</formula>
    </cfRule>
    <cfRule type="expression" dxfId="138" priority="88">
      <formula>IF(#REF!=NA,1,0)</formula>
    </cfRule>
    <cfRule type="expression" dxfId="137" priority="89">
      <formula>$AE672="ENGAGE"</formula>
    </cfRule>
    <cfRule type="expression" dxfId="136" priority="90">
      <formula>$AE672="PREENGAGE"</formula>
    </cfRule>
    <cfRule type="expression" dxfId="135" priority="91">
      <formula>$AE672="EN COURS D'ENGAGEMENT"</formula>
    </cfRule>
    <cfRule type="expression" dxfId="134" priority="92">
      <formula>$AE672="EN COURS DE PREENGAGEMENT"</formula>
    </cfRule>
    <cfRule type="expression" dxfId="133" priority="93">
      <formula>$AE672="NON ENGAGE"</formula>
    </cfRule>
    <cfRule type="cellIs" dxfId="132" priority="94" stopIfTrue="1" operator="equal">
      <formula>"""ENGAGE"""</formula>
    </cfRule>
    <cfRule type="cellIs" dxfId="131" priority="95" stopIfTrue="1" operator="equal">
      <formula>"""PREENGAGE"""</formula>
    </cfRule>
    <cfRule type="cellIs" dxfId="130" priority="96" stopIfTrue="1" operator="equal">
      <formula>"""EN COURS D'ENGAGEMENT"""</formula>
    </cfRule>
    <cfRule type="cellIs" dxfId="129" priority="97" stopIfTrue="1" operator="equal">
      <formula>"""EN COURS DE PREENGAGEMENT"""</formula>
    </cfRule>
    <cfRule type="cellIs" dxfId="128" priority="98" stopIfTrue="1" operator="equal">
      <formula>"""NON ENGAGE"""</formula>
    </cfRule>
  </conditionalFormatting>
  <conditionalFormatting sqref="J673:L674 V673:V674">
    <cfRule type="expression" dxfId="127" priority="75">
      <formula>IF(OR(#REF!=INF,#REF!=ANN),1,0)</formula>
    </cfRule>
    <cfRule type="expression" dxfId="126" priority="76">
      <formula>IF(#REF!=NA,1,0)</formula>
    </cfRule>
    <cfRule type="expression" dxfId="125" priority="77">
      <formula>$AE673="ENGAGE"</formula>
    </cfRule>
    <cfRule type="expression" dxfId="124" priority="78">
      <formula>$AE673="PREENGAGE"</formula>
    </cfRule>
    <cfRule type="expression" dxfId="123" priority="79">
      <formula>$AE673="EN COURS D'ENGAGEMENT"</formula>
    </cfRule>
    <cfRule type="expression" dxfId="122" priority="80">
      <formula>$AE673="EN COURS DE PREENGAGEMENT"</formula>
    </cfRule>
    <cfRule type="expression" dxfId="121" priority="81">
      <formula>$AE673="NON ENGAGE"</formula>
    </cfRule>
    <cfRule type="cellIs" dxfId="120" priority="82" stopIfTrue="1" operator="equal">
      <formula>"""ENGAGE"""</formula>
    </cfRule>
    <cfRule type="cellIs" dxfId="119" priority="83" stopIfTrue="1" operator="equal">
      <formula>"""PREENGAGE"""</formula>
    </cfRule>
    <cfRule type="cellIs" dxfId="118" priority="84" stopIfTrue="1" operator="equal">
      <formula>"""EN COURS D'ENGAGEMENT"""</formula>
    </cfRule>
    <cfRule type="cellIs" dxfId="117" priority="85" stopIfTrue="1" operator="equal">
      <formula>"""EN COURS DE PREENGAGEMENT"""</formula>
    </cfRule>
    <cfRule type="cellIs" dxfId="116" priority="86" stopIfTrue="1" operator="equal">
      <formula>"""NON ENGAGE"""</formula>
    </cfRule>
  </conditionalFormatting>
  <conditionalFormatting sqref="AF673:AL674">
    <cfRule type="expression" dxfId="115" priority="73">
      <formula>IF(OR(#REF!=INF,#REF!=ANN),1,0)</formula>
    </cfRule>
    <cfRule type="expression" dxfId="114" priority="74">
      <formula>IF(#REF!=NA,1,0)</formula>
    </cfRule>
  </conditionalFormatting>
  <conditionalFormatting sqref="A673:I674 M673:U674 W673:AE674">
    <cfRule type="expression" dxfId="113" priority="61">
      <formula>IF(OR(#REF!=INF,#REF!=ANN),1,0)</formula>
    </cfRule>
    <cfRule type="expression" dxfId="112" priority="62">
      <formula>IF(#REF!=NA,1,0)</formula>
    </cfRule>
    <cfRule type="expression" dxfId="111" priority="63">
      <formula>$AE673="ENGAGE"</formula>
    </cfRule>
    <cfRule type="expression" dxfId="110" priority="64">
      <formula>$AE673="PREENGAGE"</formula>
    </cfRule>
    <cfRule type="expression" dxfId="109" priority="65">
      <formula>$AE673="EN COURS D'ENGAGEMENT"</formula>
    </cfRule>
    <cfRule type="expression" dxfId="108" priority="66">
      <formula>$AE673="EN COURS DE PREENGAGEMENT"</formula>
    </cfRule>
    <cfRule type="expression" dxfId="107" priority="67">
      <formula>$AE673="NON ENGAGE"</formula>
    </cfRule>
    <cfRule type="cellIs" dxfId="106" priority="68" stopIfTrue="1" operator="equal">
      <formula>"""ENGAGE"""</formula>
    </cfRule>
    <cfRule type="cellIs" dxfId="105" priority="69" stopIfTrue="1" operator="equal">
      <formula>"""PREENGAGE"""</formula>
    </cfRule>
    <cfRule type="cellIs" dxfId="104" priority="70" stopIfTrue="1" operator="equal">
      <formula>"""EN COURS D'ENGAGEMENT"""</formula>
    </cfRule>
    <cfRule type="cellIs" dxfId="103" priority="71" stopIfTrue="1" operator="equal">
      <formula>"""EN COURS DE PREENGAGEMENT"""</formula>
    </cfRule>
    <cfRule type="cellIs" dxfId="102" priority="72" stopIfTrue="1" operator="equal">
      <formula>"""NON ENGAGE"""</formula>
    </cfRule>
  </conditionalFormatting>
  <conditionalFormatting sqref="A675:AL675">
    <cfRule type="expression" dxfId="101" priority="49">
      <formula>IF(OR(#REF!=INF,#REF!=ANN),1,0)</formula>
    </cfRule>
    <cfRule type="expression" dxfId="100" priority="50">
      <formula>IF(#REF!=NA,1,0)</formula>
    </cfRule>
  </conditionalFormatting>
  <conditionalFormatting sqref="A675:AM675">
    <cfRule type="expression" dxfId="99" priority="51">
      <formula>$AE675="ENGAGE"</formula>
    </cfRule>
    <cfRule type="expression" dxfId="98" priority="52">
      <formula>$AE675="PREENGAGE"</formula>
    </cfRule>
    <cfRule type="expression" dxfId="97" priority="53">
      <formula>$AE675="EN COURS D'ENGAGEMENT"</formula>
    </cfRule>
    <cfRule type="expression" dxfId="96" priority="54">
      <formula>$AE675="EN COURS DE PREENGAGEMENT"</formula>
    </cfRule>
    <cfRule type="expression" dxfId="95" priority="55">
      <formula>$AE675="NON ENGAGE"</formula>
    </cfRule>
  </conditionalFormatting>
  <conditionalFormatting sqref="AE675">
    <cfRule type="cellIs" dxfId="94" priority="56" stopIfTrue="1" operator="equal">
      <formula>"""ENGAGE"""</formula>
    </cfRule>
    <cfRule type="cellIs" dxfId="93" priority="57" stopIfTrue="1" operator="equal">
      <formula>"""PREENGAGE"""</formula>
    </cfRule>
    <cfRule type="cellIs" dxfId="92" priority="58" stopIfTrue="1" operator="equal">
      <formula>"""EN COURS D'ENGAGEMENT"""</formula>
    </cfRule>
    <cfRule type="cellIs" dxfId="91" priority="59" stopIfTrue="1" operator="equal">
      <formula>"""EN COURS DE PREENGAGEMENT"""</formula>
    </cfRule>
    <cfRule type="cellIs" dxfId="90" priority="60" stopIfTrue="1" operator="equal">
      <formula>"""NON ENGAGE"""</formula>
    </cfRule>
  </conditionalFormatting>
  <conditionalFormatting sqref="A676:AL676">
    <cfRule type="expression" dxfId="89" priority="37">
      <formula>IF(OR(#REF!=INF,#REF!=ANN),1,0)</formula>
    </cfRule>
    <cfRule type="expression" dxfId="88" priority="38">
      <formula>IF(#REF!=NA,1,0)</formula>
    </cfRule>
  </conditionalFormatting>
  <conditionalFormatting sqref="A676:AM676">
    <cfRule type="expression" dxfId="87" priority="39">
      <formula>$AE676="ENGAGE"</formula>
    </cfRule>
    <cfRule type="expression" dxfId="86" priority="40">
      <formula>$AE676="PREENGAGE"</formula>
    </cfRule>
    <cfRule type="expression" dxfId="85" priority="41">
      <formula>$AE676="EN COURS D'ENGAGEMENT"</formula>
    </cfRule>
    <cfRule type="expression" dxfId="84" priority="42">
      <formula>$AE676="EN COURS DE PREENGAGEMENT"</formula>
    </cfRule>
    <cfRule type="expression" dxfId="83" priority="43">
      <formula>$AE676="NON ENGAGE"</formula>
    </cfRule>
  </conditionalFormatting>
  <conditionalFormatting sqref="AE676">
    <cfRule type="cellIs" dxfId="82" priority="44" stopIfTrue="1" operator="equal">
      <formula>"""ENGAGE"""</formula>
    </cfRule>
    <cfRule type="cellIs" dxfId="81" priority="45" stopIfTrue="1" operator="equal">
      <formula>"""PREENGAGE"""</formula>
    </cfRule>
    <cfRule type="cellIs" dxfId="80" priority="46" stopIfTrue="1" operator="equal">
      <formula>"""EN COURS D'ENGAGEMENT"""</formula>
    </cfRule>
    <cfRule type="cellIs" dxfId="79" priority="47" stopIfTrue="1" operator="equal">
      <formula>"""EN COURS DE PREENGAGEMENT"""</formula>
    </cfRule>
    <cfRule type="cellIs" dxfId="78" priority="48" stopIfTrue="1" operator="equal">
      <formula>"""NON ENGAGE"""</formula>
    </cfRule>
  </conditionalFormatting>
  <conditionalFormatting sqref="A677:AL677">
    <cfRule type="expression" dxfId="77" priority="25">
      <formula>IF(OR(#REF!=INF,#REF!=ANN),1,0)</formula>
    </cfRule>
    <cfRule type="expression" dxfId="76" priority="26">
      <formula>IF(#REF!=NA,1,0)</formula>
    </cfRule>
  </conditionalFormatting>
  <conditionalFormatting sqref="A677:AM677">
    <cfRule type="expression" dxfId="75" priority="27">
      <formula>$AE677="ENGAGE"</formula>
    </cfRule>
    <cfRule type="expression" dxfId="74" priority="28">
      <formula>$AE677="PREENGAGE"</formula>
    </cfRule>
    <cfRule type="expression" dxfId="73" priority="29">
      <formula>$AE677="EN COURS D'ENGAGEMENT"</formula>
    </cfRule>
    <cfRule type="expression" dxfId="72" priority="30">
      <formula>$AE677="EN COURS DE PREENGAGEMENT"</formula>
    </cfRule>
    <cfRule type="expression" dxfId="71" priority="31">
      <formula>$AE677="NON ENGAGE"</formula>
    </cfRule>
  </conditionalFormatting>
  <conditionalFormatting sqref="AE677">
    <cfRule type="cellIs" dxfId="70" priority="32" stopIfTrue="1" operator="equal">
      <formula>"""ENGAGE"""</formula>
    </cfRule>
    <cfRule type="cellIs" dxfId="69" priority="33" stopIfTrue="1" operator="equal">
      <formula>"""PREENGAGE"""</formula>
    </cfRule>
    <cfRule type="cellIs" dxfId="68" priority="34" stopIfTrue="1" operator="equal">
      <formula>"""EN COURS D'ENGAGEMENT"""</formula>
    </cfRule>
    <cfRule type="cellIs" dxfId="67" priority="35" stopIfTrue="1" operator="equal">
      <formula>"""EN COURS DE PREENGAGEMENT"""</formula>
    </cfRule>
    <cfRule type="cellIs" dxfId="66" priority="36" stopIfTrue="1" operator="equal">
      <formula>"""NON ENGAGE"""</formula>
    </cfRule>
  </conditionalFormatting>
  <conditionalFormatting sqref="A678:AL678">
    <cfRule type="expression" dxfId="65" priority="13">
      <formula>IF(OR(#REF!=INF,#REF!=ANN),1,0)</formula>
    </cfRule>
    <cfRule type="expression" dxfId="64" priority="14">
      <formula>IF(#REF!=NA,1,0)</formula>
    </cfRule>
  </conditionalFormatting>
  <conditionalFormatting sqref="A678:AM678">
    <cfRule type="expression" dxfId="63" priority="15">
      <formula>$AE678="ENGAGE"</formula>
    </cfRule>
    <cfRule type="expression" dxfId="62" priority="16">
      <formula>$AE678="PREENGAGE"</formula>
    </cfRule>
    <cfRule type="expression" dxfId="61" priority="17">
      <formula>$AE678="EN COURS D'ENGAGEMENT"</formula>
    </cfRule>
    <cfRule type="expression" dxfId="60" priority="18">
      <formula>$AE678="EN COURS DE PREENGAGEMENT"</formula>
    </cfRule>
    <cfRule type="expression" dxfId="59" priority="19">
      <formula>$AE678="NON ENGAGE"</formula>
    </cfRule>
  </conditionalFormatting>
  <conditionalFormatting sqref="AE678">
    <cfRule type="cellIs" dxfId="58" priority="20" stopIfTrue="1" operator="equal">
      <formula>"""ENGAGE"""</formula>
    </cfRule>
    <cfRule type="cellIs" dxfId="57" priority="21" stopIfTrue="1" operator="equal">
      <formula>"""PREENGAGE"""</formula>
    </cfRule>
    <cfRule type="cellIs" dxfId="56" priority="22" stopIfTrue="1" operator="equal">
      <formula>"""EN COURS D'ENGAGEMENT"""</formula>
    </cfRule>
    <cfRule type="cellIs" dxfId="55" priority="23" stopIfTrue="1" operator="equal">
      <formula>"""EN COURS DE PREENGAGEMENT"""</formula>
    </cfRule>
    <cfRule type="cellIs" dxfId="54" priority="24" stopIfTrue="1" operator="equal">
      <formula>"""NON ENGAGE"""</formula>
    </cfRule>
  </conditionalFormatting>
  <conditionalFormatting sqref="A679:AL685">
    <cfRule type="expression" dxfId="53" priority="1">
      <formula>IF(OR(#REF!=INF,#REF!=ANN),1,0)</formula>
    </cfRule>
    <cfRule type="expression" dxfId="52" priority="2">
      <formula>IF(#REF!=NA,1,0)</formula>
    </cfRule>
  </conditionalFormatting>
  <conditionalFormatting sqref="A679:AM685">
    <cfRule type="expression" dxfId="51" priority="3">
      <formula>$AE679="ENGAGE"</formula>
    </cfRule>
    <cfRule type="expression" dxfId="50" priority="4">
      <formula>$AE679="PREENGAGE"</formula>
    </cfRule>
    <cfRule type="expression" dxfId="49" priority="5">
      <formula>$AE679="EN COURS D'ENGAGEMENT"</formula>
    </cfRule>
    <cfRule type="expression" dxfId="48" priority="6">
      <formula>$AE679="EN COURS DE PREENGAGEMENT"</formula>
    </cfRule>
    <cfRule type="expression" dxfId="47" priority="7">
      <formula>$AE679="NON ENGAGE"</formula>
    </cfRule>
  </conditionalFormatting>
  <conditionalFormatting sqref="AE679:AE685">
    <cfRule type="cellIs" dxfId="46" priority="8" stopIfTrue="1" operator="equal">
      <formula>"""ENGAGE"""</formula>
    </cfRule>
    <cfRule type="cellIs" dxfId="45" priority="9" stopIfTrue="1" operator="equal">
      <formula>"""PREENGAGE"""</formula>
    </cfRule>
    <cfRule type="cellIs" dxfId="44" priority="10" stopIfTrue="1" operator="equal">
      <formula>"""EN COURS D'ENGAGEMENT"""</formula>
    </cfRule>
    <cfRule type="cellIs" dxfId="43" priority="11" stopIfTrue="1" operator="equal">
      <formula>"""EN COURS DE PREENGAGEMENT"""</formula>
    </cfRule>
    <cfRule type="cellIs" dxfId="42" priority="12" stopIfTrue="1" operator="equal">
      <formula>"""NON ENGAGE"""</formula>
    </cfRule>
  </conditionalFormatting>
  <dataValidations count="30">
    <dataValidation type="list" operator="equal" allowBlank="1" showInputMessage="1" showErrorMessage="1" sqref="Q1:Q553 Q555:Q556 Q560 Q564 Q566 Q568:Q1635">
      <formula1>xBesoin</formula1>
      <formula2>0</formula2>
    </dataValidation>
    <dataValidation type="custom" showErrorMessage="1" errorTitle="ALERTE" error="Ce champ est réservé à la Reconduction" sqref="R1:R304 R543:R549 R616:R1635">
      <formula1>O1=xRec</formula1>
      <formula2>0</formula2>
    </dataValidation>
    <dataValidation type="custom" showErrorMessage="1" errorTitle="ALERTE" error="Ce champ est réservé à la Reconduction" sqref="S1:S304 S543:S549 W553 W2:W304 W543:W547 W549 S616:S1635">
      <formula1>O1=xRec</formula1>
      <formula2>0</formula2>
    </dataValidation>
    <dataValidation type="list" operator="equal" allowBlank="1" showInputMessage="1" showErrorMessage="1" sqref="AF1:AG586 AF616:AG1635 AE1:AE1635">
      <formula1>xStEng</formula1>
      <formula2>0</formula2>
    </dataValidation>
    <dataValidation type="list" operator="equal" allowBlank="1" showInputMessage="1" showErrorMessage="1" sqref="AK587:AK615 AR2:AR586 AR616:AR1635">
      <formula1>xnatreg</formula1>
      <formula2>0</formula2>
    </dataValidation>
    <dataValidation type="list" operator="equal" allowBlank="1" showInputMessage="1" showErrorMessage="1" sqref="N1162 N1211">
      <formula1>INDIRECT(#REF!)</formula1>
      <formula2>0</formula2>
    </dataValidation>
    <dataValidation type="list" operator="equal" allowBlank="1" showInputMessage="1" showErrorMessage="1" sqref="Z616:Z1635 H1:H1635">
      <formula1>xSTATUTSUP</formula1>
      <formula2>0</formula2>
    </dataValidation>
    <dataValidation type="list" operator="equal" allowBlank="1" showInputMessage="1" showErrorMessage="1" sqref="B1:B1635">
      <formula1>xDIRECTION</formula1>
      <formula2>0</formula2>
    </dataValidation>
    <dataValidation type="list" operator="equal" allowBlank="1" showInputMessage="1" showErrorMessage="1" sqref="E1629:F1635 D1:D1635">
      <formula1>xTYPE1</formula1>
      <formula2>0</formula2>
    </dataValidation>
    <dataValidation type="list" operator="equal" allowBlank="1" showInputMessage="1" showErrorMessage="1" sqref="G1:G1635">
      <formula1>xStatut1</formula1>
      <formula2>0</formula2>
    </dataValidation>
    <dataValidation type="list" operator="equal" allowBlank="1" showInputMessage="1" showErrorMessage="1" sqref="J1:J1635">
      <formula1>xCATEGORIES</formula1>
      <formula2>0</formula2>
    </dataValidation>
    <dataValidation type="list" operator="equal" allowBlank="1" showInputMessage="1" showErrorMessage="1" sqref="K2:K1635">
      <formula1>TypBudget</formula1>
      <formula2>0</formula2>
    </dataValidation>
    <dataValidation type="list" operator="equal" allowBlank="1" showInputMessage="1" showErrorMessage="1" sqref="L2:L1635">
      <formula1>xBUDGET</formula1>
      <formula2>0</formula2>
    </dataValidation>
    <dataValidation type="list" operator="equal" allowBlank="1" showInputMessage="1" showErrorMessage="1" sqref="N1166:N1210">
      <formula1>INDIRECT($F537)</formula1>
      <formula2>0</formula2>
    </dataValidation>
    <dataValidation type="list" operator="equal" allowBlank="1" showInputMessage="1" showErrorMessage="1" sqref="N1085:N1147 N1163:N1165">
      <formula1>INDIRECT($F422)</formula1>
      <formula2>0</formula2>
    </dataValidation>
    <dataValidation type="list" operator="equal" allowBlank="1" showInputMessage="1" showErrorMessage="1" sqref="N1212">
      <formula1>INDIRECT($F587)</formula1>
      <formula2>0</formula2>
    </dataValidation>
    <dataValidation type="list" operator="equal" allowBlank="1" showInputMessage="1" showErrorMessage="1" sqref="N1442:N1635">
      <formula1>INDIRECT($F868)</formula1>
      <formula2>0</formula2>
    </dataValidation>
    <dataValidation type="list" operator="equal" allowBlank="1" showInputMessage="1" showErrorMessage="1" sqref="N1148:N1161">
      <formula1>INDIRECT($F486)</formula1>
      <formula2>0</formula2>
    </dataValidation>
    <dataValidation type="list" operator="equal" allowBlank="1" showInputMessage="1" showErrorMessage="1" sqref="N1076:N1084">
      <formula1>INDIRECT($F410)</formula1>
      <formula2>0</formula2>
    </dataValidation>
    <dataValidation type="list" operator="equal" allowBlank="1" showInputMessage="1" showErrorMessage="1" sqref="N1036:N1075">
      <formula1>INDIRECT($F365)</formula1>
      <formula2>0</formula2>
    </dataValidation>
    <dataValidation type="list" operator="equal" allowBlank="1" showInputMessage="1" showErrorMessage="1" sqref="N868:N1029">
      <formula1>INDIRECT($F193)</formula1>
      <formula2>0</formula2>
    </dataValidation>
    <dataValidation type="list" operator="equal" allowBlank="1" showInputMessage="1" showErrorMessage="1" sqref="N1030:N1035">
      <formula1>INDIRECT($F358)</formula1>
      <formula2>0</formula2>
    </dataValidation>
    <dataValidation type="list" operator="equal" allowBlank="1" showInputMessage="1" showErrorMessage="1" sqref="N1213:N1215">
      <formula1>INDIRECT($F616)</formula1>
      <formula2>0</formula2>
    </dataValidation>
    <dataValidation type="list" operator="equal" allowBlank="1" showInputMessage="1" showErrorMessage="1" sqref="N1216:N1243">
      <formula1>INDIRECT($F620)</formula1>
      <formula2>0</formula2>
    </dataValidation>
    <dataValidation type="list" operator="equal" allowBlank="1" showInputMessage="1" showErrorMessage="1" sqref="N1244:N1252">
      <formula1>INDIRECT($F649)</formula1>
      <formula2>0</formula2>
    </dataValidation>
    <dataValidation type="list" operator="equal" allowBlank="1" showInputMessage="1" showErrorMessage="1" sqref="N1253:N1254">
      <formula1>INDIRECT($F659)</formula1>
      <formula2>0</formula2>
    </dataValidation>
    <dataValidation type="list" operator="equal" allowBlank="1" showInputMessage="1" showErrorMessage="1" sqref="N1255">
      <formula1>INDIRECT($F662)</formula1>
      <formula2>0</formula2>
    </dataValidation>
    <dataValidation type="list" operator="equal" allowBlank="1" showInputMessage="1" showErrorMessage="1" sqref="N1256:N1257">
      <formula1>INDIRECT($F669)</formula1>
      <formula2>0</formula2>
    </dataValidation>
    <dataValidation type="list" operator="equal" allowBlank="1" showInputMessage="1" showErrorMessage="1" sqref="N1258:N1261">
      <formula1>INDIRECT($F676)</formula1>
      <formula2>0</formula2>
    </dataValidation>
    <dataValidation type="list" operator="equal" allowBlank="1" showInputMessage="1" showErrorMessage="1" sqref="N1262:N1441">
      <formula1>INDIRECT($F686)</formula1>
      <formula2>0</formula2>
    </dataValidation>
  </dataValidations>
  <pageMargins left="0.7" right="0.7" top="0.75" bottom="0.75" header="0.511811023622047" footer="0.511811023622047"/>
  <pageSetup paperSize="9" scale="5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
  <sheetViews>
    <sheetView zoomScaleNormal="100" workbookViewId="0">
      <selection activeCell="I24" sqref="I24"/>
    </sheetView>
  </sheetViews>
  <sheetFormatPr baseColWidth="10" defaultColWidth="11.5703125" defaultRowHeight="12.75" customHeight="1" x14ac:dyDescent="0.25"/>
  <cols>
    <col min="2" max="2" width="88" style="1" customWidth="1"/>
  </cols>
  <sheetData>
    <row r="1" spans="1:2" ht="15" customHeight="1" x14ac:dyDescent="0.25">
      <c r="A1" s="35" t="s">
        <v>1697</v>
      </c>
      <c r="B1" s="35" t="s">
        <v>1698</v>
      </c>
    </row>
    <row r="2" spans="1:2" ht="15" customHeight="1" x14ac:dyDescent="0.25">
      <c r="A2" s="36" t="s">
        <v>1699</v>
      </c>
      <c r="B2" s="36" t="s">
        <v>33</v>
      </c>
    </row>
    <row r="3" spans="1:2" ht="15" customHeight="1" x14ac:dyDescent="0.25">
      <c r="A3" s="36" t="s">
        <v>1700</v>
      </c>
      <c r="B3" s="36" t="s">
        <v>34</v>
      </c>
    </row>
    <row r="4" spans="1:2" ht="15" customHeight="1" x14ac:dyDescent="0.25">
      <c r="A4" s="36" t="s">
        <v>1701</v>
      </c>
      <c r="B4" s="36" t="s">
        <v>35</v>
      </c>
    </row>
    <row r="5" spans="1:2" ht="15" customHeight="1" x14ac:dyDescent="0.25">
      <c r="A5" s="36" t="s">
        <v>1702</v>
      </c>
      <c r="B5" s="36" t="s">
        <v>1703</v>
      </c>
    </row>
    <row r="6" spans="1:2" ht="15" customHeight="1" x14ac:dyDescent="0.25">
      <c r="A6" s="36" t="s">
        <v>1704</v>
      </c>
      <c r="B6" s="36" t="s">
        <v>36</v>
      </c>
    </row>
    <row r="7" spans="1:2" ht="15" customHeight="1" x14ac:dyDescent="0.25">
      <c r="A7" s="36" t="s">
        <v>1705</v>
      </c>
      <c r="B7" s="36" t="s">
        <v>37</v>
      </c>
    </row>
    <row r="8" spans="1:2" ht="15" customHeight="1" x14ac:dyDescent="0.25">
      <c r="A8" s="36" t="s">
        <v>1706</v>
      </c>
      <c r="B8" s="36" t="s">
        <v>1707</v>
      </c>
    </row>
    <row r="9" spans="1:2" ht="15" customHeight="1" x14ac:dyDescent="0.25">
      <c r="A9" s="36" t="s">
        <v>1708</v>
      </c>
      <c r="B9" s="36" t="s">
        <v>38</v>
      </c>
    </row>
    <row r="10" spans="1:2" ht="15" customHeight="1" x14ac:dyDescent="0.25">
      <c r="A10" s="36" t="s">
        <v>1709</v>
      </c>
      <c r="B10" s="36" t="s">
        <v>39</v>
      </c>
    </row>
    <row r="11" spans="1:2" ht="15" customHeight="1" x14ac:dyDescent="0.25">
      <c r="A11" s="36" t="s">
        <v>1710</v>
      </c>
      <c r="B11" s="36" t="s">
        <v>95</v>
      </c>
    </row>
    <row r="12" spans="1:2" ht="15" customHeight="1" x14ac:dyDescent="0.25">
      <c r="A12" s="36" t="s">
        <v>1711</v>
      </c>
      <c r="B12" s="36" t="s">
        <v>41</v>
      </c>
    </row>
    <row r="13" spans="1:2" ht="15" customHeight="1" x14ac:dyDescent="0.25">
      <c r="A13" s="36" t="s">
        <v>1712</v>
      </c>
      <c r="B13" s="36" t="s">
        <v>1008</v>
      </c>
    </row>
    <row r="14" spans="1:2" ht="15" customHeight="1" x14ac:dyDescent="0.25">
      <c r="A14" s="36" t="s">
        <v>1713</v>
      </c>
      <c r="B14" s="36" t="s">
        <v>1714</v>
      </c>
    </row>
    <row r="15" spans="1:2" ht="15" customHeight="1" x14ac:dyDescent="0.25">
      <c r="A15" s="36" t="s">
        <v>1715</v>
      </c>
      <c r="B15" s="36" t="s">
        <v>1716</v>
      </c>
    </row>
    <row r="16" spans="1:2" ht="15" customHeight="1" x14ac:dyDescent="0.25">
      <c r="A16" s="36" t="s">
        <v>1717</v>
      </c>
      <c r="B16" s="36" t="s">
        <v>1718</v>
      </c>
    </row>
    <row r="17" spans="1:2" ht="15" customHeight="1" x14ac:dyDescent="0.25">
      <c r="A17" s="36" t="s">
        <v>1719</v>
      </c>
      <c r="B17" s="36" t="s">
        <v>1720</v>
      </c>
    </row>
    <row r="18" spans="1:2" ht="15" customHeight="1" x14ac:dyDescent="0.25">
      <c r="A18" s="36" t="s">
        <v>1721</v>
      </c>
      <c r="B18" s="36" t="s">
        <v>1722</v>
      </c>
    </row>
    <row r="19" spans="1:2" ht="15" customHeight="1" x14ac:dyDescent="0.25">
      <c r="A19" s="36" t="s">
        <v>1723</v>
      </c>
      <c r="B19" s="36" t="s">
        <v>1724</v>
      </c>
    </row>
    <row r="20" spans="1:2" ht="15" customHeight="1" x14ac:dyDescent="0.25">
      <c r="A20" s="36" t="s">
        <v>1725</v>
      </c>
      <c r="B20" s="36" t="s">
        <v>1726</v>
      </c>
    </row>
    <row r="21" spans="1:2" ht="15" customHeight="1" x14ac:dyDescent="0.25">
      <c r="A21" s="36" t="s">
        <v>1727</v>
      </c>
      <c r="B21" s="36" t="s">
        <v>1728</v>
      </c>
    </row>
    <row r="22" spans="1:2" ht="15" customHeight="1" x14ac:dyDescent="0.25">
      <c r="A22" s="36" t="s">
        <v>1729</v>
      </c>
      <c r="B22" s="36" t="s">
        <v>1730</v>
      </c>
    </row>
    <row r="23" spans="1:2" ht="15" customHeight="1" x14ac:dyDescent="0.25">
      <c r="A23" s="36" t="s">
        <v>1731</v>
      </c>
      <c r="B23" s="36" t="s">
        <v>1732</v>
      </c>
    </row>
    <row r="24" spans="1:2" ht="15" customHeight="1" x14ac:dyDescent="0.25">
      <c r="A24" s="36" t="s">
        <v>1733</v>
      </c>
      <c r="B24" s="36" t="s">
        <v>1734</v>
      </c>
    </row>
    <row r="25" spans="1:2" ht="15" customHeight="1" x14ac:dyDescent="0.25">
      <c r="A25" s="36" t="s">
        <v>1735</v>
      </c>
      <c r="B25" s="36" t="s">
        <v>1736</v>
      </c>
    </row>
    <row r="26" spans="1:2" ht="15" customHeight="1" x14ac:dyDescent="0.25">
      <c r="A26" s="36" t="s">
        <v>1737</v>
      </c>
      <c r="B26" s="36" t="s">
        <v>1738</v>
      </c>
    </row>
    <row r="27" spans="1:2" ht="15" customHeight="1" x14ac:dyDescent="0.25">
      <c r="A27" s="36" t="s">
        <v>1739</v>
      </c>
      <c r="B27" s="36" t="s">
        <v>1740</v>
      </c>
    </row>
    <row r="28" spans="1:2" ht="15" customHeight="1" x14ac:dyDescent="0.25">
      <c r="A28" s="36" t="s">
        <v>1741</v>
      </c>
      <c r="B28" s="36" t="s">
        <v>342</v>
      </c>
    </row>
    <row r="29" spans="1:2" ht="15" customHeight="1" x14ac:dyDescent="0.25">
      <c r="A29" s="36" t="s">
        <v>1742</v>
      </c>
      <c r="B29" s="36" t="s">
        <v>1743</v>
      </c>
    </row>
    <row r="30" spans="1:2" ht="15" customHeight="1" x14ac:dyDescent="0.25">
      <c r="A30" s="36" t="s">
        <v>1744</v>
      </c>
      <c r="B30" s="36" t="s">
        <v>1745</v>
      </c>
    </row>
    <row r="31" spans="1:2" ht="15" customHeight="1" x14ac:dyDescent="0.25">
      <c r="A31" s="36" t="s">
        <v>1746</v>
      </c>
      <c r="B31" s="36" t="s">
        <v>1747</v>
      </c>
    </row>
    <row r="32" spans="1:2" ht="15" customHeight="1" x14ac:dyDescent="0.25">
      <c r="A32" s="36" t="s">
        <v>1748</v>
      </c>
      <c r="B32" s="36" t="s">
        <v>1749</v>
      </c>
    </row>
    <row r="33" spans="1:2" ht="15" customHeight="1" x14ac:dyDescent="0.25">
      <c r="A33" s="36" t="s">
        <v>1750</v>
      </c>
      <c r="B33" s="36" t="s">
        <v>1751</v>
      </c>
    </row>
    <row r="34" spans="1:2" ht="15" customHeight="1" x14ac:dyDescent="0.25">
      <c r="A34" s="36" t="s">
        <v>1752</v>
      </c>
      <c r="B34" s="36" t="s">
        <v>1753</v>
      </c>
    </row>
    <row r="35" spans="1:2" ht="15" customHeight="1" x14ac:dyDescent="0.25">
      <c r="A35" s="36" t="s">
        <v>1754</v>
      </c>
      <c r="B35" s="36" t="s">
        <v>1755</v>
      </c>
    </row>
    <row r="36" spans="1:2" ht="15" customHeight="1" x14ac:dyDescent="0.25">
      <c r="A36" s="36" t="s">
        <v>1756</v>
      </c>
      <c r="B36" s="36" t="s">
        <v>1757</v>
      </c>
    </row>
    <row r="37" spans="1:2" ht="15" customHeight="1" x14ac:dyDescent="0.25">
      <c r="A37" s="36" t="s">
        <v>1758</v>
      </c>
      <c r="B37" s="36" t="s">
        <v>1759</v>
      </c>
    </row>
    <row r="38" spans="1:2" ht="15" customHeight="1" x14ac:dyDescent="0.25">
      <c r="A38" s="36" t="s">
        <v>1760</v>
      </c>
      <c r="B38" s="36" t="s">
        <v>1761</v>
      </c>
    </row>
    <row r="39" spans="1:2" ht="15" customHeight="1" x14ac:dyDescent="0.25">
      <c r="A39" s="36" t="s">
        <v>1762</v>
      </c>
      <c r="B39" s="36" t="s">
        <v>1763</v>
      </c>
    </row>
    <row r="40" spans="1:2" ht="15" customHeight="1" x14ac:dyDescent="0.25">
      <c r="A40" s="36" t="s">
        <v>1764</v>
      </c>
      <c r="B40" s="36" t="s">
        <v>1765</v>
      </c>
    </row>
    <row r="41" spans="1:2" ht="15" customHeight="1" x14ac:dyDescent="0.25">
      <c r="A41" s="36" t="s">
        <v>1766</v>
      </c>
      <c r="B41" s="36" t="s">
        <v>1767</v>
      </c>
    </row>
    <row r="42" spans="1:2" ht="15" customHeight="1" x14ac:dyDescent="0.25">
      <c r="A42" s="36" t="s">
        <v>1768</v>
      </c>
      <c r="B42" s="36" t="s">
        <v>1769</v>
      </c>
    </row>
    <row r="43" spans="1:2" ht="15" customHeight="1" x14ac:dyDescent="0.25">
      <c r="A43" s="36" t="s">
        <v>1770</v>
      </c>
      <c r="B43" s="36" t="s">
        <v>1771</v>
      </c>
    </row>
    <row r="44" spans="1:2" ht="15" customHeight="1" x14ac:dyDescent="0.25">
      <c r="A44" s="36" t="s">
        <v>1772</v>
      </c>
      <c r="B44" s="36" t="s">
        <v>1773</v>
      </c>
    </row>
    <row r="45" spans="1:2" ht="15" customHeight="1" x14ac:dyDescent="0.25">
      <c r="A45" s="36" t="s">
        <v>1774</v>
      </c>
      <c r="B45" s="36" t="s">
        <v>1775</v>
      </c>
    </row>
    <row r="46" spans="1:2" ht="15" customHeight="1" x14ac:dyDescent="0.25">
      <c r="A46" s="36" t="s">
        <v>1776</v>
      </c>
      <c r="B46" s="36" t="s">
        <v>1777</v>
      </c>
    </row>
    <row r="47" spans="1:2" ht="15" customHeight="1" x14ac:dyDescent="0.25">
      <c r="A47" s="36" t="s">
        <v>1778</v>
      </c>
      <c r="B47" s="36" t="s">
        <v>1779</v>
      </c>
    </row>
    <row r="48" spans="1:2" ht="15" customHeight="1" x14ac:dyDescent="0.25">
      <c r="A48" s="36" t="s">
        <v>1780</v>
      </c>
      <c r="B48" s="36" t="s">
        <v>1781</v>
      </c>
    </row>
    <row r="49" spans="1:2" ht="15" customHeight="1" x14ac:dyDescent="0.25">
      <c r="A49" s="36" t="s">
        <v>1782</v>
      </c>
      <c r="B49" s="36" t="s">
        <v>1783</v>
      </c>
    </row>
    <row r="50" spans="1:2" ht="15" customHeight="1" x14ac:dyDescent="0.25">
      <c r="A50" s="36" t="s">
        <v>1784</v>
      </c>
      <c r="B50" s="36" t="s">
        <v>1785</v>
      </c>
    </row>
    <row r="51" spans="1:2" ht="15" customHeight="1" x14ac:dyDescent="0.25">
      <c r="A51" s="36" t="s">
        <v>1786</v>
      </c>
      <c r="B51" s="36" t="s">
        <v>1787</v>
      </c>
    </row>
    <row r="52" spans="1:2" ht="15" customHeight="1" x14ac:dyDescent="0.25">
      <c r="A52" s="36" t="s">
        <v>1788</v>
      </c>
      <c r="B52" s="36" t="s">
        <v>1789</v>
      </c>
    </row>
    <row r="53" spans="1:2" ht="15" customHeight="1" x14ac:dyDescent="0.25">
      <c r="A53" s="36" t="s">
        <v>1790</v>
      </c>
      <c r="B53" s="36" t="s">
        <v>1791</v>
      </c>
    </row>
    <row r="54" spans="1:2" ht="15" customHeight="1" x14ac:dyDescent="0.25">
      <c r="A54" s="36" t="s">
        <v>1792</v>
      </c>
      <c r="B54" s="36" t="s">
        <v>1793</v>
      </c>
    </row>
    <row r="55" spans="1:2" ht="15" customHeight="1" x14ac:dyDescent="0.25">
      <c r="A55" s="36" t="s">
        <v>1794</v>
      </c>
      <c r="B55" s="36" t="s">
        <v>1795</v>
      </c>
    </row>
    <row r="56" spans="1:2" ht="15" customHeight="1" x14ac:dyDescent="0.25">
      <c r="A56" s="36" t="s">
        <v>1796</v>
      </c>
      <c r="B56" s="36" t="s">
        <v>1797</v>
      </c>
    </row>
    <row r="57" spans="1:2" ht="15" customHeight="1" x14ac:dyDescent="0.25">
      <c r="A57" s="36" t="s">
        <v>1798</v>
      </c>
      <c r="B57" s="36" t="s">
        <v>30</v>
      </c>
    </row>
    <row r="58" spans="1:2" ht="15" customHeight="1" x14ac:dyDescent="0.25">
      <c r="A58" s="36" t="s">
        <v>1799</v>
      </c>
      <c r="B58" s="36" t="s">
        <v>31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 &amp;Kffffff&amp;A</oddHeader>
    <oddFooter>&amp;C&amp;"Times New Roman,Normal"&amp;12 &amp;KffffffPage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37</vt:i4>
      </vt:variant>
    </vt:vector>
  </HeadingPairs>
  <TitlesOfParts>
    <vt:vector size="40" baseType="lpstr">
      <vt:lpstr>Parametres</vt:lpstr>
      <vt:lpstr>ENGAGEMENTS 2026</vt:lpstr>
      <vt:lpstr>lignes</vt:lpstr>
      <vt:lpstr>ANN</vt:lpstr>
      <vt:lpstr>ATR</vt:lpstr>
      <vt:lpstr>BUDGET</vt:lpstr>
      <vt:lpstr>cc</vt:lpstr>
      <vt:lpstr>ENGAGE</vt:lpstr>
      <vt:lpstr>Estimation</vt:lpstr>
      <vt:lpstr>Excep</vt:lpstr>
      <vt:lpstr>FON</vt:lpstr>
      <vt:lpstr>FONCTIONNEMENT</vt:lpstr>
      <vt:lpstr>INF</vt:lpstr>
      <vt:lpstr>INV</vt:lpstr>
      <vt:lpstr>INVESTISSEMENT</vt:lpstr>
      <vt:lpstr>LBDG</vt:lpstr>
      <vt:lpstr>MntENG</vt:lpstr>
      <vt:lpstr>MTP</vt:lpstr>
      <vt:lpstr>MTT</vt:lpstr>
      <vt:lpstr>NA</vt:lpstr>
      <vt:lpstr>Ordn</vt:lpstr>
      <vt:lpstr>PhaAo</vt:lpstr>
      <vt:lpstr>PREENGAGE</vt:lpstr>
      <vt:lpstr>qq</vt:lpstr>
      <vt:lpstr>StatutEng</vt:lpstr>
      <vt:lpstr>TypBudget</vt:lpstr>
      <vt:lpstr>TypeBudget</vt:lpstr>
      <vt:lpstr>xBesoin</vt:lpstr>
      <vt:lpstr>xBUDGET</vt:lpstr>
      <vt:lpstr>xCATEGORIES</vt:lpstr>
      <vt:lpstr>xDIRECTION</vt:lpstr>
      <vt:lpstr>xENG</vt:lpstr>
      <vt:lpstr>XLB</vt:lpstr>
      <vt:lpstr>xNatype</vt:lpstr>
      <vt:lpstr>xRec</vt:lpstr>
      <vt:lpstr>xStatut1</vt:lpstr>
      <vt:lpstr>xSTATUTSUP</vt:lpstr>
      <vt:lpstr>xStEng</vt:lpstr>
      <vt:lpstr>xTYPE1</vt:lpstr>
      <vt:lpstr>xTYPSUP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fatimazahra LAMAALMA</cp:lastModifiedBy>
  <cp:revision>126</cp:revision>
  <cp:lastPrinted>2026-09-14T09:21:16Z</cp:lastPrinted>
  <dcterms:created xsi:type="dcterms:W3CDTF">2021-05-21T09:44:01Z</dcterms:created>
  <dcterms:modified xsi:type="dcterms:W3CDTF">2026-09-23T11:08:35Z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35c4ba-2280-41f8-be7d-6f21d368baa3_ActionId">
    <vt:lpwstr>0f7211c6-e688-447b-8f1c-ea7516f33db2</vt:lpwstr>
  </property>
  <property fmtid="{D5CDD505-2E9C-101B-9397-08002B2CF9AE}" pid="3" name="MSIP_Label_c135c4ba-2280-41f8-be7d-6f21d368baa3_ContentBits">
    <vt:lpwstr>0</vt:lpwstr>
  </property>
  <property fmtid="{D5CDD505-2E9C-101B-9397-08002B2CF9AE}" pid="4" name="MSIP_Label_c135c4ba-2280-41f8-be7d-6f21d368baa3_Enabled">
    <vt:lpwstr>true</vt:lpwstr>
  </property>
  <property fmtid="{D5CDD505-2E9C-101B-9397-08002B2CF9AE}" pid="5" name="MSIP_Label_c135c4ba-2280-41f8-be7d-6f21d368baa3_Method">
    <vt:lpwstr>Standard</vt:lpwstr>
  </property>
  <property fmtid="{D5CDD505-2E9C-101B-9397-08002B2CF9AE}" pid="6" name="MSIP_Label_c135c4ba-2280-41f8-be7d-6f21d368baa3_Name">
    <vt:lpwstr>c135c4ba-2280-41f8-be7d-6f21d368baa3</vt:lpwstr>
  </property>
  <property fmtid="{D5CDD505-2E9C-101B-9397-08002B2CF9AE}" pid="7" name="MSIP_Label_c135c4ba-2280-41f8-be7d-6f21d368baa3_SetDate">
    <vt:lpwstr>2021-12-02T20:32:12Z</vt:lpwstr>
  </property>
  <property fmtid="{D5CDD505-2E9C-101B-9397-08002B2CF9AE}" pid="8" name="MSIP_Label_c135c4ba-2280-41f8-be7d-6f21d368baa3_SiteId">
    <vt:lpwstr>24139d14-c62c-4c47-8bdd-ce71ea1d50cf</vt:lpwstr>
  </property>
</Properties>
</file>