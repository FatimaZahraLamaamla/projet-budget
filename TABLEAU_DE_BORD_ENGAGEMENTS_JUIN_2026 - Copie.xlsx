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800" tabRatio="600" firstSheet="0" activeTab="0" autoFilterDateGrouping="1"/>
  </bookViews>
  <sheets>
    <sheet name="Tableau de Bord" sheetId="1" state="visible" r:id="rId1"/>
    <sheet name="Données" sheetId="2" state="visible" r:id="rId2"/>
  </sheets>
  <definedNames>
    <definedName name="_xlnm._FilterDatabase" localSheetId="1" hidden="1">'Données'!$A$1:$D$599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0"/>
      <scheme val="minor"/>
    </font>
    <font>
      <name val="Calibri"/>
      <charset val="134"/>
      <b val="1"/>
      <color rgb="FFFFFFFF"/>
      <sz val="14"/>
      <scheme val="minor"/>
    </font>
    <font>
      <name val="Calibri"/>
      <charset val="134"/>
      <i val="1"/>
      <color rgb="FF595959"/>
      <sz val="10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sz val="10"/>
      <scheme val="minor"/>
    </font>
    <font>
      <name val="Calibri"/>
      <charset val="134"/>
      <b val="1"/>
      <color rgb="FFFFFFFF"/>
      <sz val="8"/>
      <scheme val="minor"/>
    </font>
    <font>
      <name val="Calibri"/>
      <charset val="134"/>
      <b val="1"/>
      <color rgb="FFFFFFFF"/>
      <sz val="9"/>
      <scheme val="minor"/>
    </font>
    <font>
      <name val="Calibri"/>
      <charset val="134"/>
      <b val="1"/>
      <sz val="9"/>
      <scheme val="minor"/>
    </font>
    <font>
      <name val="Calibri"/>
      <charset val="134"/>
      <sz val="9"/>
      <scheme val="minor"/>
    </font>
  </fonts>
  <fills count="13">
    <fill>
      <patternFill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BE9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BDD7EE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center"/>
    </xf>
    <xf numFmtId="4" fontId="9" fillId="8" borderId="1" applyAlignment="1" pivotButton="0" quotePrefix="0" xfId="0">
      <alignment horizontal="right" vertical="center"/>
    </xf>
    <xf numFmtId="4" fontId="9" fillId="9" borderId="1" applyAlignment="1" pivotButton="0" quotePrefix="0" xfId="0">
      <alignment horizontal="right" vertical="center"/>
    </xf>
    <xf numFmtId="4" fontId="8" fillId="8" borderId="2" applyAlignment="1" pivotButton="0" quotePrefix="0" xfId="0">
      <alignment horizontal="right" vertical="center"/>
    </xf>
    <xf numFmtId="4" fontId="9" fillId="10" borderId="1" applyAlignment="1" pivotButton="0" quotePrefix="0" xfId="0">
      <alignment horizontal="right" vertical="center"/>
    </xf>
    <xf numFmtId="4" fontId="8" fillId="11" borderId="2" applyAlignment="1" pivotButton="0" quotePrefix="0" xfId="0">
      <alignment horizontal="right" vertical="center"/>
    </xf>
    <xf numFmtId="4" fontId="8" fillId="6" borderId="2" applyAlignment="1" pivotButton="0" quotePrefix="0" xfId="0">
      <alignment horizontal="right" vertical="center"/>
    </xf>
    <xf numFmtId="4" fontId="8" fillId="12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7" fillId="5" borderId="2" applyAlignment="1" pivotButton="0" quotePrefix="0" xfId="0">
      <alignment horizontal="right" vertical="center"/>
    </xf>
    <xf numFmtId="4" fontId="5" fillId="6" borderId="2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4" fontId="9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tabSelected="1" workbookViewId="0">
      <pane xSplit="1" ySplit="4" topLeftCell="B20" activePane="bottomRight" state="frozen"/>
      <selection pane="topRight" activeCell="A1" sqref="A1"/>
      <selection pane="bottomLeft" activeCell="A1" sqref="A1"/>
      <selection pane="bottomRight" activeCell="B24" sqref="B24"/>
    </sheetView>
  </sheetViews>
  <sheetFormatPr baseColWidth="10" defaultColWidth="9" defaultRowHeight="14.5"/>
  <cols>
    <col width="18" customWidth="1" style="26" min="1" max="1"/>
    <col width="15" customWidth="1" style="26" min="2" max="6"/>
    <col width="16" customWidth="1" style="26" min="7" max="7"/>
    <col width="15" customWidth="1" style="26" min="8" max="12"/>
    <col width="16" customWidth="1" style="26" min="13" max="13"/>
    <col width="18" customWidth="1" style="26" min="14" max="14"/>
  </cols>
  <sheetData>
    <row r="1" ht="30" customHeight="1" s="26">
      <c r="A1" s="31" t="inlineStr">
        <is>
          <t>TABLEAU DE BORD DES ENGAGEMENTS BUDGÉTAIRES 2026 — SNRT</t>
        </is>
      </c>
    </row>
    <row r="2" ht="16" customHeight="1" s="26">
      <c r="A2" s="27" t="inlineStr">
        <is>
          <t>Montants en MAD TTC — calculés dynamiquement (SUMIFS) depuis la feuille « Données »</t>
        </is>
      </c>
    </row>
    <row r="3" ht="22" customHeight="1" s="26">
      <c r="A3" s="25" t="inlineStr">
        <is>
          <t>DIRECTION</t>
        </is>
      </c>
      <c r="B3" s="22" t="inlineStr">
        <is>
          <t>FONCTIONNEMENT</t>
        </is>
      </c>
      <c r="C3" s="23" t="n"/>
      <c r="D3" s="23" t="n"/>
      <c r="E3" s="23" t="n"/>
      <c r="F3" s="23" t="n"/>
      <c r="G3" s="24" t="n"/>
      <c r="H3" s="30" t="inlineStr">
        <is>
          <t>INVESTISSEMENT</t>
        </is>
      </c>
      <c r="I3" s="23" t="n"/>
      <c r="J3" s="23" t="n"/>
      <c r="K3" s="23" t="n"/>
      <c r="L3" s="23" t="n"/>
      <c r="M3" s="24" t="n"/>
      <c r="N3" s="28" t="inlineStr">
        <is>
          <t>TOTAL GÉNÉRAL</t>
        </is>
      </c>
    </row>
    <row r="4" ht="40" customHeight="1" s="26">
      <c r="B4" s="4" t="inlineStr">
        <is>
          <t>ENGAGE</t>
        </is>
      </c>
      <c r="C4" s="4" t="inlineStr">
        <is>
          <t>PREENGAGE</t>
        </is>
      </c>
      <c r="D4" s="4" t="inlineStr">
        <is>
          <t>EN COURS D'ENGAGEMENT</t>
        </is>
      </c>
      <c r="E4" s="4" t="inlineStr">
        <is>
          <t>EN COURS DE PREENGAGEMENT</t>
        </is>
      </c>
      <c r="F4" s="4" t="inlineStr">
        <is>
          <t>NON ENGAGE</t>
        </is>
      </c>
      <c r="G4" s="5" t="inlineStr">
        <is>
          <t>TOTAL FONC.</t>
        </is>
      </c>
      <c r="H4" s="6" t="inlineStr">
        <is>
          <t>ENGAGE</t>
        </is>
      </c>
      <c r="I4" s="6" t="inlineStr">
        <is>
          <t>PREENGAGE</t>
        </is>
      </c>
      <c r="J4" s="6" t="inlineStr">
        <is>
          <t>EN COURS D'ENGAGEMENT</t>
        </is>
      </c>
      <c r="K4" s="6" t="inlineStr">
        <is>
          <t>EN COURS DE PREENGAGEMENT</t>
        </is>
      </c>
      <c r="L4" s="6" t="inlineStr">
        <is>
          <t>NON ENGAGE</t>
        </is>
      </c>
      <c r="M4" s="7" t="inlineStr">
        <is>
          <t>TOTAL INVE.</t>
        </is>
      </c>
      <c r="N4" s="29" t="n"/>
    </row>
    <row r="5" ht="18" customHeight="1" s="26">
      <c r="A5" s="8" t="inlineStr">
        <is>
          <t>ARRIYADIA</t>
        </is>
      </c>
      <c r="B5" s="9">
        <f>SUMIFS(Données!$D$2:$D$599,Données!$A$2:$A$599,$A5,Données!$B$2:$B$599,"FONCTIONNEMENT",Données!$C$2:$C$599,"ENGAGE")</f>
        <v/>
      </c>
      <c r="C5" s="10">
        <f>SUMIFS(Données!$D$2:$D$599,Données!$A$2:$A$599,$A5,Données!$B$2:$B$599,"FONCTIONNEMENT",Données!$C$2:$C$599,"PREENGAGE")</f>
        <v/>
      </c>
      <c r="D5" s="10">
        <f>SUMIFS(Données!$D$2:$D$599,Données!$A$2:$A$599,$A5,Données!$B$2:$B$599,"FONCTIONNEMENT",Données!$C$2:$C$599,"EN COURS D'ENGAGEMENT")</f>
        <v/>
      </c>
      <c r="E5" s="10">
        <f>SUMIFS(Données!$D$2:$D$599,Données!$A$2:$A$599,$A5,Données!$B$2:$B$599,"FONCTIONNEMENT",Données!$C$2:$C$599,"EN COURS DE PREENGAGEMENT")</f>
        <v/>
      </c>
      <c r="F5" s="10">
        <f>SUMIFS(Données!$D$2:$D$599,Données!$A$2:$A$599,$A5,Données!$B$2:$B$599,"FONCTIONNEMENT",Données!$C$2:$C$599,"NON ENGAGE")</f>
        <v/>
      </c>
      <c r="G5" s="11">
        <f>SUM(B5:F5)</f>
        <v/>
      </c>
      <c r="H5" s="12">
        <f>SUMIFS(Données!$D$2:$D$599,Données!$A$2:$A$599,$A5,Données!$B$2:$B$599,"INVESTISSEMENT",Données!$C$2:$C$599,"ENGAGE")</f>
        <v/>
      </c>
      <c r="I5" s="12">
        <f>SUMIFS(Données!$D$2:$D$599,Données!$A$2:$A$599,$A5,Données!$B$2:$B$599,"INVESTISSEMENT",Données!$C$2:$C$599,"PREENGAGE")</f>
        <v/>
      </c>
      <c r="J5" s="12">
        <f>SUMIFS(Données!$D$2:$D$599,Données!$A$2:$A$599,$A5,Données!$B$2:$B$599,"INVESTISSEMENT",Données!$C$2:$C$599,"EN COURS D'ENGAGEMENT")</f>
        <v/>
      </c>
      <c r="K5" s="12">
        <f>SUMIFS(Données!$D$2:$D$599,Données!$A$2:$A$599,$A5,Données!$B$2:$B$599,"INVESTISSEMENT",Données!$C$2:$C$599,"EN COURS DE PREENGAGEMENT")</f>
        <v/>
      </c>
      <c r="L5" s="12">
        <f>SUMIFS(Données!$D$2:$D$599,Données!$A$2:$A$599,$A5,Données!$B$2:$B$599,"INVESTISSEMENT",Données!$C$2:$C$599,"NON ENGAGE")</f>
        <v/>
      </c>
      <c r="M5" s="13">
        <f>SUM(H5:L5)</f>
        <v/>
      </c>
      <c r="N5" s="14">
        <f>G5+M5</f>
        <v/>
      </c>
    </row>
    <row r="6" ht="18" customHeight="1" s="26">
      <c r="A6" s="8" t="inlineStr">
        <is>
          <t>ASSADISSA</t>
        </is>
      </c>
      <c r="B6" s="10">
        <f>SUMIFS(Données!$D$2:$D$599,Données!$A$2:$A$599,$A6,Données!$B$2:$B$599,"FONCTIONNEMENT",Données!$C$2:$C$599,"ENGAGE")</f>
        <v/>
      </c>
      <c r="C6" s="10">
        <f>SUMIFS(Données!$D$2:$D$599,Données!$A$2:$A$599,$A6,Données!$B$2:$B$599,"FONCTIONNEMENT",Données!$C$2:$C$599,"PREENGAGE")</f>
        <v/>
      </c>
      <c r="D6" s="10">
        <f>SUMIFS(Données!$D$2:$D$599,Données!$A$2:$A$599,$A6,Données!$B$2:$B$599,"FONCTIONNEMENT",Données!$C$2:$C$599,"EN COURS D'ENGAGEMENT")</f>
        <v/>
      </c>
      <c r="E6" s="10">
        <f>SUMIFS(Données!$D$2:$D$599,Données!$A$2:$A$599,$A6,Données!$B$2:$B$599,"FONCTIONNEMENT",Données!$C$2:$C$599,"EN COURS DE PREENGAGEMENT")</f>
        <v/>
      </c>
      <c r="F6" s="10">
        <f>SUMIFS(Données!$D$2:$D$599,Données!$A$2:$A$599,$A6,Données!$B$2:$B$599,"FONCTIONNEMENT",Données!$C$2:$C$599,"NON ENGAGE")</f>
        <v/>
      </c>
      <c r="G6" s="15">
        <f>SUM(B6:F6)</f>
        <v/>
      </c>
      <c r="H6" s="12">
        <f>SUMIFS(Données!$D$2:$D$599,Données!$A$2:$A$599,$A6,Données!$B$2:$B$599,"INVESTISSEMENT",Données!$C$2:$C$599,"ENGAGE")</f>
        <v/>
      </c>
      <c r="I6" s="12">
        <f>SUMIFS(Données!$D$2:$D$599,Données!$A$2:$A$599,$A6,Données!$B$2:$B$599,"INVESTISSEMENT",Données!$C$2:$C$599,"PREENGAGE")</f>
        <v/>
      </c>
      <c r="J6" s="12">
        <f>SUMIFS(Données!$D$2:$D$599,Données!$A$2:$A$599,$A6,Données!$B$2:$B$599,"INVESTISSEMENT",Données!$C$2:$C$599,"EN COURS D'ENGAGEMENT")</f>
        <v/>
      </c>
      <c r="K6" s="12">
        <f>SUMIFS(Données!$D$2:$D$599,Données!$A$2:$A$599,$A6,Données!$B$2:$B$599,"INVESTISSEMENT",Données!$C$2:$C$599,"EN COURS DE PREENGAGEMENT")</f>
        <v/>
      </c>
      <c r="L6" s="12">
        <f>SUMIFS(Données!$D$2:$D$599,Données!$A$2:$A$599,$A6,Données!$B$2:$B$599,"INVESTISSEMENT",Données!$C$2:$C$599,"NON ENGAGE")</f>
        <v/>
      </c>
      <c r="M6" s="13">
        <f>SUM(H6:L6)</f>
        <v/>
      </c>
      <c r="N6" s="14">
        <f>G6+M6</f>
        <v/>
      </c>
    </row>
    <row r="7" ht="18" customHeight="1" s="26">
      <c r="A7" s="8" t="inlineStr">
        <is>
          <t>DA</t>
        </is>
      </c>
      <c r="B7" s="10">
        <f>SUMIFS(Données!$D$2:$D$599,Données!$A$2:$A$599,$A7,Données!$B$2:$B$599,"FONCTIONNEMENT",Données!$C$2:$C$599,"ENGAGE")</f>
        <v/>
      </c>
      <c r="C7" s="10">
        <f>SUMIFS(Données!$D$2:$D$599,Données!$A$2:$A$599,$A7,Données!$B$2:$B$599,"FONCTIONNEMENT",Données!$C$2:$C$599,"PREENGAGE")</f>
        <v/>
      </c>
      <c r="D7" s="10">
        <f>SUMIFS(Données!$D$2:$D$599,Données!$A$2:$A$599,$A7,Données!$B$2:$B$599,"FONCTIONNEMENT",Données!$C$2:$C$599,"EN COURS D'ENGAGEMENT")</f>
        <v/>
      </c>
      <c r="E7" s="10">
        <f>SUMIFS(Données!$D$2:$D$599,Données!$A$2:$A$599,$A7,Données!$B$2:$B$599,"FONCTIONNEMENT",Données!$C$2:$C$599,"EN COURS DE PREENGAGEMENT")</f>
        <v/>
      </c>
      <c r="F7" s="10">
        <f>SUMIFS(Données!$D$2:$D$599,Données!$A$2:$A$599,$A7,Données!$B$2:$B$599,"FONCTIONNEMENT",Données!$C$2:$C$599,"NON ENGAGE")</f>
        <v/>
      </c>
      <c r="G7" s="15">
        <f>SUM(B7:F7)</f>
        <v/>
      </c>
      <c r="H7" s="12">
        <f>SUMIFS(Données!$D$2:$D$599,Données!$A$2:$A$599,$A7,Données!$B$2:$B$599,"INVESTISSEMENT",Données!$C$2:$C$599,"ENGAGE")</f>
        <v/>
      </c>
      <c r="I7" s="12">
        <f>SUMIFS(Données!$D$2:$D$599,Données!$A$2:$A$599,$A7,Données!$B$2:$B$599,"INVESTISSEMENT",Données!$C$2:$C$599,"PREENGAGE")</f>
        <v/>
      </c>
      <c r="J7" s="12">
        <f>SUMIFS(Données!$D$2:$D$599,Données!$A$2:$A$599,$A7,Données!$B$2:$B$599,"INVESTISSEMENT",Données!$C$2:$C$599,"EN COURS D'ENGAGEMENT")</f>
        <v/>
      </c>
      <c r="K7" s="12">
        <f>SUMIFS(Données!$D$2:$D$599,Données!$A$2:$A$599,$A7,Données!$B$2:$B$599,"INVESTISSEMENT",Données!$C$2:$C$599,"EN COURS DE PREENGAGEMENT")</f>
        <v/>
      </c>
      <c r="L7" s="12">
        <f>SUMIFS(Données!$D$2:$D$599,Données!$A$2:$A$599,$A7,Données!$B$2:$B$599,"INVESTISSEMENT",Données!$C$2:$C$599,"NON ENGAGE")</f>
        <v/>
      </c>
      <c r="M7" s="13">
        <f>SUM(H7:L7)</f>
        <v/>
      </c>
      <c r="N7" s="14">
        <f>G7+M7</f>
        <v/>
      </c>
    </row>
    <row r="8" ht="18" customHeight="1" s="26">
      <c r="A8" s="8" t="inlineStr">
        <is>
          <t>DACG</t>
        </is>
      </c>
      <c r="B8" s="10">
        <f>SUMIFS(Données!$D$2:$D$599,Données!$A$2:$A$599,$A8,Données!$B$2:$B$599,"FONCTIONNEMENT",Données!$C$2:$C$599,"ENGAGE")</f>
        <v/>
      </c>
      <c r="C8" s="10">
        <f>SUMIFS(Données!$D$2:$D$599,Données!$A$2:$A$599,$A8,Données!$B$2:$B$599,"FONCTIONNEMENT",Données!$C$2:$C$599,"PREENGAGE")</f>
        <v/>
      </c>
      <c r="D8" s="10">
        <f>SUMIFS(Données!$D$2:$D$599,Données!$A$2:$A$599,$A8,Données!$B$2:$B$599,"FONCTIONNEMENT",Données!$C$2:$C$599,"EN COURS D'ENGAGEMENT")</f>
        <v/>
      </c>
      <c r="E8" s="10">
        <f>SUMIFS(Données!$D$2:$D$599,Données!$A$2:$A$599,$A8,Données!$B$2:$B$599,"FONCTIONNEMENT",Données!$C$2:$C$599,"EN COURS DE PREENGAGEMENT")</f>
        <v/>
      </c>
      <c r="F8" s="10">
        <f>SUMIFS(Données!$D$2:$D$599,Données!$A$2:$A$599,$A8,Données!$B$2:$B$599,"FONCTIONNEMENT",Données!$C$2:$C$599,"NON ENGAGE")</f>
        <v/>
      </c>
      <c r="G8" s="15">
        <f>SUM(B8:F8)</f>
        <v/>
      </c>
      <c r="H8" s="12">
        <f>SUMIFS(Données!$D$2:$D$599,Données!$A$2:$A$599,$A8,Données!$B$2:$B$599,"INVESTISSEMENT",Données!$C$2:$C$599,"ENGAGE")</f>
        <v/>
      </c>
      <c r="I8" s="12">
        <f>SUMIFS(Données!$D$2:$D$599,Données!$A$2:$A$599,$A8,Données!$B$2:$B$599,"INVESTISSEMENT",Données!$C$2:$C$599,"PREENGAGE")</f>
        <v/>
      </c>
      <c r="J8" s="12">
        <f>SUMIFS(Données!$D$2:$D$599,Données!$A$2:$A$599,$A8,Données!$B$2:$B$599,"INVESTISSEMENT",Données!$C$2:$C$599,"EN COURS D'ENGAGEMENT")</f>
        <v/>
      </c>
      <c r="K8" s="12">
        <f>SUMIFS(Données!$D$2:$D$599,Données!$A$2:$A$599,$A8,Données!$B$2:$B$599,"INVESTISSEMENT",Données!$C$2:$C$599,"EN COURS DE PREENGAGEMENT")</f>
        <v/>
      </c>
      <c r="L8" s="12">
        <f>SUMIFS(Données!$D$2:$D$599,Données!$A$2:$A$599,$A8,Données!$B$2:$B$599,"INVESTISSEMENT",Données!$C$2:$C$599,"NON ENGAGE")</f>
        <v/>
      </c>
      <c r="M8" s="13">
        <f>SUM(H8:L8)</f>
        <v/>
      </c>
      <c r="N8" s="14">
        <f>G8+M8</f>
        <v/>
      </c>
    </row>
    <row r="9" ht="18" customHeight="1" s="26">
      <c r="A9" s="8" t="inlineStr">
        <is>
          <t>DAR</t>
        </is>
      </c>
      <c r="B9" s="10">
        <f>SUMIFS(Données!$D$2:$D$599,Données!$A$2:$A$599,$A9,Données!$B$2:$B$599,"FONCTIONNEMENT",Données!$C$2:$C$599,"ENGAGE")</f>
        <v/>
      </c>
      <c r="C9" s="10">
        <f>SUMIFS(Données!$D$2:$D$599,Données!$A$2:$A$599,$A9,Données!$B$2:$B$599,"FONCTIONNEMENT",Données!$C$2:$C$599,"PREENGAGE")</f>
        <v/>
      </c>
      <c r="D9" s="10">
        <f>SUMIFS(Données!$D$2:$D$599,Données!$A$2:$A$599,$A9,Données!$B$2:$B$599,"FONCTIONNEMENT",Données!$C$2:$C$599,"EN COURS D'ENGAGEMENT")</f>
        <v/>
      </c>
      <c r="E9" s="10">
        <f>SUMIFS(Données!$D$2:$D$599,Données!$A$2:$A$599,$A9,Données!$B$2:$B$599,"FONCTIONNEMENT",Données!$C$2:$C$599,"EN COURS DE PREENGAGEMENT")</f>
        <v/>
      </c>
      <c r="F9" s="10">
        <f>SUMIFS(Données!$D$2:$D$599,Données!$A$2:$A$599,$A9,Données!$B$2:$B$599,"FONCTIONNEMENT",Données!$C$2:$C$599,"NON ENGAGE")</f>
        <v/>
      </c>
      <c r="G9" s="15">
        <f>SUM(B9:F9)</f>
        <v/>
      </c>
      <c r="H9" s="12">
        <f>SUMIFS(Données!$D$2:$D$599,Données!$A$2:$A$599,$A9,Données!$B$2:$B$599,"INVESTISSEMENT",Données!$C$2:$C$599,"ENGAGE")</f>
        <v/>
      </c>
      <c r="I9" s="12">
        <f>SUMIFS(Données!$D$2:$D$599,Données!$A$2:$A$599,$A9,Données!$B$2:$B$599,"INVESTISSEMENT",Données!$C$2:$C$599,"PREENGAGE")</f>
        <v/>
      </c>
      <c r="J9" s="12">
        <f>SUMIFS(Données!$D$2:$D$599,Données!$A$2:$A$599,$A9,Données!$B$2:$B$599,"INVESTISSEMENT",Données!$C$2:$C$599,"EN COURS D'ENGAGEMENT")</f>
        <v/>
      </c>
      <c r="K9" s="12">
        <f>SUMIFS(Données!$D$2:$D$599,Données!$A$2:$A$599,$A9,Données!$B$2:$B$599,"INVESTISSEMENT",Données!$C$2:$C$599,"EN COURS DE PREENGAGEMENT")</f>
        <v/>
      </c>
      <c r="L9" s="12">
        <f>SUMIFS(Données!$D$2:$D$599,Données!$A$2:$A$599,$A9,Données!$B$2:$B$599,"INVESTISSEMENT",Données!$C$2:$C$599,"NON ENGAGE")</f>
        <v/>
      </c>
      <c r="M9" s="13">
        <f>SUM(H9:L9)</f>
        <v/>
      </c>
      <c r="N9" s="14">
        <f>G9+M9</f>
        <v/>
      </c>
    </row>
    <row r="10" ht="18" customHeight="1" s="26">
      <c r="A10" s="8" t="inlineStr">
        <is>
          <t>DCPA</t>
        </is>
      </c>
      <c r="B10" s="10">
        <f>SUMIFS(Données!$D$2:$D$599,Données!$A$2:$A$599,$A10,Données!$B$2:$B$599,"FONCTIONNEMENT",Données!$C$2:$C$599,"ENGAGE")</f>
        <v/>
      </c>
      <c r="C10" s="10">
        <f>SUMIFS(Données!$D$2:$D$599,Données!$A$2:$A$599,$A10,Données!$B$2:$B$599,"FONCTIONNEMENT",Données!$C$2:$C$599,"PREENGAGE")</f>
        <v/>
      </c>
      <c r="D10" s="10">
        <f>SUMIFS(Données!$D$2:$D$599,Données!$A$2:$A$599,$A10,Données!$B$2:$B$599,"FONCTIONNEMENT",Données!$C$2:$C$599,"EN COURS D'ENGAGEMENT")</f>
        <v/>
      </c>
      <c r="E10" s="10">
        <f>SUMIFS(Données!$D$2:$D$599,Données!$A$2:$A$599,$A10,Données!$B$2:$B$599,"FONCTIONNEMENT",Données!$C$2:$C$599,"EN COURS DE PREENGAGEMENT")</f>
        <v/>
      </c>
      <c r="F10" s="10">
        <f>SUMIFS(Données!$D$2:$D$599,Données!$A$2:$A$599,$A10,Données!$B$2:$B$599,"FONCTIONNEMENT",Données!$C$2:$C$599,"NON ENGAGE")</f>
        <v/>
      </c>
      <c r="G10" s="15">
        <f>SUM(B10:F10)</f>
        <v/>
      </c>
      <c r="H10" s="12">
        <f>SUMIFS(Données!$D$2:$D$599,Données!$A$2:$A$599,$A10,Données!$B$2:$B$599,"INVESTISSEMENT",Données!$C$2:$C$599,"ENGAGE")</f>
        <v/>
      </c>
      <c r="I10" s="12">
        <f>SUMIFS(Données!$D$2:$D$599,Données!$A$2:$A$599,$A10,Données!$B$2:$B$599,"INVESTISSEMENT",Données!$C$2:$C$599,"PREENGAGE")</f>
        <v/>
      </c>
      <c r="J10" s="12">
        <f>SUMIFS(Données!$D$2:$D$599,Données!$A$2:$A$599,$A10,Données!$B$2:$B$599,"INVESTISSEMENT",Données!$C$2:$C$599,"EN COURS D'ENGAGEMENT")</f>
        <v/>
      </c>
      <c r="K10" s="12">
        <f>SUMIFS(Données!$D$2:$D$599,Données!$A$2:$A$599,$A10,Données!$B$2:$B$599,"INVESTISSEMENT",Données!$C$2:$C$599,"EN COURS DE PREENGAGEMENT")</f>
        <v/>
      </c>
      <c r="L10" s="12">
        <f>SUMIFS(Données!$D$2:$D$599,Données!$A$2:$A$599,$A10,Données!$B$2:$B$599,"INVESTISSEMENT",Données!$C$2:$C$599,"NON ENGAGE")</f>
        <v/>
      </c>
      <c r="M10" s="13">
        <f>SUM(H10:L10)</f>
        <v/>
      </c>
      <c r="N10" s="14">
        <f>G10+M10</f>
        <v/>
      </c>
    </row>
    <row r="11" ht="18" customHeight="1" s="26">
      <c r="A11" s="8" t="inlineStr">
        <is>
          <t>DCRI</t>
        </is>
      </c>
      <c r="B11" s="10">
        <f>SUMIFS(Données!$D$2:$D$599,Données!$A$2:$A$599,$A11,Données!$B$2:$B$599,"FONCTIONNEMENT",Données!$C$2:$C$599,"ENGAGE")</f>
        <v/>
      </c>
      <c r="C11" s="10">
        <f>SUMIFS(Données!$D$2:$D$599,Données!$A$2:$A$599,$A11,Données!$B$2:$B$599,"FONCTIONNEMENT",Données!$C$2:$C$599,"PREENGAGE")</f>
        <v/>
      </c>
      <c r="D11" s="10">
        <f>SUMIFS(Données!$D$2:$D$599,Données!$A$2:$A$599,$A11,Données!$B$2:$B$599,"FONCTIONNEMENT",Données!$C$2:$C$599,"EN COURS D'ENGAGEMENT")</f>
        <v/>
      </c>
      <c r="E11" s="10">
        <f>SUMIFS(Données!$D$2:$D$599,Données!$A$2:$A$599,$A11,Données!$B$2:$B$599,"FONCTIONNEMENT",Données!$C$2:$C$599,"EN COURS DE PREENGAGEMENT")</f>
        <v/>
      </c>
      <c r="F11" s="10">
        <f>SUMIFS(Données!$D$2:$D$599,Données!$A$2:$A$599,$A11,Données!$B$2:$B$599,"FONCTIONNEMENT",Données!$C$2:$C$599,"NON ENGAGE")</f>
        <v/>
      </c>
      <c r="G11" s="15">
        <f>SUM(B11:F11)</f>
        <v/>
      </c>
      <c r="H11" s="12">
        <f>SUMIFS(Données!$D$2:$D$599,Données!$A$2:$A$599,$A11,Données!$B$2:$B$599,"INVESTISSEMENT",Données!$C$2:$C$599,"ENGAGE")</f>
        <v/>
      </c>
      <c r="I11" s="12">
        <f>SUMIFS(Données!$D$2:$D$599,Données!$A$2:$A$599,$A11,Données!$B$2:$B$599,"INVESTISSEMENT",Données!$C$2:$C$599,"PREENGAGE")</f>
        <v/>
      </c>
      <c r="J11" s="12">
        <f>SUMIFS(Données!$D$2:$D$599,Données!$A$2:$A$599,$A11,Données!$B$2:$B$599,"INVESTISSEMENT",Données!$C$2:$C$599,"EN COURS D'ENGAGEMENT")</f>
        <v/>
      </c>
      <c r="K11" s="12">
        <f>SUMIFS(Données!$D$2:$D$599,Données!$A$2:$A$599,$A11,Données!$B$2:$B$599,"INVESTISSEMENT",Données!$C$2:$C$599,"EN COURS DE PREENGAGEMENT")</f>
        <v/>
      </c>
      <c r="L11" s="12">
        <f>SUMIFS(Données!$D$2:$D$599,Données!$A$2:$A$599,$A11,Données!$B$2:$B$599,"INVESTISSEMENT",Données!$C$2:$C$599,"NON ENGAGE")</f>
        <v/>
      </c>
      <c r="M11" s="13">
        <f>SUM(H11:L11)</f>
        <v/>
      </c>
      <c r="N11" s="14">
        <f>G11+M11</f>
        <v/>
      </c>
    </row>
    <row r="12" ht="18" customHeight="1" s="26">
      <c r="A12" s="8" t="inlineStr">
        <is>
          <t>DG</t>
        </is>
      </c>
      <c r="B12" s="10">
        <f>SUMIFS(Données!$D$2:$D$599,Données!$A$2:$A$599,$A12,Données!$B$2:$B$599,"FONCTIONNEMENT",Données!$C$2:$C$599,"ENGAGE")</f>
        <v/>
      </c>
      <c r="C12" s="10">
        <f>SUMIFS(Données!$D$2:$D$599,Données!$A$2:$A$599,$A12,Données!$B$2:$B$599,"FONCTIONNEMENT",Données!$C$2:$C$599,"PREENGAGE")</f>
        <v/>
      </c>
      <c r="D12" s="10">
        <f>SUMIFS(Données!$D$2:$D$599,Données!$A$2:$A$599,$A12,Données!$B$2:$B$599,"FONCTIONNEMENT",Données!$C$2:$C$599,"EN COURS D'ENGAGEMENT")</f>
        <v/>
      </c>
      <c r="E12" s="10">
        <f>SUMIFS(Données!$D$2:$D$599,Données!$A$2:$A$599,$A12,Données!$B$2:$B$599,"FONCTIONNEMENT",Données!$C$2:$C$599,"EN COURS DE PREENGAGEMENT")</f>
        <v/>
      </c>
      <c r="F12" s="10">
        <f>SUMIFS(Données!$D$2:$D$599,Données!$A$2:$A$599,$A12,Données!$B$2:$B$599,"FONCTIONNEMENT",Données!$C$2:$C$599,"NON ENGAGE")</f>
        <v/>
      </c>
      <c r="G12" s="15">
        <f>SUM(B12:F12)</f>
        <v/>
      </c>
      <c r="H12" s="12">
        <f>SUMIFS(Données!$D$2:$D$599,Données!$A$2:$A$599,$A12,Données!$B$2:$B$599,"INVESTISSEMENT",Données!$C$2:$C$599,"ENGAGE")</f>
        <v/>
      </c>
      <c r="I12" s="12">
        <f>SUMIFS(Données!$D$2:$D$599,Données!$A$2:$A$599,$A12,Données!$B$2:$B$599,"INVESTISSEMENT",Données!$C$2:$C$599,"PREENGAGE")</f>
        <v/>
      </c>
      <c r="J12" s="12">
        <f>SUMIFS(Données!$D$2:$D$599,Données!$A$2:$A$599,$A12,Données!$B$2:$B$599,"INVESTISSEMENT",Données!$C$2:$C$599,"EN COURS D'ENGAGEMENT")</f>
        <v/>
      </c>
      <c r="K12" s="12">
        <f>SUMIFS(Données!$D$2:$D$599,Données!$A$2:$A$599,$A12,Données!$B$2:$B$599,"INVESTISSEMENT",Données!$C$2:$C$599,"EN COURS DE PREENGAGEMENT")</f>
        <v/>
      </c>
      <c r="L12" s="12">
        <f>SUMIFS(Données!$D$2:$D$599,Données!$A$2:$A$599,$A12,Données!$B$2:$B$599,"INVESTISSEMENT",Données!$C$2:$C$599,"NON ENGAGE")</f>
        <v/>
      </c>
      <c r="M12" s="13">
        <f>SUM(H12:L12)</f>
        <v/>
      </c>
      <c r="N12" s="14">
        <f>G12+M12</f>
        <v/>
      </c>
    </row>
    <row r="13" ht="18" customHeight="1" s="26">
      <c r="A13" s="8" t="inlineStr">
        <is>
          <t>DINFORADIO</t>
        </is>
      </c>
      <c r="B13" s="32">
        <f>SUMIFS(Données!$D$2:$D$599,Données!$A$2:$A$599,$A13,Données!$B$2:$B$599,"FONCTIONNEMENT",Données!$C$2:$C$599,"ENGAGE")</f>
        <v/>
      </c>
      <c r="C13" s="10">
        <f>SUMIFS(Données!$D$2:$D$599,Données!$A$2:$A$599,$A13,Données!$B$2:$B$599,"FONCTIONNEMENT",Données!$C$2:$C$599,"PREENGAGE")</f>
        <v/>
      </c>
      <c r="D13" s="10">
        <f>SUMIFS(Données!$D$2:$D$599,Données!$A$2:$A$599,$A13,Données!$B$2:$B$599,"FONCTIONNEMENT",Données!$C$2:$C$599,"EN COURS D'ENGAGEMENT")</f>
        <v/>
      </c>
      <c r="E13" s="10">
        <f>SUMIFS(Données!$D$2:$D$599,Données!$A$2:$A$599,$A13,Données!$B$2:$B$599,"FONCTIONNEMENT",Données!$C$2:$C$599,"EN COURS DE PREENGAGEMENT")</f>
        <v/>
      </c>
      <c r="F13" s="10">
        <f>SUMIFS(Données!$D$2:$D$599,Données!$A$2:$A$599,$A13,Données!$B$2:$B$599,"FONCTIONNEMENT",Données!$C$2:$C$599,"NON ENGAGE")</f>
        <v/>
      </c>
      <c r="G13" s="15">
        <f>SUM(B13:F13)</f>
        <v/>
      </c>
      <c r="H13" s="12">
        <f>SUMIFS(Données!$D$2:$D$599,Données!$A$2:$A$599,$A13,Données!$B$2:$B$599,"INVESTISSEMENT",Données!$C$2:$C$599,"ENGAGE")</f>
        <v/>
      </c>
      <c r="I13" s="12">
        <f>SUMIFS(Données!$D$2:$D$599,Données!$A$2:$A$599,$A13,Données!$B$2:$B$599,"INVESTISSEMENT",Données!$C$2:$C$599,"PREENGAGE")</f>
        <v/>
      </c>
      <c r="J13" s="12">
        <f>SUMIFS(Données!$D$2:$D$599,Données!$A$2:$A$599,$A13,Données!$B$2:$B$599,"INVESTISSEMENT",Données!$C$2:$C$599,"EN COURS D'ENGAGEMENT")</f>
        <v/>
      </c>
      <c r="K13" s="12">
        <f>SUMIFS(Données!$D$2:$D$599,Données!$A$2:$A$599,$A13,Données!$B$2:$B$599,"INVESTISSEMENT",Données!$C$2:$C$599,"EN COURS DE PREENGAGEMENT")</f>
        <v/>
      </c>
      <c r="L13" s="12">
        <f>SUMIFS(Données!$D$2:$D$599,Données!$A$2:$A$599,$A13,Données!$B$2:$B$599,"INVESTISSEMENT",Données!$C$2:$C$599,"NON ENGAGE")</f>
        <v/>
      </c>
      <c r="M13" s="13">
        <f>SUM(H13:L13)</f>
        <v/>
      </c>
      <c r="N13" s="14">
        <f>G13+M13</f>
        <v/>
      </c>
    </row>
    <row r="14" ht="18" customHeight="1" s="26">
      <c r="A14" s="8" t="inlineStr">
        <is>
          <t>DINFOTV</t>
        </is>
      </c>
      <c r="B14" s="32">
        <f>SUMIFS(Données!$D$2:$D$599,Données!$A$2:$A$599,$A14,Données!$B$2:$B$599,"FONCTIONNEMENT",Données!$C$2:$C$599,"ENGAGE")</f>
        <v/>
      </c>
      <c r="C14" s="32">
        <f>SUMIFS(Données!$D$2:$D$599,Données!$A$2:$A$599,$A14,Données!$B$2:$B$599,"FONCTIONNEMENT",Données!$C$2:$C$599,"PREENGAGE")</f>
        <v/>
      </c>
      <c r="D14" s="10">
        <f>SUMIFS(Données!$D$2:$D$599,Données!$A$2:$A$599,$A14,Données!$B$2:$B$599,"FONCTIONNEMENT",Données!$C$2:$C$599,"EN COURS D'ENGAGEMENT")</f>
        <v/>
      </c>
      <c r="E14" s="10">
        <f>SUMIFS(Données!$D$2:$D$599,Données!$A$2:$A$599,$A14,Données!$B$2:$B$599,"FONCTIONNEMENT",Données!$C$2:$C$599,"EN COURS DE PREENGAGEMENT")</f>
        <v/>
      </c>
      <c r="F14" s="10">
        <f>SUMIFS(Données!$D$2:$D$599,Données!$A$2:$A$599,$A14,Données!$B$2:$B$599,"FONCTIONNEMENT",Données!$C$2:$C$599,"NON ENGAGE")</f>
        <v/>
      </c>
      <c r="G14" s="15">
        <f>SUM(B14:F14)</f>
        <v/>
      </c>
      <c r="H14" s="12">
        <f>SUMIFS(Données!$D$2:$D$599,Données!$A$2:$A$599,$A14,Données!$B$2:$B$599,"INVESTISSEMENT",Données!$C$2:$C$599,"ENGAGE")</f>
        <v/>
      </c>
      <c r="I14" s="12">
        <f>SUMIFS(Données!$D$2:$D$599,Données!$A$2:$A$599,$A14,Données!$B$2:$B$599,"INVESTISSEMENT",Données!$C$2:$C$599,"PREENGAGE")</f>
        <v/>
      </c>
      <c r="J14" s="12">
        <f>SUMIFS(Données!$D$2:$D$599,Données!$A$2:$A$599,$A14,Données!$B$2:$B$599,"INVESTISSEMENT",Données!$C$2:$C$599,"EN COURS D'ENGAGEMENT")</f>
        <v/>
      </c>
      <c r="K14" s="12">
        <f>SUMIFS(Données!$D$2:$D$599,Données!$A$2:$A$599,$A14,Données!$B$2:$B$599,"INVESTISSEMENT",Données!$C$2:$C$599,"EN COURS DE PREENGAGEMENT")</f>
        <v/>
      </c>
      <c r="L14" s="12">
        <f>SUMIFS(Données!$D$2:$D$599,Données!$A$2:$A$599,$A14,Données!$B$2:$B$599,"INVESTISSEMENT",Données!$C$2:$C$599,"NON ENGAGE")</f>
        <v/>
      </c>
      <c r="M14" s="13">
        <f>SUM(H14:L14)</f>
        <v/>
      </c>
      <c r="N14" s="14">
        <f>G14+M14</f>
        <v/>
      </c>
    </row>
    <row r="15" ht="18" customHeight="1" s="26">
      <c r="A15" s="8" t="inlineStr">
        <is>
          <t>DJURIDIQUE</t>
        </is>
      </c>
      <c r="B15" s="10">
        <f>SUMIFS(Données!$D$2:$D$599,Données!$A$2:$A$599,$A15,Données!$B$2:$B$599,"FONCTIONNEMENT",Données!$C$2:$C$599,"ENGAGE")</f>
        <v/>
      </c>
      <c r="C15" s="10">
        <f>SUMIFS(Données!$D$2:$D$599,Données!$A$2:$A$599,$A15,Données!$B$2:$B$599,"FONCTIONNEMENT",Données!$C$2:$C$599,"PREENGAGE")</f>
        <v/>
      </c>
      <c r="D15" s="10">
        <f>SUMIFS(Données!$D$2:$D$599,Données!$A$2:$A$599,$A15,Données!$B$2:$B$599,"FONCTIONNEMENT",Données!$C$2:$C$599,"EN COURS D'ENGAGEMENT")</f>
        <v/>
      </c>
      <c r="E15" s="10">
        <f>SUMIFS(Données!$D$2:$D$599,Données!$A$2:$A$599,$A15,Données!$B$2:$B$599,"FONCTIONNEMENT",Données!$C$2:$C$599,"EN COURS DE PREENGAGEMENT")</f>
        <v/>
      </c>
      <c r="F15" s="10">
        <f>SUMIFS(Données!$D$2:$D$599,Données!$A$2:$A$599,$A15,Données!$B$2:$B$599,"FONCTIONNEMENT",Données!$C$2:$C$599,"NON ENGAGE")</f>
        <v/>
      </c>
      <c r="G15" s="15">
        <f>SUM(B15:F15)</f>
        <v/>
      </c>
      <c r="H15" s="12">
        <f>SUMIFS(Données!$D$2:$D$599,Données!$A$2:$A$599,$A15,Données!$B$2:$B$599,"INVESTISSEMENT",Données!$C$2:$C$599,"ENGAGE")</f>
        <v/>
      </c>
      <c r="I15" s="12">
        <f>SUMIFS(Données!$D$2:$D$599,Données!$A$2:$A$599,$A15,Données!$B$2:$B$599,"INVESTISSEMENT",Données!$C$2:$C$599,"PREENGAGE")</f>
        <v/>
      </c>
      <c r="J15" s="12">
        <f>SUMIFS(Données!$D$2:$D$599,Données!$A$2:$A$599,$A15,Données!$B$2:$B$599,"INVESTISSEMENT",Données!$C$2:$C$599,"EN COURS D'ENGAGEMENT")</f>
        <v/>
      </c>
      <c r="K15" s="12">
        <f>SUMIFS(Données!$D$2:$D$599,Données!$A$2:$A$599,$A15,Données!$B$2:$B$599,"INVESTISSEMENT",Données!$C$2:$C$599,"EN COURS DE PREENGAGEMENT")</f>
        <v/>
      </c>
      <c r="L15" s="12">
        <f>SUMIFS(Données!$D$2:$D$599,Données!$A$2:$A$599,$A15,Données!$B$2:$B$599,"INVESTISSEMENT",Données!$C$2:$C$599,"NON ENGAGE")</f>
        <v/>
      </c>
      <c r="M15" s="13">
        <f>SUM(H15:L15)</f>
        <v/>
      </c>
      <c r="N15" s="14">
        <f>G15+M15</f>
        <v/>
      </c>
    </row>
    <row r="16" ht="18" customHeight="1" s="26">
      <c r="A16" s="8" t="inlineStr">
        <is>
          <t>DMPTV</t>
        </is>
      </c>
      <c r="B16" s="10">
        <f>SUMIFS(Données!$D$2:$D$599,Données!$A$2:$A$599,$A16,Données!$B$2:$B$599,"FONCTIONNEMENT",Données!$C$2:$C$599,"ENGAGE")</f>
        <v/>
      </c>
      <c r="C16" s="32">
        <f>SUMIFS(Données!$D$2:$D$599,Données!$A$2:$A$599,$A16,Données!$B$2:$B$599,"FONCTIONNEMENT",Données!$C$2:$C$599,"PREENGAGE")</f>
        <v/>
      </c>
      <c r="D16" s="10">
        <f>SUMIFS(Données!$D$2:$D$599,Données!$A$2:$A$599,$A16,Données!$B$2:$B$599,"FONCTIONNEMENT",Données!$C$2:$C$599,"EN COURS D'ENGAGEMENT")</f>
        <v/>
      </c>
      <c r="E16" s="10">
        <f>SUMIFS(Données!$D$2:$D$599,Données!$A$2:$A$599,$A16,Données!$B$2:$B$599,"FONCTIONNEMENT",Données!$C$2:$C$599,"EN COURS DE PREENGAGEMENT")</f>
        <v/>
      </c>
      <c r="F16" s="10">
        <f>SUMIFS(Données!$D$2:$D$599,Données!$A$2:$A$599,$A16,Données!$B$2:$B$599,"FONCTIONNEMENT",Données!$C$2:$C$599,"NON ENGAGE")</f>
        <v/>
      </c>
      <c r="G16" s="15">
        <f>SUM(B16:F16)</f>
        <v/>
      </c>
      <c r="H16" s="12">
        <f>SUMIFS(Données!$D$2:$D$599,Données!$A$2:$A$599,$A16,Données!$B$2:$B$599,"INVESTISSEMENT",Données!$C$2:$C$599,"ENGAGE")</f>
        <v/>
      </c>
      <c r="I16" s="12">
        <f>SUMIFS(Données!$D$2:$D$599,Données!$A$2:$A$599,$A16,Données!$B$2:$B$599,"INVESTISSEMENT",Données!$C$2:$C$599,"PREENGAGE")</f>
        <v/>
      </c>
      <c r="J16" s="12">
        <f>SUMIFS(Données!$D$2:$D$599,Données!$A$2:$A$599,$A16,Données!$B$2:$B$599,"INVESTISSEMENT",Données!$C$2:$C$599,"EN COURS D'ENGAGEMENT")</f>
        <v/>
      </c>
      <c r="K16" s="12">
        <f>SUMIFS(Données!$D$2:$D$599,Données!$A$2:$A$599,$A16,Données!$B$2:$B$599,"INVESTISSEMENT",Données!$C$2:$C$599,"EN COURS DE PREENGAGEMENT")</f>
        <v/>
      </c>
      <c r="L16" s="12">
        <f>SUMIFS(Données!$D$2:$D$599,Données!$A$2:$A$599,$A16,Données!$B$2:$B$599,"INVESTISSEMENT",Données!$C$2:$C$599,"NON ENGAGE")</f>
        <v/>
      </c>
      <c r="M16" s="13">
        <f>SUM(H16:L16)</f>
        <v/>
      </c>
      <c r="N16" s="14">
        <f>G16+M16</f>
        <v/>
      </c>
    </row>
    <row r="17" ht="18" customHeight="1" s="26">
      <c r="A17" s="8" t="inlineStr">
        <is>
          <t>DPMG</t>
        </is>
      </c>
      <c r="B17" s="9">
        <f>SUMIFS(Données!$D$2:$D$599,Données!$A$2:$A$599,$A17,Données!$B$2:$B$599,"FONCTIONNEMENT",Données!$C$2:$C$599,"ENGAGE")</f>
        <v/>
      </c>
      <c r="C17" s="10">
        <f>SUMIFS(Données!$D$2:$D$599,Données!$A$2:$A$599,$A17,Données!$B$2:$B$599,"FONCTIONNEMENT",Données!$C$2:$C$599,"PREENGAGE")</f>
        <v/>
      </c>
      <c r="D17" s="10">
        <f>SUMIFS(Données!$D$2:$D$599,Données!$A$2:$A$599,$A17,Données!$B$2:$B$599,"FONCTIONNEMENT",Données!$C$2:$C$599,"EN COURS D'ENGAGEMENT")</f>
        <v/>
      </c>
      <c r="E17" s="10">
        <f>SUMIFS(Données!$D$2:$D$599,Données!$A$2:$A$599,$A17,Données!$B$2:$B$599,"FONCTIONNEMENT",Données!$C$2:$C$599,"EN COURS DE PREENGAGEMENT")</f>
        <v/>
      </c>
      <c r="F17" s="10">
        <f>SUMIFS(Données!$D$2:$D$599,Données!$A$2:$A$599,$A17,Données!$B$2:$B$599,"FONCTIONNEMENT",Données!$C$2:$C$599,"NON ENGAGE")</f>
        <v/>
      </c>
      <c r="G17" s="15">
        <f>SUM(B17:F17)</f>
        <v/>
      </c>
      <c r="H17" s="12">
        <f>SUMIFS(Données!$D$2:$D$599,Données!$A$2:$A$599,$A17,Données!$B$2:$B$599,"INVESTISSEMENT",Données!$C$2:$C$599,"ENGAGE")</f>
        <v/>
      </c>
      <c r="I17" s="12">
        <f>SUMIFS(Données!$D$2:$D$599,Données!$A$2:$A$599,$A17,Données!$B$2:$B$599,"INVESTISSEMENT",Données!$C$2:$C$599,"PREENGAGE")</f>
        <v/>
      </c>
      <c r="J17" s="12">
        <f>SUMIFS(Données!$D$2:$D$599,Données!$A$2:$A$599,$A17,Données!$B$2:$B$599,"INVESTISSEMENT",Données!$C$2:$C$599,"EN COURS D'ENGAGEMENT")</f>
        <v/>
      </c>
      <c r="K17" s="12">
        <f>SUMIFS(Données!$D$2:$D$599,Données!$A$2:$A$599,$A17,Données!$B$2:$B$599,"INVESTISSEMENT",Données!$C$2:$C$599,"EN COURS DE PREENGAGEMENT")</f>
        <v/>
      </c>
      <c r="L17" s="12">
        <f>SUMIFS(Données!$D$2:$D$599,Données!$A$2:$A$599,$A17,Données!$B$2:$B$599,"INVESTISSEMENT",Données!$C$2:$C$599,"NON ENGAGE")</f>
        <v/>
      </c>
      <c r="M17" s="13">
        <f>SUM(H17:L17)</f>
        <v/>
      </c>
      <c r="N17" s="14">
        <f>G17+M17</f>
        <v/>
      </c>
    </row>
    <row r="18" ht="18" customHeight="1" s="26">
      <c r="A18" s="8" t="inlineStr">
        <is>
          <t>DPPR</t>
        </is>
      </c>
      <c r="B18" s="10">
        <f>SUMIFS(Données!$D$2:$D$599,Données!$A$2:$A$599,$A18,Données!$B$2:$B$599,"FONCTIONNEMENT",Données!$C$2:$C$599,"ENGAGE")</f>
        <v/>
      </c>
      <c r="C18" s="10">
        <f>SUMIFS(Données!$D$2:$D$599,Données!$A$2:$A$599,$A18,Données!$B$2:$B$599,"FONCTIONNEMENT",Données!$C$2:$C$599,"PREENGAGE")</f>
        <v/>
      </c>
      <c r="D18" s="10">
        <f>SUMIFS(Données!$D$2:$D$599,Données!$A$2:$A$599,$A18,Données!$B$2:$B$599,"FONCTIONNEMENT",Données!$C$2:$C$599,"EN COURS D'ENGAGEMENT")</f>
        <v/>
      </c>
      <c r="E18" s="10">
        <f>SUMIFS(Données!$D$2:$D$599,Données!$A$2:$A$599,$A18,Données!$B$2:$B$599,"FONCTIONNEMENT",Données!$C$2:$C$599,"EN COURS DE PREENGAGEMENT")</f>
        <v/>
      </c>
      <c r="F18" s="10">
        <f>SUMIFS(Données!$D$2:$D$599,Données!$A$2:$A$599,$A18,Données!$B$2:$B$599,"FONCTIONNEMENT",Données!$C$2:$C$599,"NON ENGAGE")</f>
        <v/>
      </c>
      <c r="G18" s="15">
        <f>SUM(B18:F18)</f>
        <v/>
      </c>
      <c r="H18" s="12">
        <f>SUMIFS(Données!$D$2:$D$599,Données!$A$2:$A$599,$A18,Données!$B$2:$B$599,"INVESTISSEMENT",Données!$C$2:$C$599,"ENGAGE")</f>
        <v/>
      </c>
      <c r="I18" s="12">
        <f>SUMIFS(Données!$D$2:$D$599,Données!$A$2:$A$599,$A18,Données!$B$2:$B$599,"INVESTISSEMENT",Données!$C$2:$C$599,"PREENGAGE")</f>
        <v/>
      </c>
      <c r="J18" s="12">
        <f>SUMIFS(Données!$D$2:$D$599,Données!$A$2:$A$599,$A18,Données!$B$2:$B$599,"INVESTISSEMENT",Données!$C$2:$C$599,"EN COURS D'ENGAGEMENT")</f>
        <v/>
      </c>
      <c r="K18" s="12">
        <f>SUMIFS(Données!$D$2:$D$599,Données!$A$2:$A$599,$A18,Données!$B$2:$B$599,"INVESTISSEMENT",Données!$C$2:$C$599,"EN COURS DE PREENGAGEMENT")</f>
        <v/>
      </c>
      <c r="L18" s="12">
        <f>SUMIFS(Données!$D$2:$D$599,Données!$A$2:$A$599,$A18,Données!$B$2:$B$599,"INVESTISSEMENT",Données!$C$2:$C$599,"NON ENGAGE")</f>
        <v/>
      </c>
      <c r="M18" s="13">
        <f>SUM(H18:L18)</f>
        <v/>
      </c>
      <c r="N18" s="14">
        <f>G18+M18</f>
        <v/>
      </c>
    </row>
    <row r="19" ht="18" customHeight="1" s="26">
      <c r="A19" s="8" t="inlineStr">
        <is>
          <t>DRH</t>
        </is>
      </c>
      <c r="B19" s="10">
        <f>SUMIFS(Données!$D$2:$D$599,Données!$A$2:$A$599,$A19,Données!$B$2:$B$599,"FONCTIONNEMENT",Données!$C$2:$C$599,"ENGAGE")</f>
        <v/>
      </c>
      <c r="C19" s="10">
        <f>SUMIFS(Données!$D$2:$D$599,Données!$A$2:$A$599,$A19,Données!$B$2:$B$599,"FONCTIONNEMENT",Données!$C$2:$C$599,"PREENGAGE")</f>
        <v/>
      </c>
      <c r="D19" s="10">
        <f>SUMIFS(Données!$D$2:$D$599,Données!$A$2:$A$599,$A19,Données!$B$2:$B$599,"FONCTIONNEMENT",Données!$C$2:$C$599,"EN COURS D'ENGAGEMENT")</f>
        <v/>
      </c>
      <c r="E19" s="10">
        <f>SUMIFS(Données!$D$2:$D$599,Données!$A$2:$A$599,$A19,Données!$B$2:$B$599,"FONCTIONNEMENT",Données!$C$2:$C$599,"EN COURS DE PREENGAGEMENT")</f>
        <v/>
      </c>
      <c r="F19" s="10">
        <f>SUMIFS(Données!$D$2:$D$599,Données!$A$2:$A$599,$A19,Données!$B$2:$B$599,"FONCTIONNEMENT",Données!$C$2:$C$599,"NON ENGAGE")</f>
        <v/>
      </c>
      <c r="G19" s="15">
        <f>SUM(B19:F19)</f>
        <v/>
      </c>
      <c r="H19" s="12">
        <f>SUMIFS(Données!$D$2:$D$599,Données!$A$2:$A$599,$A19,Données!$B$2:$B$599,"INVESTISSEMENT",Données!$C$2:$C$599,"ENGAGE")</f>
        <v/>
      </c>
      <c r="I19" s="12">
        <f>SUMIFS(Données!$D$2:$D$599,Données!$A$2:$A$599,$A19,Données!$B$2:$B$599,"INVESTISSEMENT",Données!$C$2:$C$599,"PREENGAGE")</f>
        <v/>
      </c>
      <c r="J19" s="12">
        <f>SUMIFS(Données!$D$2:$D$599,Données!$A$2:$A$599,$A19,Données!$B$2:$B$599,"INVESTISSEMENT",Données!$C$2:$C$599,"EN COURS D'ENGAGEMENT")</f>
        <v/>
      </c>
      <c r="K19" s="12">
        <f>SUMIFS(Données!$D$2:$D$599,Données!$A$2:$A$599,$A19,Données!$B$2:$B$599,"INVESTISSEMENT",Données!$C$2:$C$599,"EN COURS DE PREENGAGEMENT")</f>
        <v/>
      </c>
      <c r="L19" s="12">
        <f>SUMIFS(Données!$D$2:$D$599,Données!$A$2:$A$599,$A19,Données!$B$2:$B$599,"INVESTISSEMENT",Données!$C$2:$C$599,"NON ENGAGE")</f>
        <v/>
      </c>
      <c r="M19" s="13">
        <f>SUM(H19:L19)</f>
        <v/>
      </c>
      <c r="N19" s="14">
        <f>G19+M19</f>
        <v/>
      </c>
    </row>
    <row r="20" ht="18" customHeight="1" s="26">
      <c r="A20" s="8" t="inlineStr">
        <is>
          <t>DRPSD</t>
        </is>
      </c>
      <c r="B20" s="32">
        <f>SUMIFS(Données!$D$2:$D$599,Données!$A$2:$A$599,$A20,Données!$B$2:$B$599,"FONCTIONNEMENT",Données!$C$2:$C$599,"ENGAGE")</f>
        <v/>
      </c>
      <c r="C20" s="10">
        <f>SUMIFS(Données!$D$2:$D$599,Données!$A$2:$A$599,$A20,Données!$B$2:$B$599,"FONCTIONNEMENT",Données!$C$2:$C$599,"PREENGAGE")</f>
        <v/>
      </c>
      <c r="D20" s="10">
        <f>SUMIFS(Données!$D$2:$D$599,Données!$A$2:$A$599,$A20,Données!$B$2:$B$599,"FONCTIONNEMENT",Données!$C$2:$C$599,"EN COURS D'ENGAGEMENT")</f>
        <v/>
      </c>
      <c r="E20" s="10">
        <f>SUMIFS(Données!$D$2:$D$599,Données!$A$2:$A$599,$A20,Données!$B$2:$B$599,"FONCTIONNEMENT",Données!$C$2:$C$599,"EN COURS DE PREENGAGEMENT")</f>
        <v/>
      </c>
      <c r="F20" s="10">
        <f>SUMIFS(Données!$D$2:$D$599,Données!$A$2:$A$599,$A20,Données!$B$2:$B$599,"FONCTIONNEMENT",Données!$C$2:$C$599,"NON ENGAGE")</f>
        <v/>
      </c>
      <c r="G20" s="15">
        <f>SUM(B20:F20)</f>
        <v/>
      </c>
      <c r="H20" s="12">
        <f>SUMIFS(Données!$D$2:$D$599,Données!$A$2:$A$599,$A20,Données!$B$2:$B$599,"INVESTISSEMENT",Données!$C$2:$C$599,"ENGAGE")</f>
        <v/>
      </c>
      <c r="I20" s="12">
        <f>SUMIFS(Données!$D$2:$D$599,Données!$A$2:$A$599,$A20,Données!$B$2:$B$599,"INVESTISSEMENT",Données!$C$2:$C$599,"PREENGAGE")</f>
        <v/>
      </c>
      <c r="J20" s="12">
        <f>SUMIFS(Données!$D$2:$D$599,Données!$A$2:$A$599,$A20,Données!$B$2:$B$599,"INVESTISSEMENT",Données!$C$2:$C$599,"EN COURS D'ENGAGEMENT")</f>
        <v/>
      </c>
      <c r="K20" s="12">
        <f>SUMIFS(Données!$D$2:$D$599,Données!$A$2:$A$599,$A20,Données!$B$2:$B$599,"INVESTISSEMENT",Données!$C$2:$C$599,"EN COURS DE PREENGAGEMENT")</f>
        <v/>
      </c>
      <c r="L20" s="12">
        <f>SUMIFS(Données!$D$2:$D$599,Données!$A$2:$A$599,$A20,Données!$B$2:$B$599,"INVESTISSEMENT",Données!$C$2:$C$599,"NON ENGAGE")</f>
        <v/>
      </c>
      <c r="M20" s="13">
        <f>SUM(H20:L20)</f>
        <v/>
      </c>
      <c r="N20" s="14">
        <f>G20+M20</f>
        <v/>
      </c>
    </row>
    <row r="21" ht="18" customHeight="1" s="26">
      <c r="A21" s="8" t="inlineStr">
        <is>
          <t>DTSI</t>
        </is>
      </c>
      <c r="B21" s="9">
        <f>SUMIFS(Données!$D$2:$D$599,Données!$A$2:$A$599,$A21,Données!$B$2:$B$599,"FONCTIONNEMENT",Données!$C$2:$C$599,"ENGAGE")</f>
        <v/>
      </c>
      <c r="C21" s="10">
        <f>SUMIFS(Données!$D$2:$D$599,Données!$A$2:$A$599,$A21,Données!$B$2:$B$599,"FONCTIONNEMENT",Données!$C$2:$C$599,"PREENGAGE")</f>
        <v/>
      </c>
      <c r="D21" s="10">
        <f>SUMIFS(Données!$D$2:$D$599,Données!$A$2:$A$599,$A21,Données!$B$2:$B$599,"FONCTIONNEMENT",Données!$C$2:$C$599,"EN COURS D'ENGAGEMENT")</f>
        <v/>
      </c>
      <c r="E21" s="10">
        <f>SUMIFS(Données!$D$2:$D$599,Données!$A$2:$A$599,$A21,Données!$B$2:$B$599,"FONCTIONNEMENT",Données!$C$2:$C$599,"EN COURS DE PREENGAGEMENT")</f>
        <v/>
      </c>
      <c r="F21" s="10">
        <f>SUMIFS(Données!$D$2:$D$599,Données!$A$2:$A$599,$A21,Données!$B$2:$B$599,"FONCTIONNEMENT",Données!$C$2:$C$599,"NON ENGAGE")</f>
        <v/>
      </c>
      <c r="G21" s="11">
        <f>SUM(B21:F21)</f>
        <v/>
      </c>
      <c r="H21" s="12">
        <f>SUMIFS(Données!$D$2:$D$599,Données!$A$2:$A$599,$A21,Données!$B$2:$B$599,"INVESTISSEMENT",Données!$C$2:$C$599,"ENGAGE")</f>
        <v/>
      </c>
      <c r="I21" s="12">
        <f>SUMIFS(Données!$D$2:$D$599,Données!$A$2:$A$599,$A21,Données!$B$2:$B$599,"INVESTISSEMENT",Données!$C$2:$C$599,"PREENGAGE")</f>
        <v/>
      </c>
      <c r="J21" s="12">
        <f>SUMIFS(Données!$D$2:$D$599,Données!$A$2:$A$599,$A21,Données!$B$2:$B$599,"INVESTISSEMENT",Données!$C$2:$C$599,"EN COURS D'ENGAGEMENT")</f>
        <v/>
      </c>
      <c r="K21" s="12">
        <f>SUMIFS(Données!$D$2:$D$599,Données!$A$2:$A$599,$A21,Données!$B$2:$B$599,"INVESTISSEMENT",Données!$C$2:$C$599,"EN COURS DE PREENGAGEMENT")</f>
        <v/>
      </c>
      <c r="L21" s="12">
        <f>SUMIFS(Données!$D$2:$D$599,Données!$A$2:$A$599,$A21,Données!$B$2:$B$599,"INVESTISSEMENT",Données!$C$2:$C$599,"NON ENGAGE")</f>
        <v/>
      </c>
      <c r="M21" s="13">
        <f>SUM(H21:L21)</f>
        <v/>
      </c>
      <c r="N21" s="14">
        <f>G21+M21</f>
        <v/>
      </c>
    </row>
    <row r="22" ht="18" customHeight="1" s="26">
      <c r="A22" s="8" t="inlineStr">
        <is>
          <t>MAGHRIBIA</t>
        </is>
      </c>
      <c r="B22" s="10">
        <f>SUMIFS(Données!$D$2:$D$599,Données!$A$2:$A$599,$A22,Données!$B$2:$B$599,"FONCTIONNEMENT",Données!$C$2:$C$599,"ENGAGE")</f>
        <v/>
      </c>
      <c r="C22" s="10">
        <f>SUMIFS(Données!$D$2:$D$599,Données!$A$2:$A$599,$A22,Données!$B$2:$B$599,"FONCTIONNEMENT",Données!$C$2:$C$599,"PREENGAGE")</f>
        <v/>
      </c>
      <c r="D22" s="10">
        <f>SUMIFS(Données!$D$2:$D$599,Données!$A$2:$A$599,$A22,Données!$B$2:$B$599,"FONCTIONNEMENT",Données!$C$2:$C$599,"EN COURS D'ENGAGEMENT")</f>
        <v/>
      </c>
      <c r="E22" s="10">
        <f>SUMIFS(Données!$D$2:$D$599,Données!$A$2:$A$599,$A22,Données!$B$2:$B$599,"FONCTIONNEMENT",Données!$C$2:$C$599,"EN COURS DE PREENGAGEMENT")</f>
        <v/>
      </c>
      <c r="F22" s="10">
        <f>SUMIFS(Données!$D$2:$D$599,Données!$A$2:$A$599,$A22,Données!$B$2:$B$599,"FONCTIONNEMENT",Données!$C$2:$C$599,"NON ENGAGE")</f>
        <v/>
      </c>
      <c r="G22" s="15">
        <f>SUM(B22:F22)</f>
        <v/>
      </c>
      <c r="H22" s="12">
        <f>SUMIFS(Données!$D$2:$D$599,Données!$A$2:$A$599,$A22,Données!$B$2:$B$599,"INVESTISSEMENT",Données!$C$2:$C$599,"ENGAGE")</f>
        <v/>
      </c>
      <c r="I22" s="12">
        <f>SUMIFS(Données!$D$2:$D$599,Données!$A$2:$A$599,$A22,Données!$B$2:$B$599,"INVESTISSEMENT",Données!$C$2:$C$599,"PREENGAGE")</f>
        <v/>
      </c>
      <c r="J22" s="12">
        <f>SUMIFS(Données!$D$2:$D$599,Données!$A$2:$A$599,$A22,Données!$B$2:$B$599,"INVESTISSEMENT",Données!$C$2:$C$599,"EN COURS D'ENGAGEMENT")</f>
        <v/>
      </c>
      <c r="K22" s="12">
        <f>SUMIFS(Données!$D$2:$D$599,Données!$A$2:$A$599,$A22,Données!$B$2:$B$599,"INVESTISSEMENT",Données!$C$2:$C$599,"EN COURS DE PREENGAGEMENT")</f>
        <v/>
      </c>
      <c r="L22" s="12">
        <f>SUMIFS(Données!$D$2:$D$599,Données!$A$2:$A$599,$A22,Données!$B$2:$B$599,"INVESTISSEMENT",Données!$C$2:$C$599,"NON ENGAGE")</f>
        <v/>
      </c>
      <c r="M22" s="13">
        <f>SUM(H22:L22)</f>
        <v/>
      </c>
      <c r="N22" s="14">
        <f>G22+M22</f>
        <v/>
      </c>
    </row>
    <row r="23" ht="18" customHeight="1" s="26">
      <c r="A23" s="8" t="inlineStr">
        <is>
          <t>TAMAZIGHT</t>
        </is>
      </c>
      <c r="B23" s="10">
        <f>SUMIFS(Données!$D$2:$D$599,Données!$A$2:$A$599,$A23,Données!$B$2:$B$599,"FONCTIONNEMENT",Données!$C$2:$C$599,"ENGAGE")</f>
        <v/>
      </c>
      <c r="C23" s="10">
        <f>SUMIFS(Données!$D$2:$D$599,Données!$A$2:$A$599,$A23,Données!$B$2:$B$599,"FONCTIONNEMENT",Données!$C$2:$C$599,"PREENGAGE")</f>
        <v/>
      </c>
      <c r="D23" s="10">
        <f>SUMIFS(Données!$D$2:$D$599,Données!$A$2:$A$599,$A23,Données!$B$2:$B$599,"FONCTIONNEMENT",Données!$C$2:$C$599,"EN COURS D'ENGAGEMENT")</f>
        <v/>
      </c>
      <c r="E23" s="10">
        <f>SUMIFS(Données!$D$2:$D$599,Données!$A$2:$A$599,$A23,Données!$B$2:$B$599,"FONCTIONNEMENT",Données!$C$2:$C$599,"EN COURS DE PREENGAGEMENT")</f>
        <v/>
      </c>
      <c r="F23" s="10">
        <f>SUMIFS(Données!$D$2:$D$599,Données!$A$2:$A$599,$A23,Données!$B$2:$B$599,"FONCTIONNEMENT",Données!$C$2:$C$599,"NON ENGAGE")</f>
        <v/>
      </c>
      <c r="G23" s="15">
        <f>SUM(B23:F23)</f>
        <v/>
      </c>
      <c r="H23" s="12">
        <f>SUMIFS(Données!$D$2:$D$599,Données!$A$2:$A$599,$A23,Données!$B$2:$B$599,"INVESTISSEMENT",Données!$C$2:$C$599,"ENGAGE")</f>
        <v/>
      </c>
      <c r="I23" s="12">
        <f>SUMIFS(Données!$D$2:$D$599,Données!$A$2:$A$599,$A23,Données!$B$2:$B$599,"INVESTISSEMENT",Données!$C$2:$C$599,"PREENGAGE")</f>
        <v/>
      </c>
      <c r="J23" s="12">
        <f>SUMIFS(Données!$D$2:$D$599,Données!$A$2:$A$599,$A23,Données!$B$2:$B$599,"INVESTISSEMENT",Données!$C$2:$C$599,"EN COURS D'ENGAGEMENT")</f>
        <v/>
      </c>
      <c r="K23" s="12">
        <f>SUMIFS(Données!$D$2:$D$599,Données!$A$2:$A$599,$A23,Données!$B$2:$B$599,"INVESTISSEMENT",Données!$C$2:$C$599,"EN COURS DE PREENGAGEMENT")</f>
        <v/>
      </c>
      <c r="L23" s="12">
        <f>SUMIFS(Données!$D$2:$D$599,Données!$A$2:$A$599,$A23,Données!$B$2:$B$599,"INVESTISSEMENT",Données!$C$2:$C$599,"NON ENGAGE")</f>
        <v/>
      </c>
      <c r="M23" s="13">
        <f>SUM(H23:L23)</f>
        <v/>
      </c>
      <c r="N23" s="14">
        <f>G23+M23</f>
        <v/>
      </c>
    </row>
    <row r="24" ht="18" customHeight="1" s="26">
      <c r="A24" s="8" t="inlineStr">
        <is>
          <t>TDF -SITES</t>
        </is>
      </c>
      <c r="B24" s="32">
        <f>SUMIFS(Données!$D$2:$D$599,Données!$A$2:$A$599,$A24,Données!$B$2:$B$599,"FONCTIONNEMENT",Données!$C$2:$C$599,"ENGAGE")</f>
        <v/>
      </c>
      <c r="C24" s="10">
        <f>SUMIFS(Données!$D$2:$D$599,Données!$A$2:$A$599,$A24,Données!$B$2:$B$599,"FONCTIONNEMENT",Données!$C$2:$C$599,"PREENGAGE")</f>
        <v/>
      </c>
      <c r="D24" s="10">
        <f>SUMIFS(Données!$D$2:$D$599,Données!$A$2:$A$599,$A24,Données!$B$2:$B$599,"FONCTIONNEMENT",Données!$C$2:$C$599,"EN COURS D'ENGAGEMENT")</f>
        <v/>
      </c>
      <c r="E24" s="10">
        <f>SUMIFS(Données!$D$2:$D$599,Données!$A$2:$A$599,$A24,Données!$B$2:$B$599,"FONCTIONNEMENT",Données!$C$2:$C$599,"EN COURS DE PREENGAGEMENT")</f>
        <v/>
      </c>
      <c r="F24" s="10">
        <f>SUMIFS(Données!$D$2:$D$599,Données!$A$2:$A$599,$A24,Données!$B$2:$B$599,"FONCTIONNEMENT",Données!$C$2:$C$599,"NON ENGAGE")</f>
        <v/>
      </c>
      <c r="G24" s="15">
        <f>SUM(B24:F24)</f>
        <v/>
      </c>
      <c r="H24" s="12">
        <f>SUMIFS(Données!$D$2:$D$599,Données!$A$2:$A$599,$A24,Données!$B$2:$B$599,"INVESTISSEMENT",Données!$C$2:$C$599,"ENGAGE")</f>
        <v/>
      </c>
      <c r="I24" s="12">
        <f>SUMIFS(Données!$D$2:$D$599,Données!$A$2:$A$599,$A24,Données!$B$2:$B$599,"INVESTISSEMENT",Données!$C$2:$C$599,"PREENGAGE")</f>
        <v/>
      </c>
      <c r="J24" s="12">
        <f>SUMIFS(Données!$D$2:$D$599,Données!$A$2:$A$599,$A24,Données!$B$2:$B$599,"INVESTISSEMENT",Données!$C$2:$C$599,"EN COURS D'ENGAGEMENT")</f>
        <v/>
      </c>
      <c r="K24" s="12">
        <f>SUMIFS(Données!$D$2:$D$599,Données!$A$2:$A$599,$A24,Données!$B$2:$B$599,"INVESTISSEMENT",Données!$C$2:$C$599,"EN COURS DE PREENGAGEMENT")</f>
        <v/>
      </c>
      <c r="L24" s="12">
        <f>SUMIFS(Données!$D$2:$D$599,Données!$A$2:$A$599,$A24,Données!$B$2:$B$599,"INVESTISSEMENT",Données!$C$2:$C$599,"NON ENGAGE")</f>
        <v/>
      </c>
      <c r="M24" s="13">
        <f>SUM(H24:L24)</f>
        <v/>
      </c>
      <c r="N24" s="14">
        <f>G24+M24</f>
        <v/>
      </c>
    </row>
    <row r="25" ht="18" customHeight="1" s="26">
      <c r="A25" s="8" t="inlineStr">
        <is>
          <t>TDF-EXP&amp;MAIN</t>
        </is>
      </c>
      <c r="B25" s="9">
        <f>SUMIFS(Données!$D$2:$D$599,Données!$A$2:$A$599,$A25,Données!$B$2:$B$599,"FONCTIONNEMENT",Données!$C$2:$C$599,"ENGAGE")</f>
        <v/>
      </c>
      <c r="C25" s="9">
        <f>SUMIFS(Données!$D$2:$D$599,Données!$A$2:$A$599,$A25,Données!$B$2:$B$599,"FONCTIONNEMENT",Données!$C$2:$C$599,"PREENGAGE")</f>
        <v/>
      </c>
      <c r="D25" s="9">
        <f>SUMIFS(Données!$D$2:$D$599,Données!$A$2:$A$599,$A25,Données!$B$2:$B$599,"FONCTIONNEMENT",Données!$C$2:$C$599,"EN COURS D'ENGAGEMENT")</f>
        <v/>
      </c>
      <c r="E25" s="10">
        <f>SUMIFS(Données!$D$2:$D$599,Données!$A$2:$A$599,$A25,Données!$B$2:$B$599,"FONCTIONNEMENT",Données!$C$2:$C$599,"EN COURS DE PREENGAGEMENT")</f>
        <v/>
      </c>
      <c r="F25" s="10">
        <f>SUMIFS(Données!$D$2:$D$599,Données!$A$2:$A$599,$A25,Données!$B$2:$B$599,"FONCTIONNEMENT",Données!$C$2:$C$599,"NON ENGAGE")</f>
        <v/>
      </c>
      <c r="G25" s="15">
        <f>SUM(B25:F25)</f>
        <v/>
      </c>
      <c r="H25" s="12">
        <f>SUMIFS(Données!$D$2:$D$599,Données!$A$2:$A$599,$A25,Données!$B$2:$B$599,"INVESTISSEMENT",Données!$C$2:$C$599,"ENGAGE")</f>
        <v/>
      </c>
      <c r="I25" s="12">
        <f>SUMIFS(Données!$D$2:$D$599,Données!$A$2:$A$599,$A25,Données!$B$2:$B$599,"INVESTISSEMENT",Données!$C$2:$C$599,"PREENGAGE")</f>
        <v/>
      </c>
      <c r="J25" s="12">
        <f>SUMIFS(Données!$D$2:$D$599,Données!$A$2:$A$599,$A25,Données!$B$2:$B$599,"INVESTISSEMENT",Données!$C$2:$C$599,"EN COURS D'ENGAGEMENT")</f>
        <v/>
      </c>
      <c r="K25" s="12">
        <f>SUMIFS(Données!$D$2:$D$599,Données!$A$2:$A$599,$A25,Données!$B$2:$B$599,"INVESTISSEMENT",Données!$C$2:$C$599,"EN COURS DE PREENGAGEMENT")</f>
        <v/>
      </c>
      <c r="L25" s="12">
        <f>SUMIFS(Données!$D$2:$D$599,Données!$A$2:$A$599,$A25,Données!$B$2:$B$599,"INVESTISSEMENT",Données!$C$2:$C$599,"NON ENGAGE")</f>
        <v/>
      </c>
      <c r="M25" s="13">
        <f>SUM(H25:L25)</f>
        <v/>
      </c>
      <c r="N25" s="14">
        <f>G25+M25</f>
        <v/>
      </c>
    </row>
    <row r="26" ht="18" customHeight="1" s="26">
      <c r="A26" s="8" t="inlineStr">
        <is>
          <t>TV LAAYOUNE</t>
        </is>
      </c>
      <c r="B26" s="10">
        <f>SUMIFS(Données!$D$2:$D$599,Données!$A$2:$A$599,$A26,Données!$B$2:$B$599,"FONCTIONNEMENT",Données!$C$2:$C$599,"ENGAGE")</f>
        <v/>
      </c>
      <c r="C26" s="10">
        <f>SUMIFS(Données!$D$2:$D$599,Données!$A$2:$A$599,$A26,Données!$B$2:$B$599,"FONCTIONNEMENT",Données!$C$2:$C$599,"PREENGAGE")</f>
        <v/>
      </c>
      <c r="D26" s="10">
        <f>SUMIFS(Données!$D$2:$D$599,Données!$A$2:$A$599,$A26,Données!$B$2:$B$599,"FONCTIONNEMENT",Données!$C$2:$C$599,"EN COURS D'ENGAGEMENT")</f>
        <v/>
      </c>
      <c r="E26" s="10">
        <f>SUMIFS(Données!$D$2:$D$599,Données!$A$2:$A$599,$A26,Données!$B$2:$B$599,"FONCTIONNEMENT",Données!$C$2:$C$599,"EN COURS DE PREENGAGEMENT")</f>
        <v/>
      </c>
      <c r="F26" s="10">
        <f>SUMIFS(Données!$D$2:$D$599,Données!$A$2:$A$599,$A26,Données!$B$2:$B$599,"FONCTIONNEMENT",Données!$C$2:$C$599,"NON ENGAGE")</f>
        <v/>
      </c>
      <c r="G26" s="15">
        <f>SUM(B26:F26)</f>
        <v/>
      </c>
      <c r="H26" s="12">
        <f>SUMIFS(Données!$D$2:$D$599,Données!$A$2:$A$599,$A26,Données!$B$2:$B$599,"INVESTISSEMENT",Données!$C$2:$C$599,"ENGAGE")</f>
        <v/>
      </c>
      <c r="I26" s="12">
        <f>SUMIFS(Données!$D$2:$D$599,Données!$A$2:$A$599,$A26,Données!$B$2:$B$599,"INVESTISSEMENT",Données!$C$2:$C$599,"PREENGAGE")</f>
        <v/>
      </c>
      <c r="J26" s="12">
        <f>SUMIFS(Données!$D$2:$D$599,Données!$A$2:$A$599,$A26,Données!$B$2:$B$599,"INVESTISSEMENT",Données!$C$2:$C$599,"EN COURS D'ENGAGEMENT")</f>
        <v/>
      </c>
      <c r="K26" s="12">
        <f>SUMIFS(Données!$D$2:$D$599,Données!$A$2:$A$599,$A26,Données!$B$2:$B$599,"INVESTISSEMENT",Données!$C$2:$C$599,"EN COURS DE PREENGAGEMENT")</f>
        <v/>
      </c>
      <c r="L26" s="12">
        <f>SUMIFS(Données!$D$2:$D$599,Données!$A$2:$A$599,$A26,Données!$B$2:$B$599,"INVESTISSEMENT",Données!$C$2:$C$599,"NON ENGAGE")</f>
        <v/>
      </c>
      <c r="M26" s="13">
        <f>SUM(H26:L26)</f>
        <v/>
      </c>
      <c r="N26" s="14">
        <f>G26+M26</f>
        <v/>
      </c>
    </row>
    <row r="27" ht="22" customHeight="1" s="26">
      <c r="A27" s="16" t="inlineStr">
        <is>
          <t>TOTAL GÉNÉRAL</t>
        </is>
      </c>
      <c r="B27" s="17">
        <f>SUM(B5:B26)</f>
        <v/>
      </c>
      <c r="C27" s="17">
        <f>SUM(C5:C26)</f>
        <v/>
      </c>
      <c r="D27" s="17">
        <f>SUM(D5:D26)</f>
        <v/>
      </c>
      <c r="E27" s="17">
        <f>SUM(E5:E26)</f>
        <v/>
      </c>
      <c r="F27" s="17">
        <f>SUM(F5:F26)</f>
        <v/>
      </c>
      <c r="G27" s="18">
        <f>SUM(G5:G26)</f>
        <v/>
      </c>
      <c r="H27" s="19">
        <f>SUM(H5:H26)</f>
        <v/>
      </c>
      <c r="I27" s="19">
        <f>SUM(I5:I26)</f>
        <v/>
      </c>
      <c r="J27" s="19">
        <f>SUM(J5:J26)</f>
        <v/>
      </c>
      <c r="K27" s="19">
        <f>SUM(K5:K26)</f>
        <v/>
      </c>
      <c r="L27" s="19">
        <f>SUM(L5:L26)</f>
        <v/>
      </c>
      <c r="M27" s="20">
        <f>SUM(M5:M26)</f>
        <v/>
      </c>
      <c r="N27" s="21">
        <f>SUM(N5:N26)</f>
        <v/>
      </c>
    </row>
  </sheetData>
  <mergeCells count="6">
    <mergeCell ref="B3:G3"/>
    <mergeCell ref="A3:A4"/>
    <mergeCell ref="A2:N2"/>
    <mergeCell ref="N3:N4"/>
    <mergeCell ref="H3:M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" defaultRowHeight="14.5"/>
  <cols>
    <col width="18" customWidth="1" style="26" min="1" max="1"/>
    <col width="16" customWidth="1" style="26" min="2" max="2"/>
    <col width="28" customWidth="1" style="26" min="3" max="3"/>
    <col width="20" customWidth="1" style="26" min="4" max="4"/>
  </cols>
  <sheetData>
    <row r="1">
      <c r="A1" s="1" t="inlineStr">
        <is>
          <t>DIRECTION</t>
        </is>
      </c>
      <c r="B1" s="1" t="inlineStr">
        <is>
          <t>NATURE</t>
        </is>
      </c>
      <c r="C1" s="1" t="inlineStr">
        <is>
          <t>STATUT ENGAGEMENT</t>
        </is>
      </c>
      <c r="D1" s="1" t="inlineStr">
        <is>
          <t>MONTANT TTC (MAD)</t>
        </is>
      </c>
    </row>
    <row r="2">
      <c r="A2" s="2" t="inlineStr">
        <is>
          <t>DRH</t>
        </is>
      </c>
      <c r="B2" s="2" t="inlineStr">
        <is>
          <t>FONCTIONNEMENT</t>
        </is>
      </c>
      <c r="C2" s="2" t="inlineStr">
        <is>
          <t>ENGAGE</t>
        </is>
      </c>
      <c r="D2" s="3" t="n">
        <v>995042.4</v>
      </c>
    </row>
    <row r="3">
      <c r="A3" s="2" t="inlineStr">
        <is>
          <t>DCPA</t>
        </is>
      </c>
      <c r="B3" s="2" t="inlineStr">
        <is>
          <t>FONCTIONNEMENT</t>
        </is>
      </c>
      <c r="C3" s="2" t="inlineStr">
        <is>
          <t>ENGAGE</t>
        </is>
      </c>
      <c r="D3" s="3" t="n">
        <v>154000</v>
      </c>
    </row>
    <row r="4">
      <c r="A4" s="2" t="inlineStr">
        <is>
          <t>DCPA</t>
        </is>
      </c>
      <c r="B4" s="2" t="inlineStr">
        <is>
          <t>FONCTIONNEMENT</t>
        </is>
      </c>
      <c r="C4" s="2" t="inlineStr">
        <is>
          <t>ENGAGE</t>
        </is>
      </c>
      <c r="D4" s="3" t="n">
        <v>375000</v>
      </c>
    </row>
    <row r="5">
      <c r="A5" s="2" t="inlineStr">
        <is>
          <t>DCPA</t>
        </is>
      </c>
      <c r="B5" s="2" t="inlineStr">
        <is>
          <t>FONCTIONNEMENT</t>
        </is>
      </c>
      <c r="C5" s="2" t="inlineStr">
        <is>
          <t>ENGAGE</t>
        </is>
      </c>
      <c r="D5" s="3" t="n">
        <v>445714.08</v>
      </c>
    </row>
    <row r="6">
      <c r="A6" s="2" t="inlineStr">
        <is>
          <t>DCPA</t>
        </is>
      </c>
      <c r="B6" s="2" t="inlineStr">
        <is>
          <t>FONCTIONNEMENT</t>
        </is>
      </c>
      <c r="C6" s="2" t="inlineStr">
        <is>
          <t>ENGAGE</t>
        </is>
      </c>
      <c r="D6" s="3" t="n">
        <v>880000</v>
      </c>
    </row>
    <row r="7">
      <c r="A7" s="2" t="inlineStr">
        <is>
          <t>DCPA</t>
        </is>
      </c>
      <c r="B7" s="2" t="inlineStr">
        <is>
          <t>FONCTIONNEMENT</t>
        </is>
      </c>
      <c r="C7" s="2" t="inlineStr">
        <is>
          <t>ENGAGE</t>
        </is>
      </c>
      <c r="D7" s="3" t="n">
        <v>176000</v>
      </c>
    </row>
    <row r="8">
      <c r="A8" s="2" t="inlineStr">
        <is>
          <t>DCPA</t>
        </is>
      </c>
      <c r="B8" s="2" t="inlineStr">
        <is>
          <t>FONCTIONNEMENT</t>
        </is>
      </c>
      <c r="C8" s="2" t="inlineStr">
        <is>
          <t>ENGAGE</t>
        </is>
      </c>
      <c r="D8" s="3" t="n">
        <v>342857</v>
      </c>
    </row>
    <row r="9">
      <c r="A9" s="2" t="inlineStr">
        <is>
          <t>ARRIYADIA</t>
        </is>
      </c>
      <c r="B9" s="2" t="inlineStr">
        <is>
          <t>FONCTIONNEMENT</t>
        </is>
      </c>
      <c r="C9" s="2" t="inlineStr">
        <is>
          <t>ENGAGE</t>
        </is>
      </c>
      <c r="D9" s="3" t="n">
        <v>113142.48</v>
      </c>
    </row>
    <row r="10">
      <c r="A10" s="2" t="inlineStr">
        <is>
          <t>ARRIYADIA</t>
        </is>
      </c>
      <c r="B10" s="2" t="inlineStr">
        <is>
          <t>FONCTIONNEMENT</t>
        </is>
      </c>
      <c r="C10" s="2" t="inlineStr">
        <is>
          <t>ENGAGE</t>
        </is>
      </c>
      <c r="D10" s="3" t="n">
        <v>113142.48</v>
      </c>
    </row>
    <row r="11">
      <c r="A11" s="2" t="inlineStr">
        <is>
          <t>ARRIYADIA</t>
        </is>
      </c>
      <c r="B11" s="2" t="inlineStr">
        <is>
          <t>FONCTIONNEMENT</t>
        </is>
      </c>
      <c r="C11" s="2" t="inlineStr">
        <is>
          <t>ENGAGE</t>
        </is>
      </c>
      <c r="D11" s="3" t="n">
        <v>113142.48</v>
      </c>
    </row>
    <row r="12">
      <c r="A12" s="2" t="inlineStr">
        <is>
          <t>ARRIYADIA</t>
        </is>
      </c>
      <c r="B12" s="2" t="inlineStr">
        <is>
          <t>FONCTIONNEMENT</t>
        </is>
      </c>
      <c r="C12" s="2" t="inlineStr">
        <is>
          <t>ENGAGE</t>
        </is>
      </c>
      <c r="D12" s="3" t="n">
        <v>113142.48</v>
      </c>
    </row>
    <row r="13">
      <c r="A13" s="2" t="inlineStr">
        <is>
          <t>ARRIYADIA</t>
        </is>
      </c>
      <c r="B13" s="2" t="inlineStr">
        <is>
          <t>FONCTIONNEMENT</t>
        </is>
      </c>
      <c r="C13" s="2" t="inlineStr">
        <is>
          <t>ENGAGE</t>
        </is>
      </c>
      <c r="D13" s="3" t="n">
        <v>113142.48</v>
      </c>
    </row>
    <row r="14">
      <c r="A14" s="2" t="inlineStr">
        <is>
          <t>ARRIYADIA</t>
        </is>
      </c>
      <c r="B14" s="2" t="inlineStr">
        <is>
          <t>FONCTIONNEMENT</t>
        </is>
      </c>
      <c r="C14" s="2" t="inlineStr">
        <is>
          <t>ENGAGE</t>
        </is>
      </c>
      <c r="D14" s="3" t="n">
        <v>113142.48</v>
      </c>
    </row>
    <row r="15">
      <c r="A15" s="2" t="inlineStr">
        <is>
          <t>ARRIYADIA</t>
        </is>
      </c>
      <c r="B15" s="2" t="inlineStr">
        <is>
          <t>FONCTIONNEMENT</t>
        </is>
      </c>
      <c r="C15" s="2" t="inlineStr">
        <is>
          <t>ENGAGE</t>
        </is>
      </c>
      <c r="D15" s="3" t="n">
        <v>113142.48</v>
      </c>
    </row>
    <row r="16">
      <c r="A16" s="2" t="inlineStr">
        <is>
          <t>ARRIYADIA</t>
        </is>
      </c>
      <c r="B16" s="2" t="inlineStr">
        <is>
          <t>FONCTIONNEMENT</t>
        </is>
      </c>
      <c r="C16" s="2" t="inlineStr">
        <is>
          <t>ENGAGE</t>
        </is>
      </c>
      <c r="D16" s="3" t="n">
        <v>113142.48</v>
      </c>
    </row>
    <row r="17">
      <c r="A17" s="2" t="inlineStr">
        <is>
          <t>ARRIYADIA</t>
        </is>
      </c>
      <c r="B17" s="2" t="inlineStr">
        <is>
          <t>FONCTIONNEMENT</t>
        </is>
      </c>
      <c r="C17" s="2" t="inlineStr">
        <is>
          <t>ENGAGE</t>
        </is>
      </c>
      <c r="D17" s="3" t="n">
        <v>113142.48</v>
      </c>
    </row>
    <row r="18">
      <c r="A18" s="2" t="inlineStr">
        <is>
          <t>ARRIYADIA</t>
        </is>
      </c>
      <c r="B18" s="2" t="inlineStr">
        <is>
          <t>FONCTIONNEMENT</t>
        </is>
      </c>
      <c r="C18" s="2" t="inlineStr">
        <is>
          <t>ENGAGE</t>
        </is>
      </c>
      <c r="D18" s="3" t="n">
        <v>113142.48</v>
      </c>
    </row>
    <row r="19">
      <c r="A19" s="2" t="inlineStr">
        <is>
          <t>ARRIYADIA</t>
        </is>
      </c>
      <c r="B19" s="2" t="inlineStr">
        <is>
          <t>FONCTIONNEMENT</t>
        </is>
      </c>
      <c r="C19" s="2" t="inlineStr">
        <is>
          <t>ENGAGE</t>
        </is>
      </c>
      <c r="D19" s="3" t="n">
        <v>113142.48</v>
      </c>
    </row>
    <row r="20">
      <c r="A20" s="2" t="inlineStr">
        <is>
          <t>ARRIYADIA</t>
        </is>
      </c>
      <c r="B20" s="2" t="inlineStr">
        <is>
          <t>FONCTIONNEMENT</t>
        </is>
      </c>
      <c r="C20" s="2" t="inlineStr">
        <is>
          <t>ENGAGE</t>
        </is>
      </c>
      <c r="D20" s="3" t="n">
        <v>113142.48</v>
      </c>
    </row>
    <row r="21">
      <c r="A21" s="2" t="inlineStr">
        <is>
          <t>ARRIYADIA</t>
        </is>
      </c>
      <c r="B21" s="2" t="inlineStr">
        <is>
          <t>FONCTIONNEMENT</t>
        </is>
      </c>
      <c r="C21" s="2" t="inlineStr">
        <is>
          <t>ENGAGE</t>
        </is>
      </c>
      <c r="D21" s="3" t="n">
        <v>113142.48</v>
      </c>
    </row>
    <row r="22">
      <c r="A22" s="2" t="inlineStr">
        <is>
          <t>ARRIYADIA</t>
        </is>
      </c>
      <c r="B22" s="2" t="inlineStr">
        <is>
          <t>FONCTIONNEMENT</t>
        </is>
      </c>
      <c r="C22" s="2" t="inlineStr">
        <is>
          <t>ENGAGE</t>
        </is>
      </c>
      <c r="D22" s="3" t="n">
        <v>113142.48</v>
      </c>
    </row>
    <row r="23">
      <c r="A23" s="2" t="inlineStr">
        <is>
          <t>ARRIYADIA</t>
        </is>
      </c>
      <c r="B23" s="2" t="inlineStr">
        <is>
          <t>FONCTIONNEMENT</t>
        </is>
      </c>
      <c r="C23" s="2" t="inlineStr">
        <is>
          <t>ENGAGE</t>
        </is>
      </c>
      <c r="D23" s="3" t="n">
        <v>156000</v>
      </c>
    </row>
    <row r="24">
      <c r="A24" s="2" t="inlineStr">
        <is>
          <t>ARRIYADIA</t>
        </is>
      </c>
      <c r="B24" s="2" t="inlineStr">
        <is>
          <t>FONCTIONNEMENT</t>
        </is>
      </c>
      <c r="C24" s="2" t="inlineStr">
        <is>
          <t>ENGAGE</t>
        </is>
      </c>
      <c r="D24" s="3" t="n">
        <v>113142.48</v>
      </c>
    </row>
    <row r="25">
      <c r="A25" s="2" t="inlineStr">
        <is>
          <t>ARRIYADIA</t>
        </is>
      </c>
      <c r="B25" s="2" t="inlineStr">
        <is>
          <t>FONCTIONNEMENT</t>
        </is>
      </c>
      <c r="C25" s="2" t="inlineStr">
        <is>
          <t>ENGAGE</t>
        </is>
      </c>
      <c r="D25" s="3" t="n">
        <v>113142.48</v>
      </c>
    </row>
    <row r="26">
      <c r="A26" s="2" t="inlineStr">
        <is>
          <t>ARRIYADIA</t>
        </is>
      </c>
      <c r="B26" s="2" t="inlineStr">
        <is>
          <t>FONCTIONNEMENT</t>
        </is>
      </c>
      <c r="C26" s="2" t="inlineStr">
        <is>
          <t>ENGAGE</t>
        </is>
      </c>
      <c r="D26" s="3" t="n">
        <v>113142.48</v>
      </c>
    </row>
    <row r="27">
      <c r="A27" s="2" t="inlineStr">
        <is>
          <t>ARRIYADIA</t>
        </is>
      </c>
      <c r="B27" s="2" t="inlineStr">
        <is>
          <t>FONCTIONNEMENT</t>
        </is>
      </c>
      <c r="C27" s="2" t="inlineStr">
        <is>
          <t>ENGAGE</t>
        </is>
      </c>
      <c r="D27" s="3" t="n">
        <v>144000</v>
      </c>
    </row>
    <row r="28">
      <c r="A28" s="2" t="inlineStr">
        <is>
          <t>ARRIYADIA</t>
        </is>
      </c>
      <c r="B28" s="2" t="inlineStr">
        <is>
          <t>FONCTIONNEMENT</t>
        </is>
      </c>
      <c r="C28" s="2" t="inlineStr">
        <is>
          <t>ENGAGE</t>
        </is>
      </c>
      <c r="D28" s="3" t="n">
        <v>113142.48</v>
      </c>
    </row>
    <row r="29">
      <c r="A29" s="2" t="inlineStr">
        <is>
          <t>ARRIYADIA</t>
        </is>
      </c>
      <c r="B29" s="2" t="inlineStr">
        <is>
          <t>FONCTIONNEMENT</t>
        </is>
      </c>
      <c r="C29" s="2" t="inlineStr">
        <is>
          <t>ENGAGE</t>
        </is>
      </c>
      <c r="D29" s="3" t="n">
        <v>113142.48</v>
      </c>
    </row>
    <row r="30">
      <c r="A30" s="2" t="inlineStr">
        <is>
          <t>ARRIYADIA</t>
        </is>
      </c>
      <c r="B30" s="2" t="inlineStr">
        <is>
          <t>FONCTIONNEMENT</t>
        </is>
      </c>
      <c r="C30" s="2" t="inlineStr">
        <is>
          <t>ENGAGE</t>
        </is>
      </c>
      <c r="D30" s="3" t="n">
        <v>113142.48</v>
      </c>
    </row>
    <row r="31">
      <c r="A31" s="2" t="inlineStr">
        <is>
          <t>ARRIYADIA</t>
        </is>
      </c>
      <c r="B31" s="2" t="inlineStr">
        <is>
          <t>FONCTIONNEMENT</t>
        </is>
      </c>
      <c r="C31" s="2" t="inlineStr">
        <is>
          <t>ENGAGE</t>
        </is>
      </c>
      <c r="D31" s="3" t="n">
        <v>113142.48</v>
      </c>
    </row>
    <row r="32">
      <c r="A32" s="2" t="inlineStr">
        <is>
          <t>ARRIYADIA</t>
        </is>
      </c>
      <c r="B32" s="2" t="inlineStr">
        <is>
          <t>FONCTIONNEMENT</t>
        </is>
      </c>
      <c r="C32" s="2" t="inlineStr">
        <is>
          <t>ENGAGE</t>
        </is>
      </c>
      <c r="D32" s="3" t="n">
        <v>144000</v>
      </c>
    </row>
    <row r="33">
      <c r="A33" s="2" t="inlineStr">
        <is>
          <t>ARRIYADIA</t>
        </is>
      </c>
      <c r="B33" s="2" t="inlineStr">
        <is>
          <t>FONCTIONNEMENT</t>
        </is>
      </c>
      <c r="C33" s="2" t="inlineStr">
        <is>
          <t>ENGAGE</t>
        </is>
      </c>
      <c r="D33" s="3" t="n">
        <v>113142.48</v>
      </c>
    </row>
    <row r="34">
      <c r="A34" s="2" t="inlineStr">
        <is>
          <t>ARRIYADIA</t>
        </is>
      </c>
      <c r="B34" s="2" t="inlineStr">
        <is>
          <t>FONCTIONNEMENT</t>
        </is>
      </c>
      <c r="C34" s="2" t="inlineStr">
        <is>
          <t>ENGAGE</t>
        </is>
      </c>
      <c r="D34" s="3" t="n">
        <v>113142.48</v>
      </c>
    </row>
    <row r="35">
      <c r="A35" s="2" t="inlineStr">
        <is>
          <t>ARRIYADIA</t>
        </is>
      </c>
      <c r="B35" s="2" t="inlineStr">
        <is>
          <t>FONCTIONNEMENT</t>
        </is>
      </c>
      <c r="C35" s="2" t="inlineStr">
        <is>
          <t>ENGAGE</t>
        </is>
      </c>
      <c r="D35" s="3" t="n">
        <v>113142.48</v>
      </c>
    </row>
    <row r="36">
      <c r="A36" s="2" t="inlineStr">
        <is>
          <t>ARRIYADIA</t>
        </is>
      </c>
      <c r="B36" s="2" t="inlineStr">
        <is>
          <t>FONCTIONNEMENT</t>
        </is>
      </c>
      <c r="C36" s="2" t="inlineStr">
        <is>
          <t>ENGAGE</t>
        </is>
      </c>
      <c r="D36" s="3" t="n">
        <v>113142.48</v>
      </c>
    </row>
    <row r="37">
      <c r="A37" s="2" t="inlineStr">
        <is>
          <t>ARRIYADIA</t>
        </is>
      </c>
      <c r="B37" s="2" t="inlineStr">
        <is>
          <t>FONCTIONNEMENT</t>
        </is>
      </c>
      <c r="C37" s="2" t="inlineStr">
        <is>
          <t>ENGAGE</t>
        </is>
      </c>
      <c r="D37" s="3" t="n">
        <v>204000</v>
      </c>
    </row>
    <row r="38">
      <c r="A38" s="2" t="inlineStr">
        <is>
          <t>ARRIYADIA</t>
        </is>
      </c>
      <c r="B38" s="2" t="inlineStr">
        <is>
          <t>FONCTIONNEMENT</t>
        </is>
      </c>
      <c r="C38" s="2" t="inlineStr">
        <is>
          <t>ENGAGE</t>
        </is>
      </c>
      <c r="D38" s="3" t="n">
        <v>180000</v>
      </c>
    </row>
    <row r="39">
      <c r="A39" s="2" t="inlineStr">
        <is>
          <t>ARRIYADIA</t>
        </is>
      </c>
      <c r="B39" s="2" t="inlineStr">
        <is>
          <t>FONCTIONNEMENT</t>
        </is>
      </c>
      <c r="C39" s="2" t="inlineStr">
        <is>
          <t>ENGAGE</t>
        </is>
      </c>
      <c r="D39" s="3" t="n">
        <v>144000</v>
      </c>
    </row>
    <row r="40">
      <c r="A40" s="2" t="inlineStr">
        <is>
          <t>ARRIYADIA</t>
        </is>
      </c>
      <c r="B40" s="2" t="inlineStr">
        <is>
          <t>FONCTIONNEMENT</t>
        </is>
      </c>
      <c r="C40" s="2" t="inlineStr">
        <is>
          <t>ENGAGE</t>
        </is>
      </c>
      <c r="D40" s="3" t="n">
        <v>113142.48</v>
      </c>
    </row>
    <row r="41">
      <c r="A41" s="2" t="inlineStr">
        <is>
          <t>ARRIYADIA</t>
        </is>
      </c>
      <c r="B41" s="2" t="inlineStr">
        <is>
          <t>FONCTIONNEMENT</t>
        </is>
      </c>
      <c r="C41" s="2" t="inlineStr">
        <is>
          <t>ENGAGE</t>
        </is>
      </c>
      <c r="D41" s="3" t="n">
        <v>132000</v>
      </c>
    </row>
    <row r="42">
      <c r="A42" s="2" t="inlineStr">
        <is>
          <t>ARRIYADIA</t>
        </is>
      </c>
      <c r="B42" s="2" t="inlineStr">
        <is>
          <t>FONCTIONNEMENT</t>
        </is>
      </c>
      <c r="C42" s="2" t="inlineStr">
        <is>
          <t>ENGAGE</t>
        </is>
      </c>
      <c r="D42" s="3" t="n">
        <v>113142.48</v>
      </c>
    </row>
    <row r="43">
      <c r="A43" s="2" t="inlineStr">
        <is>
          <t>ARRIYADIA</t>
        </is>
      </c>
      <c r="B43" s="2" t="inlineStr">
        <is>
          <t>FONCTIONNEMENT</t>
        </is>
      </c>
      <c r="C43" s="2" t="inlineStr">
        <is>
          <t>ENGAGE</t>
        </is>
      </c>
      <c r="D43" s="3" t="n">
        <v>113142.48</v>
      </c>
    </row>
    <row r="44">
      <c r="A44" s="2" t="inlineStr">
        <is>
          <t>ARRIYADIA</t>
        </is>
      </c>
      <c r="B44" s="2" t="inlineStr">
        <is>
          <t>FONCTIONNEMENT</t>
        </is>
      </c>
      <c r="C44" s="2" t="inlineStr">
        <is>
          <t>ENGAGE</t>
        </is>
      </c>
      <c r="D44" s="3" t="n">
        <v>113142.48</v>
      </c>
    </row>
    <row r="45">
      <c r="A45" s="2" t="inlineStr">
        <is>
          <t>ARRIYADIA</t>
        </is>
      </c>
      <c r="B45" s="2" t="inlineStr">
        <is>
          <t>FONCTIONNEMENT</t>
        </is>
      </c>
      <c r="C45" s="2" t="inlineStr">
        <is>
          <t>ENGAGE</t>
        </is>
      </c>
      <c r="D45" s="3" t="n">
        <v>113142.48</v>
      </c>
    </row>
    <row r="46">
      <c r="A46" s="2" t="inlineStr">
        <is>
          <t>ARRIYADIA</t>
        </is>
      </c>
      <c r="B46" s="2" t="inlineStr">
        <is>
          <t>FONCTIONNEMENT</t>
        </is>
      </c>
      <c r="C46" s="2" t="inlineStr">
        <is>
          <t>ENGAGE</t>
        </is>
      </c>
      <c r="D46" s="3" t="n">
        <v>113142.48</v>
      </c>
    </row>
    <row r="47">
      <c r="A47" s="2" t="inlineStr">
        <is>
          <t>ARRIYADIA</t>
        </is>
      </c>
      <c r="B47" s="2" t="inlineStr">
        <is>
          <t>FONCTIONNEMENT</t>
        </is>
      </c>
      <c r="C47" s="2" t="inlineStr">
        <is>
          <t>ENGAGE</t>
        </is>
      </c>
      <c r="D47" s="3" t="n">
        <v>113142.48</v>
      </c>
    </row>
    <row r="48">
      <c r="A48" s="2" t="inlineStr">
        <is>
          <t>ARRIYADIA</t>
        </is>
      </c>
      <c r="B48" s="2" t="inlineStr">
        <is>
          <t>FONCTIONNEMENT</t>
        </is>
      </c>
      <c r="C48" s="2" t="inlineStr">
        <is>
          <t>ENGAGE</t>
        </is>
      </c>
      <c r="D48" s="3" t="n">
        <v>113142.48</v>
      </c>
    </row>
    <row r="49">
      <c r="A49" s="2" t="inlineStr">
        <is>
          <t>ARRIYADIA</t>
        </is>
      </c>
      <c r="B49" s="2" t="inlineStr">
        <is>
          <t>FONCTIONNEMENT</t>
        </is>
      </c>
      <c r="C49" s="2" t="inlineStr">
        <is>
          <t>ENGAGE</t>
        </is>
      </c>
      <c r="D49" s="3" t="n">
        <v>113142.48</v>
      </c>
    </row>
    <row r="50">
      <c r="A50" s="2" t="inlineStr">
        <is>
          <t>ARRIYADIA</t>
        </is>
      </c>
      <c r="B50" s="2" t="inlineStr">
        <is>
          <t>FONCTIONNEMENT</t>
        </is>
      </c>
      <c r="C50" s="2" t="inlineStr">
        <is>
          <t>ENGAGE</t>
        </is>
      </c>
      <c r="D50" s="3" t="n">
        <v>113142.48</v>
      </c>
    </row>
    <row r="51">
      <c r="A51" s="2" t="inlineStr">
        <is>
          <t>ARRIYADIA</t>
        </is>
      </c>
      <c r="B51" s="2" t="inlineStr">
        <is>
          <t>FONCTIONNEMENT</t>
        </is>
      </c>
      <c r="C51" s="2" t="inlineStr">
        <is>
          <t>ENGAGE</t>
        </is>
      </c>
      <c r="D51" s="3" t="n">
        <v>113142.48</v>
      </c>
    </row>
    <row r="52">
      <c r="A52" s="2" t="inlineStr">
        <is>
          <t>ARRIYADIA</t>
        </is>
      </c>
      <c r="B52" s="2" t="inlineStr">
        <is>
          <t>FONCTIONNEMENT</t>
        </is>
      </c>
      <c r="C52" s="2" t="inlineStr">
        <is>
          <t>ENGAGE</t>
        </is>
      </c>
      <c r="D52" s="3" t="n">
        <v>171360</v>
      </c>
    </row>
    <row r="53">
      <c r="A53" s="2" t="inlineStr">
        <is>
          <t>ARRIYADIA</t>
        </is>
      </c>
      <c r="B53" s="2" t="inlineStr">
        <is>
          <t>FONCTIONNEMENT</t>
        </is>
      </c>
      <c r="C53" s="2" t="inlineStr">
        <is>
          <t>ENGAGE</t>
        </is>
      </c>
      <c r="D53" s="3" t="n">
        <v>113142.48</v>
      </c>
    </row>
    <row r="54">
      <c r="A54" s="2" t="inlineStr">
        <is>
          <t>ARRIYADIA</t>
        </is>
      </c>
      <c r="B54" s="2" t="inlineStr">
        <is>
          <t>FONCTIONNEMENT</t>
        </is>
      </c>
      <c r="C54" s="2" t="inlineStr">
        <is>
          <t>ENGAGE</t>
        </is>
      </c>
      <c r="D54" s="3" t="n">
        <v>113142.48</v>
      </c>
    </row>
    <row r="55">
      <c r="A55" s="2" t="inlineStr">
        <is>
          <t>ARRIYADIA</t>
        </is>
      </c>
      <c r="B55" s="2" t="inlineStr">
        <is>
          <t>FONCTIONNEMENT</t>
        </is>
      </c>
      <c r="C55" s="2" t="inlineStr">
        <is>
          <t>ENGAGE</t>
        </is>
      </c>
      <c r="D55" s="3" t="n">
        <v>150000</v>
      </c>
    </row>
    <row r="56">
      <c r="A56" s="2" t="inlineStr">
        <is>
          <t>ARRIYADIA</t>
        </is>
      </c>
      <c r="B56" s="2" t="inlineStr">
        <is>
          <t>FONCTIONNEMENT</t>
        </is>
      </c>
      <c r="C56" s="2" t="inlineStr">
        <is>
          <t>ENGAGE</t>
        </is>
      </c>
      <c r="D56" s="3" t="n">
        <v>150000</v>
      </c>
    </row>
    <row r="57">
      <c r="A57" s="2" t="inlineStr">
        <is>
          <t>ARRIYADIA</t>
        </is>
      </c>
      <c r="B57" s="2" t="inlineStr">
        <is>
          <t>FONCTIONNEMENT</t>
        </is>
      </c>
      <c r="C57" s="2" t="inlineStr">
        <is>
          <t>ENGAGE</t>
        </is>
      </c>
      <c r="D57" s="3" t="n">
        <v>150500</v>
      </c>
    </row>
    <row r="58">
      <c r="A58" s="2" t="inlineStr">
        <is>
          <t>ARRIYADIA</t>
        </is>
      </c>
      <c r="B58" s="2" t="inlineStr">
        <is>
          <t>FONCTIONNEMENT</t>
        </is>
      </c>
      <c r="C58" s="2" t="inlineStr">
        <is>
          <t>ENGAGE</t>
        </is>
      </c>
      <c r="D58" s="3" t="n">
        <v>150000</v>
      </c>
    </row>
    <row r="59">
      <c r="A59" s="2" t="inlineStr">
        <is>
          <t>ASSADISSA</t>
        </is>
      </c>
      <c r="B59" s="2" t="inlineStr">
        <is>
          <t>FONCTIONNEMENT</t>
        </is>
      </c>
      <c r="C59" s="2" t="inlineStr">
        <is>
          <t>ENGAGE</t>
        </is>
      </c>
      <c r="D59" s="3" t="n">
        <v>108000</v>
      </c>
    </row>
    <row r="60">
      <c r="A60" s="2" t="inlineStr">
        <is>
          <t>ASSADISSA</t>
        </is>
      </c>
      <c r="B60" s="2" t="inlineStr">
        <is>
          <t>FONCTIONNEMENT</t>
        </is>
      </c>
      <c r="C60" s="2" t="inlineStr">
        <is>
          <t>ENGAGE</t>
        </is>
      </c>
      <c r="D60" s="3" t="n">
        <v>72000</v>
      </c>
    </row>
    <row r="61">
      <c r="A61" s="2" t="inlineStr">
        <is>
          <t>ASSADISSA</t>
        </is>
      </c>
      <c r="B61" s="2" t="inlineStr">
        <is>
          <t>FONCTIONNEMENT</t>
        </is>
      </c>
      <c r="C61" s="2" t="inlineStr">
        <is>
          <t>ENGAGE</t>
        </is>
      </c>
      <c r="D61" s="3" t="n">
        <v>84000</v>
      </c>
    </row>
    <row r="62">
      <c r="A62" s="2" t="inlineStr">
        <is>
          <t>ASSADISSA</t>
        </is>
      </c>
      <c r="B62" s="2" t="inlineStr">
        <is>
          <t>FONCTIONNEMENT</t>
        </is>
      </c>
      <c r="C62" s="2" t="inlineStr">
        <is>
          <t>ENGAGE</t>
        </is>
      </c>
      <c r="D62" s="3" t="n">
        <v>84000</v>
      </c>
    </row>
    <row r="63">
      <c r="A63" s="2" t="inlineStr">
        <is>
          <t>ASSADISSA</t>
        </is>
      </c>
      <c r="B63" s="2" t="inlineStr">
        <is>
          <t>FONCTIONNEMENT</t>
        </is>
      </c>
      <c r="C63" s="2" t="inlineStr">
        <is>
          <t>ENGAGE</t>
        </is>
      </c>
      <c r="D63" s="3" t="n">
        <v>84000</v>
      </c>
    </row>
    <row r="64">
      <c r="A64" s="2" t="inlineStr">
        <is>
          <t>ASSADISSA</t>
        </is>
      </c>
      <c r="B64" s="2" t="inlineStr">
        <is>
          <t>FONCTIONNEMENT</t>
        </is>
      </c>
      <c r="C64" s="2" t="inlineStr">
        <is>
          <t>ENGAGE</t>
        </is>
      </c>
      <c r="D64" s="3" t="n">
        <v>84000</v>
      </c>
    </row>
    <row r="65">
      <c r="A65" s="2" t="inlineStr">
        <is>
          <t>ASSADISSA</t>
        </is>
      </c>
      <c r="B65" s="2" t="inlineStr">
        <is>
          <t>FONCTIONNEMENT</t>
        </is>
      </c>
      <c r="C65" s="2" t="inlineStr">
        <is>
          <t>ENGAGE</t>
        </is>
      </c>
      <c r="D65" s="3" t="n">
        <v>84000</v>
      </c>
    </row>
    <row r="66">
      <c r="A66" s="2" t="inlineStr">
        <is>
          <t>ASSADISSA</t>
        </is>
      </c>
      <c r="B66" s="2" t="inlineStr">
        <is>
          <t>FONCTIONNEMENT</t>
        </is>
      </c>
      <c r="C66" s="2" t="inlineStr">
        <is>
          <t>ENGAGE</t>
        </is>
      </c>
      <c r="D66" s="3" t="n">
        <v>84000</v>
      </c>
    </row>
    <row r="67">
      <c r="A67" s="2" t="inlineStr">
        <is>
          <t>ASSADISSA</t>
        </is>
      </c>
      <c r="B67" s="2" t="inlineStr">
        <is>
          <t>FONCTIONNEMENT</t>
        </is>
      </c>
      <c r="C67" s="2" t="inlineStr">
        <is>
          <t>ENGAGE</t>
        </is>
      </c>
      <c r="D67" s="3" t="n">
        <v>84000</v>
      </c>
    </row>
    <row r="68">
      <c r="A68" s="2" t="inlineStr">
        <is>
          <t>ASSADISSA</t>
        </is>
      </c>
      <c r="B68" s="2" t="inlineStr">
        <is>
          <t>FONCTIONNEMENT</t>
        </is>
      </c>
      <c r="C68" s="2" t="inlineStr">
        <is>
          <t>ENGAGE</t>
        </is>
      </c>
      <c r="D68" s="3" t="n">
        <v>84000</v>
      </c>
    </row>
    <row r="69">
      <c r="A69" s="2" t="inlineStr">
        <is>
          <t>ASSADISSA</t>
        </is>
      </c>
      <c r="B69" s="2" t="inlineStr">
        <is>
          <t>FONCTIONNEMENT</t>
        </is>
      </c>
      <c r="C69" s="2" t="inlineStr">
        <is>
          <t>ENGAGE</t>
        </is>
      </c>
      <c r="D69" s="3" t="n">
        <v>144000</v>
      </c>
    </row>
    <row r="70">
      <c r="A70" s="2" t="inlineStr">
        <is>
          <t>ASSADISSA</t>
        </is>
      </c>
      <c r="B70" s="2" t="inlineStr">
        <is>
          <t>FONCTIONNEMENT</t>
        </is>
      </c>
      <c r="C70" s="2" t="inlineStr">
        <is>
          <t>ENGAGE</t>
        </is>
      </c>
      <c r="D70" s="3" t="n">
        <v>144000</v>
      </c>
    </row>
    <row r="71">
      <c r="A71" s="2" t="inlineStr">
        <is>
          <t>ASSADISSA</t>
        </is>
      </c>
      <c r="B71" s="2" t="inlineStr">
        <is>
          <t>FONCTIONNEMENT</t>
        </is>
      </c>
      <c r="C71" s="2" t="inlineStr">
        <is>
          <t>ENGAGE</t>
        </is>
      </c>
      <c r="D71" s="3" t="n">
        <v>60000</v>
      </c>
    </row>
    <row r="72">
      <c r="A72" s="2" t="inlineStr">
        <is>
          <t>ASSADISSA</t>
        </is>
      </c>
      <c r="B72" s="2" t="inlineStr">
        <is>
          <t>FONCTIONNEMENT</t>
        </is>
      </c>
      <c r="C72" s="2" t="inlineStr">
        <is>
          <t>ENGAGE</t>
        </is>
      </c>
      <c r="D72" s="3" t="n">
        <v>72000</v>
      </c>
    </row>
    <row r="73">
      <c r="A73" s="2" t="inlineStr">
        <is>
          <t>ASSADISSA</t>
        </is>
      </c>
      <c r="B73" s="2" t="inlineStr">
        <is>
          <t>FONCTIONNEMENT</t>
        </is>
      </c>
      <c r="C73" s="2" t="inlineStr">
        <is>
          <t>ENGAGE</t>
        </is>
      </c>
      <c r="D73" s="3" t="n">
        <v>84000</v>
      </c>
    </row>
    <row r="74">
      <c r="A74" s="2" t="inlineStr">
        <is>
          <t>ASSADISSA</t>
        </is>
      </c>
      <c r="B74" s="2" t="inlineStr">
        <is>
          <t>FONCTIONNEMENT</t>
        </is>
      </c>
      <c r="C74" s="2" t="inlineStr">
        <is>
          <t>ENGAGE</t>
        </is>
      </c>
      <c r="D74" s="3" t="n">
        <v>84000</v>
      </c>
    </row>
    <row r="75">
      <c r="A75" s="2" t="inlineStr">
        <is>
          <t>ASSADISSA</t>
        </is>
      </c>
      <c r="B75" s="2" t="inlineStr">
        <is>
          <t>FONCTIONNEMENT</t>
        </is>
      </c>
      <c r="C75" s="2" t="inlineStr">
        <is>
          <t>ENGAGE</t>
        </is>
      </c>
      <c r="D75" s="3" t="n">
        <v>84000</v>
      </c>
    </row>
    <row r="76">
      <c r="A76" s="2" t="inlineStr">
        <is>
          <t>DAR</t>
        </is>
      </c>
      <c r="B76" s="2" t="inlineStr">
        <is>
          <t>FONCTIONNEMENT</t>
        </is>
      </c>
      <c r="C76" s="2" t="inlineStr">
        <is>
          <t>ENGAGE</t>
        </is>
      </c>
      <c r="D76" s="3" t="n">
        <v>108000</v>
      </c>
    </row>
    <row r="77">
      <c r="A77" s="2" t="inlineStr">
        <is>
          <t>DPMG</t>
        </is>
      </c>
      <c r="B77" s="2" t="inlineStr">
        <is>
          <t>FONCTIONNEMENT</t>
        </is>
      </c>
      <c r="C77" s="2" t="inlineStr">
        <is>
          <t>ENGAGE</t>
        </is>
      </c>
      <c r="D77" s="3" t="n">
        <v>102857.16</v>
      </c>
    </row>
    <row r="78">
      <c r="A78" s="2" t="inlineStr">
        <is>
          <t>DPMG</t>
        </is>
      </c>
      <c r="B78" s="2" t="inlineStr">
        <is>
          <t>FONCTIONNEMENT</t>
        </is>
      </c>
      <c r="C78" s="2" t="inlineStr">
        <is>
          <t>ENGAGE</t>
        </is>
      </c>
      <c r="D78" s="3" t="n">
        <v>77142.84</v>
      </c>
    </row>
    <row r="79">
      <c r="A79" s="2" t="inlineStr">
        <is>
          <t>DPMG</t>
        </is>
      </c>
      <c r="B79" s="2" t="inlineStr">
        <is>
          <t>FONCTIONNEMENT</t>
        </is>
      </c>
      <c r="C79" s="2" t="inlineStr">
        <is>
          <t>ENGAGE</t>
        </is>
      </c>
      <c r="D79" s="3" t="n">
        <v>84000</v>
      </c>
    </row>
    <row r="80">
      <c r="A80" s="2" t="inlineStr">
        <is>
          <t>DINFORADIO</t>
        </is>
      </c>
      <c r="B80" s="2" t="inlineStr">
        <is>
          <t>FONCTIONNEMENT</t>
        </is>
      </c>
      <c r="C80" s="2" t="inlineStr">
        <is>
          <t>ENGAGE</t>
        </is>
      </c>
      <c r="D80" s="3" t="n">
        <v>1837404</v>
      </c>
    </row>
    <row r="81">
      <c r="A81" s="2" t="inlineStr">
        <is>
          <t>DINFORADIO</t>
        </is>
      </c>
      <c r="B81" s="2" t="inlineStr">
        <is>
          <t>FONCTIONNEMENT</t>
        </is>
      </c>
      <c r="C81" s="2" t="inlineStr">
        <is>
          <t>ENGAGE</t>
        </is>
      </c>
      <c r="D81" s="3" t="n">
        <v>171428.52</v>
      </c>
    </row>
    <row r="82">
      <c r="A82" s="2" t="inlineStr">
        <is>
          <t>DINFORADIO</t>
        </is>
      </c>
      <c r="B82" s="2" t="inlineStr">
        <is>
          <t>FONCTIONNEMENT</t>
        </is>
      </c>
      <c r="C82" s="2" t="inlineStr">
        <is>
          <t>ENGAGE</t>
        </is>
      </c>
      <c r="D82" s="3" t="n">
        <v>132000</v>
      </c>
    </row>
    <row r="83">
      <c r="A83" s="2" t="inlineStr">
        <is>
          <t>DINFORADIO</t>
        </is>
      </c>
      <c r="B83" s="2" t="inlineStr">
        <is>
          <t>FONCTIONNEMENT</t>
        </is>
      </c>
      <c r="C83" s="2" t="inlineStr">
        <is>
          <t>ENGAGE</t>
        </is>
      </c>
      <c r="D83" s="3" t="n">
        <v>156000</v>
      </c>
    </row>
    <row r="84">
      <c r="A84" s="2" t="inlineStr">
        <is>
          <t>DINFORADIO</t>
        </is>
      </c>
      <c r="B84" s="2" t="inlineStr">
        <is>
          <t>FONCTIONNEMENT</t>
        </is>
      </c>
      <c r="C84" s="2" t="inlineStr">
        <is>
          <t>ENGAGE</t>
        </is>
      </c>
      <c r="D84" s="3" t="n">
        <v>132000</v>
      </c>
    </row>
    <row r="85">
      <c r="A85" s="2" t="inlineStr">
        <is>
          <t>DINFORADIO</t>
        </is>
      </c>
      <c r="B85" s="2" t="inlineStr">
        <is>
          <t>FONCTIONNEMENT</t>
        </is>
      </c>
      <c r="C85" s="2" t="inlineStr">
        <is>
          <t>ENGAGE</t>
        </is>
      </c>
      <c r="D85" s="3" t="n">
        <v>132000</v>
      </c>
    </row>
    <row r="86">
      <c r="A86" s="2" t="inlineStr">
        <is>
          <t>DINFOTV</t>
        </is>
      </c>
      <c r="B86" s="2" t="inlineStr">
        <is>
          <t>FONCTIONNEMENT</t>
        </is>
      </c>
      <c r="C86" s="2" t="inlineStr">
        <is>
          <t>ENGAGE</t>
        </is>
      </c>
      <c r="D86" s="3" t="n">
        <v>96000</v>
      </c>
    </row>
    <row r="87">
      <c r="A87" s="2" t="inlineStr">
        <is>
          <t>DINFOTV</t>
        </is>
      </c>
      <c r="B87" s="2" t="inlineStr">
        <is>
          <t>FONCTIONNEMENT</t>
        </is>
      </c>
      <c r="C87" s="2" t="inlineStr">
        <is>
          <t>ENGAGE</t>
        </is>
      </c>
      <c r="D87" s="3" t="n">
        <v>144000</v>
      </c>
    </row>
    <row r="88">
      <c r="A88" s="2" t="inlineStr">
        <is>
          <t>DINFOTV</t>
        </is>
      </c>
      <c r="B88" s="2" t="inlineStr">
        <is>
          <t>FONCTIONNEMENT</t>
        </is>
      </c>
      <c r="C88" s="2" t="inlineStr">
        <is>
          <t>ENGAGE</t>
        </is>
      </c>
      <c r="D88" s="3" t="n">
        <v>154285.68</v>
      </c>
    </row>
    <row r="89">
      <c r="A89" s="2" t="inlineStr">
        <is>
          <t>DINFOTV</t>
        </is>
      </c>
      <c r="B89" s="2" t="inlineStr">
        <is>
          <t>FONCTIONNEMENT</t>
        </is>
      </c>
      <c r="C89" s="2" t="inlineStr">
        <is>
          <t>ENGAGE</t>
        </is>
      </c>
      <c r="D89" s="3" t="n">
        <v>72000</v>
      </c>
    </row>
    <row r="90">
      <c r="A90" s="2" t="inlineStr">
        <is>
          <t>DINFOTV</t>
        </is>
      </c>
      <c r="B90" s="2" t="inlineStr">
        <is>
          <t>FONCTIONNEMENT</t>
        </is>
      </c>
      <c r="C90" s="2" t="inlineStr">
        <is>
          <t>ENGAGE</t>
        </is>
      </c>
      <c r="D90" s="3" t="n">
        <v>120000</v>
      </c>
    </row>
    <row r="91">
      <c r="A91" s="2" t="inlineStr">
        <is>
          <t>DINFOTV</t>
        </is>
      </c>
      <c r="B91" s="2" t="inlineStr">
        <is>
          <t>FONCTIONNEMENT</t>
        </is>
      </c>
      <c r="C91" s="2" t="inlineStr">
        <is>
          <t>ENGAGE</t>
        </is>
      </c>
      <c r="D91" s="3" t="n">
        <v>24000</v>
      </c>
    </row>
    <row r="92">
      <c r="A92" s="2" t="inlineStr">
        <is>
          <t>DINFOTV</t>
        </is>
      </c>
      <c r="B92" s="2" t="inlineStr">
        <is>
          <t>FONCTIONNEMENT</t>
        </is>
      </c>
      <c r="C92" s="2" t="inlineStr">
        <is>
          <t>ENGAGE</t>
        </is>
      </c>
      <c r="D92" s="3" t="n">
        <v>44571.36</v>
      </c>
    </row>
    <row r="93">
      <c r="A93" s="2" t="inlineStr">
        <is>
          <t>DINFOTV</t>
        </is>
      </c>
      <c r="B93" s="2" t="inlineStr">
        <is>
          <t>FONCTIONNEMENT</t>
        </is>
      </c>
      <c r="C93" s="2" t="inlineStr">
        <is>
          <t>ENGAGE</t>
        </is>
      </c>
      <c r="D93" s="3" t="n">
        <v>72000</v>
      </c>
    </row>
    <row r="94">
      <c r="A94" s="2" t="inlineStr">
        <is>
          <t>DINFOTV</t>
        </is>
      </c>
      <c r="B94" s="2" t="inlineStr">
        <is>
          <t>FONCTIONNEMENT</t>
        </is>
      </c>
      <c r="C94" s="2" t="inlineStr">
        <is>
          <t>ENGAGE</t>
        </is>
      </c>
      <c r="D94" s="3" t="n">
        <v>72000</v>
      </c>
    </row>
    <row r="95">
      <c r="A95" s="2" t="inlineStr">
        <is>
          <t>DINFOTV</t>
        </is>
      </c>
      <c r="B95" s="2" t="inlineStr">
        <is>
          <t>FONCTIONNEMENT</t>
        </is>
      </c>
      <c r="C95" s="2" t="inlineStr">
        <is>
          <t>ENGAGE</t>
        </is>
      </c>
      <c r="D95" s="3" t="n">
        <v>120000</v>
      </c>
    </row>
    <row r="96">
      <c r="A96" s="2" t="inlineStr">
        <is>
          <t>DINFOTV</t>
        </is>
      </c>
      <c r="B96" s="2" t="inlineStr">
        <is>
          <t>FONCTIONNEMENT</t>
        </is>
      </c>
      <c r="C96" s="2" t="inlineStr">
        <is>
          <t>ENGAGE</t>
        </is>
      </c>
      <c r="D96" s="3" t="n">
        <v>108000</v>
      </c>
    </row>
    <row r="97">
      <c r="A97" s="2" t="inlineStr">
        <is>
          <t>DINFOTV</t>
        </is>
      </c>
      <c r="B97" s="2" t="inlineStr">
        <is>
          <t>FONCTIONNEMENT</t>
        </is>
      </c>
      <c r="C97" s="2" t="inlineStr">
        <is>
          <t>ENGAGE</t>
        </is>
      </c>
      <c r="D97" s="3" t="n">
        <v>72000</v>
      </c>
    </row>
    <row r="98">
      <c r="A98" s="2" t="inlineStr">
        <is>
          <t>DINFOTV</t>
        </is>
      </c>
      <c r="B98" s="2" t="inlineStr">
        <is>
          <t>FONCTIONNEMENT</t>
        </is>
      </c>
      <c r="C98" s="2" t="inlineStr">
        <is>
          <t>ENGAGE</t>
        </is>
      </c>
      <c r="D98" s="3" t="n">
        <v>240000</v>
      </c>
    </row>
    <row r="99">
      <c r="A99" s="2" t="inlineStr">
        <is>
          <t>DINFOTV</t>
        </is>
      </c>
      <c r="B99" s="2" t="inlineStr">
        <is>
          <t>FONCTIONNEMENT</t>
        </is>
      </c>
      <c r="C99" s="2" t="inlineStr">
        <is>
          <t>ENGAGE</t>
        </is>
      </c>
      <c r="D99" s="3" t="n">
        <v>240000</v>
      </c>
    </row>
    <row r="100">
      <c r="A100" s="2" t="inlineStr">
        <is>
          <t>DINFOTV</t>
        </is>
      </c>
      <c r="B100" s="2" t="inlineStr">
        <is>
          <t>FONCTIONNEMENT</t>
        </is>
      </c>
      <c r="C100" s="2" t="inlineStr">
        <is>
          <t>ENGAGE</t>
        </is>
      </c>
      <c r="D100" s="3" t="n">
        <v>846449.14</v>
      </c>
    </row>
    <row r="101">
      <c r="A101" s="2" t="inlineStr">
        <is>
          <t>DINFOTV</t>
        </is>
      </c>
      <c r="B101" s="2" t="inlineStr">
        <is>
          <t>FONCTIONNEMENT</t>
        </is>
      </c>
      <c r="C101" s="2" t="inlineStr">
        <is>
          <t>ENGAGE</t>
        </is>
      </c>
      <c r="D101" s="3" t="n">
        <v>214800</v>
      </c>
    </row>
    <row r="102">
      <c r="A102" s="2" t="inlineStr">
        <is>
          <t>DINFOTV</t>
        </is>
      </c>
      <c r="B102" s="2" t="inlineStr">
        <is>
          <t>FONCTIONNEMENT</t>
        </is>
      </c>
      <c r="C102" s="2" t="inlineStr">
        <is>
          <t>ENGAGE</t>
        </is>
      </c>
      <c r="D102" s="3" t="n">
        <v>145714.32</v>
      </c>
    </row>
    <row r="103">
      <c r="A103" s="2" t="inlineStr">
        <is>
          <t>DINFOTV</t>
        </is>
      </c>
      <c r="B103" s="2" t="inlineStr">
        <is>
          <t>FONCTIONNEMENT</t>
        </is>
      </c>
      <c r="C103" s="2" t="inlineStr">
        <is>
          <t>ENGAGE</t>
        </is>
      </c>
      <c r="D103" s="3" t="n">
        <v>150000</v>
      </c>
    </row>
    <row r="104">
      <c r="A104" s="2" t="inlineStr">
        <is>
          <t>DINFOTV</t>
        </is>
      </c>
      <c r="B104" s="2" t="inlineStr">
        <is>
          <t>FONCTIONNEMENT</t>
        </is>
      </c>
      <c r="C104" s="2" t="inlineStr">
        <is>
          <t>ENGAGE</t>
        </is>
      </c>
      <c r="D104" s="3" t="n">
        <v>120000</v>
      </c>
    </row>
    <row r="105">
      <c r="A105" s="2" t="inlineStr">
        <is>
          <t>TV LAAYOUNE</t>
        </is>
      </c>
      <c r="B105" s="2" t="inlineStr">
        <is>
          <t>FONCTIONNEMENT</t>
        </is>
      </c>
      <c r="C105" s="2" t="inlineStr">
        <is>
          <t>ENGAGE</t>
        </is>
      </c>
      <c r="D105" s="3" t="n">
        <v>171428.64</v>
      </c>
    </row>
    <row r="106">
      <c r="A106" s="2" t="inlineStr">
        <is>
          <t>TV LAAYOUNE</t>
        </is>
      </c>
      <c r="B106" s="2" t="inlineStr">
        <is>
          <t>FONCTIONNEMENT</t>
        </is>
      </c>
      <c r="C106" s="2" t="inlineStr">
        <is>
          <t>ENGAGE</t>
        </is>
      </c>
      <c r="D106" s="3" t="n">
        <v>280000</v>
      </c>
    </row>
    <row r="107">
      <c r="A107" s="2" t="inlineStr">
        <is>
          <t>TV LAAYOUNE</t>
        </is>
      </c>
      <c r="B107" s="2" t="inlineStr">
        <is>
          <t>FONCTIONNEMENT</t>
        </is>
      </c>
      <c r="C107" s="2" t="inlineStr">
        <is>
          <t>ENGAGE</t>
        </is>
      </c>
      <c r="D107" s="3" t="n">
        <v>171429.12</v>
      </c>
    </row>
    <row r="108">
      <c r="A108" s="2" t="inlineStr">
        <is>
          <t>TV LAAYOUNE</t>
        </is>
      </c>
      <c r="B108" s="2" t="inlineStr">
        <is>
          <t>FONCTIONNEMENT</t>
        </is>
      </c>
      <c r="C108" s="2" t="inlineStr">
        <is>
          <t>ENGAGE</t>
        </is>
      </c>
      <c r="D108" s="3" t="n">
        <v>257142.9</v>
      </c>
    </row>
    <row r="109">
      <c r="A109" s="2" t="inlineStr">
        <is>
          <t>TV LAAYOUNE</t>
        </is>
      </c>
      <c r="B109" s="2" t="inlineStr">
        <is>
          <t>FONCTIONNEMENT</t>
        </is>
      </c>
      <c r="C109" s="2" t="inlineStr">
        <is>
          <t>ENGAGE</t>
        </is>
      </c>
      <c r="D109" s="3" t="n">
        <v>181800</v>
      </c>
    </row>
    <row r="110">
      <c r="A110" s="2" t="inlineStr">
        <is>
          <t>MAGHRIBIA</t>
        </is>
      </c>
      <c r="B110" s="2" t="inlineStr">
        <is>
          <t>FONCTIONNEMENT</t>
        </is>
      </c>
      <c r="C110" s="2" t="inlineStr">
        <is>
          <t>ENGAGE</t>
        </is>
      </c>
      <c r="D110" s="3" t="n">
        <v>144000</v>
      </c>
    </row>
    <row r="111">
      <c r="A111" s="2" t="inlineStr">
        <is>
          <t>MAGHRIBIA</t>
        </is>
      </c>
      <c r="B111" s="2" t="inlineStr">
        <is>
          <t>FONCTIONNEMENT</t>
        </is>
      </c>
      <c r="C111" s="2" t="inlineStr">
        <is>
          <t>ENGAGE</t>
        </is>
      </c>
      <c r="D111" s="3" t="n">
        <v>100800</v>
      </c>
    </row>
    <row r="112">
      <c r="A112" s="2" t="inlineStr">
        <is>
          <t>MAGHRIBIA</t>
        </is>
      </c>
      <c r="B112" s="2" t="inlineStr">
        <is>
          <t>FONCTIONNEMENT</t>
        </is>
      </c>
      <c r="C112" s="2" t="inlineStr">
        <is>
          <t>ENGAGE</t>
        </is>
      </c>
      <c r="D112" s="3" t="n">
        <v>100800</v>
      </c>
    </row>
    <row r="113">
      <c r="A113" s="2" t="inlineStr">
        <is>
          <t>MAGHRIBIA</t>
        </is>
      </c>
      <c r="B113" s="2" t="inlineStr">
        <is>
          <t>FONCTIONNEMENT</t>
        </is>
      </c>
      <c r="C113" s="2" t="inlineStr">
        <is>
          <t>ENGAGE</t>
        </is>
      </c>
      <c r="D113" s="3" t="n">
        <v>144000</v>
      </c>
    </row>
    <row r="114">
      <c r="A114" s="2" t="inlineStr">
        <is>
          <t>MAGHRIBIA</t>
        </is>
      </c>
      <c r="B114" s="2" t="inlineStr">
        <is>
          <t>FONCTIONNEMENT</t>
        </is>
      </c>
      <c r="C114" s="2" t="inlineStr">
        <is>
          <t>ENGAGE</t>
        </is>
      </c>
      <c r="D114" s="3" t="n">
        <v>144000</v>
      </c>
    </row>
    <row r="115">
      <c r="A115" s="2" t="inlineStr">
        <is>
          <t>MAGHRIBIA</t>
        </is>
      </c>
      <c r="B115" s="2" t="inlineStr">
        <is>
          <t>FONCTIONNEMENT</t>
        </is>
      </c>
      <c r="C115" s="2" t="inlineStr">
        <is>
          <t>ENGAGE</t>
        </is>
      </c>
      <c r="D115" s="3" t="n">
        <v>100800</v>
      </c>
    </row>
    <row r="116">
      <c r="A116" s="2" t="inlineStr">
        <is>
          <t>MAGHRIBIA</t>
        </is>
      </c>
      <c r="B116" s="2" t="inlineStr">
        <is>
          <t>FONCTIONNEMENT</t>
        </is>
      </c>
      <c r="C116" s="2" t="inlineStr">
        <is>
          <t>ENGAGE</t>
        </is>
      </c>
      <c r="D116" s="3" t="n">
        <v>100800</v>
      </c>
    </row>
    <row r="117">
      <c r="A117" s="2" t="inlineStr">
        <is>
          <t>MAGHRIBIA</t>
        </is>
      </c>
      <c r="B117" s="2" t="inlineStr">
        <is>
          <t>FONCTIONNEMENT</t>
        </is>
      </c>
      <c r="C117" s="2" t="inlineStr">
        <is>
          <t>ENGAGE</t>
        </is>
      </c>
      <c r="D117" s="3" t="n">
        <v>144000</v>
      </c>
    </row>
    <row r="118">
      <c r="A118" s="2" t="inlineStr">
        <is>
          <t>MAGHRIBIA</t>
        </is>
      </c>
      <c r="B118" s="2" t="inlineStr">
        <is>
          <t>FONCTIONNEMENT</t>
        </is>
      </c>
      <c r="C118" s="2" t="inlineStr">
        <is>
          <t>ENGAGE</t>
        </is>
      </c>
      <c r="D118" s="3" t="n">
        <v>72000</v>
      </c>
    </row>
    <row r="119">
      <c r="A119" s="2" t="inlineStr">
        <is>
          <t>DMPTV</t>
        </is>
      </c>
      <c r="B119" s="2" t="inlineStr">
        <is>
          <t>FONCTIONNEMENT</t>
        </is>
      </c>
      <c r="C119" s="2" t="inlineStr">
        <is>
          <t>ENGAGE</t>
        </is>
      </c>
      <c r="D119" s="3" t="n">
        <v>257142.84</v>
      </c>
    </row>
    <row r="120">
      <c r="A120" s="2" t="inlineStr">
        <is>
          <t>DMPTV</t>
        </is>
      </c>
      <c r="B120" s="2" t="inlineStr">
        <is>
          <t>FONCTIONNEMENT</t>
        </is>
      </c>
      <c r="C120" s="2" t="inlineStr">
        <is>
          <t>ENGAGE</t>
        </is>
      </c>
      <c r="D120" s="3" t="n">
        <v>84000</v>
      </c>
    </row>
    <row r="121">
      <c r="A121" s="2" t="inlineStr">
        <is>
          <t>DMPTV</t>
        </is>
      </c>
      <c r="B121" s="2" t="inlineStr">
        <is>
          <t>FONCTIONNEMENT</t>
        </is>
      </c>
      <c r="C121" s="2" t="inlineStr">
        <is>
          <t>ENGAGE</t>
        </is>
      </c>
      <c r="D121" s="3" t="n">
        <v>120000</v>
      </c>
    </row>
    <row r="122">
      <c r="A122" s="2" t="inlineStr">
        <is>
          <t>DMPTV</t>
        </is>
      </c>
      <c r="B122" s="2" t="inlineStr">
        <is>
          <t>FONCTIONNEMENT</t>
        </is>
      </c>
      <c r="C122" s="2" t="inlineStr">
        <is>
          <t>ENGAGE</t>
        </is>
      </c>
      <c r="D122" s="3" t="n">
        <v>264000</v>
      </c>
    </row>
    <row r="123">
      <c r="A123" s="2" t="inlineStr">
        <is>
          <t>DMPTV</t>
        </is>
      </c>
      <c r="B123" s="2" t="inlineStr">
        <is>
          <t>FONCTIONNEMENT</t>
        </is>
      </c>
      <c r="C123" s="2" t="inlineStr">
        <is>
          <t>ENGAGE</t>
        </is>
      </c>
      <c r="D123" s="3" t="n">
        <v>216000</v>
      </c>
    </row>
    <row r="124">
      <c r="A124" s="2" t="inlineStr">
        <is>
          <t>DMPTV</t>
        </is>
      </c>
      <c r="B124" s="2" t="inlineStr">
        <is>
          <t>FONCTIONNEMENT</t>
        </is>
      </c>
      <c r="C124" s="2" t="inlineStr">
        <is>
          <t>ENGAGE</t>
        </is>
      </c>
      <c r="D124" s="3" t="n">
        <v>144000</v>
      </c>
    </row>
    <row r="125">
      <c r="A125" s="2" t="inlineStr">
        <is>
          <t>DMPTV</t>
        </is>
      </c>
      <c r="B125" s="2" t="inlineStr">
        <is>
          <t>FONCTIONNEMENT</t>
        </is>
      </c>
      <c r="C125" s="2" t="inlineStr">
        <is>
          <t>ENGAGE</t>
        </is>
      </c>
      <c r="D125" s="3" t="n">
        <v>132000</v>
      </c>
    </row>
    <row r="126">
      <c r="A126" s="2" t="inlineStr">
        <is>
          <t>DMPTV</t>
        </is>
      </c>
      <c r="B126" s="2" t="inlineStr">
        <is>
          <t>FONCTIONNEMENT</t>
        </is>
      </c>
      <c r="C126" s="2" t="inlineStr">
        <is>
          <t>ENGAGE</t>
        </is>
      </c>
      <c r="D126" s="3" t="n">
        <v>252000</v>
      </c>
    </row>
    <row r="127">
      <c r="A127" s="2" t="inlineStr">
        <is>
          <t>DMPTV</t>
        </is>
      </c>
      <c r="B127" s="2" t="inlineStr">
        <is>
          <t>FONCTIONNEMENT</t>
        </is>
      </c>
      <c r="C127" s="2" t="inlineStr">
        <is>
          <t>ENGAGE</t>
        </is>
      </c>
      <c r="D127" s="3" t="n">
        <v>84000</v>
      </c>
    </row>
    <row r="128">
      <c r="A128" s="2" t="inlineStr">
        <is>
          <t>DMPTV</t>
        </is>
      </c>
      <c r="B128" s="2" t="inlineStr">
        <is>
          <t>FONCTIONNEMENT</t>
        </is>
      </c>
      <c r="C128" s="2" t="inlineStr">
        <is>
          <t>ENGAGE</t>
        </is>
      </c>
      <c r="D128" s="3" t="n">
        <v>84000</v>
      </c>
    </row>
    <row r="129">
      <c r="A129" s="2" t="inlineStr">
        <is>
          <t>DMPTV</t>
        </is>
      </c>
      <c r="B129" s="2" t="inlineStr">
        <is>
          <t>FONCTIONNEMENT</t>
        </is>
      </c>
      <c r="C129" s="2" t="inlineStr">
        <is>
          <t>ENGAGE</t>
        </is>
      </c>
      <c r="D129" s="3" t="n">
        <v>276000</v>
      </c>
    </row>
    <row r="130">
      <c r="A130" s="2" t="inlineStr">
        <is>
          <t>DMPTV</t>
        </is>
      </c>
      <c r="B130" s="2" t="inlineStr">
        <is>
          <t>FONCTIONNEMENT</t>
        </is>
      </c>
      <c r="C130" s="2" t="inlineStr">
        <is>
          <t>ENGAGE</t>
        </is>
      </c>
      <c r="D130" s="3" t="n">
        <v>144000</v>
      </c>
    </row>
    <row r="131">
      <c r="A131" s="2" t="inlineStr">
        <is>
          <t>DMPTV</t>
        </is>
      </c>
      <c r="B131" s="2" t="inlineStr">
        <is>
          <t>FONCTIONNEMENT</t>
        </is>
      </c>
      <c r="C131" s="2" t="inlineStr">
        <is>
          <t>ENGAGE</t>
        </is>
      </c>
      <c r="D131" s="3" t="n">
        <v>108000</v>
      </c>
    </row>
    <row r="132">
      <c r="A132" s="2" t="inlineStr">
        <is>
          <t>DMPTV</t>
        </is>
      </c>
      <c r="B132" s="2" t="inlineStr">
        <is>
          <t>FONCTIONNEMENT</t>
        </is>
      </c>
      <c r="C132" s="2" t="inlineStr">
        <is>
          <t>ENGAGE</t>
        </is>
      </c>
      <c r="D132" s="3" t="n">
        <v>240000</v>
      </c>
    </row>
    <row r="133">
      <c r="A133" s="2" t="inlineStr">
        <is>
          <t>DPPR</t>
        </is>
      </c>
      <c r="B133" s="2" t="inlineStr">
        <is>
          <t>FONCTIONNEMENT</t>
        </is>
      </c>
      <c r="C133" s="2" t="inlineStr">
        <is>
          <t>ENGAGE</t>
        </is>
      </c>
      <c r="D133" s="3" t="n">
        <v>84000</v>
      </c>
    </row>
    <row r="134">
      <c r="A134" s="2" t="inlineStr">
        <is>
          <t>DPPR</t>
        </is>
      </c>
      <c r="B134" s="2" t="inlineStr">
        <is>
          <t>FONCTIONNEMENT</t>
        </is>
      </c>
      <c r="C134" s="2" t="inlineStr">
        <is>
          <t>ENGAGE</t>
        </is>
      </c>
      <c r="D134" s="3" t="n">
        <v>120000</v>
      </c>
    </row>
    <row r="135">
      <c r="A135" s="2" t="inlineStr">
        <is>
          <t>DPPR</t>
        </is>
      </c>
      <c r="B135" s="2" t="inlineStr">
        <is>
          <t>FONCTIONNEMENT</t>
        </is>
      </c>
      <c r="C135" s="2" t="inlineStr">
        <is>
          <t>ENGAGE</t>
        </is>
      </c>
      <c r="D135" s="3" t="n">
        <v>180000</v>
      </c>
    </row>
    <row r="136">
      <c r="A136" s="2" t="inlineStr">
        <is>
          <t>DPPR</t>
        </is>
      </c>
      <c r="B136" s="2" t="inlineStr">
        <is>
          <t>FONCTIONNEMENT</t>
        </is>
      </c>
      <c r="C136" s="2" t="inlineStr">
        <is>
          <t>ENGAGE</t>
        </is>
      </c>
      <c r="D136" s="3" t="n">
        <v>120000</v>
      </c>
    </row>
    <row r="137">
      <c r="A137" s="2" t="inlineStr">
        <is>
          <t>DPPR</t>
        </is>
      </c>
      <c r="B137" s="2" t="inlineStr">
        <is>
          <t>FONCTIONNEMENT</t>
        </is>
      </c>
      <c r="C137" s="2" t="inlineStr">
        <is>
          <t>ENGAGE</t>
        </is>
      </c>
      <c r="D137" s="3" t="n">
        <v>216000</v>
      </c>
    </row>
    <row r="138">
      <c r="A138" s="2" t="inlineStr">
        <is>
          <t>DPPR</t>
        </is>
      </c>
      <c r="B138" s="2" t="inlineStr">
        <is>
          <t>FONCTIONNEMENT</t>
        </is>
      </c>
      <c r="C138" s="2" t="inlineStr">
        <is>
          <t>ENGAGE</t>
        </is>
      </c>
      <c r="D138" s="3" t="n">
        <v>240000</v>
      </c>
    </row>
    <row r="139">
      <c r="A139" s="2" t="inlineStr">
        <is>
          <t>DPPR</t>
        </is>
      </c>
      <c r="B139" s="2" t="inlineStr">
        <is>
          <t>FONCTIONNEMENT</t>
        </is>
      </c>
      <c r="C139" s="2" t="inlineStr">
        <is>
          <t>ENGAGE</t>
        </is>
      </c>
      <c r="D139" s="3" t="n">
        <v>156000</v>
      </c>
    </row>
    <row r="140">
      <c r="A140" s="2" t="inlineStr">
        <is>
          <t>DPPR</t>
        </is>
      </c>
      <c r="B140" s="2" t="inlineStr">
        <is>
          <t>FONCTIONNEMENT</t>
        </is>
      </c>
      <c r="C140" s="2" t="inlineStr">
        <is>
          <t>ENGAGE</t>
        </is>
      </c>
      <c r="D140" s="3" t="n">
        <v>96000</v>
      </c>
    </row>
    <row r="141">
      <c r="A141" s="2" t="inlineStr">
        <is>
          <t>DPPR</t>
        </is>
      </c>
      <c r="B141" s="2" t="inlineStr">
        <is>
          <t>FONCTIONNEMENT</t>
        </is>
      </c>
      <c r="C141" s="2" t="inlineStr">
        <is>
          <t>ENGAGE</t>
        </is>
      </c>
      <c r="D141" s="3" t="n">
        <v>24000</v>
      </c>
    </row>
    <row r="142">
      <c r="A142" s="2" t="inlineStr">
        <is>
          <t>DPPR</t>
        </is>
      </c>
      <c r="B142" s="2" t="inlineStr">
        <is>
          <t>FONCTIONNEMENT</t>
        </is>
      </c>
      <c r="C142" s="2" t="inlineStr">
        <is>
          <t>ENGAGE</t>
        </is>
      </c>
      <c r="D142" s="3" t="n">
        <v>96000</v>
      </c>
    </row>
    <row r="143">
      <c r="A143" s="2" t="inlineStr">
        <is>
          <t>DPPR</t>
        </is>
      </c>
      <c r="B143" s="2" t="inlineStr">
        <is>
          <t>FONCTIONNEMENT</t>
        </is>
      </c>
      <c r="C143" s="2" t="inlineStr">
        <is>
          <t>ENGAGE</t>
        </is>
      </c>
      <c r="D143" s="3" t="n">
        <v>96000</v>
      </c>
    </row>
    <row r="144">
      <c r="A144" s="2" t="inlineStr">
        <is>
          <t>DPPR</t>
        </is>
      </c>
      <c r="B144" s="2" t="inlineStr">
        <is>
          <t>FONCTIONNEMENT</t>
        </is>
      </c>
      <c r="C144" s="2" t="inlineStr">
        <is>
          <t>ENGAGE</t>
        </is>
      </c>
      <c r="D144" s="3" t="n">
        <v>60000</v>
      </c>
    </row>
    <row r="145">
      <c r="A145" s="2" t="inlineStr">
        <is>
          <t>DPPR</t>
        </is>
      </c>
      <c r="B145" s="2" t="inlineStr">
        <is>
          <t>FONCTIONNEMENT</t>
        </is>
      </c>
      <c r="C145" s="2" t="inlineStr">
        <is>
          <t>ENGAGE</t>
        </is>
      </c>
      <c r="D145" s="3" t="n">
        <v>96000</v>
      </c>
    </row>
    <row r="146">
      <c r="A146" s="2" t="inlineStr">
        <is>
          <t>DPPR</t>
        </is>
      </c>
      <c r="B146" s="2" t="inlineStr">
        <is>
          <t>FONCTIONNEMENT</t>
        </is>
      </c>
      <c r="C146" s="2" t="inlineStr">
        <is>
          <t>ENGAGE</t>
        </is>
      </c>
      <c r="D146" s="3" t="n">
        <v>84000</v>
      </c>
    </row>
    <row r="147">
      <c r="A147" s="2" t="inlineStr">
        <is>
          <t>DPPR</t>
        </is>
      </c>
      <c r="B147" s="2" t="inlineStr">
        <is>
          <t>FONCTIONNEMENT</t>
        </is>
      </c>
      <c r="C147" s="2" t="inlineStr">
        <is>
          <t>ENGAGE</t>
        </is>
      </c>
      <c r="D147" s="3" t="n">
        <v>78000</v>
      </c>
    </row>
    <row r="148">
      <c r="A148" s="2" t="inlineStr">
        <is>
          <t>DPPR</t>
        </is>
      </c>
      <c r="B148" s="2" t="inlineStr">
        <is>
          <t>FONCTIONNEMENT</t>
        </is>
      </c>
      <c r="C148" s="2" t="inlineStr">
        <is>
          <t>ENGAGE</t>
        </is>
      </c>
      <c r="D148" s="3" t="n">
        <v>78000</v>
      </c>
    </row>
    <row r="149">
      <c r="A149" s="2" t="inlineStr">
        <is>
          <t>DPPR</t>
        </is>
      </c>
      <c r="B149" s="2" t="inlineStr">
        <is>
          <t>FONCTIONNEMENT</t>
        </is>
      </c>
      <c r="C149" s="2" t="inlineStr">
        <is>
          <t>ENGAGE</t>
        </is>
      </c>
      <c r="D149" s="3" t="n">
        <v>96000</v>
      </c>
    </row>
    <row r="150">
      <c r="A150" s="2" t="inlineStr">
        <is>
          <t>DPPR</t>
        </is>
      </c>
      <c r="B150" s="2" t="inlineStr">
        <is>
          <t>FONCTIONNEMENT</t>
        </is>
      </c>
      <c r="C150" s="2" t="inlineStr">
        <is>
          <t>ENGAGE</t>
        </is>
      </c>
      <c r="D150" s="3" t="n">
        <v>96000</v>
      </c>
    </row>
    <row r="151">
      <c r="A151" s="2" t="inlineStr">
        <is>
          <t>DPPR</t>
        </is>
      </c>
      <c r="B151" s="2" t="inlineStr">
        <is>
          <t>FONCTIONNEMENT</t>
        </is>
      </c>
      <c r="C151" s="2" t="inlineStr">
        <is>
          <t>ENGAGE</t>
        </is>
      </c>
      <c r="D151" s="3" t="n">
        <v>96000</v>
      </c>
    </row>
    <row r="152">
      <c r="A152" s="2" t="inlineStr">
        <is>
          <t>DPPR</t>
        </is>
      </c>
      <c r="B152" s="2" t="inlineStr">
        <is>
          <t>FONCTIONNEMENT</t>
        </is>
      </c>
      <c r="C152" s="2" t="inlineStr">
        <is>
          <t>ENGAGE</t>
        </is>
      </c>
      <c r="D152" s="3" t="n">
        <v>48000</v>
      </c>
    </row>
    <row r="153">
      <c r="A153" s="2" t="inlineStr">
        <is>
          <t>DPPR</t>
        </is>
      </c>
      <c r="B153" s="2" t="inlineStr">
        <is>
          <t>FONCTIONNEMENT</t>
        </is>
      </c>
      <c r="C153" s="2" t="inlineStr">
        <is>
          <t>ENGAGE</t>
        </is>
      </c>
      <c r="D153" s="3" t="n">
        <v>72000</v>
      </c>
    </row>
    <row r="154">
      <c r="A154" s="2" t="inlineStr">
        <is>
          <t>DPPR</t>
        </is>
      </c>
      <c r="B154" s="2" t="inlineStr">
        <is>
          <t>FONCTIONNEMENT</t>
        </is>
      </c>
      <c r="C154" s="2" t="inlineStr">
        <is>
          <t>ENGAGE</t>
        </is>
      </c>
      <c r="D154" s="3" t="n">
        <v>72000</v>
      </c>
    </row>
    <row r="155">
      <c r="A155" s="2" t="inlineStr">
        <is>
          <t>DPPR</t>
        </is>
      </c>
      <c r="B155" s="2" t="inlineStr">
        <is>
          <t>FONCTIONNEMENT</t>
        </is>
      </c>
      <c r="C155" s="2" t="inlineStr">
        <is>
          <t>ENGAGE</t>
        </is>
      </c>
      <c r="D155" s="3" t="n">
        <v>96000</v>
      </c>
    </row>
    <row r="156">
      <c r="A156" s="2" t="inlineStr">
        <is>
          <t>DPPR</t>
        </is>
      </c>
      <c r="B156" s="2" t="inlineStr">
        <is>
          <t>FONCTIONNEMENT</t>
        </is>
      </c>
      <c r="C156" s="2" t="inlineStr">
        <is>
          <t>ENGAGE</t>
        </is>
      </c>
      <c r="D156" s="3" t="n">
        <v>180000</v>
      </c>
    </row>
    <row r="157">
      <c r="A157" s="2" t="inlineStr">
        <is>
          <t>DPPR</t>
        </is>
      </c>
      <c r="B157" s="2" t="inlineStr">
        <is>
          <t>FONCTIONNEMENT</t>
        </is>
      </c>
      <c r="C157" s="2" t="inlineStr">
        <is>
          <t>ENGAGE</t>
        </is>
      </c>
      <c r="D157" s="3" t="n">
        <v>96000</v>
      </c>
    </row>
    <row r="158">
      <c r="A158" s="2" t="inlineStr">
        <is>
          <t>DPPR</t>
        </is>
      </c>
      <c r="B158" s="2" t="inlineStr">
        <is>
          <t>FONCTIONNEMENT</t>
        </is>
      </c>
      <c r="C158" s="2" t="inlineStr">
        <is>
          <t>ENGAGE</t>
        </is>
      </c>
      <c r="D158" s="3" t="n">
        <v>96000</v>
      </c>
    </row>
    <row r="159">
      <c r="A159" s="2" t="inlineStr">
        <is>
          <t>DPPR</t>
        </is>
      </c>
      <c r="B159" s="2" t="inlineStr">
        <is>
          <t>FONCTIONNEMENT</t>
        </is>
      </c>
      <c r="C159" s="2" t="inlineStr">
        <is>
          <t>ENGAGE</t>
        </is>
      </c>
      <c r="D159" s="3" t="n">
        <v>96000</v>
      </c>
    </row>
    <row r="160">
      <c r="A160" s="2" t="inlineStr">
        <is>
          <t>DPPR</t>
        </is>
      </c>
      <c r="B160" s="2" t="inlineStr">
        <is>
          <t>FONCTIONNEMENT</t>
        </is>
      </c>
      <c r="C160" s="2" t="inlineStr">
        <is>
          <t>ENGAGE</t>
        </is>
      </c>
      <c r="D160" s="3" t="n">
        <v>96000</v>
      </c>
    </row>
    <row r="161">
      <c r="A161" s="2" t="inlineStr">
        <is>
          <t>DPPR</t>
        </is>
      </c>
      <c r="B161" s="2" t="inlineStr">
        <is>
          <t>FONCTIONNEMENT</t>
        </is>
      </c>
      <c r="C161" s="2" t="inlineStr">
        <is>
          <t>ENGAGE</t>
        </is>
      </c>
      <c r="D161" s="3" t="n">
        <v>96000</v>
      </c>
    </row>
    <row r="162">
      <c r="A162" s="2" t="inlineStr">
        <is>
          <t>DPPR</t>
        </is>
      </c>
      <c r="B162" s="2" t="inlineStr">
        <is>
          <t>FONCTIONNEMENT</t>
        </is>
      </c>
      <c r="C162" s="2" t="inlineStr">
        <is>
          <t>ENGAGE</t>
        </is>
      </c>
      <c r="D162" s="3" t="n">
        <v>96000</v>
      </c>
    </row>
    <row r="163">
      <c r="A163" s="2" t="inlineStr">
        <is>
          <t>DPPR</t>
        </is>
      </c>
      <c r="B163" s="2" t="inlineStr">
        <is>
          <t>FONCTIONNEMENT</t>
        </is>
      </c>
      <c r="C163" s="2" t="inlineStr">
        <is>
          <t>ENGAGE</t>
        </is>
      </c>
      <c r="D163" s="3" t="n">
        <v>72000</v>
      </c>
    </row>
    <row r="164">
      <c r="A164" s="2" t="inlineStr">
        <is>
          <t>DPPR</t>
        </is>
      </c>
      <c r="B164" s="2" t="inlineStr">
        <is>
          <t>FONCTIONNEMENT</t>
        </is>
      </c>
      <c r="C164" s="2" t="inlineStr">
        <is>
          <t>ENGAGE</t>
        </is>
      </c>
      <c r="D164" s="3" t="n">
        <v>120000</v>
      </c>
    </row>
    <row r="165">
      <c r="A165" s="2" t="inlineStr">
        <is>
          <t>DPPR</t>
        </is>
      </c>
      <c r="B165" s="2" t="inlineStr">
        <is>
          <t>FONCTIONNEMENT</t>
        </is>
      </c>
      <c r="C165" s="2" t="inlineStr">
        <is>
          <t>ENGAGE</t>
        </is>
      </c>
      <c r="D165" s="3" t="n">
        <v>120000</v>
      </c>
    </row>
    <row r="166">
      <c r="A166" s="2" t="inlineStr">
        <is>
          <t>DPPR</t>
        </is>
      </c>
      <c r="B166" s="2" t="inlineStr">
        <is>
          <t>FONCTIONNEMENT</t>
        </is>
      </c>
      <c r="C166" s="2" t="inlineStr">
        <is>
          <t>ENGAGE</t>
        </is>
      </c>
      <c r="D166" s="3" t="n">
        <v>96000</v>
      </c>
    </row>
    <row r="167">
      <c r="A167" s="2" t="inlineStr">
        <is>
          <t>DPPR</t>
        </is>
      </c>
      <c r="B167" s="2" t="inlineStr">
        <is>
          <t>FONCTIONNEMENT</t>
        </is>
      </c>
      <c r="C167" s="2" t="inlineStr">
        <is>
          <t>ENGAGE</t>
        </is>
      </c>
      <c r="D167" s="3" t="n">
        <v>300000</v>
      </c>
    </row>
    <row r="168">
      <c r="A168" s="2" t="inlineStr">
        <is>
          <t>DPPR</t>
        </is>
      </c>
      <c r="B168" s="2" t="inlineStr">
        <is>
          <t>FONCTIONNEMENT</t>
        </is>
      </c>
      <c r="C168" s="2" t="inlineStr">
        <is>
          <t>ENGAGE</t>
        </is>
      </c>
      <c r="D168" s="3" t="n">
        <v>130000</v>
      </c>
    </row>
    <row r="169">
      <c r="A169" s="2" t="inlineStr">
        <is>
          <t>DPPR</t>
        </is>
      </c>
      <c r="B169" s="2" t="inlineStr">
        <is>
          <t>FONCTIONNEMENT</t>
        </is>
      </c>
      <c r="C169" s="2" t="inlineStr">
        <is>
          <t>ENGAGE</t>
        </is>
      </c>
      <c r="D169" s="3" t="n">
        <v>130000</v>
      </c>
    </row>
    <row r="170">
      <c r="A170" s="2" t="inlineStr">
        <is>
          <t>DPPR</t>
        </is>
      </c>
      <c r="B170" s="2" t="inlineStr">
        <is>
          <t>FONCTIONNEMENT</t>
        </is>
      </c>
      <c r="C170" s="2" t="inlineStr">
        <is>
          <t>ENGAGE</t>
        </is>
      </c>
      <c r="D170" s="3" t="n">
        <v>78000</v>
      </c>
    </row>
    <row r="171">
      <c r="A171" s="2" t="inlineStr">
        <is>
          <t>DRPSD</t>
        </is>
      </c>
      <c r="B171" s="2" t="inlineStr">
        <is>
          <t>FONCTIONNEMENT</t>
        </is>
      </c>
      <c r="C171" s="2" t="inlineStr">
        <is>
          <t>ENGAGE</t>
        </is>
      </c>
      <c r="D171" s="3" t="n">
        <v>120000</v>
      </c>
    </row>
    <row r="172">
      <c r="A172" s="2" t="inlineStr">
        <is>
          <t>DRPSD</t>
        </is>
      </c>
      <c r="B172" s="2" t="inlineStr">
        <is>
          <t>FONCTIONNEMENT</t>
        </is>
      </c>
      <c r="C172" s="2" t="inlineStr">
        <is>
          <t>ENGAGE</t>
        </is>
      </c>
      <c r="D172" s="3" t="n">
        <v>120000</v>
      </c>
    </row>
    <row r="173">
      <c r="A173" s="2" t="inlineStr">
        <is>
          <t>DRPSD</t>
        </is>
      </c>
      <c r="B173" s="2" t="inlineStr">
        <is>
          <t>FONCTIONNEMENT</t>
        </is>
      </c>
      <c r="C173" s="2" t="inlineStr">
        <is>
          <t>ENGAGE</t>
        </is>
      </c>
      <c r="D173" s="3" t="n">
        <v>121212.12</v>
      </c>
    </row>
    <row r="174">
      <c r="A174" s="2" t="inlineStr">
        <is>
          <t>DRPSD</t>
        </is>
      </c>
      <c r="B174" s="2" t="inlineStr">
        <is>
          <t>FONCTIONNEMENT</t>
        </is>
      </c>
      <c r="C174" s="2" t="inlineStr">
        <is>
          <t>ENGAGE</t>
        </is>
      </c>
      <c r="D174" s="3" t="n">
        <v>694285.6800000001</v>
      </c>
    </row>
    <row r="175">
      <c r="A175" s="2" t="inlineStr">
        <is>
          <t>DRPSD</t>
        </is>
      </c>
      <c r="B175" s="2" t="inlineStr">
        <is>
          <t>FONCTIONNEMENT</t>
        </is>
      </c>
      <c r="C175" s="2" t="inlineStr">
        <is>
          <t>ENGAGE</t>
        </is>
      </c>
      <c r="D175" s="3" t="n">
        <v>127272.72</v>
      </c>
    </row>
    <row r="176">
      <c r="A176" s="2" t="inlineStr">
        <is>
          <t>DRPSD</t>
        </is>
      </c>
      <c r="B176" s="2" t="inlineStr">
        <is>
          <t>FONCTIONNEMENT</t>
        </is>
      </c>
      <c r="C176" s="2" t="inlineStr">
        <is>
          <t>ENGAGE</t>
        </is>
      </c>
      <c r="D176" s="3" t="n">
        <v>193939.44</v>
      </c>
    </row>
    <row r="177">
      <c r="A177" s="2" t="inlineStr">
        <is>
          <t>DRPSD</t>
        </is>
      </c>
      <c r="B177" s="2" t="inlineStr">
        <is>
          <t>FONCTIONNEMENT</t>
        </is>
      </c>
      <c r="C177" s="2" t="inlineStr">
        <is>
          <t>ENGAGE</t>
        </is>
      </c>
      <c r="D177" s="3" t="n">
        <v>240000</v>
      </c>
    </row>
    <row r="178">
      <c r="A178" s="2" t="inlineStr">
        <is>
          <t>DRPSD</t>
        </is>
      </c>
      <c r="B178" s="2" t="inlineStr">
        <is>
          <t>FONCTIONNEMENT</t>
        </is>
      </c>
      <c r="C178" s="2" t="inlineStr">
        <is>
          <t>ENGAGE</t>
        </is>
      </c>
      <c r="D178" s="3" t="n">
        <v>377142.72</v>
      </c>
    </row>
    <row r="179">
      <c r="A179" s="2" t="inlineStr">
        <is>
          <t>DRPSD</t>
        </is>
      </c>
      <c r="B179" s="2" t="inlineStr">
        <is>
          <t>FONCTIONNEMENT</t>
        </is>
      </c>
      <c r="C179" s="2" t="inlineStr">
        <is>
          <t>ENGAGE</t>
        </is>
      </c>
      <c r="D179" s="3" t="n">
        <v>342857.04</v>
      </c>
    </row>
    <row r="180">
      <c r="A180" s="2" t="inlineStr">
        <is>
          <t>DRPSD</t>
        </is>
      </c>
      <c r="B180" s="2" t="inlineStr">
        <is>
          <t>FONCTIONNEMENT</t>
        </is>
      </c>
      <c r="C180" s="2" t="inlineStr">
        <is>
          <t>ENGAGE</t>
        </is>
      </c>
      <c r="D180" s="3" t="n">
        <v>126000</v>
      </c>
    </row>
    <row r="181">
      <c r="A181" s="2" t="inlineStr">
        <is>
          <t>DRPSD</t>
        </is>
      </c>
      <c r="B181" s="2" t="inlineStr">
        <is>
          <t>FONCTIONNEMENT</t>
        </is>
      </c>
      <c r="C181" s="2" t="inlineStr">
        <is>
          <t>ENGAGE</t>
        </is>
      </c>
      <c r="D181" s="3" t="n">
        <v>126000</v>
      </c>
    </row>
    <row r="182">
      <c r="A182" s="2" t="inlineStr">
        <is>
          <t>TAMAZIGHT</t>
        </is>
      </c>
      <c r="B182" s="2" t="inlineStr">
        <is>
          <t>FONCTIONNEMENT</t>
        </is>
      </c>
      <c r="C182" s="2" t="inlineStr">
        <is>
          <t>ENGAGE</t>
        </is>
      </c>
      <c r="D182" s="3" t="n">
        <v>84000</v>
      </c>
    </row>
    <row r="183">
      <c r="A183" s="2" t="inlineStr">
        <is>
          <t>TAMAZIGHT</t>
        </is>
      </c>
      <c r="B183" s="2" t="inlineStr">
        <is>
          <t>FONCTIONNEMENT</t>
        </is>
      </c>
      <c r="C183" s="2" t="inlineStr">
        <is>
          <t>ENGAGE</t>
        </is>
      </c>
      <c r="D183" s="3" t="n">
        <v>109200</v>
      </c>
    </row>
    <row r="184">
      <c r="A184" s="2" t="inlineStr">
        <is>
          <t>TAMAZIGHT</t>
        </is>
      </c>
      <c r="B184" s="2" t="inlineStr">
        <is>
          <t>FONCTIONNEMENT</t>
        </is>
      </c>
      <c r="C184" s="2" t="inlineStr">
        <is>
          <t>ENGAGE</t>
        </is>
      </c>
      <c r="D184" s="3" t="n">
        <v>124800</v>
      </c>
    </row>
    <row r="185">
      <c r="A185" s="2" t="inlineStr">
        <is>
          <t>TAMAZIGHT</t>
        </is>
      </c>
      <c r="B185" s="2" t="inlineStr">
        <is>
          <t>FONCTIONNEMENT</t>
        </is>
      </c>
      <c r="C185" s="2" t="inlineStr">
        <is>
          <t>ENGAGE</t>
        </is>
      </c>
      <c r="D185" s="3" t="n">
        <v>85800</v>
      </c>
    </row>
    <row r="186">
      <c r="A186" s="2" t="inlineStr">
        <is>
          <t>TAMAZIGHT</t>
        </is>
      </c>
      <c r="B186" s="2" t="inlineStr">
        <is>
          <t>FONCTIONNEMENT</t>
        </is>
      </c>
      <c r="C186" s="2" t="inlineStr">
        <is>
          <t>ENGAGE</t>
        </is>
      </c>
      <c r="D186" s="3" t="n">
        <v>109200</v>
      </c>
    </row>
    <row r="187">
      <c r="A187" s="2" t="inlineStr">
        <is>
          <t>TAMAZIGHT</t>
        </is>
      </c>
      <c r="B187" s="2" t="inlineStr">
        <is>
          <t>FONCTIONNEMENT</t>
        </is>
      </c>
      <c r="C187" s="2" t="inlineStr">
        <is>
          <t>ENGAGE</t>
        </is>
      </c>
      <c r="D187" s="3" t="n">
        <v>78000</v>
      </c>
    </row>
    <row r="188">
      <c r="A188" s="2" t="inlineStr">
        <is>
          <t>TAMAZIGHT</t>
        </is>
      </c>
      <c r="B188" s="2" t="inlineStr">
        <is>
          <t>FONCTIONNEMENT</t>
        </is>
      </c>
      <c r="C188" s="2" t="inlineStr">
        <is>
          <t>ENGAGE</t>
        </is>
      </c>
      <c r="D188" s="3" t="n">
        <v>62400</v>
      </c>
    </row>
    <row r="189">
      <c r="A189" s="2" t="inlineStr">
        <is>
          <t>TAMAZIGHT</t>
        </is>
      </c>
      <c r="B189" s="2" t="inlineStr">
        <is>
          <t>FONCTIONNEMENT</t>
        </is>
      </c>
      <c r="C189" s="2" t="inlineStr">
        <is>
          <t>ENGAGE</t>
        </is>
      </c>
      <c r="D189" s="3" t="n">
        <v>72000</v>
      </c>
    </row>
    <row r="190">
      <c r="A190" s="2" t="inlineStr">
        <is>
          <t>TAMAZIGHT</t>
        </is>
      </c>
      <c r="B190" s="2" t="inlineStr">
        <is>
          <t>FONCTIONNEMENT</t>
        </is>
      </c>
      <c r="C190" s="2" t="inlineStr">
        <is>
          <t>ENGAGE</t>
        </is>
      </c>
      <c r="D190" s="3" t="n">
        <v>90000</v>
      </c>
    </row>
    <row r="191">
      <c r="A191" s="2" t="inlineStr">
        <is>
          <t>TAMAZIGHT</t>
        </is>
      </c>
      <c r="B191" s="2" t="inlineStr">
        <is>
          <t>FONCTIONNEMENT</t>
        </is>
      </c>
      <c r="C191" s="2" t="inlineStr">
        <is>
          <t>ENGAGE</t>
        </is>
      </c>
      <c r="D191" s="3" t="n">
        <v>84000</v>
      </c>
    </row>
    <row r="192">
      <c r="A192" s="2" t="inlineStr">
        <is>
          <t>TAMAZIGHT</t>
        </is>
      </c>
      <c r="B192" s="2" t="inlineStr">
        <is>
          <t>FONCTIONNEMENT</t>
        </is>
      </c>
      <c r="C192" s="2" t="inlineStr">
        <is>
          <t>ENGAGE</t>
        </is>
      </c>
      <c r="D192" s="3" t="n">
        <v>84000</v>
      </c>
    </row>
    <row r="193">
      <c r="A193" s="2" t="inlineStr">
        <is>
          <t>TAMAZIGHT</t>
        </is>
      </c>
      <c r="B193" s="2" t="inlineStr">
        <is>
          <t>FONCTIONNEMENT</t>
        </is>
      </c>
      <c r="C193" s="2" t="inlineStr">
        <is>
          <t>ENGAGE</t>
        </is>
      </c>
      <c r="D193" s="3" t="n">
        <v>96000</v>
      </c>
    </row>
    <row r="194">
      <c r="A194" s="2" t="inlineStr">
        <is>
          <t>TAMAZIGHT</t>
        </is>
      </c>
      <c r="B194" s="2" t="inlineStr">
        <is>
          <t>FONCTIONNEMENT</t>
        </is>
      </c>
      <c r="C194" s="2" t="inlineStr">
        <is>
          <t>ENGAGE</t>
        </is>
      </c>
      <c r="D194" s="3" t="n">
        <v>108000</v>
      </c>
    </row>
    <row r="195">
      <c r="A195" s="2" t="inlineStr">
        <is>
          <t>TAMAZIGHT</t>
        </is>
      </c>
      <c r="B195" s="2" t="inlineStr">
        <is>
          <t>FONCTIONNEMENT</t>
        </is>
      </c>
      <c r="C195" s="2" t="inlineStr">
        <is>
          <t>ENGAGE</t>
        </is>
      </c>
      <c r="D195" s="3" t="n">
        <v>78000</v>
      </c>
    </row>
    <row r="196">
      <c r="A196" s="2" t="inlineStr">
        <is>
          <t>TAMAZIGHT</t>
        </is>
      </c>
      <c r="B196" s="2" t="inlineStr">
        <is>
          <t>FONCTIONNEMENT</t>
        </is>
      </c>
      <c r="C196" s="2" t="inlineStr">
        <is>
          <t>ENGAGE</t>
        </is>
      </c>
      <c r="D196" s="3" t="n">
        <v>84000</v>
      </c>
    </row>
    <row r="197">
      <c r="A197" s="2" t="inlineStr">
        <is>
          <t>TAMAZIGHT</t>
        </is>
      </c>
      <c r="B197" s="2" t="inlineStr">
        <is>
          <t>FONCTIONNEMENT</t>
        </is>
      </c>
      <c r="C197" s="2" t="inlineStr">
        <is>
          <t>ENGAGE</t>
        </is>
      </c>
      <c r="D197" s="3" t="n">
        <v>96000</v>
      </c>
    </row>
    <row r="198">
      <c r="A198" s="2" t="inlineStr">
        <is>
          <t>TAMAZIGHT</t>
        </is>
      </c>
      <c r="B198" s="2" t="inlineStr">
        <is>
          <t>FONCTIONNEMENT</t>
        </is>
      </c>
      <c r="C198" s="2" t="inlineStr">
        <is>
          <t>ENGAGE</t>
        </is>
      </c>
      <c r="D198" s="3" t="n">
        <v>96000</v>
      </c>
    </row>
    <row r="199">
      <c r="A199" s="2" t="inlineStr">
        <is>
          <t>TAMAZIGHT</t>
        </is>
      </c>
      <c r="B199" s="2" t="inlineStr">
        <is>
          <t>FONCTIONNEMENT</t>
        </is>
      </c>
      <c r="C199" s="2" t="inlineStr">
        <is>
          <t>ENGAGE</t>
        </is>
      </c>
      <c r="D199" s="3" t="n">
        <v>72000</v>
      </c>
    </row>
    <row r="200">
      <c r="A200" s="2" t="inlineStr">
        <is>
          <t>TAMAZIGHT</t>
        </is>
      </c>
      <c r="B200" s="2" t="inlineStr">
        <is>
          <t>FONCTIONNEMENT</t>
        </is>
      </c>
      <c r="C200" s="2" t="inlineStr">
        <is>
          <t>ENGAGE</t>
        </is>
      </c>
      <c r="D200" s="3" t="n">
        <v>72000</v>
      </c>
    </row>
    <row r="201">
      <c r="A201" s="2" t="inlineStr">
        <is>
          <t>TAMAZIGHT</t>
        </is>
      </c>
      <c r="B201" s="2" t="inlineStr">
        <is>
          <t>FONCTIONNEMENT</t>
        </is>
      </c>
      <c r="C201" s="2" t="inlineStr">
        <is>
          <t>ENGAGE</t>
        </is>
      </c>
      <c r="D201" s="3" t="n">
        <v>96000</v>
      </c>
    </row>
    <row r="202">
      <c r="A202" s="2" t="inlineStr">
        <is>
          <t>TAMAZIGHT</t>
        </is>
      </c>
      <c r="B202" s="2" t="inlineStr">
        <is>
          <t>FONCTIONNEMENT</t>
        </is>
      </c>
      <c r="C202" s="2" t="inlineStr">
        <is>
          <t>ENGAGE</t>
        </is>
      </c>
      <c r="D202" s="3" t="n">
        <v>144000</v>
      </c>
    </row>
    <row r="203">
      <c r="A203" s="2" t="inlineStr">
        <is>
          <t>TAMAZIGHT</t>
        </is>
      </c>
      <c r="B203" s="2" t="inlineStr">
        <is>
          <t>FONCTIONNEMENT</t>
        </is>
      </c>
      <c r="C203" s="2" t="inlineStr">
        <is>
          <t>ENGAGE</t>
        </is>
      </c>
      <c r="D203" s="3" t="n">
        <v>132000</v>
      </c>
    </row>
    <row r="204">
      <c r="A204" s="2" t="inlineStr">
        <is>
          <t>TAMAZIGHT</t>
        </is>
      </c>
      <c r="B204" s="2" t="inlineStr">
        <is>
          <t>FONCTIONNEMENT</t>
        </is>
      </c>
      <c r="C204" s="2" t="inlineStr">
        <is>
          <t>ENGAGE</t>
        </is>
      </c>
      <c r="D204" s="3" t="n">
        <v>96000</v>
      </c>
    </row>
    <row r="205">
      <c r="A205" s="2" t="inlineStr">
        <is>
          <t>TAMAZIGHT</t>
        </is>
      </c>
      <c r="B205" s="2" t="inlineStr">
        <is>
          <t>FONCTIONNEMENT</t>
        </is>
      </c>
      <c r="C205" s="2" t="inlineStr">
        <is>
          <t>ENGAGE</t>
        </is>
      </c>
      <c r="D205" s="3" t="n">
        <v>124800</v>
      </c>
    </row>
    <row r="206">
      <c r="A206" s="2" t="inlineStr">
        <is>
          <t>TAMAZIGHT</t>
        </is>
      </c>
      <c r="B206" s="2" t="inlineStr">
        <is>
          <t>FONCTIONNEMENT</t>
        </is>
      </c>
      <c r="C206" s="2" t="inlineStr">
        <is>
          <t>ENGAGE</t>
        </is>
      </c>
      <c r="D206" s="3" t="n">
        <v>171428.52</v>
      </c>
    </row>
    <row r="207">
      <c r="A207" s="2" t="inlineStr">
        <is>
          <t>TAMAZIGHT</t>
        </is>
      </c>
      <c r="B207" s="2" t="inlineStr">
        <is>
          <t>FONCTIONNEMENT</t>
        </is>
      </c>
      <c r="C207" s="2" t="inlineStr">
        <is>
          <t>ENGAGE</t>
        </is>
      </c>
      <c r="D207" s="3" t="n">
        <v>180000</v>
      </c>
    </row>
    <row r="208">
      <c r="A208" s="2" t="inlineStr">
        <is>
          <t>TAMAZIGHT</t>
        </is>
      </c>
      <c r="B208" s="2" t="inlineStr">
        <is>
          <t>FONCTIONNEMENT</t>
        </is>
      </c>
      <c r="C208" s="2" t="inlineStr">
        <is>
          <t>ENGAGE</t>
        </is>
      </c>
      <c r="D208" s="3" t="n">
        <v>120000</v>
      </c>
    </row>
    <row r="209">
      <c r="A209" s="2" t="inlineStr">
        <is>
          <t>TAMAZIGHT</t>
        </is>
      </c>
      <c r="B209" s="2" t="inlineStr">
        <is>
          <t>FONCTIONNEMENT</t>
        </is>
      </c>
      <c r="C209" s="2" t="inlineStr">
        <is>
          <t>ENGAGE</t>
        </is>
      </c>
      <c r="D209" s="3" t="n">
        <v>96000</v>
      </c>
    </row>
    <row r="210">
      <c r="A210" s="2" t="inlineStr">
        <is>
          <t>TAMAZIGHT</t>
        </is>
      </c>
      <c r="B210" s="2" t="inlineStr">
        <is>
          <t>FONCTIONNEMENT</t>
        </is>
      </c>
      <c r="C210" s="2" t="inlineStr">
        <is>
          <t>ENGAGE</t>
        </is>
      </c>
      <c r="D210" s="3" t="n">
        <v>84000</v>
      </c>
    </row>
    <row r="211">
      <c r="A211" s="2" t="inlineStr">
        <is>
          <t>TAMAZIGHT</t>
        </is>
      </c>
      <c r="B211" s="2" t="inlineStr">
        <is>
          <t>FONCTIONNEMENT</t>
        </is>
      </c>
      <c r="C211" s="2" t="inlineStr">
        <is>
          <t>ENGAGE</t>
        </is>
      </c>
      <c r="D211" s="3" t="n">
        <v>96000</v>
      </c>
    </row>
    <row r="212">
      <c r="A212" s="2" t="inlineStr">
        <is>
          <t>TAMAZIGHT</t>
        </is>
      </c>
      <c r="B212" s="2" t="inlineStr">
        <is>
          <t>FONCTIONNEMENT</t>
        </is>
      </c>
      <c r="C212" s="2" t="inlineStr">
        <is>
          <t>ENGAGE</t>
        </is>
      </c>
      <c r="D212" s="3" t="n">
        <v>96000</v>
      </c>
    </row>
    <row r="213">
      <c r="A213" s="2" t="inlineStr">
        <is>
          <t>TAMAZIGHT</t>
        </is>
      </c>
      <c r="B213" s="2" t="inlineStr">
        <is>
          <t>FONCTIONNEMENT</t>
        </is>
      </c>
      <c r="C213" s="2" t="inlineStr">
        <is>
          <t>ENGAGE</t>
        </is>
      </c>
      <c r="D213" s="3" t="n">
        <v>84000</v>
      </c>
    </row>
    <row r="214">
      <c r="A214" s="2" t="inlineStr">
        <is>
          <t>TAMAZIGHT</t>
        </is>
      </c>
      <c r="B214" s="2" t="inlineStr">
        <is>
          <t>FONCTIONNEMENT</t>
        </is>
      </c>
      <c r="C214" s="2" t="inlineStr">
        <is>
          <t>ENGAGE</t>
        </is>
      </c>
      <c r="D214" s="3" t="n">
        <v>96000</v>
      </c>
    </row>
    <row r="215">
      <c r="A215" s="2" t="inlineStr">
        <is>
          <t>TAMAZIGHT</t>
        </is>
      </c>
      <c r="B215" s="2" t="inlineStr">
        <is>
          <t>FONCTIONNEMENT</t>
        </is>
      </c>
      <c r="C215" s="2" t="inlineStr">
        <is>
          <t>ENGAGE</t>
        </is>
      </c>
      <c r="D215" s="3" t="n">
        <v>96000</v>
      </c>
    </row>
    <row r="216">
      <c r="A216" s="2" t="inlineStr">
        <is>
          <t>TAMAZIGHT</t>
        </is>
      </c>
      <c r="B216" s="2" t="inlineStr">
        <is>
          <t>FONCTIONNEMENT</t>
        </is>
      </c>
      <c r="C216" s="2" t="inlineStr">
        <is>
          <t>ENGAGE</t>
        </is>
      </c>
      <c r="D216" s="3" t="n">
        <v>96000</v>
      </c>
    </row>
    <row r="217">
      <c r="A217" s="2" t="inlineStr">
        <is>
          <t>TAMAZIGHT</t>
        </is>
      </c>
      <c r="B217" s="2" t="inlineStr">
        <is>
          <t>FONCTIONNEMENT</t>
        </is>
      </c>
      <c r="C217" s="2" t="inlineStr">
        <is>
          <t>ENGAGE</t>
        </is>
      </c>
      <c r="D217" s="3" t="n">
        <v>96000</v>
      </c>
    </row>
    <row r="218">
      <c r="A218" s="2" t="inlineStr">
        <is>
          <t>TAMAZIGHT</t>
        </is>
      </c>
      <c r="B218" s="2" t="inlineStr">
        <is>
          <t>FONCTIONNEMENT</t>
        </is>
      </c>
      <c r="C218" s="2" t="inlineStr">
        <is>
          <t>ENGAGE</t>
        </is>
      </c>
      <c r="D218" s="3" t="n">
        <v>96000</v>
      </c>
    </row>
    <row r="219">
      <c r="A219" s="2" t="inlineStr">
        <is>
          <t>TAMAZIGHT</t>
        </is>
      </c>
      <c r="B219" s="2" t="inlineStr">
        <is>
          <t>FONCTIONNEMENT</t>
        </is>
      </c>
      <c r="C219" s="2" t="inlineStr">
        <is>
          <t>ENGAGE</t>
        </is>
      </c>
      <c r="D219" s="3" t="n">
        <v>96000</v>
      </c>
    </row>
    <row r="220">
      <c r="A220" s="2" t="inlineStr">
        <is>
          <t>TAMAZIGHT</t>
        </is>
      </c>
      <c r="B220" s="2" t="inlineStr">
        <is>
          <t>FONCTIONNEMENT</t>
        </is>
      </c>
      <c r="C220" s="2" t="inlineStr">
        <is>
          <t>ENGAGE</t>
        </is>
      </c>
      <c r="D220" s="3" t="n">
        <v>96000</v>
      </c>
    </row>
    <row r="221">
      <c r="A221" s="2" t="inlineStr">
        <is>
          <t>TAMAZIGHT</t>
        </is>
      </c>
      <c r="B221" s="2" t="inlineStr">
        <is>
          <t>FONCTIONNEMENT</t>
        </is>
      </c>
      <c r="C221" s="2" t="inlineStr">
        <is>
          <t>ENGAGE</t>
        </is>
      </c>
      <c r="D221" s="3" t="n">
        <v>96000</v>
      </c>
    </row>
    <row r="222">
      <c r="A222" s="2" t="inlineStr">
        <is>
          <t>TAMAZIGHT</t>
        </is>
      </c>
      <c r="B222" s="2" t="inlineStr">
        <is>
          <t>FONCTIONNEMENT</t>
        </is>
      </c>
      <c r="C222" s="2" t="inlineStr">
        <is>
          <t>ENGAGE</t>
        </is>
      </c>
      <c r="D222" s="3" t="n">
        <v>96000</v>
      </c>
    </row>
    <row r="223">
      <c r="A223" s="2" t="inlineStr">
        <is>
          <t>TAMAZIGHT</t>
        </is>
      </c>
      <c r="B223" s="2" t="inlineStr">
        <is>
          <t>FONCTIONNEMENT</t>
        </is>
      </c>
      <c r="C223" s="2" t="inlineStr">
        <is>
          <t>ENGAGE</t>
        </is>
      </c>
      <c r="D223" s="3" t="n">
        <v>132000</v>
      </c>
    </row>
    <row r="224">
      <c r="A224" s="2" t="inlineStr">
        <is>
          <t>TAMAZIGHT</t>
        </is>
      </c>
      <c r="B224" s="2" t="inlineStr">
        <is>
          <t>FONCTIONNEMENT</t>
        </is>
      </c>
      <c r="C224" s="2" t="inlineStr">
        <is>
          <t>ENGAGE</t>
        </is>
      </c>
      <c r="D224" s="3" t="n">
        <v>84000</v>
      </c>
    </row>
    <row r="225">
      <c r="A225" s="2" t="inlineStr">
        <is>
          <t>TAMAZIGHT</t>
        </is>
      </c>
      <c r="B225" s="2" t="inlineStr">
        <is>
          <t>FONCTIONNEMENT</t>
        </is>
      </c>
      <c r="C225" s="2" t="inlineStr">
        <is>
          <t>ENGAGE</t>
        </is>
      </c>
      <c r="D225" s="3" t="n">
        <v>96000</v>
      </c>
    </row>
    <row r="226">
      <c r="A226" s="2" t="inlineStr">
        <is>
          <t>TAMAZIGHT</t>
        </is>
      </c>
      <c r="B226" s="2" t="inlineStr">
        <is>
          <t>FONCTIONNEMENT</t>
        </is>
      </c>
      <c r="C226" s="2" t="inlineStr">
        <is>
          <t>ENGAGE</t>
        </is>
      </c>
      <c r="D226" s="3" t="n">
        <v>96000</v>
      </c>
    </row>
    <row r="227">
      <c r="A227" s="2" t="inlineStr">
        <is>
          <t>TAMAZIGHT</t>
        </is>
      </c>
      <c r="B227" s="2" t="inlineStr">
        <is>
          <t>FONCTIONNEMENT</t>
        </is>
      </c>
      <c r="C227" s="2" t="inlineStr">
        <is>
          <t>ENGAGE</t>
        </is>
      </c>
      <c r="D227" s="3" t="n">
        <v>96000</v>
      </c>
    </row>
    <row r="228">
      <c r="A228" s="2" t="inlineStr">
        <is>
          <t>TAMAZIGHT</t>
        </is>
      </c>
      <c r="B228" s="2" t="inlineStr">
        <is>
          <t>FONCTIONNEMENT</t>
        </is>
      </c>
      <c r="C228" s="2" t="inlineStr">
        <is>
          <t>ENGAGE</t>
        </is>
      </c>
      <c r="D228" s="3" t="n">
        <v>96000</v>
      </c>
    </row>
    <row r="229">
      <c r="A229" s="2" t="inlineStr">
        <is>
          <t>TAMAZIGHT</t>
        </is>
      </c>
      <c r="B229" s="2" t="inlineStr">
        <is>
          <t>FONCTIONNEMENT</t>
        </is>
      </c>
      <c r="C229" s="2" t="inlineStr">
        <is>
          <t>ENGAGE</t>
        </is>
      </c>
      <c r="D229" s="3" t="n">
        <v>96000</v>
      </c>
    </row>
    <row r="230">
      <c r="A230" s="2" t="inlineStr">
        <is>
          <t>TAMAZIGHT</t>
        </is>
      </c>
      <c r="B230" s="2" t="inlineStr">
        <is>
          <t>FONCTIONNEMENT</t>
        </is>
      </c>
      <c r="C230" s="2" t="inlineStr">
        <is>
          <t>ENGAGE</t>
        </is>
      </c>
      <c r="D230" s="3" t="n">
        <v>96000</v>
      </c>
    </row>
    <row r="231">
      <c r="A231" s="2" t="inlineStr">
        <is>
          <t>TAMAZIGHT</t>
        </is>
      </c>
      <c r="B231" s="2" t="inlineStr">
        <is>
          <t>FONCTIONNEMENT</t>
        </is>
      </c>
      <c r="C231" s="2" t="inlineStr">
        <is>
          <t>ENGAGE</t>
        </is>
      </c>
      <c r="D231" s="3" t="n">
        <v>457142.72</v>
      </c>
    </row>
    <row r="232">
      <c r="A232" s="2" t="inlineStr">
        <is>
          <t>TAMAZIGHT</t>
        </is>
      </c>
      <c r="B232" s="2" t="inlineStr">
        <is>
          <t>FONCTIONNEMENT</t>
        </is>
      </c>
      <c r="C232" s="2" t="inlineStr">
        <is>
          <t>ENGAGE</t>
        </is>
      </c>
      <c r="D232" s="3" t="n">
        <v>41600</v>
      </c>
    </row>
    <row r="233">
      <c r="A233" s="2" t="inlineStr">
        <is>
          <t>TAMAZIGHT</t>
        </is>
      </c>
      <c r="B233" s="2" t="inlineStr">
        <is>
          <t>FONCTIONNEMENT</t>
        </is>
      </c>
      <c r="C233" s="2" t="inlineStr">
        <is>
          <t>ENGAGE</t>
        </is>
      </c>
      <c r="D233" s="3" t="n">
        <v>71400</v>
      </c>
    </row>
    <row r="234">
      <c r="A234" s="2" t="inlineStr">
        <is>
          <t>TAMAZIGHT</t>
        </is>
      </c>
      <c r="B234" s="2" t="inlineStr">
        <is>
          <t>FONCTIONNEMENT</t>
        </is>
      </c>
      <c r="C234" s="2" t="inlineStr">
        <is>
          <t>ENGAGE</t>
        </is>
      </c>
      <c r="D234" s="3" t="n">
        <v>71400</v>
      </c>
    </row>
    <row r="235">
      <c r="A235" s="2" t="inlineStr">
        <is>
          <t>TAMAZIGHT</t>
        </is>
      </c>
      <c r="B235" s="2" t="inlineStr">
        <is>
          <t>FONCTIONNEMENT</t>
        </is>
      </c>
      <c r="C235" s="2" t="inlineStr">
        <is>
          <t>ENGAGE</t>
        </is>
      </c>
      <c r="D235" s="3" t="n">
        <v>71400</v>
      </c>
    </row>
    <row r="236">
      <c r="A236" s="2" t="inlineStr">
        <is>
          <t>TAMAZIGHT</t>
        </is>
      </c>
      <c r="B236" s="2" t="inlineStr">
        <is>
          <t>FONCTIONNEMENT</t>
        </is>
      </c>
      <c r="C236" s="2" t="inlineStr">
        <is>
          <t>ENGAGE</t>
        </is>
      </c>
      <c r="D236" s="3" t="n">
        <v>41600</v>
      </c>
    </row>
    <row r="237">
      <c r="A237" s="2" t="inlineStr">
        <is>
          <t>ASSADISSA</t>
        </is>
      </c>
      <c r="B237" s="2" t="inlineStr">
        <is>
          <t>FONCTIONNEMENT</t>
        </is>
      </c>
      <c r="C237" s="2" t="inlineStr">
        <is>
          <t>ENGAGE</t>
        </is>
      </c>
      <c r="D237" s="3" t="n">
        <v>96000</v>
      </c>
    </row>
    <row r="238">
      <c r="A238" s="2" t="inlineStr">
        <is>
          <t>ASSADISSA</t>
        </is>
      </c>
      <c r="B238" s="2" t="inlineStr">
        <is>
          <t>FONCTIONNEMENT</t>
        </is>
      </c>
      <c r="C238" s="2" t="inlineStr">
        <is>
          <t>ENGAGE</t>
        </is>
      </c>
      <c r="D238" s="3" t="n">
        <v>51600</v>
      </c>
    </row>
    <row r="239">
      <c r="A239" s="2" t="inlineStr">
        <is>
          <t>ASSADISSA</t>
        </is>
      </c>
      <c r="B239" s="2" t="inlineStr">
        <is>
          <t>FONCTIONNEMENT</t>
        </is>
      </c>
      <c r="C239" s="2" t="inlineStr">
        <is>
          <t>ENGAGE</t>
        </is>
      </c>
      <c r="D239" s="3" t="n">
        <v>51600</v>
      </c>
    </row>
    <row r="240">
      <c r="A240" s="2" t="inlineStr">
        <is>
          <t>ASSADISSA</t>
        </is>
      </c>
      <c r="B240" s="2" t="inlineStr">
        <is>
          <t>FONCTIONNEMENT</t>
        </is>
      </c>
      <c r="C240" s="2" t="inlineStr">
        <is>
          <t>ENGAGE</t>
        </is>
      </c>
      <c r="D240" s="3" t="n">
        <v>51600</v>
      </c>
    </row>
    <row r="241">
      <c r="A241" s="2" t="inlineStr">
        <is>
          <t>ASSADISSA</t>
        </is>
      </c>
      <c r="B241" s="2" t="inlineStr">
        <is>
          <t>FONCTIONNEMENT</t>
        </is>
      </c>
      <c r="C241" s="2" t="inlineStr">
        <is>
          <t>ENGAGE</t>
        </is>
      </c>
      <c r="D241" s="3" t="n">
        <v>51600</v>
      </c>
    </row>
    <row r="242">
      <c r="A242" s="2" t="inlineStr">
        <is>
          <t>ASSADISSA</t>
        </is>
      </c>
      <c r="B242" s="2" t="inlineStr">
        <is>
          <t>FONCTIONNEMENT</t>
        </is>
      </c>
      <c r="C242" s="2" t="inlineStr">
        <is>
          <t>ENGAGE</t>
        </is>
      </c>
      <c r="D242" s="3" t="n">
        <v>51600</v>
      </c>
    </row>
    <row r="243">
      <c r="A243" s="2" t="inlineStr">
        <is>
          <t>ASSADISSA</t>
        </is>
      </c>
      <c r="B243" s="2" t="inlineStr">
        <is>
          <t>FONCTIONNEMENT</t>
        </is>
      </c>
      <c r="C243" s="2" t="inlineStr">
        <is>
          <t>ENGAGE</t>
        </is>
      </c>
      <c r="D243" s="3" t="n">
        <v>51600</v>
      </c>
    </row>
    <row r="244">
      <c r="A244" s="2" t="inlineStr">
        <is>
          <t>ASSADISSA</t>
        </is>
      </c>
      <c r="B244" s="2" t="inlineStr">
        <is>
          <t>FONCTIONNEMENT</t>
        </is>
      </c>
      <c r="C244" s="2" t="inlineStr">
        <is>
          <t>ENGAGE</t>
        </is>
      </c>
      <c r="D244" s="3" t="n">
        <v>51600</v>
      </c>
    </row>
    <row r="245">
      <c r="A245" s="2" t="inlineStr">
        <is>
          <t>ASSADISSA</t>
        </is>
      </c>
      <c r="B245" s="2" t="inlineStr">
        <is>
          <t>FONCTIONNEMENT</t>
        </is>
      </c>
      <c r="C245" s="2" t="inlineStr">
        <is>
          <t>ENGAGE</t>
        </is>
      </c>
      <c r="D245" s="3" t="n">
        <v>51600</v>
      </c>
    </row>
    <row r="246">
      <c r="A246" s="2" t="inlineStr">
        <is>
          <t>ASSADISSA</t>
        </is>
      </c>
      <c r="B246" s="2" t="inlineStr">
        <is>
          <t>FONCTIONNEMENT</t>
        </is>
      </c>
      <c r="C246" s="2" t="inlineStr">
        <is>
          <t>ENGAGE</t>
        </is>
      </c>
      <c r="D246" s="3" t="n">
        <v>51600</v>
      </c>
    </row>
    <row r="247">
      <c r="A247" s="2" t="inlineStr">
        <is>
          <t>ASSADISSA</t>
        </is>
      </c>
      <c r="B247" s="2" t="inlineStr">
        <is>
          <t>FONCTIONNEMENT</t>
        </is>
      </c>
      <c r="C247" s="2" t="inlineStr">
        <is>
          <t>ENGAGE</t>
        </is>
      </c>
      <c r="D247" s="3" t="n">
        <v>51600</v>
      </c>
    </row>
    <row r="248">
      <c r="A248" s="2" t="inlineStr">
        <is>
          <t>ASSADISSA</t>
        </is>
      </c>
      <c r="B248" s="2" t="inlineStr">
        <is>
          <t>FONCTIONNEMENT</t>
        </is>
      </c>
      <c r="C248" s="2" t="inlineStr">
        <is>
          <t>ENGAGE</t>
        </is>
      </c>
      <c r="D248" s="3" t="n">
        <v>51600</v>
      </c>
    </row>
    <row r="249">
      <c r="A249" s="2" t="inlineStr">
        <is>
          <t>ASSADISSA</t>
        </is>
      </c>
      <c r="B249" s="2" t="inlineStr">
        <is>
          <t>FONCTIONNEMENT</t>
        </is>
      </c>
      <c r="C249" s="2" t="inlineStr">
        <is>
          <t>ENGAGE</t>
        </is>
      </c>
      <c r="D249" s="3" t="n">
        <v>51600</v>
      </c>
    </row>
    <row r="250">
      <c r="A250" s="2" t="inlineStr">
        <is>
          <t>DTSI</t>
        </is>
      </c>
      <c r="B250" s="2" t="inlineStr">
        <is>
          <t>FONCTIONNEMENT</t>
        </is>
      </c>
      <c r="C250" s="2" t="inlineStr">
        <is>
          <t>ENGAGE</t>
        </is>
      </c>
      <c r="D250" s="3" t="n">
        <v>148800</v>
      </c>
    </row>
    <row r="251">
      <c r="A251" s="2" t="inlineStr">
        <is>
          <t>DTSI</t>
        </is>
      </c>
      <c r="B251" s="2" t="inlineStr">
        <is>
          <t>FONCTIONNEMENT</t>
        </is>
      </c>
      <c r="C251" s="2" t="inlineStr">
        <is>
          <t>ENGAGE</t>
        </is>
      </c>
      <c r="D251" s="3" t="n">
        <v>148800</v>
      </c>
    </row>
    <row r="252">
      <c r="A252" s="2" t="inlineStr">
        <is>
          <t>DTSI</t>
        </is>
      </c>
      <c r="B252" s="2" t="inlineStr">
        <is>
          <t>FONCTIONNEMENT</t>
        </is>
      </c>
      <c r="C252" s="2" t="inlineStr">
        <is>
          <t>ENGAGE</t>
        </is>
      </c>
      <c r="D252" s="3" t="n">
        <v>96000</v>
      </c>
    </row>
    <row r="253">
      <c r="A253" s="2" t="inlineStr">
        <is>
          <t>DTSI</t>
        </is>
      </c>
      <c r="B253" s="2" t="inlineStr">
        <is>
          <t>FONCTIONNEMENT</t>
        </is>
      </c>
      <c r="C253" s="2" t="inlineStr">
        <is>
          <t>NON ENGAGE</t>
        </is>
      </c>
      <c r="D253" s="3" t="n">
        <v>96000</v>
      </c>
    </row>
    <row r="254">
      <c r="A254" s="2" t="inlineStr">
        <is>
          <t>DTSI</t>
        </is>
      </c>
      <c r="B254" s="2" t="inlineStr">
        <is>
          <t>FONCTIONNEMENT</t>
        </is>
      </c>
      <c r="C254" s="2" t="inlineStr">
        <is>
          <t>ENGAGE</t>
        </is>
      </c>
      <c r="D254" s="3" t="n">
        <v>96000</v>
      </c>
    </row>
    <row r="255">
      <c r="A255" s="2" t="inlineStr">
        <is>
          <t>DTSI</t>
        </is>
      </c>
      <c r="B255" s="2" t="inlineStr">
        <is>
          <t>FONCTIONNEMENT</t>
        </is>
      </c>
      <c r="C255" s="2" t="inlineStr">
        <is>
          <t>ENGAGE</t>
        </is>
      </c>
      <c r="D255" s="3" t="n">
        <v>96000</v>
      </c>
    </row>
    <row r="256">
      <c r="A256" s="2" t="inlineStr">
        <is>
          <t>DTSI</t>
        </is>
      </c>
      <c r="B256" s="2" t="inlineStr">
        <is>
          <t>FONCTIONNEMENT</t>
        </is>
      </c>
      <c r="C256" s="2" t="inlineStr">
        <is>
          <t>ENGAGE</t>
        </is>
      </c>
      <c r="D256" s="3" t="n">
        <v>96000</v>
      </c>
    </row>
    <row r="257">
      <c r="A257" s="2" t="inlineStr">
        <is>
          <t>ASSADISSA</t>
        </is>
      </c>
      <c r="B257" s="2" t="inlineStr">
        <is>
          <t>FONCTIONNEMENT</t>
        </is>
      </c>
      <c r="C257" s="2" t="inlineStr">
        <is>
          <t>ENGAGE</t>
        </is>
      </c>
      <c r="D257" s="3" t="n">
        <v>60000</v>
      </c>
    </row>
    <row r="258">
      <c r="A258" s="2" t="inlineStr">
        <is>
          <t>ASSADISSA</t>
        </is>
      </c>
      <c r="B258" s="2" t="inlineStr">
        <is>
          <t>FONCTIONNEMENT</t>
        </is>
      </c>
      <c r="C258" s="2" t="inlineStr">
        <is>
          <t>ENGAGE</t>
        </is>
      </c>
      <c r="D258" s="3" t="n">
        <v>200000</v>
      </c>
    </row>
    <row r="259">
      <c r="A259" s="2" t="inlineStr">
        <is>
          <t>ASSADISSA</t>
        </is>
      </c>
      <c r="B259" s="2" t="inlineStr">
        <is>
          <t>FONCTIONNEMENT</t>
        </is>
      </c>
      <c r="C259" s="2" t="inlineStr">
        <is>
          <t>ENGAGE</t>
        </is>
      </c>
      <c r="D259" s="3" t="n">
        <v>228571.2</v>
      </c>
    </row>
    <row r="260">
      <c r="A260" s="2" t="inlineStr">
        <is>
          <t>ASSADISSA</t>
        </is>
      </c>
      <c r="B260" s="2" t="inlineStr">
        <is>
          <t>FONCTIONNEMENT</t>
        </is>
      </c>
      <c r="C260" s="2" t="inlineStr">
        <is>
          <t>ENGAGE</t>
        </is>
      </c>
      <c r="D260" s="3" t="n">
        <v>228571.2</v>
      </c>
    </row>
    <row r="261">
      <c r="A261" s="2" t="inlineStr">
        <is>
          <t>ASSADISSA</t>
        </is>
      </c>
      <c r="B261" s="2" t="inlineStr">
        <is>
          <t>FONCTIONNEMENT</t>
        </is>
      </c>
      <c r="C261" s="2" t="inlineStr">
        <is>
          <t>ENGAGE</t>
        </is>
      </c>
      <c r="D261" s="3" t="n">
        <v>171428.4</v>
      </c>
    </row>
    <row r="262">
      <c r="A262" s="2" t="inlineStr">
        <is>
          <t>ASSADISSA</t>
        </is>
      </c>
      <c r="B262" s="2" t="inlineStr">
        <is>
          <t>FONCTIONNEMENT</t>
        </is>
      </c>
      <c r="C262" s="2" t="inlineStr">
        <is>
          <t>ENGAGE</t>
        </is>
      </c>
      <c r="D262" s="3" t="n">
        <v>228571.2</v>
      </c>
    </row>
    <row r="263">
      <c r="A263" s="2" t="inlineStr">
        <is>
          <t>ASSADISSA</t>
        </is>
      </c>
      <c r="B263" s="2" t="inlineStr">
        <is>
          <t>FONCTIONNEMENT</t>
        </is>
      </c>
      <c r="C263" s="2" t="inlineStr">
        <is>
          <t>ENGAGE</t>
        </is>
      </c>
      <c r="D263" s="3" t="n">
        <v>171428.4</v>
      </c>
    </row>
    <row r="264">
      <c r="A264" s="2" t="inlineStr">
        <is>
          <t>ASSADISSA</t>
        </is>
      </c>
      <c r="B264" s="2" t="inlineStr">
        <is>
          <t>FONCTIONNEMENT</t>
        </is>
      </c>
      <c r="C264" s="2" t="inlineStr">
        <is>
          <t>ENGAGE</t>
        </is>
      </c>
      <c r="D264" s="3" t="n">
        <v>290399.76</v>
      </c>
    </row>
    <row r="265">
      <c r="A265" s="2" t="inlineStr">
        <is>
          <t>ASSADISSA</t>
        </is>
      </c>
      <c r="B265" s="2" t="inlineStr">
        <is>
          <t>FONCTIONNEMENT</t>
        </is>
      </c>
      <c r="C265" s="2" t="inlineStr">
        <is>
          <t>ENGAGE</t>
        </is>
      </c>
      <c r="D265" s="3" t="n">
        <v>171428.4</v>
      </c>
    </row>
    <row r="266">
      <c r="A266" s="2" t="inlineStr">
        <is>
          <t>ASSADISSA</t>
        </is>
      </c>
      <c r="B266" s="2" t="inlineStr">
        <is>
          <t>FONCTIONNEMENT</t>
        </is>
      </c>
      <c r="C266" s="2" t="inlineStr">
        <is>
          <t>ENGAGE</t>
        </is>
      </c>
      <c r="D266" s="3" t="n">
        <v>125714.16</v>
      </c>
    </row>
    <row r="267">
      <c r="A267" s="2" t="inlineStr">
        <is>
          <t>ASSADISSA</t>
        </is>
      </c>
      <c r="B267" s="2" t="inlineStr">
        <is>
          <t>FONCTIONNEMENT</t>
        </is>
      </c>
      <c r="C267" s="2" t="inlineStr">
        <is>
          <t>ENGAGE</t>
        </is>
      </c>
      <c r="D267" s="3" t="n">
        <v>152114.16</v>
      </c>
    </row>
    <row r="268">
      <c r="A268" s="2" t="inlineStr">
        <is>
          <t>ASSADISSA</t>
        </is>
      </c>
      <c r="B268" s="2" t="inlineStr">
        <is>
          <t>FONCTIONNEMENT</t>
        </is>
      </c>
      <c r="C268" s="2" t="inlineStr">
        <is>
          <t>ENGAGE</t>
        </is>
      </c>
      <c r="D268" s="3" t="n">
        <v>125714.16</v>
      </c>
    </row>
    <row r="269">
      <c r="A269" s="2" t="inlineStr">
        <is>
          <t>ASSADISSA</t>
        </is>
      </c>
      <c r="B269" s="2" t="inlineStr">
        <is>
          <t>FONCTIONNEMENT</t>
        </is>
      </c>
      <c r="C269" s="2" t="inlineStr">
        <is>
          <t>ENGAGE</t>
        </is>
      </c>
      <c r="D269" s="3" t="n">
        <v>111428.46</v>
      </c>
    </row>
    <row r="270">
      <c r="A270" s="2" t="inlineStr">
        <is>
          <t>ASSADISSA</t>
        </is>
      </c>
      <c r="B270" s="2" t="inlineStr">
        <is>
          <t>FONCTIONNEMENT</t>
        </is>
      </c>
      <c r="C270" s="2" t="inlineStr">
        <is>
          <t>ENGAGE</t>
        </is>
      </c>
      <c r="D270" s="3" t="n">
        <v>42857.1</v>
      </c>
    </row>
    <row r="271">
      <c r="A271" s="2" t="inlineStr">
        <is>
          <t>ASSADISSA</t>
        </is>
      </c>
      <c r="B271" s="2" t="inlineStr">
        <is>
          <t>FONCTIONNEMENT</t>
        </is>
      </c>
      <c r="C271" s="2" t="inlineStr">
        <is>
          <t>ENGAGE</t>
        </is>
      </c>
      <c r="D271" s="3" t="n">
        <v>57142.8</v>
      </c>
    </row>
    <row r="272">
      <c r="A272" s="2" t="inlineStr">
        <is>
          <t>ASSADISSA</t>
        </is>
      </c>
      <c r="B272" s="2" t="inlineStr">
        <is>
          <t>FONCTIONNEMENT</t>
        </is>
      </c>
      <c r="C272" s="2" t="inlineStr">
        <is>
          <t>ENGAGE</t>
        </is>
      </c>
      <c r="D272" s="3" t="n">
        <v>142857</v>
      </c>
    </row>
    <row r="273">
      <c r="A273" s="2" t="inlineStr">
        <is>
          <t>ASSADISSA</t>
        </is>
      </c>
      <c r="B273" s="2" t="inlineStr">
        <is>
          <t>FONCTIONNEMENT</t>
        </is>
      </c>
      <c r="C273" s="2" t="inlineStr">
        <is>
          <t>ENGAGE</t>
        </is>
      </c>
      <c r="D273" s="3" t="n">
        <v>99000</v>
      </c>
    </row>
    <row r="274">
      <c r="A274" s="2" t="inlineStr">
        <is>
          <t>ASSADISSA</t>
        </is>
      </c>
      <c r="B274" s="2" t="inlineStr">
        <is>
          <t>FONCTIONNEMENT</t>
        </is>
      </c>
      <c r="C274" s="2" t="inlineStr">
        <is>
          <t>ENGAGE</t>
        </is>
      </c>
      <c r="D274" s="3" t="n">
        <v>99000</v>
      </c>
    </row>
    <row r="275">
      <c r="A275" s="2" t="inlineStr">
        <is>
          <t>ASSADISSA</t>
        </is>
      </c>
      <c r="B275" s="2" t="inlineStr">
        <is>
          <t>FONCTIONNEMENT</t>
        </is>
      </c>
      <c r="C275" s="2" t="inlineStr">
        <is>
          <t>ENGAGE</t>
        </is>
      </c>
      <c r="D275" s="3" t="n">
        <v>146571.36</v>
      </c>
    </row>
    <row r="276">
      <c r="A276" s="2" t="inlineStr">
        <is>
          <t>ASSADISSA</t>
        </is>
      </c>
      <c r="B276" s="2" t="inlineStr">
        <is>
          <t>FONCTIONNEMENT</t>
        </is>
      </c>
      <c r="C276" s="2" t="inlineStr">
        <is>
          <t>ENGAGE</t>
        </is>
      </c>
      <c r="D276" s="3" t="n">
        <v>12000</v>
      </c>
    </row>
    <row r="277">
      <c r="A277" s="2" t="inlineStr">
        <is>
          <t>ASSADISSA</t>
        </is>
      </c>
      <c r="B277" s="2" t="inlineStr">
        <is>
          <t>FONCTIONNEMENT</t>
        </is>
      </c>
      <c r="C277" s="2" t="inlineStr">
        <is>
          <t>ENGAGE</t>
        </is>
      </c>
      <c r="D277" s="3" t="n">
        <v>185280</v>
      </c>
    </row>
    <row r="278">
      <c r="A278" s="2" t="inlineStr">
        <is>
          <t>ASSADISSA</t>
        </is>
      </c>
      <c r="B278" s="2" t="inlineStr">
        <is>
          <t>FONCTIONNEMENT</t>
        </is>
      </c>
      <c r="C278" s="2" t="inlineStr">
        <is>
          <t>ENGAGE</t>
        </is>
      </c>
      <c r="D278" s="3" t="n">
        <v>138000</v>
      </c>
    </row>
    <row r="279">
      <c r="A279" s="2" t="inlineStr">
        <is>
          <t>ASSADISSA</t>
        </is>
      </c>
      <c r="B279" s="2" t="inlineStr">
        <is>
          <t>FONCTIONNEMENT</t>
        </is>
      </c>
      <c r="C279" s="2" t="inlineStr">
        <is>
          <t>ENGAGE</t>
        </is>
      </c>
      <c r="D279" s="3" t="n">
        <v>60000</v>
      </c>
    </row>
    <row r="280">
      <c r="A280" s="2" t="inlineStr">
        <is>
          <t>ASSADISSA</t>
        </is>
      </c>
      <c r="B280" s="2" t="inlineStr">
        <is>
          <t>FONCTIONNEMENT</t>
        </is>
      </c>
      <c r="C280" s="2" t="inlineStr">
        <is>
          <t>ENGAGE</t>
        </is>
      </c>
      <c r="D280" s="3" t="n">
        <v>54000</v>
      </c>
    </row>
    <row r="281">
      <c r="A281" s="2" t="inlineStr">
        <is>
          <t>ASSADISSA</t>
        </is>
      </c>
      <c r="B281" s="2" t="inlineStr">
        <is>
          <t>FONCTIONNEMENT</t>
        </is>
      </c>
      <c r="C281" s="2" t="inlineStr">
        <is>
          <t>ENGAGE</t>
        </is>
      </c>
      <c r="D281" s="3" t="n">
        <v>60000</v>
      </c>
    </row>
    <row r="282">
      <c r="A282" s="2" t="inlineStr">
        <is>
          <t>ASSADISSA</t>
        </is>
      </c>
      <c r="B282" s="2" t="inlineStr">
        <is>
          <t>FONCTIONNEMENT</t>
        </is>
      </c>
      <c r="C282" s="2" t="inlineStr">
        <is>
          <t>ENGAGE</t>
        </is>
      </c>
      <c r="D282" s="3" t="n">
        <v>100000</v>
      </c>
    </row>
    <row r="283">
      <c r="A283" s="2" t="inlineStr">
        <is>
          <t>ASSADISSA</t>
        </is>
      </c>
      <c r="B283" s="2" t="inlineStr">
        <is>
          <t>FONCTIONNEMENT</t>
        </is>
      </c>
      <c r="C283" s="2" t="inlineStr">
        <is>
          <t>ENGAGE</t>
        </is>
      </c>
      <c r="D283" s="3" t="n">
        <v>26000</v>
      </c>
    </row>
    <row r="284">
      <c r="A284" s="2" t="inlineStr">
        <is>
          <t>ASSADISSA</t>
        </is>
      </c>
      <c r="B284" s="2" t="inlineStr">
        <is>
          <t>FONCTIONNEMENT</t>
        </is>
      </c>
      <c r="C284" s="2" t="inlineStr">
        <is>
          <t>ENGAGE</t>
        </is>
      </c>
      <c r="D284" s="3" t="n">
        <v>72000</v>
      </c>
    </row>
    <row r="285">
      <c r="A285" s="2" t="inlineStr">
        <is>
          <t>ASSADISSA</t>
        </is>
      </c>
      <c r="B285" s="2" t="inlineStr">
        <is>
          <t>FONCTIONNEMENT</t>
        </is>
      </c>
      <c r="C285" s="2" t="inlineStr">
        <is>
          <t>ENGAGE</t>
        </is>
      </c>
      <c r="D285" s="3" t="n">
        <v>208000</v>
      </c>
    </row>
    <row r="286">
      <c r="A286" s="2" t="inlineStr">
        <is>
          <t>ASSADISSA</t>
        </is>
      </c>
      <c r="B286" s="2" t="inlineStr">
        <is>
          <t>FONCTIONNEMENT</t>
        </is>
      </c>
      <c r="C286" s="2" t="inlineStr">
        <is>
          <t>ENGAGE</t>
        </is>
      </c>
      <c r="D286" s="3" t="n">
        <v>130000</v>
      </c>
    </row>
    <row r="287">
      <c r="A287" s="2" t="inlineStr">
        <is>
          <t>ASSADISSA</t>
        </is>
      </c>
      <c r="B287" s="2" t="inlineStr">
        <is>
          <t>FONCTIONNEMENT</t>
        </is>
      </c>
      <c r="C287" s="2" t="inlineStr">
        <is>
          <t>ENGAGE</t>
        </is>
      </c>
      <c r="D287" s="3" t="n">
        <v>208000</v>
      </c>
    </row>
    <row r="288">
      <c r="A288" s="2" t="inlineStr">
        <is>
          <t>ASSADISSA</t>
        </is>
      </c>
      <c r="B288" s="2" t="inlineStr">
        <is>
          <t>FONCTIONNEMENT</t>
        </is>
      </c>
      <c r="C288" s="2" t="inlineStr">
        <is>
          <t>ENGAGE</t>
        </is>
      </c>
      <c r="D288" s="3" t="n">
        <v>148200</v>
      </c>
    </row>
    <row r="289">
      <c r="A289" s="2" t="inlineStr">
        <is>
          <t>ASSADISSA</t>
        </is>
      </c>
      <c r="B289" s="2" t="inlineStr">
        <is>
          <t>FONCTIONNEMENT</t>
        </is>
      </c>
      <c r="C289" s="2" t="inlineStr">
        <is>
          <t>ENGAGE</t>
        </is>
      </c>
      <c r="D289" s="3" t="n">
        <v>85800</v>
      </c>
    </row>
    <row r="290">
      <c r="A290" s="2" t="inlineStr">
        <is>
          <t>ASSADISSA</t>
        </is>
      </c>
      <c r="B290" s="2" t="inlineStr">
        <is>
          <t>FONCTIONNEMENT</t>
        </is>
      </c>
      <c r="C290" s="2" t="inlineStr">
        <is>
          <t>ENGAGE</t>
        </is>
      </c>
      <c r="D290" s="3" t="n">
        <v>72000</v>
      </c>
    </row>
    <row r="291">
      <c r="A291" s="2" t="inlineStr">
        <is>
          <t>ASSADISSA</t>
        </is>
      </c>
      <c r="B291" s="2" t="inlineStr">
        <is>
          <t>FONCTIONNEMENT</t>
        </is>
      </c>
      <c r="C291" s="2" t="inlineStr">
        <is>
          <t>ENGAGE</t>
        </is>
      </c>
      <c r="D291" s="3" t="n">
        <v>156000</v>
      </c>
    </row>
    <row r="292">
      <c r="A292" s="2" t="inlineStr">
        <is>
          <t>ASSADISSA</t>
        </is>
      </c>
      <c r="B292" s="2" t="inlineStr">
        <is>
          <t>FONCTIONNEMENT</t>
        </is>
      </c>
      <c r="C292" s="2" t="inlineStr">
        <is>
          <t>ENGAGE</t>
        </is>
      </c>
      <c r="D292" s="3" t="n">
        <v>128000</v>
      </c>
    </row>
    <row r="293">
      <c r="A293" s="2" t="inlineStr">
        <is>
          <t>ASSADISSA</t>
        </is>
      </c>
      <c r="B293" s="2" t="inlineStr">
        <is>
          <t>FONCTIONNEMENT</t>
        </is>
      </c>
      <c r="C293" s="2" t="inlineStr">
        <is>
          <t>ENGAGE</t>
        </is>
      </c>
      <c r="D293" s="3" t="n">
        <v>24000</v>
      </c>
    </row>
    <row r="294">
      <c r="A294" s="2" t="inlineStr">
        <is>
          <t>ASSADISSA</t>
        </is>
      </c>
      <c r="B294" s="2" t="inlineStr">
        <is>
          <t>FONCTIONNEMENT</t>
        </is>
      </c>
      <c r="C294" s="2" t="inlineStr">
        <is>
          <t>ENGAGE</t>
        </is>
      </c>
      <c r="D294" s="3" t="n">
        <v>45000</v>
      </c>
    </row>
    <row r="295">
      <c r="A295" s="2" t="inlineStr">
        <is>
          <t>ASSADISSA</t>
        </is>
      </c>
      <c r="B295" s="2" t="inlineStr">
        <is>
          <t>FONCTIONNEMENT</t>
        </is>
      </c>
      <c r="C295" s="2" t="inlineStr">
        <is>
          <t>ENGAGE</t>
        </is>
      </c>
      <c r="D295" s="3" t="n">
        <v>80000</v>
      </c>
    </row>
    <row r="296">
      <c r="A296" s="2" t="inlineStr">
        <is>
          <t>ASSADISSA</t>
        </is>
      </c>
      <c r="B296" s="2" t="inlineStr">
        <is>
          <t>FONCTIONNEMENT</t>
        </is>
      </c>
      <c r="C296" s="2" t="inlineStr">
        <is>
          <t>ENGAGE</t>
        </is>
      </c>
      <c r="D296" s="3" t="n">
        <v>72000</v>
      </c>
    </row>
    <row r="297">
      <c r="A297" s="2" t="inlineStr">
        <is>
          <t>ASSADISSA</t>
        </is>
      </c>
      <c r="B297" s="2" t="inlineStr">
        <is>
          <t>FONCTIONNEMENT</t>
        </is>
      </c>
      <c r="C297" s="2" t="inlineStr">
        <is>
          <t>ENGAGE</t>
        </is>
      </c>
      <c r="D297" s="3" t="n">
        <v>80000</v>
      </c>
    </row>
    <row r="298">
      <c r="A298" s="2" t="inlineStr">
        <is>
          <t>ASSADISSA</t>
        </is>
      </c>
      <c r="B298" s="2" t="inlineStr">
        <is>
          <t>FONCTIONNEMENT</t>
        </is>
      </c>
      <c r="C298" s="2" t="inlineStr">
        <is>
          <t>ENGAGE</t>
        </is>
      </c>
      <c r="D298" s="3" t="n">
        <v>96000</v>
      </c>
    </row>
    <row r="299">
      <c r="A299" s="2" t="inlineStr">
        <is>
          <t>ASSADISSA</t>
        </is>
      </c>
      <c r="B299" s="2" t="inlineStr">
        <is>
          <t>FONCTIONNEMENT</t>
        </is>
      </c>
      <c r="C299" s="2" t="inlineStr">
        <is>
          <t>ENGAGE</t>
        </is>
      </c>
      <c r="D299" s="3" t="n">
        <v>128000</v>
      </c>
    </row>
    <row r="300">
      <c r="A300" s="2" t="inlineStr">
        <is>
          <t>ASSADISSA</t>
        </is>
      </c>
      <c r="B300" s="2" t="inlineStr">
        <is>
          <t>FONCTIONNEMENT</t>
        </is>
      </c>
      <c r="C300" s="2" t="inlineStr">
        <is>
          <t>ENGAGE</t>
        </is>
      </c>
      <c r="D300" s="3" t="n">
        <v>80000</v>
      </c>
    </row>
    <row r="301">
      <c r="A301" s="2" t="inlineStr">
        <is>
          <t>ASSADISSA</t>
        </is>
      </c>
      <c r="B301" s="2" t="inlineStr">
        <is>
          <t>FONCTIONNEMENT</t>
        </is>
      </c>
      <c r="C301" s="2" t="inlineStr">
        <is>
          <t>ENGAGE</t>
        </is>
      </c>
      <c r="D301" s="3" t="n">
        <v>51428.52</v>
      </c>
    </row>
    <row r="302">
      <c r="A302" s="2" t="inlineStr">
        <is>
          <t>TV LAAYOUNE</t>
        </is>
      </c>
      <c r="B302" s="2" t="inlineStr">
        <is>
          <t>FONCTIONNEMENT</t>
        </is>
      </c>
      <c r="C302" s="2" t="inlineStr">
        <is>
          <t>ENGAGE</t>
        </is>
      </c>
      <c r="D302" s="3" t="n">
        <v>1030959.9</v>
      </c>
    </row>
    <row r="303">
      <c r="A303" s="2" t="inlineStr">
        <is>
          <t>TV LAAYOUNE</t>
        </is>
      </c>
      <c r="B303" s="2" t="inlineStr">
        <is>
          <t>FONCTIONNEMENT</t>
        </is>
      </c>
      <c r="C303" s="2" t="inlineStr">
        <is>
          <t>ENGAGE</t>
        </is>
      </c>
      <c r="D303" s="3" t="n">
        <v>696639.96</v>
      </c>
    </row>
    <row r="304">
      <c r="A304" s="2" t="inlineStr">
        <is>
          <t>TV LAAYOUNE</t>
        </is>
      </c>
      <c r="B304" s="2" t="inlineStr">
        <is>
          <t>FONCTIONNEMENT</t>
        </is>
      </c>
      <c r="C304" s="2" t="inlineStr">
        <is>
          <t>ENGAGE</t>
        </is>
      </c>
      <c r="D304" s="3" t="n">
        <v>1195599.9</v>
      </c>
    </row>
    <row r="305">
      <c r="A305" s="2" t="inlineStr">
        <is>
          <t>TV LAAYOUNE</t>
        </is>
      </c>
      <c r="B305" s="2" t="inlineStr">
        <is>
          <t>FONCTIONNEMENT</t>
        </is>
      </c>
      <c r="C305" s="2" t="inlineStr">
        <is>
          <t>ENGAGE</t>
        </is>
      </c>
      <c r="D305" s="3" t="n">
        <v>1687503.9</v>
      </c>
    </row>
    <row r="306">
      <c r="A306" s="2" t="inlineStr">
        <is>
          <t>TV LAAYOUNE</t>
        </is>
      </c>
      <c r="B306" s="2" t="inlineStr">
        <is>
          <t>FONCTIONNEMENT</t>
        </is>
      </c>
      <c r="C306" s="2" t="inlineStr">
        <is>
          <t>ENGAGE</t>
        </is>
      </c>
      <c r="D306" s="3" t="n">
        <v>933296.1</v>
      </c>
    </row>
    <row r="307">
      <c r="A307" s="2" t="inlineStr">
        <is>
          <t>TV LAAYOUNE</t>
        </is>
      </c>
      <c r="B307" s="2" t="inlineStr">
        <is>
          <t>FONCTIONNEMENT</t>
        </is>
      </c>
      <c r="C307" s="2" t="inlineStr">
        <is>
          <t>ENGAGE</t>
        </is>
      </c>
      <c r="D307" s="3" t="n">
        <v>1184400</v>
      </c>
    </row>
    <row r="308">
      <c r="A308" s="2" t="inlineStr">
        <is>
          <t>TV LAAYOUNE</t>
        </is>
      </c>
      <c r="B308" s="2" t="inlineStr">
        <is>
          <t>FONCTIONNEMENT</t>
        </is>
      </c>
      <c r="C308" s="2" t="inlineStr">
        <is>
          <t>ENGAGE</t>
        </is>
      </c>
      <c r="D308" s="3" t="n">
        <v>875616</v>
      </c>
    </row>
    <row r="309">
      <c r="A309" s="2" t="inlineStr">
        <is>
          <t>TV LAAYOUNE</t>
        </is>
      </c>
      <c r="B309" s="2" t="inlineStr">
        <is>
          <t>FONCTIONNEMENT</t>
        </is>
      </c>
      <c r="C309" s="2" t="inlineStr">
        <is>
          <t>ENGAGE</t>
        </is>
      </c>
      <c r="D309" s="3" t="n">
        <v>625408</v>
      </c>
    </row>
    <row r="310">
      <c r="A310" s="2" t="inlineStr">
        <is>
          <t>TV LAAYOUNE</t>
        </is>
      </c>
      <c r="B310" s="2" t="inlineStr">
        <is>
          <t>FONCTIONNEMENT</t>
        </is>
      </c>
      <c r="C310" s="2" t="inlineStr">
        <is>
          <t>ENGAGE</t>
        </is>
      </c>
      <c r="D310" s="3" t="n">
        <v>1156108.8</v>
      </c>
    </row>
    <row r="311">
      <c r="A311" s="2" t="inlineStr">
        <is>
          <t>TV LAAYOUNE</t>
        </is>
      </c>
      <c r="B311" s="2" t="inlineStr">
        <is>
          <t>FONCTIONNEMENT</t>
        </is>
      </c>
      <c r="C311" s="2" t="inlineStr">
        <is>
          <t>ENGAGE</t>
        </is>
      </c>
      <c r="D311" s="3" t="n">
        <v>817935.9</v>
      </c>
    </row>
    <row r="312">
      <c r="A312" s="2" t="inlineStr">
        <is>
          <t>TV LAAYOUNE</t>
        </is>
      </c>
      <c r="B312" s="2" t="inlineStr">
        <is>
          <t>FONCTIONNEMENT</t>
        </is>
      </c>
      <c r="C312" s="2" t="inlineStr">
        <is>
          <t>ENGAGE</t>
        </is>
      </c>
      <c r="D312" s="3" t="n">
        <v>882000</v>
      </c>
    </row>
    <row r="313">
      <c r="A313" s="2" t="inlineStr">
        <is>
          <t>TV LAAYOUNE</t>
        </is>
      </c>
      <c r="B313" s="2" t="inlineStr">
        <is>
          <t>FONCTIONNEMENT</t>
        </is>
      </c>
      <c r="C313" s="2" t="inlineStr">
        <is>
          <t>ENGAGE</t>
        </is>
      </c>
      <c r="D313" s="3" t="n">
        <v>1190246.4</v>
      </c>
    </row>
    <row r="314">
      <c r="A314" s="2" t="inlineStr">
        <is>
          <t>TV LAAYOUNE</t>
        </is>
      </c>
      <c r="B314" s="2" t="inlineStr">
        <is>
          <t>FONCTIONNEMENT</t>
        </is>
      </c>
      <c r="C314" s="2" t="inlineStr">
        <is>
          <t>ENGAGE</t>
        </is>
      </c>
      <c r="D314" s="3" t="n">
        <v>2334998.4</v>
      </c>
    </row>
    <row r="315">
      <c r="A315" s="2" t="inlineStr">
        <is>
          <t>TV LAAYOUNE</t>
        </is>
      </c>
      <c r="B315" s="2" t="inlineStr">
        <is>
          <t>FONCTIONNEMENT</t>
        </is>
      </c>
      <c r="C315" s="2" t="inlineStr">
        <is>
          <t>ENGAGE</t>
        </is>
      </c>
      <c r="D315" s="3" t="n">
        <v>1204224.12</v>
      </c>
    </row>
    <row r="316">
      <c r="A316" s="2" t="inlineStr">
        <is>
          <t>TV LAAYOUNE</t>
        </is>
      </c>
      <c r="B316" s="2" t="inlineStr">
        <is>
          <t>FONCTIONNEMENT</t>
        </is>
      </c>
      <c r="C316" s="2" t="inlineStr">
        <is>
          <t>ENGAGE</t>
        </is>
      </c>
      <c r="D316" s="3" t="n">
        <v>1029503.88</v>
      </c>
    </row>
    <row r="317">
      <c r="A317" s="2" t="inlineStr">
        <is>
          <t>TV LAAYOUNE</t>
        </is>
      </c>
      <c r="B317" s="2" t="inlineStr">
        <is>
          <t>FONCTIONNEMENT</t>
        </is>
      </c>
      <c r="C317" s="2" t="inlineStr">
        <is>
          <t>ENGAGE</t>
        </is>
      </c>
      <c r="D317" s="3" t="n">
        <v>491736</v>
      </c>
    </row>
    <row r="318">
      <c r="A318" s="2" t="inlineStr">
        <is>
          <t>TV LAAYOUNE</t>
        </is>
      </c>
      <c r="B318" s="2" t="inlineStr">
        <is>
          <t>FONCTIONNEMENT</t>
        </is>
      </c>
      <c r="C318" s="2" t="inlineStr">
        <is>
          <t>ENGAGE</t>
        </is>
      </c>
      <c r="D318" s="3" t="n">
        <v>2335872</v>
      </c>
    </row>
    <row r="319">
      <c r="A319" s="2" t="inlineStr">
        <is>
          <t>TV LAAYOUNE</t>
        </is>
      </c>
      <c r="B319" s="2" t="inlineStr">
        <is>
          <t>FONCTIONNEMENT</t>
        </is>
      </c>
      <c r="C319" s="2" t="inlineStr">
        <is>
          <t>ENGAGE</t>
        </is>
      </c>
      <c r="D319" s="3" t="n">
        <v>1713936</v>
      </c>
    </row>
    <row r="320">
      <c r="A320" s="2" t="inlineStr">
        <is>
          <t>DA</t>
        </is>
      </c>
      <c r="B320" s="2" t="inlineStr">
        <is>
          <t>FONCTIONNEMENT</t>
        </is>
      </c>
      <c r="C320" s="2" t="inlineStr">
        <is>
          <t>ENGAGE</t>
        </is>
      </c>
      <c r="D320" s="3" t="n">
        <v>6360</v>
      </c>
    </row>
    <row r="321">
      <c r="A321" s="2" t="inlineStr">
        <is>
          <t>DCPA</t>
        </is>
      </c>
      <c r="B321" s="2" t="inlineStr">
        <is>
          <t>FONCTIONNEMENT</t>
        </is>
      </c>
      <c r="C321" s="2" t="inlineStr">
        <is>
          <t>ENGAGE</t>
        </is>
      </c>
      <c r="D321" s="3" t="n">
        <v>146341.46</v>
      </c>
    </row>
    <row r="322">
      <c r="A322" s="2" t="inlineStr">
        <is>
          <t>DMPTV</t>
        </is>
      </c>
      <c r="B322" s="2" t="inlineStr">
        <is>
          <t>FONCTIONNEMENT</t>
        </is>
      </c>
      <c r="C322" s="2" t="inlineStr">
        <is>
          <t>ENGAGE</t>
        </is>
      </c>
      <c r="D322" s="3" t="n">
        <v>6720001.92</v>
      </c>
    </row>
    <row r="323">
      <c r="A323" s="2" t="inlineStr">
        <is>
          <t>DPMG</t>
        </is>
      </c>
      <c r="B323" s="2" t="inlineStr">
        <is>
          <t>FONCTIONNEMENT</t>
        </is>
      </c>
      <c r="C323" s="2" t="inlineStr">
        <is>
          <t>ENGAGE</t>
        </is>
      </c>
      <c r="D323" s="3" t="n">
        <v>9199242.609999999</v>
      </c>
    </row>
    <row r="324">
      <c r="A324" s="2" t="inlineStr">
        <is>
          <t>DPMG</t>
        </is>
      </c>
      <c r="B324" s="2" t="inlineStr">
        <is>
          <t>INVESTISSEMENT</t>
        </is>
      </c>
      <c r="C324" s="2" t="inlineStr">
        <is>
          <t>EN COURS DE PREENGAGEMENT</t>
        </is>
      </c>
      <c r="D324" s="3" t="n">
        <v>2608444.8</v>
      </c>
    </row>
    <row r="325">
      <c r="A325" s="2" t="inlineStr">
        <is>
          <t>DPMG</t>
        </is>
      </c>
      <c r="B325" s="2" t="inlineStr">
        <is>
          <t>INVESTISSEMENT</t>
        </is>
      </c>
      <c r="C325" s="2" t="inlineStr">
        <is>
          <t>EN COURS DE PREENGAGEMENT</t>
        </is>
      </c>
      <c r="D325" s="3" t="n">
        <v>587419.2</v>
      </c>
    </row>
    <row r="326">
      <c r="A326" s="2" t="inlineStr">
        <is>
          <t>DPMG</t>
        </is>
      </c>
      <c r="B326" s="2" t="inlineStr">
        <is>
          <t>INVESTISSEMENT</t>
        </is>
      </c>
      <c r="C326" s="2" t="inlineStr">
        <is>
          <t>EN COURS DE PREENGAGEMENT</t>
        </is>
      </c>
      <c r="D326" s="3" t="n">
        <v>1427148</v>
      </c>
    </row>
    <row r="327">
      <c r="A327" s="2" t="inlineStr">
        <is>
          <t>DPMG</t>
        </is>
      </c>
      <c r="B327" s="2" t="inlineStr">
        <is>
          <t>INVESTISSEMENT</t>
        </is>
      </c>
      <c r="C327" s="2" t="inlineStr">
        <is>
          <t>ENGAGE</t>
        </is>
      </c>
      <c r="D327" s="3" t="n">
        <v>819139.2</v>
      </c>
    </row>
    <row r="328">
      <c r="A328" s="2" t="inlineStr">
        <is>
          <t>DPMG</t>
        </is>
      </c>
      <c r="B328" s="2" t="inlineStr">
        <is>
          <t>INVESTISSEMENT</t>
        </is>
      </c>
      <c r="C328" s="2" t="inlineStr">
        <is>
          <t>NON ENGAGE</t>
        </is>
      </c>
      <c r="D328" s="3" t="n">
        <v>0</v>
      </c>
    </row>
    <row r="329">
      <c r="A329" s="2" t="inlineStr">
        <is>
          <t>DPMG</t>
        </is>
      </c>
      <c r="B329" s="2" t="inlineStr">
        <is>
          <t>FONCTIONNEMENT</t>
        </is>
      </c>
      <c r="C329" s="2" t="inlineStr">
        <is>
          <t>NON ENGAGE</t>
        </is>
      </c>
      <c r="D329" s="3" t="n">
        <v>0</v>
      </c>
    </row>
    <row r="330">
      <c r="A330" s="2" t="inlineStr">
        <is>
          <t>TDF -SITES</t>
        </is>
      </c>
      <c r="B330" s="2" t="inlineStr">
        <is>
          <t>INVESTISSEMENT</t>
        </is>
      </c>
      <c r="C330" s="2" t="inlineStr">
        <is>
          <t>ENGAGE</t>
        </is>
      </c>
      <c r="D330" s="3" t="n">
        <v>3228000</v>
      </c>
    </row>
    <row r="331">
      <c r="A331" s="2" t="inlineStr">
        <is>
          <t>TDF -SITES</t>
        </is>
      </c>
      <c r="B331" s="2" t="inlineStr">
        <is>
          <t>INVESTISSEMENT</t>
        </is>
      </c>
      <c r="C331" s="2" t="inlineStr">
        <is>
          <t>ENGAGE</t>
        </is>
      </c>
      <c r="D331" s="3" t="n">
        <v>2497248</v>
      </c>
    </row>
    <row r="332">
      <c r="A332" s="2" t="inlineStr">
        <is>
          <t>DA</t>
        </is>
      </c>
      <c r="B332" s="2" t="inlineStr">
        <is>
          <t>FONCTIONNEMENT</t>
        </is>
      </c>
      <c r="C332" s="2" t="inlineStr">
        <is>
          <t>ENGAGE</t>
        </is>
      </c>
      <c r="D332" s="3" t="n">
        <v>96000</v>
      </c>
    </row>
    <row r="333">
      <c r="A333" s="2" t="inlineStr">
        <is>
          <t>DA</t>
        </is>
      </c>
      <c r="B333" s="2" t="inlineStr">
        <is>
          <t>FONCTIONNEMENT</t>
        </is>
      </c>
      <c r="C333" s="2" t="inlineStr">
        <is>
          <t>ENGAGE</t>
        </is>
      </c>
      <c r="D333" s="3" t="n">
        <v>181400</v>
      </c>
    </row>
    <row r="334">
      <c r="A334" s="2" t="inlineStr">
        <is>
          <t>DA</t>
        </is>
      </c>
      <c r="B334" s="2" t="inlineStr">
        <is>
          <t>FONCTIONNEMENT</t>
        </is>
      </c>
      <c r="C334" s="2" t="inlineStr">
        <is>
          <t>ENGAGE</t>
        </is>
      </c>
      <c r="D334" s="3" t="n">
        <v>96000</v>
      </c>
    </row>
    <row r="335">
      <c r="A335" s="2" t="inlineStr">
        <is>
          <t>DA</t>
        </is>
      </c>
      <c r="B335" s="2" t="inlineStr">
        <is>
          <t>FONCTIONNEMENT</t>
        </is>
      </c>
      <c r="C335" s="2" t="inlineStr">
        <is>
          <t>ENGAGE</t>
        </is>
      </c>
      <c r="D335" s="3" t="n">
        <v>48000</v>
      </c>
    </row>
    <row r="336">
      <c r="A336" s="2" t="inlineStr">
        <is>
          <t>DCPA</t>
        </is>
      </c>
      <c r="B336" s="2" t="inlineStr">
        <is>
          <t>FONCTIONNEMENT</t>
        </is>
      </c>
      <c r="C336" s="2" t="inlineStr">
        <is>
          <t>ENGAGE</t>
        </is>
      </c>
      <c r="D336" s="3" t="n">
        <v>12605142.02</v>
      </c>
    </row>
    <row r="337">
      <c r="A337" s="2" t="inlineStr">
        <is>
          <t>DRH</t>
        </is>
      </c>
      <c r="B337" s="2" t="inlineStr">
        <is>
          <t>FONCTIONNEMENT</t>
        </is>
      </c>
      <c r="C337" s="2" t="inlineStr">
        <is>
          <t>ENGAGE</t>
        </is>
      </c>
      <c r="D337" s="3" t="n">
        <v>5042037</v>
      </c>
    </row>
    <row r="338">
      <c r="A338" s="2" t="inlineStr">
        <is>
          <t>DPMG</t>
        </is>
      </c>
      <c r="B338" s="2" t="inlineStr">
        <is>
          <t>FONCTIONNEMENT</t>
        </is>
      </c>
      <c r="C338" s="2" t="inlineStr">
        <is>
          <t>ENGAGE</t>
        </is>
      </c>
      <c r="D338" s="3" t="n">
        <v>5616675.48</v>
      </c>
    </row>
    <row r="339">
      <c r="A339" s="2" t="inlineStr">
        <is>
          <t>DPMG</t>
        </is>
      </c>
      <c r="B339" s="2" t="inlineStr">
        <is>
          <t>FONCTIONNEMENT</t>
        </is>
      </c>
      <c r="C339" s="2" t="inlineStr">
        <is>
          <t>ENGAGE</t>
        </is>
      </c>
      <c r="D339" s="3" t="n">
        <v>1290060</v>
      </c>
    </row>
    <row r="340">
      <c r="A340" s="2" t="inlineStr">
        <is>
          <t>DCPA</t>
        </is>
      </c>
      <c r="B340" s="2" t="inlineStr">
        <is>
          <t>FONCTIONNEMENT</t>
        </is>
      </c>
      <c r="C340" s="2" t="inlineStr">
        <is>
          <t>ENGAGE</t>
        </is>
      </c>
      <c r="D340" s="3" t="n">
        <v>60975.61</v>
      </c>
    </row>
    <row r="341">
      <c r="A341" s="2" t="inlineStr">
        <is>
          <t>DCPA</t>
        </is>
      </c>
      <c r="B341" s="2" t="inlineStr">
        <is>
          <t>FONCTIONNEMENT</t>
        </is>
      </c>
      <c r="C341" s="2" t="inlineStr">
        <is>
          <t>ENGAGE</t>
        </is>
      </c>
      <c r="D341" s="3" t="n">
        <v>60975.61</v>
      </c>
    </row>
    <row r="342">
      <c r="A342" s="2" t="inlineStr">
        <is>
          <t>DCPA</t>
        </is>
      </c>
      <c r="B342" s="2" t="inlineStr">
        <is>
          <t>FONCTIONNEMENT</t>
        </is>
      </c>
      <c r="C342" s="2" t="inlineStr">
        <is>
          <t>ENGAGE</t>
        </is>
      </c>
      <c r="D342" s="3" t="n">
        <v>317073.17</v>
      </c>
    </row>
    <row r="343">
      <c r="A343" s="2" t="inlineStr">
        <is>
          <t>DCPA</t>
        </is>
      </c>
      <c r="B343" s="2" t="inlineStr">
        <is>
          <t>FONCTIONNEMENT</t>
        </is>
      </c>
      <c r="C343" s="2" t="inlineStr">
        <is>
          <t>ENGAGE</t>
        </is>
      </c>
      <c r="D343" s="3" t="n">
        <v>317073.17</v>
      </c>
    </row>
    <row r="344">
      <c r="A344" s="2" t="inlineStr">
        <is>
          <t>DCPA</t>
        </is>
      </c>
      <c r="B344" s="2" t="inlineStr">
        <is>
          <t>FONCTIONNEMENT</t>
        </is>
      </c>
      <c r="C344" s="2" t="inlineStr">
        <is>
          <t>ENGAGE</t>
        </is>
      </c>
      <c r="D344" s="3" t="n">
        <v>260000</v>
      </c>
    </row>
    <row r="345">
      <c r="A345" s="2" t="inlineStr">
        <is>
          <t>DPMG</t>
        </is>
      </c>
      <c r="B345" s="2" t="inlineStr">
        <is>
          <t>INVESTISSEMENT</t>
        </is>
      </c>
      <c r="C345" s="2" t="inlineStr">
        <is>
          <t>ENGAGE</t>
        </is>
      </c>
      <c r="D345" s="3" t="n">
        <v>1569228</v>
      </c>
    </row>
    <row r="346">
      <c r="A346" s="2" t="inlineStr">
        <is>
          <t>ARRIYADIA</t>
        </is>
      </c>
      <c r="B346" s="2" t="inlineStr">
        <is>
          <t>FONCTIONNEMENT</t>
        </is>
      </c>
      <c r="C346" s="2" t="inlineStr">
        <is>
          <t>ENGAGE</t>
        </is>
      </c>
      <c r="D346" s="3" t="n">
        <v>150000</v>
      </c>
    </row>
    <row r="347">
      <c r="A347" s="2" t="inlineStr">
        <is>
          <t>DMPTV</t>
        </is>
      </c>
      <c r="B347" s="2" t="inlineStr">
        <is>
          <t>FONCTIONNEMENT</t>
        </is>
      </c>
      <c r="C347" s="2" t="inlineStr">
        <is>
          <t>ENGAGE</t>
        </is>
      </c>
      <c r="D347" s="3" t="n">
        <v>642000</v>
      </c>
    </row>
    <row r="348">
      <c r="A348" s="2" t="inlineStr">
        <is>
          <t>TDF -SITES</t>
        </is>
      </c>
      <c r="B348" s="2" t="inlineStr">
        <is>
          <t>INVESTISSEMENT</t>
        </is>
      </c>
      <c r="C348" s="2" t="inlineStr">
        <is>
          <t>PREENGAGE</t>
        </is>
      </c>
      <c r="D348" s="3" t="n">
        <v>978972</v>
      </c>
    </row>
    <row r="349">
      <c r="A349" s="2" t="inlineStr">
        <is>
          <t>TDF -SITES</t>
        </is>
      </c>
      <c r="B349" s="2" t="inlineStr">
        <is>
          <t>INVESTISSEMENT</t>
        </is>
      </c>
      <c r="C349" s="2" t="inlineStr">
        <is>
          <t>ENGAGE</t>
        </is>
      </c>
      <c r="D349" s="3" t="n">
        <v>2801865.6</v>
      </c>
    </row>
    <row r="350">
      <c r="A350" s="2" t="inlineStr">
        <is>
          <t>TDF -SITES</t>
        </is>
      </c>
      <c r="B350" s="2" t="inlineStr">
        <is>
          <t>INVESTISSEMENT</t>
        </is>
      </c>
      <c r="C350" s="2" t="inlineStr">
        <is>
          <t>NON ENGAGE</t>
        </is>
      </c>
      <c r="D350" s="3" t="n">
        <v>0</v>
      </c>
    </row>
    <row r="351">
      <c r="A351" s="2" t="inlineStr">
        <is>
          <t>DTSI</t>
        </is>
      </c>
      <c r="B351" s="2" t="inlineStr">
        <is>
          <t>INVESTISSEMENT</t>
        </is>
      </c>
      <c r="C351" s="2" t="inlineStr">
        <is>
          <t>ENGAGE</t>
        </is>
      </c>
      <c r="D351" s="3" t="n">
        <v>2688636</v>
      </c>
    </row>
    <row r="352">
      <c r="A352" s="2" t="inlineStr">
        <is>
          <t>DRPSD</t>
        </is>
      </c>
      <c r="B352" s="2" t="inlineStr">
        <is>
          <t>FONCTIONNEMENT</t>
        </is>
      </c>
      <c r="C352" s="2" t="inlineStr">
        <is>
          <t>ENGAGE</t>
        </is>
      </c>
      <c r="D352" s="3" t="n">
        <v>1772000</v>
      </c>
    </row>
    <row r="353">
      <c r="A353" s="2" t="inlineStr">
        <is>
          <t>DRPSD</t>
        </is>
      </c>
      <c r="B353" s="2" t="inlineStr">
        <is>
          <t>FONCTIONNEMENT</t>
        </is>
      </c>
      <c r="C353" s="2" t="inlineStr">
        <is>
          <t>ENGAGE</t>
        </is>
      </c>
      <c r="D353" s="3" t="n">
        <v>8892550</v>
      </c>
    </row>
    <row r="354">
      <c r="A354" s="2" t="inlineStr">
        <is>
          <t>DRPSD</t>
        </is>
      </c>
      <c r="B354" s="2" t="inlineStr">
        <is>
          <t>FONCTIONNEMENT</t>
        </is>
      </c>
      <c r="C354" s="2" t="inlineStr">
        <is>
          <t>ENGAGE</t>
        </is>
      </c>
      <c r="D354" s="3" t="n">
        <v>395520</v>
      </c>
    </row>
    <row r="355">
      <c r="A355" s="2" t="inlineStr">
        <is>
          <t>DRPSD</t>
        </is>
      </c>
      <c r="B355" s="2" t="inlineStr">
        <is>
          <t>FONCTIONNEMENT</t>
        </is>
      </c>
      <c r="C355" s="2" t="inlineStr">
        <is>
          <t>NON ENGAGE</t>
        </is>
      </c>
      <c r="D355" s="3" t="n">
        <v>0</v>
      </c>
    </row>
    <row r="356">
      <c r="A356" s="2" t="inlineStr">
        <is>
          <t>DRPSD</t>
        </is>
      </c>
      <c r="B356" s="2" t="inlineStr">
        <is>
          <t>FONCTIONNEMENT</t>
        </is>
      </c>
      <c r="C356" s="2" t="inlineStr">
        <is>
          <t>EN COURS DE PREENGAGEMENT</t>
        </is>
      </c>
      <c r="D356" s="3" t="n">
        <v>240000</v>
      </c>
    </row>
    <row r="357">
      <c r="A357" s="2" t="inlineStr">
        <is>
          <t>TV LAAYOUNE</t>
        </is>
      </c>
      <c r="B357" s="2" t="inlineStr">
        <is>
          <t>FONCTIONNEMENT</t>
        </is>
      </c>
      <c r="C357" s="2" t="inlineStr">
        <is>
          <t>ENGAGE</t>
        </is>
      </c>
      <c r="D357" s="3" t="n">
        <v>13900</v>
      </c>
    </row>
    <row r="358">
      <c r="A358" s="2" t="inlineStr">
        <is>
          <t>TV LAAYOUNE</t>
        </is>
      </c>
      <c r="B358" s="2" t="inlineStr">
        <is>
          <t>FONCTIONNEMENT</t>
        </is>
      </c>
      <c r="C358" s="2" t="inlineStr">
        <is>
          <t>ENGAGE</t>
        </is>
      </c>
      <c r="D358" s="3" t="n">
        <v>21600</v>
      </c>
    </row>
    <row r="359">
      <c r="A359" s="2" t="inlineStr">
        <is>
          <t>DPMG</t>
        </is>
      </c>
      <c r="B359" s="2" t="inlineStr">
        <is>
          <t>INVESTISSEMENT</t>
        </is>
      </c>
      <c r="C359" s="2" t="inlineStr">
        <is>
          <t>NON ENGAGE</t>
        </is>
      </c>
      <c r="D359" s="3" t="n">
        <v>0</v>
      </c>
    </row>
    <row r="360">
      <c r="A360" s="2" t="inlineStr">
        <is>
          <t>DPMG</t>
        </is>
      </c>
      <c r="B360" s="2" t="inlineStr">
        <is>
          <t>INVESTISSEMENT</t>
        </is>
      </c>
      <c r="C360" s="2" t="inlineStr">
        <is>
          <t>EN COURS DE PREENGAGEMENT</t>
        </is>
      </c>
      <c r="D360" s="3" t="n">
        <v>550080</v>
      </c>
    </row>
    <row r="361">
      <c r="A361" s="2" t="inlineStr">
        <is>
          <t>DMPTV</t>
        </is>
      </c>
      <c r="B361" s="2" t="inlineStr">
        <is>
          <t>FONCTIONNEMENT</t>
        </is>
      </c>
      <c r="C361" s="2" t="inlineStr">
        <is>
          <t>ENGAGE</t>
        </is>
      </c>
      <c r="D361" s="3" t="n">
        <v>10200000</v>
      </c>
    </row>
    <row r="362">
      <c r="A362" s="2" t="inlineStr">
        <is>
          <t>DMPTV</t>
        </is>
      </c>
      <c r="B362" s="2" t="inlineStr">
        <is>
          <t>FONCTIONNEMENT</t>
        </is>
      </c>
      <c r="C362" s="2" t="inlineStr">
        <is>
          <t>ENGAGE</t>
        </is>
      </c>
      <c r="D362" s="3" t="n">
        <v>728483.45</v>
      </c>
    </row>
    <row r="363">
      <c r="A363" s="2" t="inlineStr">
        <is>
          <t>DMPTV</t>
        </is>
      </c>
      <c r="B363" s="2" t="inlineStr">
        <is>
          <t>FONCTIONNEMENT</t>
        </is>
      </c>
      <c r="C363" s="2" t="inlineStr">
        <is>
          <t>ENGAGE</t>
        </is>
      </c>
      <c r="D363" s="3" t="n">
        <v>112800</v>
      </c>
    </row>
    <row r="364">
      <c r="A364" s="2" t="inlineStr">
        <is>
          <t>DPMG</t>
        </is>
      </c>
      <c r="B364" s="2" t="inlineStr">
        <is>
          <t>FONCTIONNEMENT</t>
        </is>
      </c>
      <c r="C364" s="2" t="inlineStr">
        <is>
          <t>ENGAGE</t>
        </is>
      </c>
      <c r="D364" s="3" t="n">
        <v>66216</v>
      </c>
    </row>
    <row r="365">
      <c r="A365" s="2" t="inlineStr">
        <is>
          <t>DPMG</t>
        </is>
      </c>
      <c r="B365" s="2" t="inlineStr">
        <is>
          <t>FONCTIONNEMENT</t>
        </is>
      </c>
      <c r="C365" s="2" t="inlineStr">
        <is>
          <t>ENGAGE</t>
        </is>
      </c>
      <c r="D365" s="3" t="n">
        <v>8754</v>
      </c>
    </row>
    <row r="366">
      <c r="A366" s="2" t="inlineStr">
        <is>
          <t>TV LAAYOUNE</t>
        </is>
      </c>
      <c r="B366" s="2" t="inlineStr">
        <is>
          <t>FONCTIONNEMENT</t>
        </is>
      </c>
      <c r="C366" s="2" t="inlineStr">
        <is>
          <t>ENGAGE</t>
        </is>
      </c>
      <c r="D366" s="3" t="n">
        <v>109350</v>
      </c>
    </row>
    <row r="367">
      <c r="A367" s="2" t="inlineStr">
        <is>
          <t>DTSI</t>
        </is>
      </c>
      <c r="B367" s="2" t="inlineStr">
        <is>
          <t>INVESTISSEMENT</t>
        </is>
      </c>
      <c r="C367" s="2" t="inlineStr">
        <is>
          <t>NON ENGAGE</t>
        </is>
      </c>
      <c r="D367" s="3" t="n">
        <v>0</v>
      </c>
    </row>
    <row r="368">
      <c r="A368" s="2" t="inlineStr">
        <is>
          <t>DTSI</t>
        </is>
      </c>
      <c r="B368" s="2" t="inlineStr">
        <is>
          <t>INVESTISSEMENT</t>
        </is>
      </c>
      <c r="C368" s="2" t="inlineStr">
        <is>
          <t>NON ENGAGE</t>
        </is>
      </c>
      <c r="D368" s="3" t="n">
        <v>0</v>
      </c>
    </row>
    <row r="369">
      <c r="A369" s="2" t="inlineStr">
        <is>
          <t>DTSI</t>
        </is>
      </c>
      <c r="B369" s="2" t="inlineStr">
        <is>
          <t>INVESTISSEMENT</t>
        </is>
      </c>
      <c r="C369" s="2" t="inlineStr">
        <is>
          <t>ENGAGE</t>
        </is>
      </c>
      <c r="D369" s="3" t="n">
        <v>166800</v>
      </c>
    </row>
    <row r="370">
      <c r="A370" s="2" t="inlineStr">
        <is>
          <t>TDF -SITES</t>
        </is>
      </c>
      <c r="B370" s="2" t="inlineStr">
        <is>
          <t>INVESTISSEMENT</t>
        </is>
      </c>
      <c r="C370" s="2" t="inlineStr">
        <is>
          <t>ENGAGE</t>
        </is>
      </c>
      <c r="D370" s="3" t="n">
        <v>1581600</v>
      </c>
    </row>
    <row r="371">
      <c r="A371" s="2" t="inlineStr">
        <is>
          <t>DRPSD</t>
        </is>
      </c>
      <c r="B371" s="2" t="inlineStr">
        <is>
          <t>FONCTIONNEMENT</t>
        </is>
      </c>
      <c r="C371" s="2" t="inlineStr">
        <is>
          <t>ENGAGE</t>
        </is>
      </c>
      <c r="D371" s="3" t="n">
        <v>369960</v>
      </c>
    </row>
    <row r="372">
      <c r="A372" s="2" t="inlineStr">
        <is>
          <t>DRPSD</t>
        </is>
      </c>
      <c r="B372" s="2" t="inlineStr">
        <is>
          <t>FONCTIONNEMENT</t>
        </is>
      </c>
      <c r="C372" s="2" t="inlineStr">
        <is>
          <t>ENGAGE</t>
        </is>
      </c>
      <c r="D372" s="3" t="n">
        <v>113711.51</v>
      </c>
    </row>
    <row r="373">
      <c r="A373" s="2" t="inlineStr">
        <is>
          <t>TDF-EXP&amp;MAIN</t>
        </is>
      </c>
      <c r="B373" s="2" t="inlineStr">
        <is>
          <t>INVESTISSEMENT</t>
        </is>
      </c>
      <c r="C373" s="2" t="inlineStr">
        <is>
          <t>NON ENGAGE</t>
        </is>
      </c>
      <c r="D373" s="3" t="n">
        <v>0</v>
      </c>
    </row>
    <row r="374">
      <c r="A374" s="2" t="inlineStr">
        <is>
          <t>TDF -SITES</t>
        </is>
      </c>
      <c r="B374" s="2" t="inlineStr">
        <is>
          <t>INVESTISSEMENT</t>
        </is>
      </c>
      <c r="C374" s="2" t="inlineStr">
        <is>
          <t>ENGAGE</t>
        </is>
      </c>
      <c r="D374" s="3" t="n">
        <v>600000</v>
      </c>
    </row>
    <row r="375">
      <c r="A375" s="2" t="inlineStr">
        <is>
          <t>DPMG</t>
        </is>
      </c>
      <c r="B375" s="2" t="inlineStr">
        <is>
          <t>INVESTISSEMENT</t>
        </is>
      </c>
      <c r="C375" s="2" t="inlineStr">
        <is>
          <t>EN COURS DE PREENGAGEMENT</t>
        </is>
      </c>
      <c r="D375" s="3" t="n">
        <v>1248192</v>
      </c>
    </row>
    <row r="376">
      <c r="A376" s="2" t="inlineStr">
        <is>
          <t>DPMG</t>
        </is>
      </c>
      <c r="B376" s="2" t="inlineStr">
        <is>
          <t>INVESTISSEMENT</t>
        </is>
      </c>
      <c r="C376" s="2" t="inlineStr">
        <is>
          <t>EN COURS DE PREENGAGEMENT</t>
        </is>
      </c>
      <c r="D376" s="3" t="n">
        <v>651168</v>
      </c>
    </row>
    <row r="377">
      <c r="A377" s="2" t="inlineStr">
        <is>
          <t>DJURIDIQUE</t>
        </is>
      </c>
      <c r="B377" s="2" t="inlineStr">
        <is>
          <t>FONCTIONNEMENT</t>
        </is>
      </c>
      <c r="C377" s="2" t="inlineStr">
        <is>
          <t>ENGAGE</t>
        </is>
      </c>
      <c r="D377" s="3" t="n">
        <v>677850.6800000001</v>
      </c>
    </row>
    <row r="378">
      <c r="A378" s="2" t="inlineStr">
        <is>
          <t>DJURIDIQUE</t>
        </is>
      </c>
      <c r="B378" s="2" t="inlineStr">
        <is>
          <t>FONCTIONNEMENT</t>
        </is>
      </c>
      <c r="C378" s="2" t="inlineStr">
        <is>
          <t>ENGAGE</t>
        </is>
      </c>
      <c r="D378" s="3" t="n">
        <v>1111110.72</v>
      </c>
    </row>
    <row r="379">
      <c r="A379" s="2" t="inlineStr">
        <is>
          <t>DJURIDIQUE</t>
        </is>
      </c>
      <c r="B379" s="2" t="inlineStr">
        <is>
          <t>FONCTIONNEMENT</t>
        </is>
      </c>
      <c r="C379" s="2" t="inlineStr">
        <is>
          <t>ENGAGE</t>
        </is>
      </c>
      <c r="D379" s="3" t="n">
        <v>101358.96</v>
      </c>
    </row>
    <row r="380">
      <c r="A380" s="2" t="inlineStr">
        <is>
          <t>DJURIDIQUE</t>
        </is>
      </c>
      <c r="B380" s="2" t="inlineStr">
        <is>
          <t>FONCTIONNEMENT</t>
        </is>
      </c>
      <c r="C380" s="2" t="inlineStr">
        <is>
          <t>ENGAGE</t>
        </is>
      </c>
      <c r="D380" s="3" t="n">
        <v>69549.91</v>
      </c>
    </row>
    <row r="381">
      <c r="A381" s="2" t="inlineStr">
        <is>
          <t>DJURIDIQUE</t>
        </is>
      </c>
      <c r="B381" s="2" t="inlineStr">
        <is>
          <t>FONCTIONNEMENT</t>
        </is>
      </c>
      <c r="C381" s="2" t="inlineStr">
        <is>
          <t>ENGAGE</t>
        </is>
      </c>
      <c r="D381" s="3" t="n">
        <v>6109952.74</v>
      </c>
    </row>
    <row r="382">
      <c r="A382" s="2" t="inlineStr">
        <is>
          <t>DJURIDIQUE</t>
        </is>
      </c>
      <c r="B382" s="2" t="inlineStr">
        <is>
          <t>FONCTIONNEMENT</t>
        </is>
      </c>
      <c r="C382" s="2" t="inlineStr">
        <is>
          <t>ENGAGE</t>
        </is>
      </c>
      <c r="D382" s="3" t="n">
        <v>275055</v>
      </c>
    </row>
    <row r="383">
      <c r="A383" s="2" t="inlineStr">
        <is>
          <t>DJURIDIQUE</t>
        </is>
      </c>
      <c r="B383" s="2" t="inlineStr">
        <is>
          <t>FONCTIONNEMENT</t>
        </is>
      </c>
      <c r="C383" s="2" t="inlineStr">
        <is>
          <t>ENGAGE</t>
        </is>
      </c>
      <c r="D383" s="3" t="n">
        <v>67722.48</v>
      </c>
    </row>
    <row r="384">
      <c r="A384" s="2" t="inlineStr">
        <is>
          <t>DJURIDIQUE</t>
        </is>
      </c>
      <c r="B384" s="2" t="inlineStr">
        <is>
          <t>FONCTIONNEMENT</t>
        </is>
      </c>
      <c r="C384" s="2" t="inlineStr">
        <is>
          <t>ENGAGE</t>
        </is>
      </c>
      <c r="D384" s="3" t="n">
        <v>139287.2</v>
      </c>
    </row>
    <row r="385">
      <c r="A385" s="2" t="inlineStr">
        <is>
          <t>DPMG</t>
        </is>
      </c>
      <c r="B385" s="2" t="inlineStr">
        <is>
          <t>FONCTIONNEMENT</t>
        </is>
      </c>
      <c r="C385" s="2" t="inlineStr">
        <is>
          <t>EN COURS D'ENGAGEMENT</t>
        </is>
      </c>
      <c r="D385" s="3" t="n">
        <v>304057.2</v>
      </c>
    </row>
    <row r="386">
      <c r="A386" s="2" t="inlineStr">
        <is>
          <t>DPMG</t>
        </is>
      </c>
      <c r="B386" s="2" t="inlineStr">
        <is>
          <t>FONCTIONNEMENT</t>
        </is>
      </c>
      <c r="C386" s="2" t="inlineStr">
        <is>
          <t>ENGAGE</t>
        </is>
      </c>
      <c r="D386" s="3" t="n">
        <v>240000</v>
      </c>
    </row>
    <row r="387">
      <c r="A387" s="2" t="inlineStr">
        <is>
          <t>ARRIYADIA</t>
        </is>
      </c>
      <c r="B387" s="2" t="inlineStr">
        <is>
          <t>FONCTIONNEMENT</t>
        </is>
      </c>
      <c r="C387" s="2" t="inlineStr">
        <is>
          <t>ENGAGE</t>
        </is>
      </c>
      <c r="D387" s="3" t="n">
        <v>250000</v>
      </c>
    </row>
    <row r="388">
      <c r="A388" s="2" t="inlineStr">
        <is>
          <t>ARRIYADIA</t>
        </is>
      </c>
      <c r="B388" s="2" t="inlineStr">
        <is>
          <t>FONCTIONNEMENT</t>
        </is>
      </c>
      <c r="C388" s="2" t="inlineStr">
        <is>
          <t>ENGAGE</t>
        </is>
      </c>
      <c r="D388" s="3" t="n">
        <v>1800000</v>
      </c>
    </row>
    <row r="389">
      <c r="A389" s="2" t="inlineStr">
        <is>
          <t>ARRIYADIA</t>
        </is>
      </c>
      <c r="B389" s="2" t="inlineStr">
        <is>
          <t>FONCTIONNEMENT</t>
        </is>
      </c>
      <c r="C389" s="2" t="inlineStr">
        <is>
          <t>ENGAGE</t>
        </is>
      </c>
      <c r="D389" s="3" t="n">
        <v>1400000</v>
      </c>
    </row>
    <row r="390">
      <c r="A390" s="2" t="inlineStr">
        <is>
          <t>ARRIYADIA</t>
        </is>
      </c>
      <c r="B390" s="2" t="inlineStr">
        <is>
          <t>FONCTIONNEMENT</t>
        </is>
      </c>
      <c r="C390" s="2" t="inlineStr">
        <is>
          <t>ENGAGE</t>
        </is>
      </c>
      <c r="D390" s="3" t="n">
        <v>777671.4</v>
      </c>
    </row>
    <row r="391">
      <c r="A391" s="2" t="inlineStr">
        <is>
          <t>DMPTV</t>
        </is>
      </c>
      <c r="B391" s="2" t="inlineStr">
        <is>
          <t>FONCTIONNEMENT</t>
        </is>
      </c>
      <c r="C391" s="2" t="inlineStr">
        <is>
          <t>ENGAGE</t>
        </is>
      </c>
      <c r="D391" s="3" t="n">
        <v>114000</v>
      </c>
    </row>
    <row r="392">
      <c r="A392" s="2" t="inlineStr">
        <is>
          <t>DPMG</t>
        </is>
      </c>
      <c r="B392" s="2" t="inlineStr">
        <is>
          <t>FONCTIONNEMENT</t>
        </is>
      </c>
      <c r="C392" s="2" t="inlineStr">
        <is>
          <t>ENGAGE</t>
        </is>
      </c>
      <c r="D392" s="3" t="n">
        <v>94200</v>
      </c>
    </row>
    <row r="393">
      <c r="A393" s="2" t="inlineStr">
        <is>
          <t>DPMG</t>
        </is>
      </c>
      <c r="B393" s="2" t="inlineStr">
        <is>
          <t>FONCTIONNEMENT</t>
        </is>
      </c>
      <c r="C393" s="2" t="inlineStr">
        <is>
          <t>ENGAGE</t>
        </is>
      </c>
      <c r="D393" s="3" t="n">
        <v>90000</v>
      </c>
    </row>
    <row r="394">
      <c r="A394" s="2" t="inlineStr">
        <is>
          <t>DCPA</t>
        </is>
      </c>
      <c r="B394" s="2" t="inlineStr">
        <is>
          <t>FONCTIONNEMENT</t>
        </is>
      </c>
      <c r="C394" s="2" t="inlineStr">
        <is>
          <t>ENGAGE</t>
        </is>
      </c>
      <c r="D394" s="3" t="n">
        <v>156000</v>
      </c>
    </row>
    <row r="395">
      <c r="A395" s="2" t="inlineStr">
        <is>
          <t>DTSI</t>
        </is>
      </c>
      <c r="B395" s="2" t="inlineStr">
        <is>
          <t>FONCTIONNEMENT</t>
        </is>
      </c>
      <c r="C395" s="2" t="inlineStr">
        <is>
          <t>ENGAGE</t>
        </is>
      </c>
      <c r="D395" s="3" t="n">
        <v>295662</v>
      </c>
    </row>
    <row r="396">
      <c r="A396" s="2" t="inlineStr">
        <is>
          <t>TDF-EXP&amp;MAIN</t>
        </is>
      </c>
      <c r="B396" s="2" t="inlineStr">
        <is>
          <t>INVESTISSEMENT</t>
        </is>
      </c>
      <c r="C396" s="2" t="inlineStr">
        <is>
          <t>ENGAGE</t>
        </is>
      </c>
      <c r="D396" s="3" t="n">
        <v>2497800</v>
      </c>
    </row>
    <row r="397">
      <c r="A397" s="2" t="inlineStr">
        <is>
          <t>DPMG</t>
        </is>
      </c>
      <c r="B397" s="2" t="inlineStr">
        <is>
          <t>INVESTISSEMENT</t>
        </is>
      </c>
      <c r="C397" s="2" t="inlineStr">
        <is>
          <t>ENGAGE</t>
        </is>
      </c>
      <c r="D397" s="3" t="n">
        <v>238938</v>
      </c>
    </row>
    <row r="398">
      <c r="A398" s="2" t="inlineStr">
        <is>
          <t>DPMG</t>
        </is>
      </c>
      <c r="B398" s="2" t="inlineStr">
        <is>
          <t>FONCTIONNEMENT</t>
        </is>
      </c>
      <c r="C398" s="2" t="inlineStr">
        <is>
          <t>ENGAGE</t>
        </is>
      </c>
      <c r="D398" s="3" t="n">
        <v>120000.32</v>
      </c>
    </row>
    <row r="399">
      <c r="A399" s="2" t="inlineStr">
        <is>
          <t>DPMG</t>
        </is>
      </c>
      <c r="B399" s="2" t="inlineStr">
        <is>
          <t>FONCTIONNEMENT</t>
        </is>
      </c>
      <c r="C399" s="2" t="inlineStr">
        <is>
          <t>ENGAGE</t>
        </is>
      </c>
      <c r="D399" s="3" t="n">
        <v>458400</v>
      </c>
    </row>
    <row r="400">
      <c r="A400" s="2" t="inlineStr">
        <is>
          <t>DRPSD</t>
        </is>
      </c>
      <c r="B400" s="2" t="inlineStr">
        <is>
          <t>FONCTIONNEMENT</t>
        </is>
      </c>
      <c r="C400" s="2" t="inlineStr">
        <is>
          <t>EN COURS D'ENGAGEMENT</t>
        </is>
      </c>
      <c r="D400" s="3" t="n">
        <v>350000</v>
      </c>
    </row>
    <row r="401">
      <c r="A401" s="2" t="inlineStr">
        <is>
          <t>TDF-EXP&amp;MAIN</t>
        </is>
      </c>
      <c r="B401" s="2" t="inlineStr">
        <is>
          <t>INVESTISSEMENT</t>
        </is>
      </c>
      <c r="C401" s="2" t="inlineStr">
        <is>
          <t>ENGAGE</t>
        </is>
      </c>
      <c r="D401" s="3" t="n">
        <v>460560</v>
      </c>
    </row>
    <row r="402">
      <c r="A402" s="2" t="inlineStr">
        <is>
          <t>DINFOTV</t>
        </is>
      </c>
      <c r="B402" s="2" t="inlineStr">
        <is>
          <t>FONCTIONNEMENT</t>
        </is>
      </c>
      <c r="C402" s="2" t="inlineStr">
        <is>
          <t>ENGAGE</t>
        </is>
      </c>
      <c r="D402" s="3" t="n">
        <v>1241174</v>
      </c>
    </row>
    <row r="403">
      <c r="A403" s="2" t="inlineStr">
        <is>
          <t>DINFOTV</t>
        </is>
      </c>
      <c r="B403" s="2" t="inlineStr">
        <is>
          <t>FONCTIONNEMENT</t>
        </is>
      </c>
      <c r="C403" s="2" t="inlineStr">
        <is>
          <t>ENGAGE</t>
        </is>
      </c>
      <c r="D403" s="3" t="n">
        <v>1122588</v>
      </c>
    </row>
    <row r="404">
      <c r="A404" s="2" t="inlineStr">
        <is>
          <t>DINFOTV</t>
        </is>
      </c>
      <c r="B404" s="2" t="inlineStr">
        <is>
          <t>FONCTIONNEMENT</t>
        </is>
      </c>
      <c r="C404" s="2" t="inlineStr">
        <is>
          <t>ENGAGE</t>
        </is>
      </c>
      <c r="D404" s="3" t="n">
        <v>864000</v>
      </c>
    </row>
    <row r="405">
      <c r="A405" s="2" t="inlineStr">
        <is>
          <t>DINFOTV</t>
        </is>
      </c>
      <c r="B405" s="2" t="inlineStr">
        <is>
          <t>FONCTIONNEMENT</t>
        </is>
      </c>
      <c r="C405" s="2" t="inlineStr">
        <is>
          <t>ENGAGE</t>
        </is>
      </c>
      <c r="D405" s="3" t="n">
        <v>2040000</v>
      </c>
    </row>
    <row r="406">
      <c r="A406" s="2" t="inlineStr">
        <is>
          <t>DINFOTV</t>
        </is>
      </c>
      <c r="B406" s="2" t="inlineStr">
        <is>
          <t>FONCTIONNEMENT</t>
        </is>
      </c>
      <c r="C406" s="2" t="inlineStr">
        <is>
          <t>ENGAGE</t>
        </is>
      </c>
      <c r="D406" s="3" t="n">
        <v>240480</v>
      </c>
    </row>
    <row r="407">
      <c r="A407" s="2" t="inlineStr">
        <is>
          <t>DINFOTV</t>
        </is>
      </c>
      <c r="B407" s="2" t="inlineStr">
        <is>
          <t>FONCTIONNEMENT</t>
        </is>
      </c>
      <c r="C407" s="2" t="inlineStr">
        <is>
          <t>PREENGAGE</t>
        </is>
      </c>
      <c r="D407" s="3" t="n">
        <v>76464</v>
      </c>
    </row>
    <row r="408">
      <c r="A408" s="2" t="inlineStr">
        <is>
          <t>TDF -SITES</t>
        </is>
      </c>
      <c r="B408" s="2" t="inlineStr">
        <is>
          <t>INVESTISSEMENT</t>
        </is>
      </c>
      <c r="C408" s="2" t="inlineStr">
        <is>
          <t>PREENGAGE</t>
        </is>
      </c>
      <c r="D408" s="3" t="n">
        <v>0</v>
      </c>
    </row>
    <row r="409">
      <c r="A409" s="2" t="inlineStr">
        <is>
          <t>DCPA</t>
        </is>
      </c>
      <c r="B409" s="2" t="inlineStr">
        <is>
          <t>FONCTIONNEMENT</t>
        </is>
      </c>
      <c r="C409" s="2" t="inlineStr">
        <is>
          <t>ENGAGE</t>
        </is>
      </c>
      <c r="D409" s="3" t="n">
        <v>84480</v>
      </c>
    </row>
    <row r="410">
      <c r="A410" s="2" t="inlineStr">
        <is>
          <t>DCPA</t>
        </is>
      </c>
      <c r="B410" s="2" t="inlineStr">
        <is>
          <t>FONCTIONNEMENT</t>
        </is>
      </c>
      <c r="C410" s="2" t="inlineStr">
        <is>
          <t>ENGAGE</t>
        </is>
      </c>
      <c r="D410" s="3" t="n">
        <v>90090</v>
      </c>
    </row>
    <row r="411">
      <c r="A411" s="2" t="inlineStr">
        <is>
          <t>TDF-EXP&amp;MAIN</t>
        </is>
      </c>
      <c r="B411" s="2" t="inlineStr">
        <is>
          <t>FONCTIONNEMENT</t>
        </is>
      </c>
      <c r="C411" s="2" t="inlineStr">
        <is>
          <t>PREENGAGE</t>
        </is>
      </c>
      <c r="D411" s="3" t="n">
        <v>832134</v>
      </c>
    </row>
    <row r="412">
      <c r="A412" s="2" t="inlineStr">
        <is>
          <t>TDF-EXP&amp;MAIN</t>
        </is>
      </c>
      <c r="B412" s="2" t="inlineStr">
        <is>
          <t>FONCTIONNEMENT</t>
        </is>
      </c>
      <c r="C412" s="2" t="inlineStr">
        <is>
          <t>NON ENGAGE</t>
        </is>
      </c>
      <c r="D412" s="3" t="n">
        <v>0</v>
      </c>
    </row>
    <row r="413">
      <c r="A413" s="2" t="inlineStr">
        <is>
          <t>ARRIYADIA</t>
        </is>
      </c>
      <c r="B413" s="2" t="inlineStr">
        <is>
          <t>FONCTIONNEMENT</t>
        </is>
      </c>
      <c r="C413" s="2" t="inlineStr">
        <is>
          <t>ENGAGE</t>
        </is>
      </c>
      <c r="D413" s="3" t="n">
        <v>321020</v>
      </c>
    </row>
    <row r="414">
      <c r="A414" s="2" t="inlineStr">
        <is>
          <t>ARRIYADIA</t>
        </is>
      </c>
      <c r="B414" s="2" t="inlineStr">
        <is>
          <t>FONCTIONNEMENT</t>
        </is>
      </c>
      <c r="C414" s="2" t="inlineStr">
        <is>
          <t>ENGAGE</t>
        </is>
      </c>
      <c r="D414" s="3" t="n">
        <v>321020</v>
      </c>
    </row>
    <row r="415">
      <c r="A415" s="2" t="inlineStr">
        <is>
          <t>ARRIYADIA</t>
        </is>
      </c>
      <c r="B415" s="2" t="inlineStr">
        <is>
          <t>FONCTIONNEMENT</t>
        </is>
      </c>
      <c r="C415" s="2" t="inlineStr">
        <is>
          <t>ENGAGE</t>
        </is>
      </c>
      <c r="D415" s="3" t="n">
        <v>926100</v>
      </c>
    </row>
    <row r="416">
      <c r="A416" s="2" t="inlineStr">
        <is>
          <t>ARRIYADIA</t>
        </is>
      </c>
      <c r="B416" s="2" t="inlineStr">
        <is>
          <t>FONCTIONNEMENT</t>
        </is>
      </c>
      <c r="C416" s="2" t="inlineStr">
        <is>
          <t>ENGAGE</t>
        </is>
      </c>
      <c r="D416" s="3" t="n">
        <v>1200000</v>
      </c>
    </row>
    <row r="417">
      <c r="A417" s="2" t="inlineStr">
        <is>
          <t>ARRIYADIA</t>
        </is>
      </c>
      <c r="B417" s="2" t="inlineStr">
        <is>
          <t>FONCTIONNEMENT</t>
        </is>
      </c>
      <c r="C417" s="2" t="inlineStr">
        <is>
          <t>ENGAGE</t>
        </is>
      </c>
      <c r="D417" s="3" t="n">
        <v>1000000</v>
      </c>
    </row>
    <row r="418">
      <c r="A418" s="2" t="inlineStr">
        <is>
          <t>ARRIYADIA</t>
        </is>
      </c>
      <c r="B418" s="2" t="inlineStr">
        <is>
          <t>FONCTIONNEMENT</t>
        </is>
      </c>
      <c r="C418" s="2" t="inlineStr">
        <is>
          <t>ENGAGE</t>
        </is>
      </c>
      <c r="D418" s="3" t="n">
        <v>155000000</v>
      </c>
    </row>
    <row r="419">
      <c r="A419" s="2" t="inlineStr">
        <is>
          <t>ARRIYADIA</t>
        </is>
      </c>
      <c r="B419" s="2" t="inlineStr">
        <is>
          <t>FONCTIONNEMENT</t>
        </is>
      </c>
      <c r="C419" s="2" t="inlineStr">
        <is>
          <t>ENGAGE</t>
        </is>
      </c>
      <c r="D419" s="3" t="n">
        <v>250000</v>
      </c>
    </row>
    <row r="420">
      <c r="A420" s="2" t="inlineStr">
        <is>
          <t>DCPA</t>
        </is>
      </c>
      <c r="B420" s="2" t="inlineStr">
        <is>
          <t>FONCTIONNEMENT</t>
        </is>
      </c>
      <c r="C420" s="2" t="inlineStr">
        <is>
          <t>ENGAGE</t>
        </is>
      </c>
      <c r="D420" s="3" t="n">
        <v>200000</v>
      </c>
    </row>
    <row r="421">
      <c r="A421" s="2" t="inlineStr">
        <is>
          <t>DMPTV</t>
        </is>
      </c>
      <c r="B421" s="2" t="inlineStr">
        <is>
          <t>FONCTIONNEMENT</t>
        </is>
      </c>
      <c r="C421" s="2" t="inlineStr">
        <is>
          <t>ENGAGE</t>
        </is>
      </c>
      <c r="D421" s="3" t="n">
        <v>72000</v>
      </c>
    </row>
    <row r="422">
      <c r="A422" s="2" t="inlineStr">
        <is>
          <t>DTSI</t>
        </is>
      </c>
      <c r="B422" s="2" t="inlineStr">
        <is>
          <t>INVESTISSEMENT</t>
        </is>
      </c>
      <c r="C422" s="2" t="inlineStr">
        <is>
          <t>NON ENGAGE</t>
        </is>
      </c>
      <c r="D422" s="3" t="n">
        <v>0</v>
      </c>
    </row>
    <row r="423">
      <c r="A423" s="2" t="inlineStr">
        <is>
          <t>DTSI</t>
        </is>
      </c>
      <c r="B423" s="2" t="inlineStr">
        <is>
          <t>FONCTIONNEMENT</t>
        </is>
      </c>
      <c r="C423" s="2" t="inlineStr">
        <is>
          <t>ENGAGE</t>
        </is>
      </c>
      <c r="D423" s="3" t="n">
        <v>337110</v>
      </c>
    </row>
    <row r="424">
      <c r="A424" s="2" t="inlineStr">
        <is>
          <t>DTSI</t>
        </is>
      </c>
      <c r="B424" s="2" t="inlineStr">
        <is>
          <t>FONCTIONNEMENT</t>
        </is>
      </c>
      <c r="C424" s="2" t="inlineStr">
        <is>
          <t>ENGAGE</t>
        </is>
      </c>
      <c r="D424" s="3" t="n">
        <v>1379196</v>
      </c>
    </row>
    <row r="425">
      <c r="A425" s="2" t="inlineStr">
        <is>
          <t>DTSI</t>
        </is>
      </c>
      <c r="B425" s="2" t="inlineStr">
        <is>
          <t>FONCTIONNEMENT</t>
        </is>
      </c>
      <c r="C425" s="2" t="inlineStr">
        <is>
          <t>NON ENGAGE</t>
        </is>
      </c>
      <c r="D425" s="3" t="n">
        <v>0</v>
      </c>
    </row>
    <row r="426">
      <c r="A426" s="2" t="inlineStr">
        <is>
          <t>DPMG</t>
        </is>
      </c>
      <c r="B426" s="2" t="inlineStr">
        <is>
          <t>INVESTISSEMENT</t>
        </is>
      </c>
      <c r="C426" s="2" t="inlineStr">
        <is>
          <t>EN COURS D'ENGAGEMENT</t>
        </is>
      </c>
      <c r="D426" s="3" t="n">
        <v>66000</v>
      </c>
    </row>
    <row r="427">
      <c r="A427" s="2" t="inlineStr">
        <is>
          <t>DTSI</t>
        </is>
      </c>
      <c r="B427" s="2" t="inlineStr">
        <is>
          <t>INVESTISSEMENT</t>
        </is>
      </c>
      <c r="C427" s="2" t="inlineStr">
        <is>
          <t>PREENGAGE</t>
        </is>
      </c>
      <c r="D427" s="3" t="n">
        <v>2017741.2</v>
      </c>
    </row>
    <row r="428">
      <c r="A428" s="2" t="inlineStr">
        <is>
          <t>DTSI</t>
        </is>
      </c>
      <c r="B428" s="2" t="inlineStr">
        <is>
          <t>INVESTISSEMENT</t>
        </is>
      </c>
      <c r="C428" s="2" t="inlineStr">
        <is>
          <t>NON ENGAGE</t>
        </is>
      </c>
      <c r="D428" s="3" t="n">
        <v>0</v>
      </c>
    </row>
    <row r="429">
      <c r="A429" s="2" t="inlineStr">
        <is>
          <t>DTSI</t>
        </is>
      </c>
      <c r="B429" s="2" t="inlineStr">
        <is>
          <t>INVESTISSEMENT</t>
        </is>
      </c>
      <c r="C429" s="2" t="inlineStr">
        <is>
          <t>NON ENGAGE</t>
        </is>
      </c>
      <c r="D429" s="3" t="n">
        <v>0</v>
      </c>
    </row>
    <row r="430">
      <c r="A430" s="2" t="inlineStr">
        <is>
          <t>DTSI</t>
        </is>
      </c>
      <c r="B430" s="2" t="inlineStr">
        <is>
          <t>FONCTIONNEMENT</t>
        </is>
      </c>
      <c r="C430" s="2" t="inlineStr">
        <is>
          <t>PREENGAGE</t>
        </is>
      </c>
      <c r="D430" s="3" t="n">
        <v>307526.4</v>
      </c>
    </row>
    <row r="431">
      <c r="A431" s="2" t="inlineStr">
        <is>
          <t>TDF -SITES</t>
        </is>
      </c>
      <c r="B431" s="2" t="inlineStr">
        <is>
          <t>INVESTISSEMENT</t>
        </is>
      </c>
      <c r="C431" s="2" t="inlineStr">
        <is>
          <t>EN COURS DE PREENGAGEMENT</t>
        </is>
      </c>
      <c r="D431" s="3" t="n">
        <v>86400</v>
      </c>
    </row>
    <row r="432">
      <c r="A432" s="2" t="inlineStr">
        <is>
          <t>ARRIYADIA</t>
        </is>
      </c>
      <c r="B432" s="2" t="inlineStr">
        <is>
          <t>FONCTIONNEMENT</t>
        </is>
      </c>
      <c r="C432" s="2" t="inlineStr">
        <is>
          <t>ENGAGE</t>
        </is>
      </c>
      <c r="D432" s="3" t="n">
        <v>848337.5</v>
      </c>
    </row>
    <row r="433">
      <c r="A433" s="2" t="inlineStr">
        <is>
          <t>ARRIYADIA</t>
        </is>
      </c>
      <c r="B433" s="2" t="inlineStr">
        <is>
          <t>FONCTIONNEMENT</t>
        </is>
      </c>
      <c r="C433" s="2" t="inlineStr">
        <is>
          <t>ENGAGE</t>
        </is>
      </c>
      <c r="D433" s="3" t="n">
        <v>1349674.56</v>
      </c>
    </row>
    <row r="434">
      <c r="A434" s="2" t="inlineStr">
        <is>
          <t>ARRIYADIA</t>
        </is>
      </c>
      <c r="B434" s="2" t="inlineStr">
        <is>
          <t>FONCTIONNEMENT</t>
        </is>
      </c>
      <c r="C434" s="2" t="inlineStr">
        <is>
          <t>ENGAGE</t>
        </is>
      </c>
      <c r="D434" s="3" t="n">
        <v>2335975.2</v>
      </c>
    </row>
    <row r="435">
      <c r="A435" s="2" t="inlineStr">
        <is>
          <t>ARRIYADIA</t>
        </is>
      </c>
      <c r="B435" s="2" t="inlineStr">
        <is>
          <t>FONCTIONNEMENT</t>
        </is>
      </c>
      <c r="C435" s="2" t="inlineStr">
        <is>
          <t>ENGAGE</t>
        </is>
      </c>
      <c r="D435" s="3" t="n">
        <v>150000</v>
      </c>
    </row>
    <row r="436">
      <c r="A436" s="2" t="inlineStr">
        <is>
          <t>TDF -SITES</t>
        </is>
      </c>
      <c r="B436" s="2" t="inlineStr">
        <is>
          <t>INVESTISSEMENT</t>
        </is>
      </c>
      <c r="C436" s="2" t="inlineStr">
        <is>
          <t>ENGAGE</t>
        </is>
      </c>
      <c r="D436" s="3" t="n">
        <v>2373651.54</v>
      </c>
    </row>
    <row r="437">
      <c r="A437" s="2" t="inlineStr">
        <is>
          <t>TDF -SITES</t>
        </is>
      </c>
      <c r="B437" s="2" t="inlineStr">
        <is>
          <t>FONCTIONNEMENT</t>
        </is>
      </c>
      <c r="C437" s="2" t="inlineStr">
        <is>
          <t>ENGAGE</t>
        </is>
      </c>
      <c r="D437" s="3" t="n">
        <v>107000</v>
      </c>
    </row>
    <row r="438">
      <c r="A438" s="2" t="inlineStr">
        <is>
          <t>TDF -SITES</t>
        </is>
      </c>
      <c r="B438" s="2" t="inlineStr">
        <is>
          <t>FONCTIONNEMENT</t>
        </is>
      </c>
      <c r="C438" s="2" t="inlineStr">
        <is>
          <t>ENGAGE</t>
        </is>
      </c>
      <c r="D438" s="3" t="n">
        <v>37800</v>
      </c>
    </row>
    <row r="439">
      <c r="A439" s="2" t="inlineStr">
        <is>
          <t>DINFOTV</t>
        </is>
      </c>
      <c r="B439" s="2" t="inlineStr">
        <is>
          <t>FONCTIONNEMENT</t>
        </is>
      </c>
      <c r="C439" s="2" t="inlineStr">
        <is>
          <t>ENGAGE</t>
        </is>
      </c>
      <c r="D439" s="3" t="n">
        <v>130000</v>
      </c>
    </row>
    <row r="440">
      <c r="A440" s="2" t="inlineStr">
        <is>
          <t>DINFOTV</t>
        </is>
      </c>
      <c r="B440" s="2" t="inlineStr">
        <is>
          <t>FONCTIONNEMENT</t>
        </is>
      </c>
      <c r="C440" s="2" t="inlineStr">
        <is>
          <t>ENGAGE</t>
        </is>
      </c>
      <c r="D440" s="3" t="n">
        <v>130000</v>
      </c>
    </row>
    <row r="441">
      <c r="A441" s="2" t="inlineStr">
        <is>
          <t>DINFOTV</t>
        </is>
      </c>
      <c r="B441" s="2" t="inlineStr">
        <is>
          <t>FONCTIONNEMENT</t>
        </is>
      </c>
      <c r="C441" s="2" t="inlineStr">
        <is>
          <t>ENGAGE</t>
        </is>
      </c>
      <c r="D441" s="3" t="n">
        <v>130000</v>
      </c>
    </row>
    <row r="442">
      <c r="A442" s="2" t="inlineStr">
        <is>
          <t>DTSI</t>
        </is>
      </c>
      <c r="B442" s="2" t="inlineStr">
        <is>
          <t>INVESTISSEMENT</t>
        </is>
      </c>
      <c r="C442" s="2" t="inlineStr">
        <is>
          <t>PREENGAGE</t>
        </is>
      </c>
      <c r="D442" s="3" t="n">
        <v>0</v>
      </c>
    </row>
    <row r="443">
      <c r="A443" s="2" t="inlineStr">
        <is>
          <t>DPMG</t>
        </is>
      </c>
      <c r="B443" s="2" t="inlineStr">
        <is>
          <t>FONCTIONNEMENT</t>
        </is>
      </c>
      <c r="C443" s="2" t="inlineStr">
        <is>
          <t>ENGAGE</t>
        </is>
      </c>
      <c r="D443" s="3" t="n">
        <v>622864.76</v>
      </c>
    </row>
    <row r="444">
      <c r="A444" s="2" t="inlineStr">
        <is>
          <t>DPMG</t>
        </is>
      </c>
      <c r="B444" s="2" t="inlineStr">
        <is>
          <t>FONCTIONNEMENT</t>
        </is>
      </c>
      <c r="C444" s="2" t="inlineStr">
        <is>
          <t>ENGAGE</t>
        </is>
      </c>
      <c r="D444" s="3" t="n">
        <v>9116.24</v>
      </c>
    </row>
    <row r="445">
      <c r="A445" s="2" t="inlineStr">
        <is>
          <t>DPMG</t>
        </is>
      </c>
      <c r="B445" s="2" t="inlineStr">
        <is>
          <t>FONCTIONNEMENT</t>
        </is>
      </c>
      <c r="C445" s="2" t="inlineStr">
        <is>
          <t>ENGAGE</t>
        </is>
      </c>
      <c r="D445" s="3" t="n">
        <v>12762.72</v>
      </c>
    </row>
    <row r="446">
      <c r="A446" s="2" t="inlineStr">
        <is>
          <t>DPMG</t>
        </is>
      </c>
      <c r="B446" s="2" t="inlineStr">
        <is>
          <t>FONCTIONNEMENT</t>
        </is>
      </c>
      <c r="C446" s="2" t="inlineStr">
        <is>
          <t>ENGAGE</t>
        </is>
      </c>
      <c r="D446" s="3" t="n">
        <v>1896356.04</v>
      </c>
    </row>
    <row r="447">
      <c r="A447" s="2" t="inlineStr">
        <is>
          <t>DPMG</t>
        </is>
      </c>
      <c r="B447" s="2" t="inlineStr">
        <is>
          <t>FONCTIONNEMENT</t>
        </is>
      </c>
      <c r="C447" s="2" t="inlineStr">
        <is>
          <t>ENGAGE</t>
        </is>
      </c>
      <c r="D447" s="3" t="n">
        <v>190540.92</v>
      </c>
    </row>
    <row r="448">
      <c r="A448" s="2" t="inlineStr">
        <is>
          <t>DPMG</t>
        </is>
      </c>
      <c r="B448" s="2" t="inlineStr">
        <is>
          <t>FONCTIONNEMENT</t>
        </is>
      </c>
      <c r="C448" s="2" t="inlineStr">
        <is>
          <t>ENGAGE</t>
        </is>
      </c>
      <c r="D448" s="3" t="n">
        <v>144079.24</v>
      </c>
    </row>
    <row r="449">
      <c r="A449" s="2" t="inlineStr">
        <is>
          <t>DPMG</t>
        </is>
      </c>
      <c r="B449" s="2" t="inlineStr">
        <is>
          <t>FONCTIONNEMENT</t>
        </is>
      </c>
      <c r="C449" s="2" t="inlineStr">
        <is>
          <t>ENGAGE</t>
        </is>
      </c>
      <c r="D449" s="3" t="n">
        <v>25525.52</v>
      </c>
    </row>
    <row r="450">
      <c r="A450" s="2" t="inlineStr">
        <is>
          <t>DPMG</t>
        </is>
      </c>
      <c r="B450" s="2" t="inlineStr">
        <is>
          <t>FONCTIONNEMENT</t>
        </is>
      </c>
      <c r="C450" s="2" t="inlineStr">
        <is>
          <t>ENGAGE</t>
        </is>
      </c>
      <c r="D450" s="3" t="n">
        <v>25525.52</v>
      </c>
    </row>
    <row r="451">
      <c r="A451" s="2" t="inlineStr">
        <is>
          <t>DPMG</t>
        </is>
      </c>
      <c r="B451" s="2" t="inlineStr">
        <is>
          <t>FONCTIONNEMENT</t>
        </is>
      </c>
      <c r="C451" s="2" t="inlineStr">
        <is>
          <t>ENGAGE</t>
        </is>
      </c>
      <c r="D451" s="3" t="n">
        <v>88245</v>
      </c>
    </row>
    <row r="452">
      <c r="A452" s="2" t="inlineStr">
        <is>
          <t>DPMG</t>
        </is>
      </c>
      <c r="B452" s="2" t="inlineStr">
        <is>
          <t>FONCTIONNEMENT</t>
        </is>
      </c>
      <c r="C452" s="2" t="inlineStr">
        <is>
          <t>ENGAGE</t>
        </is>
      </c>
      <c r="D452" s="3" t="n">
        <v>265585.04</v>
      </c>
    </row>
    <row r="453">
      <c r="A453" s="2" t="inlineStr">
        <is>
          <t>DPMG</t>
        </is>
      </c>
      <c r="B453" s="2" t="inlineStr">
        <is>
          <t>FONCTIONNEMENT</t>
        </is>
      </c>
      <c r="C453" s="2" t="inlineStr">
        <is>
          <t>ENGAGE</t>
        </is>
      </c>
      <c r="D453" s="3" t="n">
        <v>135907.6</v>
      </c>
    </row>
    <row r="454">
      <c r="A454" s="2" t="inlineStr">
        <is>
          <t>DPMG</t>
        </is>
      </c>
      <c r="B454" s="2" t="inlineStr">
        <is>
          <t>FONCTIONNEMENT</t>
        </is>
      </c>
      <c r="C454" s="2" t="inlineStr">
        <is>
          <t>ENGAGE</t>
        </is>
      </c>
      <c r="D454" s="3" t="n">
        <v>1863740.64</v>
      </c>
    </row>
    <row r="455">
      <c r="A455" s="2" t="inlineStr">
        <is>
          <t>DPMG</t>
        </is>
      </c>
      <c r="B455" s="2" t="inlineStr">
        <is>
          <t>FONCTIONNEMENT</t>
        </is>
      </c>
      <c r="C455" s="2" t="inlineStr">
        <is>
          <t>ENGAGE</t>
        </is>
      </c>
      <c r="D455" s="3" t="n">
        <v>1553117.28</v>
      </c>
    </row>
    <row r="456">
      <c r="A456" s="2" t="inlineStr">
        <is>
          <t>DPMG</t>
        </is>
      </c>
      <c r="B456" s="2" t="inlineStr">
        <is>
          <t>FONCTIONNEMENT</t>
        </is>
      </c>
      <c r="C456" s="2" t="inlineStr">
        <is>
          <t>ENGAGE</t>
        </is>
      </c>
      <c r="D456" s="3" t="n">
        <v>1588415.4</v>
      </c>
    </row>
    <row r="457">
      <c r="A457" s="2" t="inlineStr">
        <is>
          <t>DPMG</t>
        </is>
      </c>
      <c r="B457" s="2" t="inlineStr">
        <is>
          <t>FONCTIONNEMENT</t>
        </is>
      </c>
      <c r="C457" s="2" t="inlineStr">
        <is>
          <t>ENGAGE</t>
        </is>
      </c>
      <c r="D457" s="3" t="n">
        <v>529471.8</v>
      </c>
    </row>
    <row r="458">
      <c r="A458" s="2" t="inlineStr">
        <is>
          <t>DPMG</t>
        </is>
      </c>
      <c r="B458" s="2" t="inlineStr">
        <is>
          <t>FONCTIONNEMENT</t>
        </is>
      </c>
      <c r="C458" s="2" t="inlineStr">
        <is>
          <t>ENGAGE</t>
        </is>
      </c>
      <c r="D458" s="3" t="n">
        <v>641784</v>
      </c>
    </row>
    <row r="459">
      <c r="A459" s="2" t="inlineStr">
        <is>
          <t>DPMG</t>
        </is>
      </c>
      <c r="B459" s="2" t="inlineStr">
        <is>
          <t>FONCTIONNEMENT</t>
        </is>
      </c>
      <c r="C459" s="2" t="inlineStr">
        <is>
          <t>ENGAGE</t>
        </is>
      </c>
      <c r="D459" s="3" t="n">
        <v>260724.72</v>
      </c>
    </row>
    <row r="460">
      <c r="A460" s="2" t="inlineStr">
        <is>
          <t>DPMG</t>
        </is>
      </c>
      <c r="B460" s="2" t="inlineStr">
        <is>
          <t>FONCTIONNEMENT</t>
        </is>
      </c>
      <c r="C460" s="2" t="inlineStr">
        <is>
          <t>ENGAGE</t>
        </is>
      </c>
      <c r="D460" s="3" t="n">
        <v>260724.72</v>
      </c>
    </row>
    <row r="461">
      <c r="A461" s="2" t="inlineStr">
        <is>
          <t>DPMG</t>
        </is>
      </c>
      <c r="B461" s="2" t="inlineStr">
        <is>
          <t>FONCTIONNEMENT</t>
        </is>
      </c>
      <c r="C461" s="2" t="inlineStr">
        <is>
          <t>ENGAGE</t>
        </is>
      </c>
      <c r="D461" s="3" t="n">
        <v>521449.44</v>
      </c>
    </row>
    <row r="462">
      <c r="A462" s="2" t="inlineStr">
        <is>
          <t>DPMG</t>
        </is>
      </c>
      <c r="B462" s="2" t="inlineStr">
        <is>
          <t>FONCTIONNEMENT</t>
        </is>
      </c>
      <c r="C462" s="2" t="inlineStr">
        <is>
          <t>ENGAGE</t>
        </is>
      </c>
      <c r="D462" s="3" t="n">
        <v>521449.44</v>
      </c>
    </row>
    <row r="463">
      <c r="A463" s="2" t="inlineStr">
        <is>
          <t>DPMG</t>
        </is>
      </c>
      <c r="B463" s="2" t="inlineStr">
        <is>
          <t>FONCTIONNEMENT</t>
        </is>
      </c>
      <c r="C463" s="2" t="inlineStr">
        <is>
          <t>ENGAGE</t>
        </is>
      </c>
      <c r="D463" s="3" t="n">
        <v>521449.44</v>
      </c>
    </row>
    <row r="464">
      <c r="A464" s="2" t="inlineStr">
        <is>
          <t>DPMG</t>
        </is>
      </c>
      <c r="B464" s="2" t="inlineStr">
        <is>
          <t>FONCTIONNEMENT</t>
        </is>
      </c>
      <c r="C464" s="2" t="inlineStr">
        <is>
          <t>ENGAGE</t>
        </is>
      </c>
      <c r="D464" s="3" t="n">
        <v>75219.96000000001</v>
      </c>
    </row>
    <row r="465">
      <c r="A465" s="2" t="inlineStr">
        <is>
          <t>DPMG</t>
        </is>
      </c>
      <c r="B465" s="2" t="inlineStr">
        <is>
          <t>FONCTIONNEMENT</t>
        </is>
      </c>
      <c r="C465" s="2" t="inlineStr">
        <is>
          <t>ENGAGE</t>
        </is>
      </c>
      <c r="D465" s="3" t="n">
        <v>38579.88</v>
      </c>
    </row>
    <row r="466">
      <c r="A466" s="2" t="inlineStr">
        <is>
          <t>DPMG</t>
        </is>
      </c>
      <c r="B466" s="2" t="inlineStr">
        <is>
          <t>FONCTIONNEMENT</t>
        </is>
      </c>
      <c r="C466" s="2" t="inlineStr">
        <is>
          <t>ENGAGE</t>
        </is>
      </c>
      <c r="D466" s="3" t="n">
        <v>319440</v>
      </c>
    </row>
    <row r="467">
      <c r="A467" s="2" t="inlineStr">
        <is>
          <t>DPMG</t>
        </is>
      </c>
      <c r="B467" s="2" t="inlineStr">
        <is>
          <t>FONCTIONNEMENT</t>
        </is>
      </c>
      <c r="C467" s="2" t="inlineStr">
        <is>
          <t>ENGAGE</t>
        </is>
      </c>
      <c r="D467" s="3" t="n">
        <v>154608.96</v>
      </c>
    </row>
    <row r="468">
      <c r="A468" s="2" t="inlineStr">
        <is>
          <t>DPMG</t>
        </is>
      </c>
      <c r="B468" s="2" t="inlineStr">
        <is>
          <t>FONCTIONNEMENT</t>
        </is>
      </c>
      <c r="C468" s="2" t="inlineStr">
        <is>
          <t>ENGAGE</t>
        </is>
      </c>
      <c r="D468" s="3" t="n">
        <v>92400</v>
      </c>
    </row>
    <row r="469">
      <c r="A469" s="2" t="inlineStr">
        <is>
          <t>DPMG</t>
        </is>
      </c>
      <c r="B469" s="2" t="inlineStr">
        <is>
          <t>FONCTIONNEMENT</t>
        </is>
      </c>
      <c r="C469" s="2" t="inlineStr">
        <is>
          <t>ENGAGE</t>
        </is>
      </c>
      <c r="D469" s="3" t="n">
        <v>290400</v>
      </c>
    </row>
    <row r="470">
      <c r="A470" s="2" t="inlineStr">
        <is>
          <t>DPMG</t>
        </is>
      </c>
      <c r="B470" s="2" t="inlineStr">
        <is>
          <t>FONCTIONNEMENT</t>
        </is>
      </c>
      <c r="C470" s="2" t="inlineStr">
        <is>
          <t>ENGAGE</t>
        </is>
      </c>
      <c r="D470" s="3" t="n">
        <v>303600</v>
      </c>
    </row>
    <row r="471">
      <c r="A471" s="2" t="inlineStr">
        <is>
          <t>DPMG</t>
        </is>
      </c>
      <c r="B471" s="2" t="inlineStr">
        <is>
          <t>FONCTIONNEMENT</t>
        </is>
      </c>
      <c r="C471" s="2" t="inlineStr">
        <is>
          <t>ENGAGE</t>
        </is>
      </c>
      <c r="D471" s="3" t="n">
        <v>288802.8</v>
      </c>
    </row>
    <row r="472">
      <c r="A472" s="2" t="inlineStr">
        <is>
          <t>DPMG</t>
        </is>
      </c>
      <c r="B472" s="2" t="inlineStr">
        <is>
          <t>FONCTIONNEMENT</t>
        </is>
      </c>
      <c r="C472" s="2" t="inlineStr">
        <is>
          <t>ENGAGE</t>
        </is>
      </c>
      <c r="D472" s="3" t="n">
        <v>406560</v>
      </c>
    </row>
    <row r="473">
      <c r="A473" s="2" t="inlineStr">
        <is>
          <t>DPMG</t>
        </is>
      </c>
      <c r="B473" s="2" t="inlineStr">
        <is>
          <t>FONCTIONNEMENT</t>
        </is>
      </c>
      <c r="C473" s="2" t="inlineStr">
        <is>
          <t>ENGAGE</t>
        </is>
      </c>
      <c r="D473" s="3" t="n">
        <v>58564</v>
      </c>
    </row>
    <row r="474">
      <c r="A474" s="2" t="inlineStr">
        <is>
          <t>DPMG</t>
        </is>
      </c>
      <c r="B474" s="2" t="inlineStr">
        <is>
          <t>FONCTIONNEMENT</t>
        </is>
      </c>
      <c r="C474" s="2" t="inlineStr">
        <is>
          <t>ENGAGE</t>
        </is>
      </c>
      <c r="D474" s="3" t="n">
        <v>7343586.84</v>
      </c>
    </row>
    <row r="475">
      <c r="A475" s="2" t="inlineStr">
        <is>
          <t>DPMG</t>
        </is>
      </c>
      <c r="B475" s="2" t="inlineStr">
        <is>
          <t>FONCTIONNEMENT</t>
        </is>
      </c>
      <c r="C475" s="2" t="inlineStr">
        <is>
          <t>ENGAGE</t>
        </is>
      </c>
      <c r="D475" s="3" t="n">
        <v>1449692.4</v>
      </c>
    </row>
    <row r="476">
      <c r="A476" s="2" t="inlineStr">
        <is>
          <t>DPMG</t>
        </is>
      </c>
      <c r="B476" s="2" t="inlineStr">
        <is>
          <t>FONCTIONNEMENT</t>
        </is>
      </c>
      <c r="C476" s="2" t="inlineStr">
        <is>
          <t>ENGAGE</t>
        </is>
      </c>
      <c r="D476" s="3" t="n">
        <v>2940732</v>
      </c>
    </row>
    <row r="477">
      <c r="A477" s="2" t="inlineStr">
        <is>
          <t>DPMG</t>
        </is>
      </c>
      <c r="B477" s="2" t="inlineStr">
        <is>
          <t>FONCTIONNEMENT</t>
        </is>
      </c>
      <c r="C477" s="2" t="inlineStr">
        <is>
          <t>ENGAGE</t>
        </is>
      </c>
      <c r="D477" s="3" t="n">
        <v>686565</v>
      </c>
    </row>
    <row r="478">
      <c r="A478" s="2" t="inlineStr">
        <is>
          <t>DPMG</t>
        </is>
      </c>
      <c r="B478" s="2" t="inlineStr">
        <is>
          <t>FONCTIONNEMENT</t>
        </is>
      </c>
      <c r="C478" s="2" t="inlineStr">
        <is>
          <t>ENGAGE</t>
        </is>
      </c>
      <c r="D478" s="3" t="n">
        <v>867981.0699999999</v>
      </c>
    </row>
    <row r="479">
      <c r="A479" s="2" t="inlineStr">
        <is>
          <t>DPMG</t>
        </is>
      </c>
      <c r="B479" s="2" t="inlineStr">
        <is>
          <t>FONCTIONNEMENT</t>
        </is>
      </c>
      <c r="C479" s="2" t="inlineStr">
        <is>
          <t>ENGAGE</t>
        </is>
      </c>
      <c r="D479" s="3" t="n">
        <v>399672</v>
      </c>
    </row>
    <row r="480">
      <c r="A480" s="2" t="inlineStr">
        <is>
          <t>DPMG</t>
        </is>
      </c>
      <c r="B480" s="2" t="inlineStr">
        <is>
          <t>FONCTIONNEMENT</t>
        </is>
      </c>
      <c r="C480" s="2" t="inlineStr">
        <is>
          <t>ENGAGE</t>
        </is>
      </c>
      <c r="D480" s="3" t="n">
        <v>3470365.98</v>
      </c>
    </row>
    <row r="481">
      <c r="A481" s="2" t="inlineStr">
        <is>
          <t>DPMG</t>
        </is>
      </c>
      <c r="B481" s="2" t="inlineStr">
        <is>
          <t>FONCTIONNEMENT</t>
        </is>
      </c>
      <c r="C481" s="2" t="inlineStr">
        <is>
          <t>ENGAGE</t>
        </is>
      </c>
      <c r="D481" s="3" t="n">
        <v>41205482</v>
      </c>
    </row>
    <row r="482">
      <c r="A482" s="2" t="inlineStr">
        <is>
          <t>DPMG</t>
        </is>
      </c>
      <c r="B482" s="2" t="inlineStr">
        <is>
          <t>FONCTIONNEMENT</t>
        </is>
      </c>
      <c r="C482" s="2" t="inlineStr">
        <is>
          <t>ENGAGE</t>
        </is>
      </c>
      <c r="D482" s="3" t="n">
        <v>180096</v>
      </c>
    </row>
    <row r="483">
      <c r="A483" s="2" t="inlineStr">
        <is>
          <t>DPMG</t>
        </is>
      </c>
      <c r="B483" s="2" t="inlineStr">
        <is>
          <t>FONCTIONNEMENT</t>
        </is>
      </c>
      <c r="C483" s="2" t="inlineStr">
        <is>
          <t>ENGAGE</t>
        </is>
      </c>
      <c r="D483" s="3" t="n">
        <v>9780100</v>
      </c>
    </row>
    <row r="484">
      <c r="A484" s="2" t="inlineStr">
        <is>
          <t>DPMG</t>
        </is>
      </c>
      <c r="B484" s="2" t="inlineStr">
        <is>
          <t>FONCTIONNEMENT</t>
        </is>
      </c>
      <c r="C484" s="2" t="inlineStr">
        <is>
          <t>ENGAGE</t>
        </is>
      </c>
      <c r="D484" s="3" t="n">
        <v>400000</v>
      </c>
    </row>
    <row r="485">
      <c r="A485" s="2" t="inlineStr">
        <is>
          <t>DPMG</t>
        </is>
      </c>
      <c r="B485" s="2" t="inlineStr">
        <is>
          <t>FONCTIONNEMENT</t>
        </is>
      </c>
      <c r="C485" s="2" t="inlineStr">
        <is>
          <t>ENGAGE</t>
        </is>
      </c>
      <c r="D485" s="3" t="n">
        <v>1100000</v>
      </c>
    </row>
    <row r="486">
      <c r="A486" s="2" t="inlineStr">
        <is>
          <t>DPMG</t>
        </is>
      </c>
      <c r="B486" s="2" t="inlineStr">
        <is>
          <t>FONCTIONNEMENT</t>
        </is>
      </c>
      <c r="C486" s="2" t="inlineStr">
        <is>
          <t>ENGAGE</t>
        </is>
      </c>
      <c r="D486" s="3" t="n">
        <v>1200000</v>
      </c>
    </row>
    <row r="487">
      <c r="A487" s="2" t="inlineStr">
        <is>
          <t>DPMG</t>
        </is>
      </c>
      <c r="B487" s="2" t="inlineStr">
        <is>
          <t>FONCTIONNEMENT</t>
        </is>
      </c>
      <c r="C487" s="2" t="inlineStr">
        <is>
          <t>ENGAGE</t>
        </is>
      </c>
      <c r="D487" s="3" t="n">
        <v>318</v>
      </c>
    </row>
    <row r="488">
      <c r="A488" s="2" t="inlineStr">
        <is>
          <t>DPMG</t>
        </is>
      </c>
      <c r="B488" s="2" t="inlineStr">
        <is>
          <t>FONCTIONNEMENT</t>
        </is>
      </c>
      <c r="C488" s="2" t="inlineStr">
        <is>
          <t>ENGAGE</t>
        </is>
      </c>
      <c r="D488" s="3" t="n">
        <v>5000000</v>
      </c>
    </row>
    <row r="489">
      <c r="A489" s="2" t="inlineStr">
        <is>
          <t>DPMG</t>
        </is>
      </c>
      <c r="B489" s="2" t="inlineStr">
        <is>
          <t>FONCTIONNEMENT</t>
        </is>
      </c>
      <c r="C489" s="2" t="inlineStr">
        <is>
          <t>ENGAGE</t>
        </is>
      </c>
      <c r="D489" s="3" t="n">
        <v>70000</v>
      </c>
    </row>
    <row r="490">
      <c r="A490" s="2" t="inlineStr">
        <is>
          <t>DPMG</t>
        </is>
      </c>
      <c r="B490" s="2" t="inlineStr">
        <is>
          <t>FONCTIONNEMENT</t>
        </is>
      </c>
      <c r="C490" s="2" t="inlineStr">
        <is>
          <t>ENGAGE</t>
        </is>
      </c>
      <c r="D490" s="3" t="n">
        <v>5000</v>
      </c>
    </row>
    <row r="491">
      <c r="A491" s="2" t="inlineStr">
        <is>
          <t>DPMG</t>
        </is>
      </c>
      <c r="B491" s="2" t="inlineStr">
        <is>
          <t>FONCTIONNEMENT</t>
        </is>
      </c>
      <c r="C491" s="2" t="inlineStr">
        <is>
          <t>ENGAGE</t>
        </is>
      </c>
      <c r="D491" s="3" t="n">
        <v>4000000</v>
      </c>
    </row>
    <row r="492">
      <c r="A492" s="2" t="inlineStr">
        <is>
          <t>DPMG</t>
        </is>
      </c>
      <c r="B492" s="2" t="inlineStr">
        <is>
          <t>FONCTIONNEMENT</t>
        </is>
      </c>
      <c r="C492" s="2" t="inlineStr">
        <is>
          <t>ENGAGE</t>
        </is>
      </c>
      <c r="D492" s="3" t="n">
        <v>900000</v>
      </c>
    </row>
    <row r="493">
      <c r="A493" s="2" t="inlineStr">
        <is>
          <t>DPMG</t>
        </is>
      </c>
      <c r="B493" s="2" t="inlineStr">
        <is>
          <t>FONCTIONNEMENT</t>
        </is>
      </c>
      <c r="C493" s="2" t="inlineStr">
        <is>
          <t>ENGAGE</t>
        </is>
      </c>
      <c r="D493" s="3" t="n">
        <v>51000</v>
      </c>
    </row>
    <row r="494">
      <c r="A494" s="2" t="inlineStr">
        <is>
          <t>DPMG</t>
        </is>
      </c>
      <c r="B494" s="2" t="inlineStr">
        <is>
          <t>FONCTIONNEMENT</t>
        </is>
      </c>
      <c r="C494" s="2" t="inlineStr">
        <is>
          <t>ENGAGE</t>
        </is>
      </c>
      <c r="D494" s="3" t="n">
        <v>2934182.63</v>
      </c>
    </row>
    <row r="495">
      <c r="A495" s="2" t="inlineStr">
        <is>
          <t>DPMG</t>
        </is>
      </c>
      <c r="B495" s="2" t="inlineStr">
        <is>
          <t>FONCTIONNEMENT</t>
        </is>
      </c>
      <c r="C495" s="2" t="inlineStr">
        <is>
          <t>ENGAGE</t>
        </is>
      </c>
      <c r="D495" s="3" t="n">
        <v>6602511.15</v>
      </c>
    </row>
    <row r="496">
      <c r="A496" s="2" t="inlineStr">
        <is>
          <t>DPMG</t>
        </is>
      </c>
      <c r="B496" s="2" t="inlineStr">
        <is>
          <t>FONCTIONNEMENT</t>
        </is>
      </c>
      <c r="C496" s="2" t="inlineStr">
        <is>
          <t>ENGAGE</t>
        </is>
      </c>
      <c r="D496" s="3" t="n">
        <v>3806571</v>
      </c>
    </row>
    <row r="497">
      <c r="A497" s="2" t="inlineStr">
        <is>
          <t>DPMG</t>
        </is>
      </c>
      <c r="B497" s="2" t="inlineStr">
        <is>
          <t>FONCTIONNEMENT</t>
        </is>
      </c>
      <c r="C497" s="2" t="inlineStr">
        <is>
          <t>ENGAGE</t>
        </is>
      </c>
      <c r="D497" s="3" t="n">
        <v>550000</v>
      </c>
    </row>
    <row r="498">
      <c r="A498" s="2" t="inlineStr">
        <is>
          <t>DPMG</t>
        </is>
      </c>
      <c r="B498" s="2" t="inlineStr">
        <is>
          <t>FONCTIONNEMENT</t>
        </is>
      </c>
      <c r="C498" s="2" t="inlineStr">
        <is>
          <t>ENGAGE</t>
        </is>
      </c>
      <c r="D498" s="3" t="n">
        <v>1119028</v>
      </c>
    </row>
    <row r="499">
      <c r="A499" s="2" t="inlineStr">
        <is>
          <t>DRH</t>
        </is>
      </c>
      <c r="B499" s="2" t="inlineStr">
        <is>
          <t>FONCTIONNEMENT</t>
        </is>
      </c>
      <c r="C499" s="2" t="inlineStr">
        <is>
          <t>ENGAGE</t>
        </is>
      </c>
      <c r="D499" s="3" t="n">
        <v>85714.32000000001</v>
      </c>
    </row>
    <row r="500">
      <c r="A500" s="2" t="inlineStr">
        <is>
          <t>DRH</t>
        </is>
      </c>
      <c r="B500" s="2" t="inlineStr">
        <is>
          <t>FONCTIONNEMENT</t>
        </is>
      </c>
      <c r="C500" s="2" t="inlineStr">
        <is>
          <t>ENGAGE</t>
        </is>
      </c>
      <c r="D500" s="3" t="n">
        <v>171428.5704</v>
      </c>
    </row>
    <row r="501">
      <c r="A501" s="2" t="inlineStr">
        <is>
          <t>DRH</t>
        </is>
      </c>
      <c r="B501" s="2" t="inlineStr">
        <is>
          <t>FONCTIONNEMENT</t>
        </is>
      </c>
      <c r="C501" s="2" t="inlineStr">
        <is>
          <t>ENGAGE</t>
        </is>
      </c>
      <c r="D501" s="3" t="n">
        <v>171428.5704</v>
      </c>
    </row>
    <row r="502">
      <c r="A502" s="2" t="inlineStr">
        <is>
          <t>DRH</t>
        </is>
      </c>
      <c r="B502" s="2" t="inlineStr">
        <is>
          <t>FONCTIONNEMENT</t>
        </is>
      </c>
      <c r="C502" s="2" t="inlineStr">
        <is>
          <t>ENGAGE</t>
        </is>
      </c>
      <c r="D502" s="3" t="n">
        <v>171428.5704</v>
      </c>
    </row>
    <row r="503">
      <c r="A503" s="2" t="inlineStr">
        <is>
          <t>DRH</t>
        </is>
      </c>
      <c r="B503" s="2" t="inlineStr">
        <is>
          <t>FONCTIONNEMENT</t>
        </is>
      </c>
      <c r="C503" s="2" t="inlineStr">
        <is>
          <t>ENGAGE</t>
        </is>
      </c>
      <c r="D503" s="3" t="n">
        <v>183680</v>
      </c>
    </row>
    <row r="504">
      <c r="A504" s="2" t="inlineStr">
        <is>
          <t>DRH</t>
        </is>
      </c>
      <c r="B504" s="2" t="inlineStr">
        <is>
          <t>FONCTIONNEMENT</t>
        </is>
      </c>
      <c r="C504" s="2" t="inlineStr">
        <is>
          <t>ENGAGE</t>
        </is>
      </c>
      <c r="D504" s="3" t="n">
        <v>127666.666666667</v>
      </c>
    </row>
    <row r="505">
      <c r="A505" s="2" t="inlineStr">
        <is>
          <t>DMPTV</t>
        </is>
      </c>
      <c r="B505" s="2" t="inlineStr">
        <is>
          <t>FONCTIONNEMENT</t>
        </is>
      </c>
      <c r="C505" s="2" t="inlineStr">
        <is>
          <t>ENGAGE</t>
        </is>
      </c>
      <c r="D505" s="3" t="n">
        <v>1560000</v>
      </c>
    </row>
    <row r="506">
      <c r="A506" s="2" t="inlineStr">
        <is>
          <t>DRPSD</t>
        </is>
      </c>
      <c r="B506" s="2" t="inlineStr">
        <is>
          <t>FONCTIONNEMENT</t>
        </is>
      </c>
      <c r="C506" s="2" t="inlineStr">
        <is>
          <t>ENGAGE</t>
        </is>
      </c>
      <c r="D506" s="3" t="n">
        <v>250000</v>
      </c>
    </row>
    <row r="507">
      <c r="A507" s="2" t="inlineStr">
        <is>
          <t>ARRIYADIA</t>
        </is>
      </c>
      <c r="B507" s="2" t="inlineStr">
        <is>
          <t>FONCTIONNEMENT</t>
        </is>
      </c>
      <c r="C507" s="2" t="inlineStr">
        <is>
          <t>ENGAGE</t>
        </is>
      </c>
      <c r="D507" s="3" t="n">
        <v>1427180</v>
      </c>
    </row>
    <row r="508">
      <c r="A508" s="2" t="inlineStr">
        <is>
          <t>ARRIYADIA</t>
        </is>
      </c>
      <c r="B508" s="2" t="inlineStr">
        <is>
          <t>FONCTIONNEMENT</t>
        </is>
      </c>
      <c r="C508" s="2" t="inlineStr">
        <is>
          <t>ENGAGE</t>
        </is>
      </c>
      <c r="D508" s="3" t="n">
        <v>414064</v>
      </c>
    </row>
    <row r="509">
      <c r="A509" s="2" t="inlineStr">
        <is>
          <t>ARRIYADIA</t>
        </is>
      </c>
      <c r="B509" s="2" t="inlineStr">
        <is>
          <t>FONCTIONNEMENT</t>
        </is>
      </c>
      <c r="C509" s="2" t="inlineStr">
        <is>
          <t>ENGAGE</t>
        </is>
      </c>
      <c r="D509" s="3" t="n">
        <v>96190</v>
      </c>
    </row>
    <row r="510">
      <c r="A510" s="2" t="inlineStr">
        <is>
          <t>DTSI</t>
        </is>
      </c>
      <c r="B510" s="2" t="inlineStr">
        <is>
          <t>FONCTIONNEMENT</t>
        </is>
      </c>
      <c r="C510" s="2" t="inlineStr">
        <is>
          <t>ENGAGE</t>
        </is>
      </c>
      <c r="D510" s="3" t="n">
        <v>439980</v>
      </c>
    </row>
    <row r="511">
      <c r="A511" s="2" t="inlineStr">
        <is>
          <t>DTSI</t>
        </is>
      </c>
      <c r="B511" s="2" t="inlineStr">
        <is>
          <t>FONCTIONNEMENT</t>
        </is>
      </c>
      <c r="C511" s="2" t="inlineStr">
        <is>
          <t>ENGAGE</t>
        </is>
      </c>
      <c r="D511" s="3" t="n">
        <v>339840</v>
      </c>
    </row>
    <row r="512">
      <c r="A512" s="2" t="inlineStr">
        <is>
          <t>DTSI</t>
        </is>
      </c>
      <c r="B512" s="2" t="inlineStr">
        <is>
          <t>FONCTIONNEMENT</t>
        </is>
      </c>
      <c r="C512" s="2" t="inlineStr">
        <is>
          <t>ENGAGE</t>
        </is>
      </c>
      <c r="D512" s="3" t="n">
        <v>137664</v>
      </c>
    </row>
    <row r="513">
      <c r="A513" s="2" t="inlineStr">
        <is>
          <t>DTSI</t>
        </is>
      </c>
      <c r="B513" s="2" t="inlineStr">
        <is>
          <t>FONCTIONNEMENT</t>
        </is>
      </c>
      <c r="C513" s="2" t="inlineStr">
        <is>
          <t>ENGAGE</t>
        </is>
      </c>
      <c r="D513" s="3" t="n">
        <v>1644442.8</v>
      </c>
    </row>
    <row r="514">
      <c r="A514" s="2" t="inlineStr">
        <is>
          <t>DG</t>
        </is>
      </c>
      <c r="B514" s="2" t="inlineStr">
        <is>
          <t>FONCTIONNEMENT</t>
        </is>
      </c>
      <c r="C514" s="2" t="inlineStr">
        <is>
          <t>ENGAGE</t>
        </is>
      </c>
      <c r="D514" s="3" t="n">
        <v>576000</v>
      </c>
    </row>
    <row r="515">
      <c r="A515" s="2" t="inlineStr">
        <is>
          <t>DACG</t>
        </is>
      </c>
      <c r="B515" s="2" t="inlineStr">
        <is>
          <t>FONCTIONNEMENT</t>
        </is>
      </c>
      <c r="C515" s="2" t="inlineStr">
        <is>
          <t>ENGAGE</t>
        </is>
      </c>
      <c r="D515" s="3" t="n">
        <v>118500</v>
      </c>
    </row>
    <row r="516">
      <c r="A516" s="2" t="inlineStr">
        <is>
          <t>DACG</t>
        </is>
      </c>
      <c r="B516" s="2" t="inlineStr">
        <is>
          <t>FONCTIONNEMENT</t>
        </is>
      </c>
      <c r="C516" s="2" t="inlineStr">
        <is>
          <t>ENGAGE</t>
        </is>
      </c>
      <c r="D516" s="3" t="n">
        <v>100000</v>
      </c>
    </row>
    <row r="517">
      <c r="A517" s="2" t="inlineStr">
        <is>
          <t>DACG</t>
        </is>
      </c>
      <c r="B517" s="2" t="inlineStr">
        <is>
          <t>FONCTIONNEMENT</t>
        </is>
      </c>
      <c r="C517" s="2" t="inlineStr">
        <is>
          <t>ENGAGE</t>
        </is>
      </c>
      <c r="D517" s="3" t="n">
        <v>100000</v>
      </c>
    </row>
    <row r="518">
      <c r="A518" s="2" t="inlineStr">
        <is>
          <t>TDF -SITES</t>
        </is>
      </c>
      <c r="B518" s="2" t="inlineStr">
        <is>
          <t>FONCTIONNEMENT</t>
        </is>
      </c>
      <c r="C518" s="2" t="inlineStr">
        <is>
          <t>ENGAGE</t>
        </is>
      </c>
      <c r="D518" s="3" t="n">
        <v>3000000</v>
      </c>
    </row>
    <row r="519">
      <c r="A519" s="2" t="inlineStr">
        <is>
          <t>TDF -SITES</t>
        </is>
      </c>
      <c r="B519" s="2" t="inlineStr">
        <is>
          <t>FONCTIONNEMENT</t>
        </is>
      </c>
      <c r="C519" s="2" t="inlineStr">
        <is>
          <t>ENGAGE</t>
        </is>
      </c>
      <c r="D519" s="3" t="n">
        <v>2340000</v>
      </c>
    </row>
    <row r="520">
      <c r="A520" s="2" t="inlineStr">
        <is>
          <t>TDF -SITES</t>
        </is>
      </c>
      <c r="B520" s="2" t="inlineStr">
        <is>
          <t>FONCTIONNEMENT</t>
        </is>
      </c>
      <c r="C520" s="2" t="inlineStr">
        <is>
          <t>ENGAGE</t>
        </is>
      </c>
      <c r="D520" s="3" t="n">
        <v>18960000</v>
      </c>
    </row>
    <row r="521">
      <c r="A521" s="2" t="inlineStr">
        <is>
          <t>TDF -SITES</t>
        </is>
      </c>
      <c r="B521" s="2" t="inlineStr">
        <is>
          <t>FONCTIONNEMENT</t>
        </is>
      </c>
      <c r="C521" s="2" t="inlineStr">
        <is>
          <t>ENGAGE</t>
        </is>
      </c>
      <c r="D521" s="3" t="n">
        <v>66430944.36</v>
      </c>
    </row>
    <row r="522">
      <c r="A522" s="2" t="inlineStr">
        <is>
          <t>TDF -SITES</t>
        </is>
      </c>
      <c r="B522" s="2" t="inlineStr">
        <is>
          <t>FONCTIONNEMENT</t>
        </is>
      </c>
      <c r="C522" s="2" t="inlineStr">
        <is>
          <t>ENGAGE</t>
        </is>
      </c>
      <c r="D522" s="3" t="n">
        <v>1950000</v>
      </c>
    </row>
    <row r="523">
      <c r="A523" s="2" t="inlineStr">
        <is>
          <t>TDF -SITES</t>
        </is>
      </c>
      <c r="B523" s="2" t="inlineStr">
        <is>
          <t>FONCTIONNEMENT</t>
        </is>
      </c>
      <c r="C523" s="2" t="inlineStr">
        <is>
          <t>ENGAGE</t>
        </is>
      </c>
      <c r="D523" s="3" t="n">
        <v>1805904</v>
      </c>
    </row>
    <row r="524">
      <c r="A524" s="2" t="inlineStr">
        <is>
          <t>TDF -SITES</t>
        </is>
      </c>
      <c r="B524" s="2" t="inlineStr">
        <is>
          <t>FONCTIONNEMENT</t>
        </is>
      </c>
      <c r="C524" s="2" t="inlineStr">
        <is>
          <t>ENGAGE</t>
        </is>
      </c>
      <c r="D524" s="3" t="n">
        <v>11163484.99</v>
      </c>
    </row>
    <row r="525">
      <c r="A525" s="2" t="inlineStr">
        <is>
          <t>TDF -SITES</t>
        </is>
      </c>
      <c r="B525" s="2" t="inlineStr">
        <is>
          <t>FONCTIONNEMENT</t>
        </is>
      </c>
      <c r="C525" s="2" t="inlineStr">
        <is>
          <t>ENGAGE</t>
        </is>
      </c>
      <c r="D525" s="3" t="n">
        <v>180000</v>
      </c>
    </row>
    <row r="526">
      <c r="A526" s="2" t="inlineStr">
        <is>
          <t>TDF -SITES</t>
        </is>
      </c>
      <c r="B526" s="2" t="inlineStr">
        <is>
          <t>FONCTIONNEMENT</t>
        </is>
      </c>
      <c r="C526" s="2" t="inlineStr">
        <is>
          <t>ENGAGE</t>
        </is>
      </c>
      <c r="D526" s="3" t="n">
        <v>919800</v>
      </c>
    </row>
    <row r="527">
      <c r="A527" s="2" t="inlineStr">
        <is>
          <t>TDF -SITES</t>
        </is>
      </c>
      <c r="B527" s="2" t="inlineStr">
        <is>
          <t>FONCTIONNEMENT</t>
        </is>
      </c>
      <c r="C527" s="2" t="inlineStr">
        <is>
          <t>ENGAGE</t>
        </is>
      </c>
      <c r="D527" s="3" t="n">
        <v>318960</v>
      </c>
    </row>
    <row r="528">
      <c r="A528" s="2" t="inlineStr">
        <is>
          <t>TDF -SITES</t>
        </is>
      </c>
      <c r="B528" s="2" t="inlineStr">
        <is>
          <t>FONCTIONNEMENT</t>
        </is>
      </c>
      <c r="C528" s="2" t="inlineStr">
        <is>
          <t>ENGAGE</t>
        </is>
      </c>
      <c r="D528" s="3" t="n">
        <v>838800</v>
      </c>
    </row>
    <row r="529">
      <c r="A529" s="2" t="inlineStr">
        <is>
          <t>DTSI</t>
        </is>
      </c>
      <c r="B529" s="2" t="inlineStr">
        <is>
          <t>FONCTIONNEMENT</t>
        </is>
      </c>
      <c r="C529" s="2" t="inlineStr">
        <is>
          <t>ENGAGE</t>
        </is>
      </c>
      <c r="D529" s="3" t="n">
        <v>375420</v>
      </c>
    </row>
    <row r="530">
      <c r="A530" s="2" t="inlineStr">
        <is>
          <t>DTSI</t>
        </is>
      </c>
      <c r="B530" s="2" t="inlineStr">
        <is>
          <t>FONCTIONNEMENT</t>
        </is>
      </c>
      <c r="C530" s="2" t="inlineStr">
        <is>
          <t>ENGAGE</t>
        </is>
      </c>
      <c r="D530" s="3" t="n">
        <v>240000</v>
      </c>
    </row>
    <row r="531">
      <c r="A531" s="2" t="inlineStr">
        <is>
          <t>DTSI</t>
        </is>
      </c>
      <c r="B531" s="2" t="inlineStr">
        <is>
          <t>FONCTIONNEMENT</t>
        </is>
      </c>
      <c r="C531" s="2" t="inlineStr">
        <is>
          <t>ENGAGE</t>
        </is>
      </c>
      <c r="D531" s="3" t="n">
        <v>516000</v>
      </c>
    </row>
    <row r="532">
      <c r="A532" s="2" t="inlineStr">
        <is>
          <t>DTSI</t>
        </is>
      </c>
      <c r="B532" s="2" t="inlineStr">
        <is>
          <t>FONCTIONNEMENT</t>
        </is>
      </c>
      <c r="C532" s="2" t="inlineStr">
        <is>
          <t>ENGAGE</t>
        </is>
      </c>
      <c r="D532" s="3" t="n">
        <v>1365699.456</v>
      </c>
    </row>
    <row r="533">
      <c r="A533" s="2" t="inlineStr">
        <is>
          <t>DTSI</t>
        </is>
      </c>
      <c r="B533" s="2" t="inlineStr">
        <is>
          <t>FONCTIONNEMENT</t>
        </is>
      </c>
      <c r="C533" s="2" t="inlineStr">
        <is>
          <t>ENGAGE</t>
        </is>
      </c>
      <c r="D533" s="3" t="n">
        <v>494628</v>
      </c>
    </row>
    <row r="534">
      <c r="A534" s="2" t="inlineStr">
        <is>
          <t>DTSI</t>
        </is>
      </c>
      <c r="B534" s="2" t="inlineStr">
        <is>
          <t>INVESTISSEMENT</t>
        </is>
      </c>
      <c r="C534" s="2" t="inlineStr">
        <is>
          <t>NON ENGAGE</t>
        </is>
      </c>
      <c r="D534" s="3" t="n">
        <v>0</v>
      </c>
    </row>
    <row r="535">
      <c r="A535" s="2" t="inlineStr">
        <is>
          <t>ASSADISSA</t>
        </is>
      </c>
      <c r="B535" s="2" t="inlineStr">
        <is>
          <t>FONCTIONNEMENT</t>
        </is>
      </c>
      <c r="C535" s="2" t="inlineStr">
        <is>
          <t>ENGAGE</t>
        </is>
      </c>
      <c r="D535" s="3" t="n">
        <v>45000</v>
      </c>
    </row>
    <row r="536">
      <c r="A536" s="2" t="inlineStr">
        <is>
          <t>ASSADISSA</t>
        </is>
      </c>
      <c r="B536" s="2" t="inlineStr">
        <is>
          <t>FONCTIONNEMENT</t>
        </is>
      </c>
      <c r="C536" s="2" t="inlineStr">
        <is>
          <t>ENGAGE</t>
        </is>
      </c>
      <c r="D536" s="3" t="n">
        <v>96000</v>
      </c>
    </row>
    <row r="537">
      <c r="A537" s="2" t="inlineStr">
        <is>
          <t>DINFOTV</t>
        </is>
      </c>
      <c r="B537" s="2" t="inlineStr">
        <is>
          <t>FONCTIONNEMENT</t>
        </is>
      </c>
      <c r="C537" s="2" t="inlineStr">
        <is>
          <t>ENGAGE</t>
        </is>
      </c>
      <c r="D537" s="3" t="n">
        <v>360000</v>
      </c>
    </row>
    <row r="538">
      <c r="A538" s="2" t="inlineStr">
        <is>
          <t>DINFOTV</t>
        </is>
      </c>
      <c r="B538" s="2" t="inlineStr">
        <is>
          <t>FONCTIONNEMENT</t>
        </is>
      </c>
      <c r="C538" s="2" t="inlineStr">
        <is>
          <t>ENGAGE</t>
        </is>
      </c>
      <c r="D538" s="3" t="n">
        <v>437638.83</v>
      </c>
    </row>
    <row r="539">
      <c r="A539" s="2" t="inlineStr">
        <is>
          <t>DMPTV</t>
        </is>
      </c>
      <c r="B539" s="2" t="inlineStr">
        <is>
          <t>FONCTIONNEMENT</t>
        </is>
      </c>
      <c r="C539" s="2" t="inlineStr">
        <is>
          <t>ENGAGE</t>
        </is>
      </c>
      <c r="D539" s="3" t="n">
        <v>1080000</v>
      </c>
    </row>
    <row r="540">
      <c r="A540" s="2" t="inlineStr">
        <is>
          <t>ASSADISSA</t>
        </is>
      </c>
      <c r="B540" s="2" t="inlineStr">
        <is>
          <t>FONCTIONNEMENT</t>
        </is>
      </c>
      <c r="C540" s="2" t="inlineStr">
        <is>
          <t>ENGAGE</t>
        </is>
      </c>
      <c r="D540" s="3" t="n">
        <v>70000</v>
      </c>
    </row>
    <row r="541">
      <c r="A541" s="2" t="inlineStr">
        <is>
          <t>ASSADISSA</t>
        </is>
      </c>
      <c r="B541" s="2" t="inlineStr">
        <is>
          <t>FONCTIONNEMENT</t>
        </is>
      </c>
      <c r="C541" s="2" t="inlineStr">
        <is>
          <t>ENGAGE</t>
        </is>
      </c>
      <c r="D541" s="3" t="n">
        <v>80000</v>
      </c>
    </row>
    <row r="542">
      <c r="A542" s="2" t="inlineStr">
        <is>
          <t>ASSADISSA</t>
        </is>
      </c>
      <c r="B542" s="2" t="inlineStr">
        <is>
          <t>FONCTIONNEMENT</t>
        </is>
      </c>
      <c r="C542" s="2" t="inlineStr">
        <is>
          <t>ENGAGE</t>
        </is>
      </c>
      <c r="D542" s="3" t="n">
        <v>70000</v>
      </c>
    </row>
    <row r="543">
      <c r="A543" s="2" t="inlineStr">
        <is>
          <t>ASSADISSA</t>
        </is>
      </c>
      <c r="B543" s="2" t="inlineStr">
        <is>
          <t>FONCTIONNEMENT</t>
        </is>
      </c>
      <c r="C543" s="2" t="inlineStr">
        <is>
          <t>ENGAGE</t>
        </is>
      </c>
      <c r="D543" s="3" t="n">
        <v>70000</v>
      </c>
    </row>
    <row r="544">
      <c r="A544" s="2" t="inlineStr">
        <is>
          <t>DPMG</t>
        </is>
      </c>
      <c r="B544" s="2" t="inlineStr">
        <is>
          <t>FONCTIONNEMENT</t>
        </is>
      </c>
      <c r="C544" s="2" t="inlineStr">
        <is>
          <t>EN COURS DE PREENGAGEMENT</t>
        </is>
      </c>
      <c r="D544" s="3" t="n">
        <v>600696</v>
      </c>
    </row>
    <row r="545">
      <c r="A545" s="2" t="inlineStr">
        <is>
          <t>TDF -SITES</t>
        </is>
      </c>
      <c r="B545" s="2" t="inlineStr">
        <is>
          <t>INVESTISSEMENT</t>
        </is>
      </c>
      <c r="C545" s="2" t="inlineStr">
        <is>
          <t>PREENGAGE</t>
        </is>
      </c>
      <c r="D545" s="3" t="n">
        <v>0</v>
      </c>
    </row>
    <row r="546">
      <c r="A546" s="2" t="inlineStr">
        <is>
          <t>DCRI</t>
        </is>
      </c>
      <c r="B546" s="2" t="inlineStr">
        <is>
          <t>FONCTIONNEMENT</t>
        </is>
      </c>
      <c r="C546" s="2" t="inlineStr">
        <is>
          <t>ENGAGE</t>
        </is>
      </c>
      <c r="D546" s="3" t="n">
        <v>318240</v>
      </c>
    </row>
    <row r="547">
      <c r="A547" s="2" t="inlineStr">
        <is>
          <t>TDF-EXP&amp;MAIN</t>
        </is>
      </c>
      <c r="B547" s="2" t="inlineStr">
        <is>
          <t>INVESTISSEMENT</t>
        </is>
      </c>
      <c r="C547" s="2" t="inlineStr">
        <is>
          <t>NON ENGAGE</t>
        </is>
      </c>
      <c r="D547" s="3" t="n">
        <v>0</v>
      </c>
    </row>
    <row r="548">
      <c r="A548" s="2" t="inlineStr">
        <is>
          <t>DTSI</t>
        </is>
      </c>
      <c r="B548" s="2" t="inlineStr">
        <is>
          <t>INVESTISSEMENT</t>
        </is>
      </c>
      <c r="C548" s="2" t="inlineStr">
        <is>
          <t>NON ENGAGE</t>
        </is>
      </c>
      <c r="D548" s="3" t="n">
        <v>0</v>
      </c>
    </row>
    <row r="549">
      <c r="A549" s="2" t="inlineStr">
        <is>
          <t>DTSI</t>
        </is>
      </c>
      <c r="B549" s="2" t="inlineStr">
        <is>
          <t>FONCTIONNEMENT</t>
        </is>
      </c>
      <c r="C549" s="2" t="inlineStr">
        <is>
          <t>PREENGAGE</t>
        </is>
      </c>
      <c r="D549" s="3" t="n">
        <v>0</v>
      </c>
    </row>
    <row r="550">
      <c r="A550" s="2" t="inlineStr">
        <is>
          <t>ARRIYADIA</t>
        </is>
      </c>
      <c r="B550" s="2" t="inlineStr">
        <is>
          <t>FONCTIONNEMENT</t>
        </is>
      </c>
      <c r="C550" s="2" t="inlineStr">
        <is>
          <t>ENGAGE</t>
        </is>
      </c>
      <c r="D550" s="3" t="n">
        <v>150000</v>
      </c>
    </row>
    <row r="551">
      <c r="A551" s="2" t="inlineStr">
        <is>
          <t>TAMAZIGHT</t>
        </is>
      </c>
      <c r="B551" s="2" t="inlineStr">
        <is>
          <t>FONCTIONNEMENT</t>
        </is>
      </c>
      <c r="C551" s="2" t="inlineStr">
        <is>
          <t>ENGAGE</t>
        </is>
      </c>
      <c r="D551" s="3" t="n">
        <v>64000</v>
      </c>
    </row>
    <row r="552">
      <c r="A552" s="2" t="inlineStr">
        <is>
          <t>DCPA</t>
        </is>
      </c>
      <c r="B552" s="2" t="inlineStr">
        <is>
          <t>FONCTIONNEMENT</t>
        </is>
      </c>
      <c r="C552" s="2" t="inlineStr">
        <is>
          <t>ENGAGE</t>
        </is>
      </c>
      <c r="D552" s="3" t="n">
        <v>200000</v>
      </c>
    </row>
    <row r="553">
      <c r="A553" s="2" t="inlineStr">
        <is>
          <t>DTSI</t>
        </is>
      </c>
      <c r="B553" s="2" t="inlineStr">
        <is>
          <t>INVESTISSEMENT</t>
        </is>
      </c>
      <c r="C553" s="2" t="inlineStr">
        <is>
          <t>ENGAGE</t>
        </is>
      </c>
      <c r="D553" s="3" t="n">
        <v>83649.19</v>
      </c>
    </row>
    <row r="554">
      <c r="A554" s="2" t="inlineStr">
        <is>
          <t>DTSI</t>
        </is>
      </c>
      <c r="B554" s="2" t="inlineStr">
        <is>
          <t>INVESTISSEMENT</t>
        </is>
      </c>
      <c r="C554" s="2" t="inlineStr">
        <is>
          <t>PREENGAGE</t>
        </is>
      </c>
      <c r="D554" s="3" t="n">
        <v>0</v>
      </c>
    </row>
    <row r="555">
      <c r="A555" s="2" t="inlineStr">
        <is>
          <t>DTSI</t>
        </is>
      </c>
      <c r="B555" s="2" t="inlineStr">
        <is>
          <t>INVESTISSEMENT</t>
        </is>
      </c>
      <c r="C555" s="2" t="inlineStr">
        <is>
          <t>NON ENGAGE</t>
        </is>
      </c>
      <c r="D555" s="3" t="n">
        <v>0</v>
      </c>
    </row>
    <row r="556">
      <c r="A556" s="2" t="inlineStr">
        <is>
          <t>TDF -SITES</t>
        </is>
      </c>
      <c r="B556" s="2" t="inlineStr">
        <is>
          <t>FONCTIONNEMENT</t>
        </is>
      </c>
      <c r="C556" s="2" t="inlineStr">
        <is>
          <t>EN COURS DE PREENGAGEMENT</t>
        </is>
      </c>
      <c r="D556" s="3" t="n">
        <v>952473.6</v>
      </c>
    </row>
    <row r="557">
      <c r="A557" s="2" t="inlineStr">
        <is>
          <t>TDF -SITES</t>
        </is>
      </c>
      <c r="B557" s="2" t="inlineStr">
        <is>
          <t>INVESTISSEMENT</t>
        </is>
      </c>
      <c r="C557" s="2" t="inlineStr">
        <is>
          <t>EN COURS DE PREENGAGEMENT</t>
        </is>
      </c>
      <c r="D557" s="3" t="n">
        <v>86400</v>
      </c>
    </row>
    <row r="558">
      <c r="A558" s="2" t="inlineStr">
        <is>
          <t>DCPA</t>
        </is>
      </c>
      <c r="B558" s="2" t="inlineStr">
        <is>
          <t>FONCTIONNEMENT</t>
        </is>
      </c>
      <c r="C558" s="2" t="inlineStr">
        <is>
          <t>ENGAGE</t>
        </is>
      </c>
      <c r="D558" s="3" t="n">
        <v>50071.4</v>
      </c>
    </row>
    <row r="559">
      <c r="A559" s="2" t="inlineStr">
        <is>
          <t>DPMG</t>
        </is>
      </c>
      <c r="B559" s="2" t="inlineStr">
        <is>
          <t>FONCTIONNEMENT</t>
        </is>
      </c>
      <c r="C559" s="2" t="inlineStr">
        <is>
          <t>PREENGAGE</t>
        </is>
      </c>
      <c r="D559" s="3" t="n">
        <v>0</v>
      </c>
    </row>
    <row r="560">
      <c r="A560" s="2" t="inlineStr">
        <is>
          <t>DACG</t>
        </is>
      </c>
      <c r="B560" s="2" t="inlineStr">
        <is>
          <t>FONCTIONNEMENT</t>
        </is>
      </c>
      <c r="C560" s="2" t="inlineStr">
        <is>
          <t>EN COURS DE PREENGAGEMENT</t>
        </is>
      </c>
      <c r="D560" s="3" t="n">
        <v>144000</v>
      </c>
    </row>
    <row r="561">
      <c r="A561" s="2" t="inlineStr">
        <is>
          <t>DMPTV</t>
        </is>
      </c>
      <c r="B561" s="2" t="inlineStr">
        <is>
          <t>FONCTIONNEMENT</t>
        </is>
      </c>
      <c r="C561" s="2" t="inlineStr">
        <is>
          <t>EN COURS DE PREENGAGEMENT</t>
        </is>
      </c>
      <c r="D561" s="3" t="n">
        <v>14848560</v>
      </c>
    </row>
    <row r="562">
      <c r="A562" s="2" t="inlineStr">
        <is>
          <t>DMPTV</t>
        </is>
      </c>
      <c r="B562" s="2" t="inlineStr">
        <is>
          <t>INVESTISSEMENT</t>
        </is>
      </c>
      <c r="C562" s="2" t="inlineStr">
        <is>
          <t>ENGAGE</t>
        </is>
      </c>
      <c r="D562" s="3" t="n">
        <v>198971.91</v>
      </c>
    </row>
    <row r="563">
      <c r="A563" s="2" t="inlineStr">
        <is>
          <t>ARRIYADIA</t>
        </is>
      </c>
      <c r="B563" s="2" t="inlineStr">
        <is>
          <t>FONCTIONNEMENT</t>
        </is>
      </c>
      <c r="C563" s="2" t="inlineStr">
        <is>
          <t>ENGAGE</t>
        </is>
      </c>
      <c r="D563" s="3" t="n">
        <v>12857.14</v>
      </c>
    </row>
    <row r="564">
      <c r="A564" s="2" t="inlineStr">
        <is>
          <t>TDF-EXP&amp;MAIN</t>
        </is>
      </c>
      <c r="B564" s="2" t="inlineStr">
        <is>
          <t>FONCTIONNEMENT</t>
        </is>
      </c>
      <c r="C564" s="2" t="inlineStr">
        <is>
          <t>EN COURS DE PREENGAGEMENT</t>
        </is>
      </c>
      <c r="D564" s="3" t="n">
        <v>1980000</v>
      </c>
    </row>
    <row r="565">
      <c r="A565" s="2" t="inlineStr">
        <is>
          <t>DPMG</t>
        </is>
      </c>
      <c r="B565" s="2" t="inlineStr">
        <is>
          <t>FONCTIONNEMENT</t>
        </is>
      </c>
      <c r="C565" s="2" t="inlineStr">
        <is>
          <t>ENGAGE</t>
        </is>
      </c>
      <c r="D565" s="3" t="n">
        <v>500000</v>
      </c>
    </row>
    <row r="566">
      <c r="A566" s="2" t="inlineStr">
        <is>
          <t>DMPTV</t>
        </is>
      </c>
      <c r="B566" s="2" t="inlineStr">
        <is>
          <t>FONCTIONNEMENT</t>
        </is>
      </c>
      <c r="C566" s="2" t="inlineStr">
        <is>
          <t>ENGAGE</t>
        </is>
      </c>
      <c r="D566" s="3" t="n">
        <v>60000</v>
      </c>
    </row>
    <row r="567">
      <c r="A567" s="2" t="inlineStr">
        <is>
          <t>DINFORADIO</t>
        </is>
      </c>
      <c r="B567" s="2" t="inlineStr">
        <is>
          <t>FONCTIONNEMENT</t>
        </is>
      </c>
      <c r="C567" s="2" t="inlineStr">
        <is>
          <t>ENGAGE</t>
        </is>
      </c>
      <c r="D567" s="3" t="n">
        <v>88000</v>
      </c>
    </row>
    <row r="568">
      <c r="A568" s="2" t="inlineStr">
        <is>
          <t>ARRIYADIA</t>
        </is>
      </c>
      <c r="B568" s="2" t="inlineStr">
        <is>
          <t>FONCTIONNEMENT</t>
        </is>
      </c>
      <c r="C568" s="2" t="inlineStr">
        <is>
          <t>ENGAGE</t>
        </is>
      </c>
      <c r="D568" s="3" t="n">
        <v>803722.5</v>
      </c>
    </row>
    <row r="569">
      <c r="A569" s="2" t="inlineStr">
        <is>
          <t>DPMG</t>
        </is>
      </c>
      <c r="B569" s="2" t="inlineStr">
        <is>
          <t>INVESTISSEMENT</t>
        </is>
      </c>
      <c r="C569" s="2" t="inlineStr">
        <is>
          <t>EN COURS DE PREENGAGEMENT</t>
        </is>
      </c>
      <c r="D569" s="3" t="n">
        <v>551520</v>
      </c>
    </row>
    <row r="570">
      <c r="A570" s="2" t="inlineStr">
        <is>
          <t>DPMG</t>
        </is>
      </c>
      <c r="B570" s="2" t="inlineStr">
        <is>
          <t>INVESTISSEMENT</t>
        </is>
      </c>
      <c r="C570" s="2" t="inlineStr">
        <is>
          <t>PREENGAGE</t>
        </is>
      </c>
      <c r="D570" s="3" t="n">
        <v>0</v>
      </c>
    </row>
    <row r="571">
      <c r="A571" s="2" t="inlineStr">
        <is>
          <t>DPMG</t>
        </is>
      </c>
      <c r="B571" s="2" t="inlineStr">
        <is>
          <t>FONCTIONNEMENT</t>
        </is>
      </c>
      <c r="C571" s="2" t="inlineStr">
        <is>
          <t>PREENGAGE</t>
        </is>
      </c>
      <c r="D571" s="3" t="n">
        <v>0</v>
      </c>
    </row>
    <row r="572">
      <c r="A572" s="2" t="inlineStr">
        <is>
          <t>DINFOTV</t>
        </is>
      </c>
      <c r="B572" s="2" t="inlineStr">
        <is>
          <t>FONCTIONNEMENT</t>
        </is>
      </c>
      <c r="C572" s="2" t="inlineStr">
        <is>
          <t>ENGAGE</t>
        </is>
      </c>
      <c r="D572" s="3" t="n">
        <v>960000</v>
      </c>
    </row>
    <row r="573">
      <c r="A573" s="2" t="inlineStr">
        <is>
          <t>DTSI</t>
        </is>
      </c>
      <c r="B573" s="2" t="inlineStr">
        <is>
          <t>INVESTISSEMENT</t>
        </is>
      </c>
      <c r="C573" s="2" t="inlineStr">
        <is>
          <t>PREENGAGE</t>
        </is>
      </c>
      <c r="D573" s="3" t="n">
        <v>0</v>
      </c>
    </row>
    <row r="574">
      <c r="A574" s="2" t="inlineStr">
        <is>
          <t>DTSI</t>
        </is>
      </c>
      <c r="B574" s="2" t="inlineStr">
        <is>
          <t>FONCTIONNEMENT</t>
        </is>
      </c>
      <c r="C574" s="2" t="inlineStr">
        <is>
          <t>PREENGAGE</t>
        </is>
      </c>
      <c r="D574" s="3" t="n">
        <v>0</v>
      </c>
    </row>
    <row r="575">
      <c r="A575" s="2" t="inlineStr">
        <is>
          <t>DTSI</t>
        </is>
      </c>
      <c r="B575" s="2" t="inlineStr">
        <is>
          <t>FONCTIONNEMENT</t>
        </is>
      </c>
      <c r="C575" s="2" t="inlineStr">
        <is>
          <t>PREENGAGE</t>
        </is>
      </c>
      <c r="D575" s="3" t="n">
        <v>0</v>
      </c>
    </row>
    <row r="576">
      <c r="A576" s="2" t="inlineStr">
        <is>
          <t>TDF-EXP&amp;MAIN</t>
        </is>
      </c>
      <c r="B576" s="2" t="inlineStr">
        <is>
          <t>FONCTIONNEMENT</t>
        </is>
      </c>
      <c r="C576" s="2" t="inlineStr">
        <is>
          <t>PREENGAGE</t>
        </is>
      </c>
      <c r="D576" s="3" t="n">
        <v>0</v>
      </c>
    </row>
    <row r="577">
      <c r="A577" s="2" t="inlineStr">
        <is>
          <t>TDF-EXP&amp;MAIN</t>
        </is>
      </c>
      <c r="B577" s="2" t="inlineStr">
        <is>
          <t>FONCTIONNEMENT</t>
        </is>
      </c>
      <c r="C577" s="2" t="inlineStr">
        <is>
          <t>PREENGAGE</t>
        </is>
      </c>
      <c r="D577" s="3" t="n">
        <v>0</v>
      </c>
    </row>
    <row r="578">
      <c r="A578" s="2" t="inlineStr">
        <is>
          <t>DCPA</t>
        </is>
      </c>
      <c r="B578" s="2" t="inlineStr">
        <is>
          <t>FONCTIONNEMENT</t>
        </is>
      </c>
      <c r="C578" s="2" t="inlineStr">
        <is>
          <t>ENGAGE</t>
        </is>
      </c>
      <c r="D578" s="3" t="n">
        <v>400000</v>
      </c>
    </row>
    <row r="579">
      <c r="A579" s="2" t="inlineStr">
        <is>
          <t>TDF-EXP&amp;MAIN</t>
        </is>
      </c>
      <c r="B579" s="2" t="inlineStr">
        <is>
          <t>FONCTIONNEMENT</t>
        </is>
      </c>
      <c r="C579" s="2" t="inlineStr">
        <is>
          <t>EN COURS DE PREENGAGEMENT</t>
        </is>
      </c>
      <c r="D579" s="3" t="n">
        <v>2209226.4</v>
      </c>
    </row>
    <row r="580">
      <c r="A580" s="2" t="inlineStr">
        <is>
          <t>TDF-EXP&amp;MAIN</t>
        </is>
      </c>
      <c r="B580" s="2" t="inlineStr">
        <is>
          <t>FONCTIONNEMENT</t>
        </is>
      </c>
      <c r="C580" s="2" t="inlineStr">
        <is>
          <t>EN COURS DE PREENGAGEMENT</t>
        </is>
      </c>
      <c r="D580" s="3" t="n">
        <v>2226960</v>
      </c>
    </row>
    <row r="581">
      <c r="A581" s="2" t="inlineStr">
        <is>
          <t>TDF-EXP&amp;MAIN</t>
        </is>
      </c>
      <c r="B581" s="2" t="inlineStr">
        <is>
          <t>FONCTIONNEMENT</t>
        </is>
      </c>
      <c r="C581" s="2" t="inlineStr">
        <is>
          <t>EN COURS DE PREENGAGEMENT</t>
        </is>
      </c>
      <c r="D581" s="3" t="n">
        <v>1803772.8</v>
      </c>
    </row>
    <row r="582">
      <c r="A582" s="2" t="inlineStr">
        <is>
          <t>DTSI</t>
        </is>
      </c>
      <c r="B582" s="2" t="inlineStr">
        <is>
          <t>INVESTISSEMENT</t>
        </is>
      </c>
      <c r="C582" s="2" t="inlineStr">
        <is>
          <t>PREENGAGE</t>
        </is>
      </c>
      <c r="D582" s="3" t="n">
        <v>0</v>
      </c>
    </row>
    <row r="583">
      <c r="A583" s="2" t="inlineStr">
        <is>
          <t>DTSI</t>
        </is>
      </c>
      <c r="B583" s="2" t="inlineStr">
        <is>
          <t>INVESTISSEMENT</t>
        </is>
      </c>
      <c r="C583" s="2" t="inlineStr">
        <is>
          <t>PREENGAGE</t>
        </is>
      </c>
      <c r="D583" s="3" t="n">
        <v>0</v>
      </c>
    </row>
    <row r="584">
      <c r="A584" s="2" t="inlineStr">
        <is>
          <t>DTSI</t>
        </is>
      </c>
      <c r="B584" s="2" t="inlineStr">
        <is>
          <t>INVESTISSEMENT</t>
        </is>
      </c>
      <c r="C584" s="2" t="inlineStr">
        <is>
          <t>PREENGAGE</t>
        </is>
      </c>
      <c r="D584" s="3" t="n">
        <v>0</v>
      </c>
    </row>
    <row r="585">
      <c r="A585" s="2" t="inlineStr">
        <is>
          <t>DRPSD</t>
        </is>
      </c>
      <c r="B585" s="2" t="inlineStr">
        <is>
          <t>FONCTIONNEMENT</t>
        </is>
      </c>
      <c r="C585" s="2" t="inlineStr">
        <is>
          <t>EN COURS DE PREENGAGEMENT</t>
        </is>
      </c>
      <c r="D585" s="3" t="n">
        <v>61200</v>
      </c>
    </row>
    <row r="586">
      <c r="A586" s="2" t="inlineStr">
        <is>
          <t>DRPSD</t>
        </is>
      </c>
      <c r="B586" s="2" t="inlineStr">
        <is>
          <t>FONCTIONNEMENT</t>
        </is>
      </c>
      <c r="C586" s="2" t="inlineStr">
        <is>
          <t>EN COURS DE PREENGAGEMENT</t>
        </is>
      </c>
      <c r="D586" s="3" t="n">
        <v>904728</v>
      </c>
    </row>
    <row r="587">
      <c r="A587" s="2" t="inlineStr">
        <is>
          <t>DTSI</t>
        </is>
      </c>
      <c r="B587" s="2" t="inlineStr">
        <is>
          <t>INVESTISSEMENT</t>
        </is>
      </c>
      <c r="C587" s="2" t="inlineStr">
        <is>
          <t>PREENGAGE</t>
        </is>
      </c>
      <c r="D587" s="3" t="n">
        <v>0</v>
      </c>
    </row>
    <row r="588">
      <c r="A588" s="2" t="inlineStr">
        <is>
          <t>TDF -SITES</t>
        </is>
      </c>
      <c r="B588" s="2" t="inlineStr">
        <is>
          <t>INVESTISSEMENT</t>
        </is>
      </c>
      <c r="C588" s="2" t="inlineStr">
        <is>
          <t>EN COURS D'ENGAGEMENT</t>
        </is>
      </c>
      <c r="D588" s="3" t="n">
        <v>89976</v>
      </c>
    </row>
    <row r="589">
      <c r="A589" s="2" t="inlineStr">
        <is>
          <t>TDF -SITES</t>
        </is>
      </c>
      <c r="B589" s="2" t="inlineStr">
        <is>
          <t>INVESTISSEMENT</t>
        </is>
      </c>
      <c r="C589" s="2" t="inlineStr">
        <is>
          <t>EN COURS DE PREENGAGEMENT</t>
        </is>
      </c>
      <c r="D589" s="3" t="n">
        <v>1512000</v>
      </c>
    </row>
    <row r="590">
      <c r="A590" s="2" t="inlineStr">
        <is>
          <t>DTSI</t>
        </is>
      </c>
      <c r="B590" s="2" t="inlineStr">
        <is>
          <t>INVESTISSEMENT</t>
        </is>
      </c>
      <c r="C590" s="2" t="inlineStr">
        <is>
          <t>EN COURS DE PREENGAGEMENT</t>
        </is>
      </c>
      <c r="D590" s="3" t="n">
        <v>2503800</v>
      </c>
    </row>
    <row r="591">
      <c r="A591" s="2" t="inlineStr">
        <is>
          <t>TDF-EXP&amp;MAIN</t>
        </is>
      </c>
      <c r="B591" s="2" t="inlineStr">
        <is>
          <t>FONCTIONNEMENT</t>
        </is>
      </c>
      <c r="C591" s="2" t="inlineStr">
        <is>
          <t>EN COURS D'ENGAGEMENT</t>
        </is>
      </c>
      <c r="D591" s="3" t="n">
        <v>57600</v>
      </c>
    </row>
    <row r="592">
      <c r="A592" s="2" t="inlineStr">
        <is>
          <t>TDF-EXP&amp;MAIN</t>
        </is>
      </c>
      <c r="B592" s="2" t="inlineStr">
        <is>
          <t>FONCTIONNEMENT</t>
        </is>
      </c>
      <c r="C592" s="2" t="inlineStr">
        <is>
          <t>EN COURS D'ENGAGEMENT</t>
        </is>
      </c>
      <c r="D592" s="3" t="n">
        <v>35976</v>
      </c>
    </row>
    <row r="593">
      <c r="A593" s="2" t="inlineStr">
        <is>
          <t>DTSI</t>
        </is>
      </c>
      <c r="B593" s="2" t="inlineStr">
        <is>
          <t>INVESTISSEMENT</t>
        </is>
      </c>
      <c r="C593" s="2" t="inlineStr">
        <is>
          <t>EN COURS D'ENGAGEMENT</t>
        </is>
      </c>
      <c r="D593" s="3" t="n">
        <v>412077.77</v>
      </c>
    </row>
    <row r="594">
      <c r="A594" s="2" t="inlineStr">
        <is>
          <t>TDF -SITES</t>
        </is>
      </c>
      <c r="B594" s="2" t="inlineStr">
        <is>
          <t>FONCTIONNEMENT</t>
        </is>
      </c>
      <c r="C594" s="2" t="inlineStr">
        <is>
          <t>EN COURS D'ENGAGEMENT</t>
        </is>
      </c>
      <c r="D594" s="3" t="n">
        <v>14000</v>
      </c>
    </row>
    <row r="595">
      <c r="A595" s="2" t="inlineStr">
        <is>
          <t>DPMG</t>
        </is>
      </c>
      <c r="B595" s="2" t="inlineStr">
        <is>
          <t>INVESTISSEMENT</t>
        </is>
      </c>
      <c r="C595" s="2" t="inlineStr">
        <is>
          <t>EN COURS D'ENGAGEMENT</t>
        </is>
      </c>
      <c r="D595" s="3" t="n">
        <v>45000</v>
      </c>
    </row>
    <row r="596">
      <c r="A596" s="2" t="inlineStr">
        <is>
          <t>TDF-EXP&amp;MAIN</t>
        </is>
      </c>
      <c r="B596" s="2" t="inlineStr">
        <is>
          <t>FONCTIONNEMENT</t>
        </is>
      </c>
      <c r="C596" s="2" t="inlineStr">
        <is>
          <t>EN COURS D'ENGAGEMENT</t>
        </is>
      </c>
      <c r="D596" s="3" t="n">
        <v>32040</v>
      </c>
    </row>
    <row r="597">
      <c r="A597" s="2" t="inlineStr">
        <is>
          <t>ARRIYADIA</t>
        </is>
      </c>
      <c r="B597" s="2" t="inlineStr">
        <is>
          <t>FONCTIONNEMENT</t>
        </is>
      </c>
      <c r="C597" s="2" t="inlineStr">
        <is>
          <t>EN COURS D'ENGAGEMENT</t>
        </is>
      </c>
      <c r="D597" s="3" t="n">
        <v>2776080</v>
      </c>
    </row>
    <row r="598">
      <c r="A598" s="2" t="inlineStr">
        <is>
          <t>TDF -SITES</t>
        </is>
      </c>
      <c r="B598" s="2" t="inlineStr">
        <is>
          <t>INVESTISSEMENT</t>
        </is>
      </c>
      <c r="C598" s="2" t="inlineStr">
        <is>
          <t>EN COURS DE PREENGAGEMENT</t>
        </is>
      </c>
      <c r="D598" s="3" t="n">
        <v>86400</v>
      </c>
    </row>
    <row r="599">
      <c r="A599" s="2" t="inlineStr">
        <is>
          <t>TDF -SITES</t>
        </is>
      </c>
      <c r="B599" s="2" t="inlineStr">
        <is>
          <t>INVESTISSEMENT</t>
        </is>
      </c>
      <c r="C599" s="2" t="inlineStr">
        <is>
          <t>EN COURS DE PREENGAGEMENT</t>
        </is>
      </c>
      <c r="D599" s="3" t="n">
        <v>86400</v>
      </c>
    </row>
  </sheetData>
  <autoFilter ref="A1:D5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2026-06-26T20:55:00Z</dcterms:created>
  <dcterms:modified xsi:type="dcterms:W3CDTF">2026-06-29T11:41:36Z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970BC36C20E843A2AED0BF73CD5CE6BA_12</vt:lpwstr>
  </property>
  <property name="KSOProductBuildVer" fmtid="{D5CDD505-2E9C-101B-9397-08002B2CF9AE}" pid="3">
    <vt:lpwstr>1036-12.1.0.26880</vt:lpwstr>
  </property>
  <property name="CalculationRule" fmtid="{D5CDD505-2E9C-101B-9397-08002B2CF9AE}" pid="4">
    <vt:i4>0</vt:i4>
  </property>
</Properties>
</file>