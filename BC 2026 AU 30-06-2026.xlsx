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HP\Desktop\Projet Budget\"/>
    </mc:Choice>
  </mc:AlternateContent>
  <xr:revisionPtr revIDLastSave="0" documentId="13_ncr:1_{32E4CF0C-9FFA-45E5-AB66-D5D3F10DA506}" xr6:coauthVersionLast="36" xr6:coauthVersionMax="36" xr10:uidLastSave="{00000000-0000-0000-0000-000000000000}"/>
  <bookViews>
    <workbookView minimized="1" xWindow="0" yWindow="0" windowWidth="28800" windowHeight="12320" activeTab="1" xr2:uid="{00000000-000D-0000-FFFF-FFFF00000000}"/>
  </bookViews>
  <sheets>
    <sheet name="BC APPROUVE" sheetId="1" r:id="rId1"/>
    <sheet name="BC en instance" sheetId="3" r:id="rId2"/>
    <sheet name="Anomalies BC vs État" sheetId="2" r:id="rId3"/>
  </sheets>
  <definedNames>
    <definedName name="_xlnm._FilterDatabase" localSheetId="0" hidden="1">'BC APPROUVE'!$A$6:$K$35</definedName>
    <definedName name="_xlnm.Print_Titles" localSheetId="0">'BC APPROUVE'!$6:$6</definedName>
  </definedNames>
  <calcPr calcId="191029"/>
</workbook>
</file>

<file path=xl/calcChain.xml><?xml version="1.0" encoding="utf-8"?>
<calcChain xmlns="http://schemas.openxmlformats.org/spreadsheetml/2006/main">
  <c r="G35" i="1" l="1"/>
  <c r="G4" i="3" l="1"/>
  <c r="G3" i="3"/>
  <c r="K5" i="1" l="1"/>
</calcChain>
</file>

<file path=xl/sharedStrings.xml><?xml version="1.0" encoding="utf-8"?>
<sst xmlns="http://schemas.openxmlformats.org/spreadsheetml/2006/main" count="311" uniqueCount="147">
  <si>
    <t>Situation Des Bons De Commande 
Année 2026</t>
  </si>
  <si>
    <t>APPROUVES</t>
  </si>
  <si>
    <t>BC</t>
  </si>
  <si>
    <t>N° JDE</t>
  </si>
  <si>
    <t>FOURNISSEURS</t>
  </si>
  <si>
    <t>NATURE DE LA DEPENSE</t>
  </si>
  <si>
    <t>OBJET DE LA DEPENSE</t>
  </si>
  <si>
    <t>MONTANT HT</t>
  </si>
  <si>
    <t>MONTANT TTC</t>
  </si>
  <si>
    <t>DIRECTION</t>
  </si>
  <si>
    <t>BUDGET</t>
  </si>
  <si>
    <t>APPROBABTION</t>
  </si>
  <si>
    <t>APPROUVE</t>
  </si>
  <si>
    <t>TESTOUL SERVICES</t>
  </si>
  <si>
    <t>PRESTATIONS D'IMPRESSION, DE RPRODUCTION ET DE PHOTOGRAPHIE</t>
  </si>
  <si>
    <t>TRAVEAUX D'IMPRSSION POUR LA MISE EN SC7NE DE L'EMISSION "MOSABAQAT ALQURAN ALKARIM" POUR L'ANNEE 1447/2026</t>
  </si>
  <si>
    <t>LAAYOUNE TV</t>
  </si>
  <si>
    <t>EXP</t>
  </si>
  <si>
    <t>D/ACHATS</t>
  </si>
  <si>
    <t xml:space="preserve">SOCIETE TELTAY TRADING </t>
  </si>
  <si>
    <t>MEDAILLES, EFFIGIES, DRAPEAUX ET FANIONS</t>
  </si>
  <si>
    <t>ACHAT DE TROPHEES POUR L'EMISSION "MOSABAQAT ALQURAN ALKARIM" POUR L'ANNEE 1447/2026.</t>
  </si>
  <si>
    <t>LMS-CSA</t>
  </si>
  <si>
    <t>ETUDES MARKETING ET D'AUDIENCE</t>
  </si>
  <si>
    <t>Réalisation d’une étude marketing pour le compte de la SNRT.</t>
  </si>
  <si>
    <t>DCMPTV</t>
  </si>
  <si>
    <t>REPRO MASTER</t>
  </si>
  <si>
    <t>FOURNITURES DE BUREAU ET IMPRIMES</t>
  </si>
  <si>
    <t>ACQUISITION DE CACHETS POUR LES BESOINS DES DIFF2RENTES ENTIT2S DE LA SNRT POUR L'ANNEE 2026</t>
  </si>
  <si>
    <t>DPMG</t>
  </si>
  <si>
    <t>IMPRESSION NUMERIQUE 4 COULEURS DE CARTES DE VISITES POUR LES BESOINS DES DIFF2RENTES EENTIT2S DE LA SNRT DURANT L'ANNEE 2026.</t>
  </si>
  <si>
    <t>STE JAMAA ANNAOUI</t>
  </si>
  <si>
    <t>HOTELLERIE, HEBERGEMENT, RECEPTION ET RESTAURATION</t>
  </si>
  <si>
    <t>Rupture de jeûne Ftour et repas de Shour du personnel de la SNRT TV LAAYOUNE, Centre Émetteur TV/FM Laâyoune   et Station Régionale du RADIO Laâyoune du mois sacré de RAMADAN 1447/2026.</t>
  </si>
  <si>
    <t>MONDOFFICE</t>
  </si>
  <si>
    <t>PRODUITS D’IMPRESSION, DE REPRODUCTION ET DE PHOTOGRAPHIE</t>
  </si>
  <si>
    <t>La fourniture de toners d'impression pour les besoins de la SNRT.</t>
  </si>
  <si>
    <t>DTSI</t>
  </si>
  <si>
    <t>MDFICATION</t>
  </si>
  <si>
    <t>TRAVAUX D'AMENAGEMENT, D'ENTRETIEN ET DE REPARATION DES BATIMENTS ADMINISTRATIFS ET TECHNIQUES</t>
  </si>
  <si>
    <t>Travaux d'aménagement</t>
  </si>
  <si>
    <t>INV</t>
  </si>
  <si>
    <t>FIKRINVEST-HO (NJ HOTEL)</t>
  </si>
  <si>
    <t>Hébergement en pension complète des invités marocains et étrangers dans le cadre du tournage des émissions TV de la SNRT.</t>
  </si>
  <si>
    <t>BURIM</t>
  </si>
  <si>
    <t>FOURNITURES ELECTRIQUES</t>
  </si>
  <si>
    <t>Achat des piles pour les besoins de différentes entités de la SNRT.</t>
  </si>
  <si>
    <t>BEST PRODUCTION</t>
  </si>
  <si>
    <t>LOCATION DE MATERIEL ET DE MOBILIER</t>
  </si>
  <si>
    <t>Location du matériel d'éclairage pour le tournage des 30 épisodes de « MUSIQUE ANDALOUSIE », qui se déroulera sur une période de huit jours dans la ville de Rabat.(25 PAR LED RGB  X  08 JRS).</t>
  </si>
  <si>
    <t>DCPA</t>
  </si>
  <si>
    <t>SOGENELEC</t>
  </si>
  <si>
    <t>ENTRETIEN ET MAINTENANCE DES EQUIPEMENTS TECHNIQUES ELECTRIQUES ET ELECTRONIQUES DE TELECOMMUNICATION ET DE TELEGESTION</t>
  </si>
  <si>
    <t>Entretien et maintenance du poste de livraison et de transformation MT/BT au centre de diffusion SNRT d’AIN CHOCK.</t>
  </si>
  <si>
    <t>D/SITES</t>
  </si>
  <si>
    <t>BEWHY SARL</t>
  </si>
  <si>
    <t>RÉPARATION, MAINTENANCE DES ÉQUIPEMENTS, DE MATÉRIEL ET APPAREIL  TECHNIQUES </t>
  </si>
  <si>
    <t>Réparation et Maintenance du groupe électrogène au centre SNRT de DAKHLA.</t>
  </si>
  <si>
    <t>LTS NETWORK</t>
  </si>
  <si>
    <t>MATERIEL TECHNIQUE DE PRODUCTION VIDEO</t>
  </si>
  <si>
    <t>Fourniture et mise en service de systèmes de commande sans fils pour optique de caméra pour les besoins  des unités mobiles de la SNRT.</t>
  </si>
  <si>
    <t>GO FRESH</t>
  </si>
  <si>
    <t>Prestations de restauration au profit du personnel des Directions du siège et des Annexes de la SNRT à RABAT </t>
  </si>
  <si>
    <t>AFRIQUIA SMDC</t>
  </si>
  <si>
    <t>CARBURANTS ET LUBRIFIANTS</t>
  </si>
  <si>
    <t>ACHAT DE GASOIL POUR CHAUFFAGE</t>
  </si>
  <si>
    <t>IMPRIMRIE- PAPETERIE EL FADILA</t>
  </si>
  <si>
    <t>Impression Papier Entête SNRT</t>
  </si>
  <si>
    <t>LES EAUX MINERALES D'OULMES</t>
  </si>
  <si>
    <t>Achat de 2000 paquets de 12 bouteilles d'eau minérale de 0,5L pour les besoins des émissions Radio et TV et des réunions des entités de la SNRT.</t>
  </si>
  <si>
    <t>26000002CI</t>
  </si>
  <si>
    <t>ASKI-DA CREATIVE</t>
  </si>
  <si>
    <t>CONCEPTION D'HABILLAGES GRAPHIQUES ET DE DECORS POUR PROJETS DIVERS LIES A L'ACTIVITE DE LA SOCIETE</t>
  </si>
  <si>
    <t>Conception d'un décor virtuel pour la chaîne Arryadia avec des éléments  de réalité augmentée (RA) destinée à accompagner la couverture de la CAN Féminine</t>
  </si>
  <si>
    <t>18440,4 EURO</t>
  </si>
  <si>
    <t>RT CONCEPT MAROC</t>
  </si>
  <si>
    <t>MOBILIER D'EXPOSITION</t>
  </si>
  <si>
    <t>Fourniture et pose du mobilierd'exposition pour le Stand SNRT (trophée Hassan II de GOLF 2026)</t>
  </si>
  <si>
    <t>Réparation et maintenance du Poste de transformation MT/BT haut de poteau type H61 50 KVA au site SNRT                  de LAKSIBA (P.BENI MELLAL).</t>
  </si>
  <si>
    <t>MAJD TECHNOLOGIE</t>
  </si>
  <si>
    <t>Achat des toners rouges originaux pour une machine à affranchir NEOPOST I J 40</t>
  </si>
  <si>
    <t>SOCIETE HOUSSADIM</t>
  </si>
  <si>
    <t>DESHERBAGE, ELAGAGE, DERACINAGE DES ARBRES</t>
  </si>
  <si>
    <t>Désherbage, élagage, déracinage des arbres de centre émetteur radio AM d’Oujda</t>
  </si>
  <si>
    <t>D/EXP &amp;MAIN</t>
  </si>
  <si>
    <t>LYSMA SYSTEME</t>
  </si>
  <si>
    <t>MATERIEL TECHNIQUE DE DIFFUSION ET DE TRANSMISSION</t>
  </si>
  <si>
    <t>Fourniture de matériel de diffusion</t>
  </si>
  <si>
    <t>EXCELIACOM CONTRACTORS</t>
  </si>
  <si>
    <t>Désherbage, élagage, déracinage des arbres de centre de télédiffusion TV/FM Cap spartel.</t>
  </si>
  <si>
    <t>désherbage, élagage, déracinage des arbres de centre émetteur radio AM de Sebaa Aioune</t>
  </si>
  <si>
    <t>Désherbage, élagage, déracinage des arbres de centre émetteur radio AM d’Ait Melloul</t>
  </si>
  <si>
    <t>Anomalies — Croisement Bons de Commande 2026 vs État d'Engagements Juillet (BCI = BCL)</t>
  </si>
  <si>
    <t>Identifiant de rapprochement : N° JDE (fichier BC) = REF (fichier État d'engagements, sans le suffixe "CL").</t>
  </si>
  <si>
    <t>🔴 BC APPROUVÉS SANS TRACE DANS L'ÉTAT D'ENGAGEMENTS (BCL) — 8 ligne(s)</t>
  </si>
  <si>
    <t>BC N°</t>
  </si>
  <si>
    <t>Fournisseur</t>
  </si>
  <si>
    <t>Direction</t>
  </si>
  <si>
    <t>Objet</t>
  </si>
  <si>
    <t>Montant TTC (MAD)</t>
  </si>
  <si>
    <t>🟠 LIGNES BCL DE L'ÉTAT SANS BC APPROUVÉ CORRESPONDANT — 5 ligne(s)</t>
  </si>
  <si>
    <t>REF (État)</t>
  </si>
  <si>
    <t>Statut d'engagement</t>
  </si>
  <si>
    <t>26000021 CL</t>
  </si>
  <si>
    <t>NON ENGAGE</t>
  </si>
  <si>
    <t>Étude des travaux d’aménagement de la nouvelle station radio de Tétouane</t>
  </si>
  <si>
    <t>26000047 CL</t>
  </si>
  <si>
    <t>ENGAGE</t>
  </si>
  <si>
    <t>Fourniture et mise en service de cartes graphiques pour applications de calcul intensif et d'intelligence artificielle pour les besoins de la SNRT</t>
  </si>
  <si>
    <t>26000043 CL</t>
  </si>
  <si>
    <t>EN COURS D'ENGAGEMENT</t>
  </si>
  <si>
    <t>LOT n°1: Etude des travaux d'aménagement du nouveau siège de la radio de Tétouane</t>
  </si>
  <si>
    <t>26000051 CL</t>
  </si>
  <si>
    <t>Entretien et réparation de mobilier pour l'emission "CHABAB FI AL WAJIHA" au studio Ain Chok à Casablanca</t>
  </si>
  <si>
    <t>26000057 CL</t>
  </si>
  <si>
    <t>DJURIDIQUE</t>
  </si>
  <si>
    <t>Publications des comptes annuels de la SNRT 2025 au Bulletin Officiel</t>
  </si>
  <si>
    <t>⚠️ En rouge : lignes au statut "ENGAGE" sans BC approuvé associé — cas prioritaire à vérifier (les autres, non/en cours d'engagement, sont cohérentes en attendant leur BC).</t>
  </si>
  <si>
    <t>ℹ️ POUR INFO — DIFFÉRENCES DE LIBELLÉ DE DIRECTION (pas de vraies anomalies, conventions différentes)</t>
  </si>
  <si>
    <t>Direction (fichier BC)</t>
  </si>
  <si>
    <t>Direction (État d'engagements)</t>
  </si>
  <si>
    <t>Montant TTC BC</t>
  </si>
  <si>
    <t>Montant TTC État</t>
  </si>
  <si>
    <t>Écart</t>
  </si>
  <si>
    <t>TV LAAYOUNE</t>
  </si>
  <si>
    <t>DMPTV</t>
  </si>
  <si>
    <t>TDF -SITES</t>
  </si>
  <si>
    <t>TDF-EXP&amp;MAIN</t>
  </si>
  <si>
    <t>MES ETUDES</t>
  </si>
  <si>
    <t>ETUDES ET CONSEIL</t>
  </si>
  <si>
    <t>Lot N°1: Etude des travaux d'aménagement du nouveau siège de la radio de Tétouane</t>
  </si>
  <si>
    <t>EATON ELECTRIC</t>
  </si>
  <si>
    <t>Diagnostic et expertise des onduleurs de type 93E de marque EATON et de puissance 80 kVA, déployés au siège de la SNRT à Rabat et à Sidi BOUNOUARA (P.EL JADIDA)</t>
  </si>
  <si>
    <t>HASNA FOURNITURE NEGOCE</t>
  </si>
  <si>
    <t>OUTILLAGE ET QUINCAILLERIE</t>
  </si>
  <si>
    <t>Achat de matériel de quincaillerie et droguerie pour les besoins des différentes entités de la SNRT.</t>
  </si>
  <si>
    <t>26000003 CI</t>
  </si>
  <si>
    <t>OCTOPUS NEWSROOM</t>
  </si>
  <si>
    <t>Entretien des logiciels et progiciels</t>
  </si>
  <si>
    <t>Assistance et support "SLA" de la solution NRCS du système de production News "Newsroom" de la SNRT</t>
  </si>
  <si>
    <t>approbation</t>
  </si>
  <si>
    <t>EQUIPEMENTS INFORMATIQUE, PIECES DE RECHANGE  ET LOGICIELS</t>
  </si>
  <si>
    <t>inv</t>
  </si>
  <si>
    <t>24/062026</t>
  </si>
  <si>
    <t>D/JURIDIQUE</t>
  </si>
  <si>
    <t>DIRECTION DE L'IMPRIMERIE OFFICIEL</t>
  </si>
  <si>
    <t xml:space="preserve">PRESTATIONS DE PUBLICITE ET SUPPORTS MULTIMEDIA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</si>
</sst>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\ _€_-;\-* #,##0.00\ _€_-;_-* &quot;-&quot;??\ _€_-;_-@_-"/>
    <numFmt numFmtId="164" formatCode="_-* #,##0.00\ _D_H_-;\-* #,##0.00\ _D_H_-;_-* &quot;-&quot;??\ _D_H_-;_-@_-"/>
    <numFmt numFmtId="165" formatCode="#,##0\ [$€-1];[Red]\-#,##0\ [$€-1]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Arial"/>
      <family val="2"/>
    </font>
    <font>
      <b/>
      <i/>
      <sz val="8"/>
      <name val="Antique Olive"/>
      <family val="2"/>
    </font>
    <font>
      <u/>
      <sz val="11"/>
      <color theme="10"/>
      <name val="Calibri"/>
      <family val="2"/>
      <scheme val="minor"/>
    </font>
    <font>
      <b/>
      <sz val="12"/>
      <name val="Calibri Light"/>
      <family val="1"/>
      <scheme val="major"/>
    </font>
    <font>
      <b/>
      <sz val="13"/>
      <color rgb="FFFFFFFF"/>
      <name val="Calibri"/>
      <family val="2"/>
    </font>
    <font>
      <i/>
      <sz val="9"/>
      <color rgb="FF595959"/>
      <name val="Calibri"/>
      <family val="2"/>
    </font>
    <font>
      <b/>
      <sz val="11"/>
      <color rgb="FFFFFFFF"/>
      <name val="Calibri"/>
      <family val="2"/>
    </font>
    <font>
      <b/>
      <sz val="9"/>
      <color rgb="FFFFFFFF"/>
      <name val="Calibri"/>
      <family val="2"/>
    </font>
    <font>
      <sz val="11"/>
      <color rgb="FF000000"/>
      <name val="Calibri"/>
      <family val="2"/>
    </font>
    <font>
      <b/>
      <sz val="11"/>
      <color rgb="FF9C0006"/>
      <name val="Calibri"/>
      <family val="2"/>
    </font>
    <font>
      <i/>
      <sz val="9"/>
      <color rgb="FF9C0006"/>
      <name val="Calibri"/>
      <family val="2"/>
    </font>
    <font>
      <b/>
      <sz val="1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1F4E78"/>
      </patternFill>
    </fill>
    <fill>
      <patternFill patternType="solid">
        <fgColor rgb="FF9C0006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FFEB9C"/>
      </patternFill>
    </fill>
    <fill>
      <patternFill patternType="solid">
        <fgColor rgb="FF9C6500"/>
      </patternFill>
    </fill>
    <fill>
      <patternFill patternType="solid">
        <fgColor rgb="FFFFC7CE"/>
      </patternFill>
    </fill>
    <fill>
      <patternFill patternType="solid">
        <fgColor rgb="FF5A5A5A"/>
      </patternFill>
    </fill>
    <fill>
      <patternFill patternType="solid">
        <fgColor theme="7"/>
        <bgColor indexed="64"/>
      </patternFill>
    </fill>
    <fill>
      <patternFill patternType="solid">
        <fgColor rgb="FFFDE9EA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7">
    <xf numFmtId="0" fontId="0" fillId="0" borderId="0"/>
    <xf numFmtId="43" fontId="1" fillId="0" borderId="0"/>
    <xf numFmtId="9" fontId="1" fillId="0" borderId="0"/>
    <xf numFmtId="43" fontId="1" fillId="0" borderId="0"/>
    <xf numFmtId="0" fontId="5" fillId="0" borderId="0"/>
    <xf numFmtId="0" fontId="7" fillId="0" borderId="0"/>
    <xf numFmtId="43" fontId="5" fillId="0" borderId="0"/>
  </cellStyleXfs>
  <cellXfs count="59">
    <xf numFmtId="0" fontId="0" fillId="0" borderId="0" xfId="0"/>
    <xf numFmtId="43" fontId="0" fillId="0" borderId="0" xfId="3" applyFont="1"/>
    <xf numFmtId="14" fontId="4" fillId="0" borderId="0" xfId="0" applyNumberFormat="1" applyFont="1"/>
    <xf numFmtId="0" fontId="6" fillId="2" borderId="1" xfId="4" applyFont="1" applyFill="1" applyBorder="1" applyAlignment="1">
      <alignment horizontal="center" vertical="center" wrapText="1"/>
    </xf>
    <xf numFmtId="43" fontId="6" fillId="2" borderId="1" xfId="3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3" borderId="1" xfId="5" applyFill="1" applyBorder="1" applyAlignment="1">
      <alignment horizontal="center" vertical="center" wrapText="1"/>
    </xf>
    <xf numFmtId="0" fontId="6" fillId="3" borderId="1" xfId="4" applyFont="1" applyFill="1" applyBorder="1" applyAlignment="1">
      <alignment horizontal="center" vertical="center" wrapText="1"/>
    </xf>
    <xf numFmtId="43" fontId="6" fillId="3" borderId="1" xfId="3" applyFont="1" applyFill="1" applyBorder="1" applyAlignment="1">
      <alignment horizontal="center" vertical="center" wrapText="1"/>
    </xf>
    <xf numFmtId="43" fontId="6" fillId="3" borderId="1" xfId="6" applyFont="1" applyFill="1" applyBorder="1" applyAlignment="1">
      <alignment horizontal="right" vertical="center" wrapText="1"/>
    </xf>
    <xf numFmtId="0" fontId="6" fillId="3" borderId="1" xfId="0" applyFont="1" applyFill="1" applyBorder="1" applyAlignment="1">
      <alignment horizontal="center" vertical="center" wrapText="1"/>
    </xf>
    <xf numFmtId="14" fontId="6" fillId="3" borderId="1" xfId="0" applyNumberFormat="1" applyFont="1" applyFill="1" applyBorder="1" applyAlignment="1">
      <alignment horizontal="center" vertical="center" wrapText="1"/>
    </xf>
    <xf numFmtId="43" fontId="8" fillId="2" borderId="1" xfId="3" applyFont="1" applyFill="1" applyBorder="1" applyAlignment="1">
      <alignment horizontal="center" vertical="center" wrapText="1"/>
    </xf>
    <xf numFmtId="43" fontId="0" fillId="0" borderId="0" xfId="0" applyNumberFormat="1"/>
    <xf numFmtId="9" fontId="0" fillId="0" borderId="0" xfId="2" applyFont="1"/>
    <xf numFmtId="0" fontId="0" fillId="0" borderId="0" xfId="1" applyNumberFormat="1" applyFont="1"/>
    <xf numFmtId="164" fontId="0" fillId="0" borderId="0" xfId="0" applyNumberFormat="1"/>
    <xf numFmtId="164" fontId="0" fillId="0" borderId="0" xfId="1" applyNumberFormat="1" applyFont="1"/>
    <xf numFmtId="0" fontId="12" fillId="4" borderId="2" xfId="0" applyFont="1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 wrapText="1"/>
    </xf>
    <xf numFmtId="0" fontId="0" fillId="6" borderId="2" xfId="0" applyFill="1" applyBorder="1" applyAlignment="1">
      <alignment horizontal="left" vertical="top" wrapText="1"/>
    </xf>
    <xf numFmtId="4" fontId="0" fillId="6" borderId="2" xfId="0" applyNumberFormat="1" applyFill="1" applyBorder="1" applyAlignment="1">
      <alignment horizontal="right" vertical="center"/>
    </xf>
    <xf numFmtId="0" fontId="0" fillId="7" borderId="2" xfId="0" applyFill="1" applyBorder="1" applyAlignment="1">
      <alignment horizontal="center" vertical="center" wrapText="1"/>
    </xf>
    <xf numFmtId="0" fontId="0" fillId="7" borderId="2" xfId="0" applyFill="1" applyBorder="1" applyAlignment="1">
      <alignment horizontal="left" vertical="top" wrapText="1"/>
    </xf>
    <xf numFmtId="4" fontId="0" fillId="7" borderId="2" xfId="0" applyNumberFormat="1" applyFill="1" applyBorder="1" applyAlignment="1">
      <alignment horizontal="right" vertical="center"/>
    </xf>
    <xf numFmtId="0" fontId="0" fillId="8" borderId="2" xfId="0" applyFill="1" applyBorder="1" applyAlignment="1">
      <alignment horizontal="center" vertical="center" wrapText="1"/>
    </xf>
    <xf numFmtId="0" fontId="13" fillId="6" borderId="2" xfId="0" applyFont="1" applyFill="1" applyBorder="1" applyAlignment="1">
      <alignment horizontal="center" vertical="center" wrapText="1"/>
    </xf>
    <xf numFmtId="0" fontId="13" fillId="6" borderId="2" xfId="0" applyFont="1" applyFill="1" applyBorder="1" applyAlignment="1">
      <alignment horizontal="left" vertical="top" wrapText="1"/>
    </xf>
    <xf numFmtId="4" fontId="13" fillId="6" borderId="2" xfId="0" applyNumberFormat="1" applyFont="1" applyFill="1" applyBorder="1" applyAlignment="1">
      <alignment horizontal="right" vertical="center"/>
    </xf>
    <xf numFmtId="0" fontId="14" fillId="10" borderId="2" xfId="0" applyFont="1" applyFill="1" applyBorder="1" applyAlignment="1">
      <alignment horizontal="center" vertical="center" wrapText="1"/>
    </xf>
    <xf numFmtId="0" fontId="14" fillId="10" borderId="2" xfId="0" applyFont="1" applyFill="1" applyBorder="1" applyAlignment="1">
      <alignment horizontal="left" vertical="top" wrapText="1"/>
    </xf>
    <xf numFmtId="4" fontId="14" fillId="10" borderId="2" xfId="0" applyNumberFormat="1" applyFont="1" applyFill="1" applyBorder="1" applyAlignment="1">
      <alignment horizontal="right" vertical="center"/>
    </xf>
    <xf numFmtId="0" fontId="12" fillId="4" borderId="2" xfId="0" applyFont="1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/>
    </xf>
    <xf numFmtId="4" fontId="0" fillId="6" borderId="2" xfId="0" applyNumberFormat="1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4" fontId="0" fillId="7" borderId="2" xfId="0" applyNumberFormat="1" applyFill="1" applyBorder="1" applyAlignment="1">
      <alignment horizontal="center" vertical="center"/>
    </xf>
    <xf numFmtId="0" fontId="0" fillId="0" borderId="0" xfId="0"/>
    <xf numFmtId="0" fontId="6" fillId="12" borderId="1" xfId="4" applyFont="1" applyFill="1" applyBorder="1" applyAlignment="1">
      <alignment horizontal="center" vertical="center" wrapText="1"/>
    </xf>
    <xf numFmtId="43" fontId="6" fillId="12" borderId="1" xfId="3" applyFont="1" applyFill="1" applyBorder="1" applyAlignment="1">
      <alignment horizontal="center" vertical="center" wrapText="1"/>
    </xf>
    <xf numFmtId="0" fontId="6" fillId="12" borderId="1" xfId="0" applyFont="1" applyFill="1" applyBorder="1" applyAlignment="1">
      <alignment horizontal="center" vertical="center" wrapText="1"/>
    </xf>
    <xf numFmtId="165" fontId="6" fillId="3" borderId="1" xfId="6" applyNumberFormat="1" applyFont="1" applyFill="1" applyBorder="1" applyAlignment="1">
      <alignment horizontal="right" vertical="center" wrapText="1"/>
    </xf>
    <xf numFmtId="0" fontId="6" fillId="12" borderId="3" xfId="0" applyFont="1" applyFill="1" applyBorder="1" applyAlignment="1">
      <alignment horizontal="center" vertical="center" wrapText="1"/>
    </xf>
    <xf numFmtId="0" fontId="7" fillId="3" borderId="3" xfId="5" applyFill="1" applyBorder="1" applyAlignment="1">
      <alignment horizontal="center" vertical="center" wrapText="1"/>
    </xf>
    <xf numFmtId="0" fontId="6" fillId="2" borderId="3" xfId="4" applyFont="1" applyFill="1" applyBorder="1" applyAlignment="1">
      <alignment horizontal="center" vertical="center" wrapText="1"/>
    </xf>
    <xf numFmtId="0" fontId="6" fillId="3" borderId="3" xfId="4" applyFont="1" applyFill="1" applyBorder="1" applyAlignment="1">
      <alignment horizontal="center" vertical="center" wrapText="1"/>
    </xf>
    <xf numFmtId="43" fontId="6" fillId="3" borderId="3" xfId="3" applyFont="1" applyFill="1" applyBorder="1" applyAlignment="1">
      <alignment horizontal="center" vertical="center" wrapText="1"/>
    </xf>
    <xf numFmtId="43" fontId="6" fillId="3" borderId="3" xfId="6" applyFont="1" applyFill="1" applyBorder="1" applyAlignment="1">
      <alignment horizontal="right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16" fillId="13" borderId="2" xfId="0" applyFont="1" applyFill="1" applyBorder="1" applyAlignment="1">
      <alignment vertical="top"/>
    </xf>
    <xf numFmtId="0" fontId="2" fillId="0" borderId="0" xfId="0" applyFont="1" applyAlignment="1">
      <alignment horizontal="center" wrapText="1"/>
    </xf>
    <xf numFmtId="0" fontId="0" fillId="0" borderId="0" xfId="0"/>
    <xf numFmtId="0" fontId="3" fillId="0" borderId="0" xfId="0" applyFont="1" applyAlignment="1">
      <alignment horizontal="center" wrapText="1"/>
    </xf>
    <xf numFmtId="0" fontId="11" fillId="11" borderId="0" xfId="0" applyFont="1" applyFill="1" applyAlignment="1">
      <alignment horizontal="left" vertical="center" indent="1"/>
    </xf>
    <xf numFmtId="0" fontId="10" fillId="0" borderId="0" xfId="0" applyFont="1"/>
    <xf numFmtId="0" fontId="9" fillId="4" borderId="0" xfId="0" applyFont="1" applyFill="1" applyAlignment="1">
      <alignment horizontal="left" vertical="center" indent="1"/>
    </xf>
    <xf numFmtId="0" fontId="15" fillId="0" borderId="0" xfId="0" applyFont="1"/>
    <xf numFmtId="0" fontId="11" fillId="5" borderId="0" xfId="0" applyFont="1" applyFill="1" applyAlignment="1">
      <alignment horizontal="left" vertical="center" indent="1"/>
    </xf>
    <xf numFmtId="0" fontId="11" fillId="9" borderId="0" xfId="0" applyFont="1" applyFill="1" applyAlignment="1">
      <alignment horizontal="left" vertical="center" indent="1"/>
    </xf>
  </cellXfs>
  <cellStyles count="7">
    <cellStyle name="Lien hypertexte 2" xfId="5" xr:uid="{00000000-0005-0000-0000-000005000000}"/>
    <cellStyle name="Milliers" xfId="1" builtinId="3"/>
    <cellStyle name="Milliers 2" xfId="6" xr:uid="{00000000-0005-0000-0000-000006000000}"/>
    <cellStyle name="Milliers 3" xfId="3" xr:uid="{00000000-0005-0000-0000-000003000000}"/>
    <cellStyle name="Normal" xfId="0" builtinId="0"/>
    <cellStyle name="Normal 2" xfId="4" xr:uid="{00000000-0005-0000-0000-000004000000}"/>
    <cellStyle name="Pourcentag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M46"/>
  <sheetViews>
    <sheetView zoomScale="90" zoomScaleNormal="90" workbookViewId="0">
      <pane ySplit="6" topLeftCell="A22" activePane="bottomLeft" state="frozen"/>
      <selection pane="bottomLeft" activeCell="A24" sqref="A24:XFD24"/>
    </sheetView>
  </sheetViews>
  <sheetFormatPr baseColWidth="10" defaultRowHeight="14.5"/>
  <cols>
    <col min="1" max="1" width="7.81640625" customWidth="1"/>
    <col min="3" max="3" width="16.1796875" customWidth="1"/>
    <col min="4" max="5" width="37.7265625" customWidth="1"/>
    <col min="6" max="6" width="17.54296875" customWidth="1"/>
    <col min="7" max="7" width="20.81640625" customWidth="1"/>
    <col min="8" max="8" width="18" customWidth="1"/>
    <col min="10" max="10" width="14.54296875" bestFit="1" customWidth="1"/>
    <col min="11" max="11" width="14.1796875" customWidth="1"/>
    <col min="12" max="12" width="12.81640625" customWidth="1"/>
  </cols>
  <sheetData>
    <row r="1" spans="1:11">
      <c r="D1" s="1"/>
    </row>
    <row r="2" spans="1:11">
      <c r="A2" s="50" t="s">
        <v>0</v>
      </c>
      <c r="B2" s="51"/>
      <c r="C2" s="51"/>
      <c r="D2" s="51"/>
      <c r="E2" s="51"/>
      <c r="F2" s="51"/>
      <c r="G2" s="51"/>
      <c r="H2" s="51"/>
      <c r="I2" s="51"/>
      <c r="J2" s="51"/>
      <c r="K2" s="51"/>
    </row>
    <row r="3" spans="1:11" ht="44.25" customHeight="1">
      <c r="A3" s="51"/>
      <c r="B3" s="51"/>
      <c r="C3" s="51"/>
      <c r="D3" s="51"/>
      <c r="E3" s="51"/>
      <c r="F3" s="51"/>
      <c r="G3" s="51"/>
      <c r="H3" s="51"/>
      <c r="I3" s="51"/>
      <c r="J3" s="51"/>
      <c r="K3" s="51"/>
    </row>
    <row r="4" spans="1:11" ht="23.25" customHeight="1">
      <c r="A4" s="52" t="s">
        <v>1</v>
      </c>
      <c r="B4" s="51"/>
      <c r="C4" s="51"/>
      <c r="D4" s="51"/>
      <c r="E4" s="51"/>
      <c r="F4" s="51"/>
      <c r="G4" s="51"/>
      <c r="H4" s="51"/>
      <c r="I4" s="51"/>
      <c r="J4" s="51"/>
      <c r="K4" s="51"/>
    </row>
    <row r="5" spans="1:11" ht="15.75" customHeight="1">
      <c r="D5" s="1"/>
      <c r="H5" s="1"/>
      <c r="K5" s="2">
        <f ca="1">TODAY()</f>
        <v>46232</v>
      </c>
    </row>
    <row r="6" spans="1:11" ht="39.75" customHeight="1">
      <c r="A6" s="3" t="s">
        <v>2</v>
      </c>
      <c r="B6" s="3" t="s">
        <v>3</v>
      </c>
      <c r="C6" s="3" t="s">
        <v>4</v>
      </c>
      <c r="D6" s="4" t="s">
        <v>5</v>
      </c>
      <c r="E6" s="3" t="s">
        <v>6</v>
      </c>
      <c r="F6" s="3" t="s">
        <v>7</v>
      </c>
      <c r="G6" s="3" t="s">
        <v>8</v>
      </c>
      <c r="H6" s="5" t="s">
        <v>9</v>
      </c>
      <c r="I6" s="5" t="s">
        <v>10</v>
      </c>
      <c r="J6" s="5" t="s">
        <v>11</v>
      </c>
      <c r="K6" s="5" t="s">
        <v>12</v>
      </c>
    </row>
    <row r="7" spans="1:11" ht="55.5" customHeight="1">
      <c r="A7" s="3">
        <v>1</v>
      </c>
      <c r="B7" s="6">
        <v>26000001</v>
      </c>
      <c r="C7" s="7" t="s">
        <v>13</v>
      </c>
      <c r="D7" s="8" t="s">
        <v>14</v>
      </c>
      <c r="E7" s="7" t="s">
        <v>15</v>
      </c>
      <c r="F7" s="9">
        <v>13900</v>
      </c>
      <c r="G7" s="9">
        <v>13900</v>
      </c>
      <c r="H7" s="10" t="s">
        <v>16</v>
      </c>
      <c r="I7" s="10" t="s">
        <v>17</v>
      </c>
      <c r="J7" s="10" t="s">
        <v>18</v>
      </c>
      <c r="K7" s="11">
        <v>46041</v>
      </c>
    </row>
    <row r="8" spans="1:11" ht="55.5" customHeight="1">
      <c r="A8" s="3">
        <v>2</v>
      </c>
      <c r="B8" s="6">
        <v>26000002</v>
      </c>
      <c r="C8" s="7" t="s">
        <v>19</v>
      </c>
      <c r="D8" s="8" t="s">
        <v>20</v>
      </c>
      <c r="E8" s="7" t="s">
        <v>21</v>
      </c>
      <c r="F8" s="9">
        <v>21600</v>
      </c>
      <c r="G8" s="9">
        <v>21600</v>
      </c>
      <c r="H8" s="10" t="s">
        <v>16</v>
      </c>
      <c r="I8" s="10" t="s">
        <v>17</v>
      </c>
      <c r="J8" s="10" t="s">
        <v>18</v>
      </c>
      <c r="K8" s="11">
        <v>46041</v>
      </c>
    </row>
    <row r="9" spans="1:11" ht="55.5" customHeight="1">
      <c r="A9" s="3">
        <v>3</v>
      </c>
      <c r="B9" s="6">
        <v>26000003</v>
      </c>
      <c r="C9" s="7" t="s">
        <v>22</v>
      </c>
      <c r="D9" s="8" t="s">
        <v>23</v>
      </c>
      <c r="E9" s="7" t="s">
        <v>24</v>
      </c>
      <c r="F9" s="9">
        <v>94000</v>
      </c>
      <c r="G9" s="9">
        <v>112800</v>
      </c>
      <c r="H9" s="10" t="s">
        <v>25</v>
      </c>
      <c r="I9" s="10" t="s">
        <v>17</v>
      </c>
      <c r="J9" s="10" t="s">
        <v>18</v>
      </c>
      <c r="K9" s="11">
        <v>46044</v>
      </c>
    </row>
    <row r="10" spans="1:11" ht="55.5" customHeight="1">
      <c r="A10" s="3">
        <v>4</v>
      </c>
      <c r="B10" s="6">
        <v>26000004</v>
      </c>
      <c r="C10" s="7" t="s">
        <v>26</v>
      </c>
      <c r="D10" s="8" t="s">
        <v>27</v>
      </c>
      <c r="E10" s="7" t="s">
        <v>28</v>
      </c>
      <c r="F10" s="9">
        <v>55180</v>
      </c>
      <c r="G10" s="9">
        <v>66216</v>
      </c>
      <c r="H10" s="10" t="s">
        <v>29</v>
      </c>
      <c r="I10" s="10" t="s">
        <v>17</v>
      </c>
      <c r="J10" s="10" t="s">
        <v>29</v>
      </c>
      <c r="K10" s="11">
        <v>46063</v>
      </c>
    </row>
    <row r="11" spans="1:11" ht="55.5" customHeight="1">
      <c r="A11" s="3">
        <v>5</v>
      </c>
      <c r="B11" s="6">
        <v>26000005</v>
      </c>
      <c r="C11" s="7" t="s">
        <v>26</v>
      </c>
      <c r="D11" s="8" t="s">
        <v>14</v>
      </c>
      <c r="E11" s="7" t="s">
        <v>30</v>
      </c>
      <c r="F11" s="9">
        <v>7295</v>
      </c>
      <c r="G11" s="9">
        <v>8754</v>
      </c>
      <c r="H11" s="10" t="s">
        <v>29</v>
      </c>
      <c r="I11" s="10" t="s">
        <v>17</v>
      </c>
      <c r="J11" s="10" t="s">
        <v>29</v>
      </c>
      <c r="K11" s="11">
        <v>46063</v>
      </c>
    </row>
    <row r="12" spans="1:11" ht="55.5" customHeight="1">
      <c r="A12" s="3">
        <v>6</v>
      </c>
      <c r="B12" s="6">
        <v>26000006</v>
      </c>
      <c r="C12" s="7" t="s">
        <v>31</v>
      </c>
      <c r="D12" s="8" t="s">
        <v>32</v>
      </c>
      <c r="E12" s="7" t="s">
        <v>33</v>
      </c>
      <c r="F12" s="9">
        <v>109350</v>
      </c>
      <c r="G12" s="9">
        <v>109350</v>
      </c>
      <c r="H12" s="10" t="s">
        <v>16</v>
      </c>
      <c r="I12" s="10" t="s">
        <v>17</v>
      </c>
      <c r="J12" s="10" t="s">
        <v>18</v>
      </c>
      <c r="K12" s="11">
        <v>46069</v>
      </c>
    </row>
    <row r="13" spans="1:11" ht="55.5" customHeight="1">
      <c r="A13" s="3">
        <v>7</v>
      </c>
      <c r="B13" s="6">
        <v>26000012</v>
      </c>
      <c r="C13" s="7" t="s">
        <v>34</v>
      </c>
      <c r="D13" s="8" t="s">
        <v>35</v>
      </c>
      <c r="E13" s="7" t="s">
        <v>36</v>
      </c>
      <c r="F13" s="9">
        <v>246385</v>
      </c>
      <c r="G13" s="9">
        <v>295662</v>
      </c>
      <c r="H13" s="10" t="s">
        <v>37</v>
      </c>
      <c r="I13" s="10" t="s">
        <v>17</v>
      </c>
      <c r="J13" s="10" t="s">
        <v>18</v>
      </c>
      <c r="K13" s="11">
        <v>46091</v>
      </c>
    </row>
    <row r="14" spans="1:11" ht="55.5" customHeight="1">
      <c r="A14" s="3">
        <v>8</v>
      </c>
      <c r="B14" s="6">
        <v>26000018</v>
      </c>
      <c r="C14" s="7" t="s">
        <v>38</v>
      </c>
      <c r="D14" s="8" t="s">
        <v>39</v>
      </c>
      <c r="E14" s="7" t="s">
        <v>40</v>
      </c>
      <c r="F14" s="9">
        <v>199115</v>
      </c>
      <c r="G14" s="9">
        <v>238938</v>
      </c>
      <c r="H14" s="10" t="s">
        <v>29</v>
      </c>
      <c r="I14" s="10" t="s">
        <v>41</v>
      </c>
      <c r="J14" s="10" t="s">
        <v>29</v>
      </c>
      <c r="K14" s="11">
        <v>46098</v>
      </c>
    </row>
    <row r="15" spans="1:11" ht="55.5" customHeight="1">
      <c r="A15" s="3">
        <v>9</v>
      </c>
      <c r="B15" s="6">
        <v>26000019</v>
      </c>
      <c r="C15" s="7" t="s">
        <v>42</v>
      </c>
      <c r="D15" s="8" t="s">
        <v>32</v>
      </c>
      <c r="E15" s="7" t="s">
        <v>43</v>
      </c>
      <c r="F15" s="9">
        <v>109091.2</v>
      </c>
      <c r="G15" s="9">
        <v>120000.32000000001</v>
      </c>
      <c r="H15" s="10" t="s">
        <v>29</v>
      </c>
      <c r="I15" s="10" t="s">
        <v>17</v>
      </c>
      <c r="J15" s="10" t="s">
        <v>29</v>
      </c>
      <c r="K15" s="11">
        <v>46111</v>
      </c>
    </row>
    <row r="16" spans="1:11" ht="55.5" customHeight="1">
      <c r="A16" s="3">
        <v>10</v>
      </c>
      <c r="B16" s="6">
        <v>26000015</v>
      </c>
      <c r="C16" s="7" t="s">
        <v>44</v>
      </c>
      <c r="D16" s="8" t="s">
        <v>45</v>
      </c>
      <c r="E16" s="7" t="s">
        <v>46</v>
      </c>
      <c r="F16" s="9">
        <v>382000</v>
      </c>
      <c r="G16" s="9">
        <v>458400</v>
      </c>
      <c r="H16" s="10" t="s">
        <v>29</v>
      </c>
      <c r="I16" s="10" t="s">
        <v>17</v>
      </c>
      <c r="J16" s="10" t="s">
        <v>29</v>
      </c>
      <c r="K16" s="11">
        <v>46112</v>
      </c>
    </row>
    <row r="17" spans="1:11" ht="55.5" customHeight="1">
      <c r="A17" s="3">
        <v>11</v>
      </c>
      <c r="B17" s="6">
        <v>26000014</v>
      </c>
      <c r="C17" s="7" t="s">
        <v>47</v>
      </c>
      <c r="D17" s="8" t="s">
        <v>48</v>
      </c>
      <c r="E17" s="7" t="s">
        <v>49</v>
      </c>
      <c r="F17" s="9">
        <v>19000</v>
      </c>
      <c r="G17" s="9">
        <v>22800</v>
      </c>
      <c r="H17" s="10" t="s">
        <v>50</v>
      </c>
      <c r="I17" s="10" t="s">
        <v>17</v>
      </c>
      <c r="J17" s="10" t="s">
        <v>18</v>
      </c>
      <c r="K17" s="11">
        <v>46114</v>
      </c>
    </row>
    <row r="18" spans="1:11" ht="55.5" customHeight="1">
      <c r="A18" s="3">
        <v>12</v>
      </c>
      <c r="B18" s="6">
        <v>26000020</v>
      </c>
      <c r="C18" s="7" t="s">
        <v>51</v>
      </c>
      <c r="D18" s="8" t="s">
        <v>52</v>
      </c>
      <c r="E18" s="7" t="s">
        <v>53</v>
      </c>
      <c r="F18" s="9">
        <v>89166.67</v>
      </c>
      <c r="G18" s="9">
        <v>107000.004</v>
      </c>
      <c r="H18" s="10" t="s">
        <v>54</v>
      </c>
      <c r="I18" s="10" t="s">
        <v>17</v>
      </c>
      <c r="J18" s="10" t="s">
        <v>18</v>
      </c>
      <c r="K18" s="11">
        <v>46133</v>
      </c>
    </row>
    <row r="19" spans="1:11" ht="55.5" customHeight="1">
      <c r="A19" s="3">
        <v>13</v>
      </c>
      <c r="B19" s="6">
        <v>26000023</v>
      </c>
      <c r="C19" s="7" t="s">
        <v>55</v>
      </c>
      <c r="D19" s="8" t="s">
        <v>56</v>
      </c>
      <c r="E19" s="7" t="s">
        <v>57</v>
      </c>
      <c r="F19" s="9">
        <v>31500</v>
      </c>
      <c r="G19" s="9">
        <v>37800</v>
      </c>
      <c r="H19" s="10" t="s">
        <v>54</v>
      </c>
      <c r="I19" s="10" t="s">
        <v>17</v>
      </c>
      <c r="J19" s="10" t="s">
        <v>18</v>
      </c>
      <c r="K19" s="11">
        <v>46133</v>
      </c>
    </row>
    <row r="20" spans="1:11" ht="55.5" customHeight="1">
      <c r="A20" s="3">
        <v>14</v>
      </c>
      <c r="B20" s="6">
        <v>26000024</v>
      </c>
      <c r="C20" s="7" t="s">
        <v>58</v>
      </c>
      <c r="D20" s="8" t="s">
        <v>59</v>
      </c>
      <c r="E20" s="7" t="s">
        <v>60</v>
      </c>
      <c r="F20" s="9">
        <v>69707.66</v>
      </c>
      <c r="G20" s="9">
        <v>83649.191999999995</v>
      </c>
      <c r="H20" s="10" t="s">
        <v>37</v>
      </c>
      <c r="I20" s="10" t="s">
        <v>41</v>
      </c>
      <c r="J20" s="10" t="s">
        <v>18</v>
      </c>
      <c r="K20" s="11">
        <v>46133</v>
      </c>
    </row>
    <row r="21" spans="1:11" ht="55.5" customHeight="1">
      <c r="A21" s="3">
        <v>15</v>
      </c>
      <c r="B21" s="6">
        <v>26000025</v>
      </c>
      <c r="C21" s="7" t="s">
        <v>61</v>
      </c>
      <c r="D21" s="8" t="s">
        <v>32</v>
      </c>
      <c r="E21" s="7" t="s">
        <v>62</v>
      </c>
      <c r="F21" s="9">
        <v>445500</v>
      </c>
      <c r="G21" s="9">
        <v>490050</v>
      </c>
      <c r="H21" s="10" t="s">
        <v>29</v>
      </c>
      <c r="I21" s="10" t="s">
        <v>17</v>
      </c>
      <c r="J21" s="10" t="s">
        <v>29</v>
      </c>
      <c r="K21" s="11">
        <v>46120</v>
      </c>
    </row>
    <row r="22" spans="1:11" ht="55.5" customHeight="1">
      <c r="A22" s="3">
        <v>16</v>
      </c>
      <c r="B22" s="6">
        <v>26000026</v>
      </c>
      <c r="C22" s="7" t="s">
        <v>63</v>
      </c>
      <c r="D22" s="8" t="s">
        <v>64</v>
      </c>
      <c r="E22" s="7" t="s">
        <v>65</v>
      </c>
      <c r="F22" s="9">
        <v>270000</v>
      </c>
      <c r="G22" s="9">
        <v>297000</v>
      </c>
      <c r="H22" s="10" t="s">
        <v>29</v>
      </c>
      <c r="I22" s="10" t="s">
        <v>17</v>
      </c>
      <c r="J22" s="10" t="s">
        <v>29</v>
      </c>
      <c r="K22" s="11">
        <v>46142</v>
      </c>
    </row>
    <row r="23" spans="1:11" ht="55.5" customHeight="1">
      <c r="A23" s="3">
        <v>17</v>
      </c>
      <c r="B23" s="6">
        <v>26000032</v>
      </c>
      <c r="C23" s="7" t="s">
        <v>66</v>
      </c>
      <c r="D23" s="8" t="s">
        <v>14</v>
      </c>
      <c r="E23" s="7" t="s">
        <v>67</v>
      </c>
      <c r="F23" s="9">
        <v>47500</v>
      </c>
      <c r="G23" s="9">
        <v>57000</v>
      </c>
      <c r="H23" s="10" t="s">
        <v>29</v>
      </c>
      <c r="I23" s="10" t="s">
        <v>17</v>
      </c>
      <c r="J23" s="10" t="s">
        <v>29</v>
      </c>
      <c r="K23" s="11">
        <v>46142</v>
      </c>
    </row>
    <row r="24" spans="1:11" ht="55.5" customHeight="1">
      <c r="A24" s="3">
        <v>18</v>
      </c>
      <c r="B24" s="6">
        <v>26000033</v>
      </c>
      <c r="C24" s="7" t="s">
        <v>68</v>
      </c>
      <c r="D24" s="8" t="s">
        <v>32</v>
      </c>
      <c r="E24" s="7" t="s">
        <v>69</v>
      </c>
      <c r="F24" s="9">
        <v>54660</v>
      </c>
      <c r="G24" s="9">
        <v>65592</v>
      </c>
      <c r="H24" s="10" t="s">
        <v>29</v>
      </c>
      <c r="I24" s="10" t="s">
        <v>17</v>
      </c>
      <c r="J24" s="10" t="s">
        <v>29</v>
      </c>
      <c r="K24" s="11">
        <v>46142</v>
      </c>
    </row>
    <row r="25" spans="1:11" ht="55.5" customHeight="1">
      <c r="A25" s="3">
        <v>19</v>
      </c>
      <c r="B25" s="6" t="s">
        <v>70</v>
      </c>
      <c r="C25" s="7" t="s">
        <v>71</v>
      </c>
      <c r="D25" s="8" t="s">
        <v>72</v>
      </c>
      <c r="E25" s="7" t="s">
        <v>73</v>
      </c>
      <c r="F25" s="9" t="s">
        <v>74</v>
      </c>
      <c r="G25" s="9">
        <v>198971.91</v>
      </c>
      <c r="H25" s="10" t="s">
        <v>25</v>
      </c>
      <c r="I25" s="10" t="s">
        <v>17</v>
      </c>
      <c r="J25" s="10" t="s">
        <v>18</v>
      </c>
      <c r="K25" s="11">
        <v>46148</v>
      </c>
    </row>
    <row r="26" spans="1:11" ht="55.5" customHeight="1">
      <c r="A26" s="3">
        <v>20</v>
      </c>
      <c r="B26" s="6">
        <v>26000040</v>
      </c>
      <c r="C26" s="7" t="s">
        <v>75</v>
      </c>
      <c r="D26" s="8" t="s">
        <v>76</v>
      </c>
      <c r="E26" s="7" t="s">
        <v>77</v>
      </c>
      <c r="F26" s="9">
        <v>88500</v>
      </c>
      <c r="G26" s="9">
        <v>106200</v>
      </c>
      <c r="H26" s="10" t="s">
        <v>25</v>
      </c>
      <c r="I26" s="10" t="s">
        <v>17</v>
      </c>
      <c r="J26" s="10" t="s">
        <v>18</v>
      </c>
      <c r="K26" s="11">
        <v>46150</v>
      </c>
    </row>
    <row r="27" spans="1:11" ht="55.5" customHeight="1">
      <c r="A27" s="3">
        <v>21</v>
      </c>
      <c r="B27" s="6">
        <v>26000044</v>
      </c>
      <c r="C27" s="7" t="s">
        <v>51</v>
      </c>
      <c r="D27" s="8" t="s">
        <v>56</v>
      </c>
      <c r="E27" s="7" t="s">
        <v>78</v>
      </c>
      <c r="F27" s="9">
        <v>11666.67</v>
      </c>
      <c r="G27" s="9">
        <v>14000.004000000001</v>
      </c>
      <c r="H27" s="10" t="s">
        <v>54</v>
      </c>
      <c r="I27" s="10" t="s">
        <v>17</v>
      </c>
      <c r="J27" s="10" t="s">
        <v>18</v>
      </c>
      <c r="K27" s="11">
        <v>46175</v>
      </c>
    </row>
    <row r="28" spans="1:11" ht="55.5" customHeight="1">
      <c r="A28" s="3">
        <v>22</v>
      </c>
      <c r="B28" s="6">
        <v>26000046</v>
      </c>
      <c r="C28" s="7" t="s">
        <v>79</v>
      </c>
      <c r="D28" s="8" t="s">
        <v>35</v>
      </c>
      <c r="E28" s="7" t="s">
        <v>80</v>
      </c>
      <c r="F28" s="9">
        <v>3500</v>
      </c>
      <c r="G28" s="9">
        <v>4200</v>
      </c>
      <c r="H28" s="10" t="s">
        <v>29</v>
      </c>
      <c r="I28" s="10" t="s">
        <v>17</v>
      </c>
      <c r="J28" s="10" t="s">
        <v>29</v>
      </c>
      <c r="K28" s="11">
        <v>46188</v>
      </c>
    </row>
    <row r="29" spans="1:11" ht="55.5" customHeight="1">
      <c r="A29" s="3">
        <v>23</v>
      </c>
      <c r="B29" s="6">
        <v>26000050</v>
      </c>
      <c r="C29" s="7" t="s">
        <v>81</v>
      </c>
      <c r="D29" s="8" t="s">
        <v>82</v>
      </c>
      <c r="E29" s="8" t="s">
        <v>83</v>
      </c>
      <c r="F29" s="9">
        <v>29980</v>
      </c>
      <c r="G29" s="9">
        <v>35976</v>
      </c>
      <c r="H29" s="10" t="s">
        <v>84</v>
      </c>
      <c r="I29" s="10" t="s">
        <v>17</v>
      </c>
      <c r="J29" s="10" t="s">
        <v>18</v>
      </c>
      <c r="K29" s="11">
        <v>46197</v>
      </c>
    </row>
    <row r="30" spans="1:11" ht="55.5" customHeight="1">
      <c r="A30" s="3">
        <v>24</v>
      </c>
      <c r="B30" s="6">
        <v>26000042</v>
      </c>
      <c r="C30" s="7" t="s">
        <v>85</v>
      </c>
      <c r="D30" s="8" t="s">
        <v>86</v>
      </c>
      <c r="E30" s="8" t="s">
        <v>87</v>
      </c>
      <c r="F30" s="9">
        <v>74980</v>
      </c>
      <c r="G30" s="9">
        <v>89976</v>
      </c>
      <c r="H30" s="10" t="s">
        <v>54</v>
      </c>
      <c r="I30" s="10" t="s">
        <v>41</v>
      </c>
      <c r="J30" s="10" t="s">
        <v>18</v>
      </c>
      <c r="K30" s="11">
        <v>46203</v>
      </c>
    </row>
    <row r="31" spans="1:11" ht="55.5" customHeight="1">
      <c r="A31" s="3">
        <v>25</v>
      </c>
      <c r="B31" s="6">
        <v>26000048</v>
      </c>
      <c r="C31" s="7" t="s">
        <v>88</v>
      </c>
      <c r="D31" s="8" t="s">
        <v>82</v>
      </c>
      <c r="E31" s="8" t="s">
        <v>89</v>
      </c>
      <c r="F31" s="9">
        <v>21600</v>
      </c>
      <c r="G31" s="9">
        <v>25920</v>
      </c>
      <c r="H31" s="10" t="s">
        <v>84</v>
      </c>
      <c r="I31" s="10" t="s">
        <v>17</v>
      </c>
      <c r="J31" s="10" t="s">
        <v>18</v>
      </c>
      <c r="K31" s="11">
        <v>46203</v>
      </c>
    </row>
    <row r="32" spans="1:11" ht="55.5" customHeight="1">
      <c r="A32" s="3">
        <v>26</v>
      </c>
      <c r="B32" s="6">
        <v>26000049</v>
      </c>
      <c r="C32" s="7" t="s">
        <v>81</v>
      </c>
      <c r="D32" s="8" t="s">
        <v>82</v>
      </c>
      <c r="E32" s="8" t="s">
        <v>90</v>
      </c>
      <c r="F32" s="9">
        <v>48000</v>
      </c>
      <c r="G32" s="9">
        <v>57600</v>
      </c>
      <c r="H32" s="10" t="s">
        <v>84</v>
      </c>
      <c r="I32" s="10" t="s">
        <v>17</v>
      </c>
      <c r="J32" s="10" t="s">
        <v>18</v>
      </c>
      <c r="K32" s="11">
        <v>46203</v>
      </c>
    </row>
    <row r="33" spans="1:13" ht="55.5" customHeight="1">
      <c r="A33" s="3">
        <v>27</v>
      </c>
      <c r="B33" s="6">
        <v>26000052</v>
      </c>
      <c r="C33" s="7" t="s">
        <v>88</v>
      </c>
      <c r="D33" s="8" t="s">
        <v>82</v>
      </c>
      <c r="E33" s="8" t="s">
        <v>91</v>
      </c>
      <c r="F33" s="9">
        <v>26700</v>
      </c>
      <c r="G33" s="9">
        <v>32040</v>
      </c>
      <c r="H33" s="10" t="s">
        <v>84</v>
      </c>
      <c r="I33" s="10" t="s">
        <v>17</v>
      </c>
      <c r="J33" s="10" t="s">
        <v>18</v>
      </c>
      <c r="K33" s="11">
        <v>46203</v>
      </c>
    </row>
    <row r="34" spans="1:13" ht="41.25" customHeight="1">
      <c r="A34" s="44">
        <v>28</v>
      </c>
      <c r="B34" s="43">
        <v>26000047</v>
      </c>
      <c r="C34" s="45" t="s">
        <v>58</v>
      </c>
      <c r="D34" s="46" t="s">
        <v>108</v>
      </c>
      <c r="E34" s="46" t="s">
        <v>141</v>
      </c>
      <c r="G34" s="47">
        <v>412077.77</v>
      </c>
      <c r="H34" s="48" t="s">
        <v>37</v>
      </c>
      <c r="I34" s="48" t="s">
        <v>142</v>
      </c>
      <c r="J34" s="16" t="s">
        <v>18</v>
      </c>
      <c r="K34" t="s">
        <v>143</v>
      </c>
    </row>
    <row r="35" spans="1:13" ht="57" customHeight="1">
      <c r="D35" s="1"/>
      <c r="G35" s="12">
        <f>SUM(G7:G34)</f>
        <v>3583473.2</v>
      </c>
      <c r="J35" s="13"/>
    </row>
    <row r="36" spans="1:13">
      <c r="G36" s="16"/>
      <c r="I36" s="17"/>
    </row>
    <row r="37" spans="1:13">
      <c r="J37" s="16"/>
    </row>
    <row r="41" spans="1:13">
      <c r="M41" s="14"/>
    </row>
    <row r="42" spans="1:13">
      <c r="F42" s="16"/>
      <c r="H42" s="16"/>
    </row>
    <row r="46" spans="1:13">
      <c r="F46" s="15"/>
    </row>
  </sheetData>
  <autoFilter ref="A6:K35" xr:uid="{00000000-0009-0000-0000-000000000000}"/>
  <mergeCells count="2">
    <mergeCell ref="A2:K3"/>
    <mergeCell ref="A4:K4"/>
  </mergeCells>
  <pageMargins left="0.70866141732283472" right="0.70866141732283472" top="0.74803149606299213" bottom="0.74803149606299213" header="0.31496062992125978" footer="0.31496062992125978"/>
  <pageSetup paperSize="9" scale="63" orientation="landscape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47B6B-DA4E-40B5-979A-B82171AF1167}">
  <dimension ref="A1:I6"/>
  <sheetViews>
    <sheetView tabSelected="1" workbookViewId="0">
      <selection activeCell="G5" sqref="G5"/>
    </sheetView>
  </sheetViews>
  <sheetFormatPr baseColWidth="10" defaultRowHeight="14.5"/>
  <cols>
    <col min="1" max="1" width="10.90625" style="37"/>
    <col min="3" max="3" width="17.90625" customWidth="1"/>
    <col min="4" max="4" width="19" customWidth="1"/>
    <col min="5" max="5" width="36.1796875" customWidth="1"/>
    <col min="8" max="8" width="9.6328125" bestFit="1" customWidth="1"/>
  </cols>
  <sheetData>
    <row r="1" spans="1:9" ht="29.5" customHeight="1">
      <c r="A1" s="37" t="s">
        <v>2</v>
      </c>
      <c r="B1" s="38" t="s">
        <v>3</v>
      </c>
      <c r="C1" s="38" t="s">
        <v>4</v>
      </c>
      <c r="D1" s="39" t="s">
        <v>5</v>
      </c>
      <c r="E1" s="38" t="s">
        <v>6</v>
      </c>
      <c r="F1" s="38" t="s">
        <v>7</v>
      </c>
      <c r="G1" s="38" t="s">
        <v>8</v>
      </c>
      <c r="H1" s="40" t="s">
        <v>9</v>
      </c>
      <c r="I1" s="42" t="s">
        <v>140</v>
      </c>
    </row>
    <row r="2" spans="1:9" ht="20">
      <c r="A2" s="37">
        <v>2</v>
      </c>
      <c r="B2" s="7">
        <v>26000043</v>
      </c>
      <c r="C2" s="7" t="s">
        <v>128</v>
      </c>
      <c r="D2" s="8" t="s">
        <v>129</v>
      </c>
      <c r="E2" s="8" t="s">
        <v>130</v>
      </c>
      <c r="F2" s="9">
        <v>37500</v>
      </c>
      <c r="G2" s="9">
        <v>45000</v>
      </c>
      <c r="H2" s="10" t="s">
        <v>29</v>
      </c>
      <c r="I2" s="10" t="s">
        <v>29</v>
      </c>
    </row>
    <row r="3" spans="1:9" ht="68" customHeight="1">
      <c r="A3" s="37">
        <v>3</v>
      </c>
      <c r="B3" s="7">
        <v>26000056</v>
      </c>
      <c r="C3" s="7" t="s">
        <v>131</v>
      </c>
      <c r="D3" s="8" t="s">
        <v>129</v>
      </c>
      <c r="E3" s="8" t="s">
        <v>132</v>
      </c>
      <c r="F3" s="9">
        <v>16000</v>
      </c>
      <c r="G3" s="9">
        <f>+F3*1.2</f>
        <v>19200</v>
      </c>
      <c r="H3" s="10" t="s">
        <v>54</v>
      </c>
      <c r="I3" t="s">
        <v>18</v>
      </c>
    </row>
    <row r="4" spans="1:9" ht="30">
      <c r="A4" s="37">
        <v>4</v>
      </c>
      <c r="B4" s="7">
        <v>26000064</v>
      </c>
      <c r="C4" s="7" t="s">
        <v>133</v>
      </c>
      <c r="D4" s="8" t="s">
        <v>134</v>
      </c>
      <c r="E4" s="8" t="s">
        <v>135</v>
      </c>
      <c r="F4" s="9">
        <v>152710</v>
      </c>
      <c r="G4" s="9">
        <f>F4*1.2</f>
        <v>183252</v>
      </c>
      <c r="H4" s="10" t="s">
        <v>29</v>
      </c>
      <c r="I4" s="10" t="s">
        <v>29</v>
      </c>
    </row>
    <row r="5" spans="1:9" ht="72.5" customHeight="1">
      <c r="A5" s="37">
        <v>5</v>
      </c>
      <c r="B5" s="7" t="s">
        <v>136</v>
      </c>
      <c r="C5" s="7" t="s">
        <v>137</v>
      </c>
      <c r="D5" s="8" t="s">
        <v>138</v>
      </c>
      <c r="E5" s="8" t="s">
        <v>139</v>
      </c>
      <c r="F5" s="41">
        <v>12570</v>
      </c>
      <c r="G5" s="9">
        <v>134289.07999999999</v>
      </c>
      <c r="H5" s="10" t="s">
        <v>37</v>
      </c>
      <c r="I5" t="s">
        <v>18</v>
      </c>
    </row>
    <row r="6" spans="1:9" ht="30">
      <c r="A6" s="37">
        <v>6</v>
      </c>
      <c r="B6" s="45">
        <v>26000057</v>
      </c>
      <c r="C6" s="45" t="s">
        <v>145</v>
      </c>
      <c r="D6" s="49" t="s">
        <v>146</v>
      </c>
      <c r="E6" s="46" t="s">
        <v>116</v>
      </c>
      <c r="G6" s="9">
        <v>9600</v>
      </c>
      <c r="H6" s="48" t="s">
        <v>144</v>
      </c>
      <c r="I6" s="37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8"/>
  <sheetViews>
    <sheetView showGridLines="0" topLeftCell="A13" workbookViewId="0">
      <selection activeCell="D21" sqref="D21"/>
    </sheetView>
  </sheetViews>
  <sheetFormatPr baseColWidth="10" defaultColWidth="8.7265625" defaultRowHeight="14.5"/>
  <cols>
    <col min="1" max="1" width="26" customWidth="1"/>
    <col min="2" max="2" width="22" customWidth="1"/>
    <col min="3" max="3" width="26" customWidth="1"/>
    <col min="4" max="5" width="45" customWidth="1"/>
    <col min="6" max="6" width="18" customWidth="1"/>
  </cols>
  <sheetData>
    <row r="1" spans="1:6" ht="26" customHeight="1">
      <c r="A1" s="55" t="s">
        <v>92</v>
      </c>
      <c r="B1" s="51"/>
      <c r="C1" s="51"/>
      <c r="D1" s="51"/>
      <c r="E1" s="51"/>
      <c r="F1" s="51"/>
    </row>
    <row r="2" spans="1:6" ht="16" customHeight="1">
      <c r="A2" s="54" t="s">
        <v>93</v>
      </c>
      <c r="B2" s="51"/>
      <c r="C2" s="51"/>
      <c r="D2" s="51"/>
      <c r="E2" s="51"/>
      <c r="F2" s="51"/>
    </row>
    <row r="4" spans="1:6" ht="22" customHeight="1">
      <c r="A4" s="57" t="s">
        <v>94</v>
      </c>
      <c r="B4" s="51"/>
      <c r="C4" s="51"/>
      <c r="D4" s="51"/>
      <c r="E4" s="51"/>
      <c r="F4" s="51"/>
    </row>
    <row r="5" spans="1:6">
      <c r="A5" s="18" t="s">
        <v>95</v>
      </c>
      <c r="B5" s="18" t="s">
        <v>3</v>
      </c>
      <c r="C5" s="18" t="s">
        <v>96</v>
      </c>
      <c r="D5" s="18" t="s">
        <v>97</v>
      </c>
      <c r="E5" s="18" t="s">
        <v>98</v>
      </c>
      <c r="F5" s="18" t="s">
        <v>99</v>
      </c>
    </row>
    <row r="6" spans="1:6" ht="58">
      <c r="A6" s="19">
        <v>11</v>
      </c>
      <c r="B6" s="19">
        <v>26000014</v>
      </c>
      <c r="C6" s="19" t="s">
        <v>47</v>
      </c>
      <c r="D6" s="19" t="s">
        <v>50</v>
      </c>
      <c r="E6" s="20" t="s">
        <v>49</v>
      </c>
      <c r="F6" s="21">
        <v>22800</v>
      </c>
    </row>
    <row r="7" spans="1:6" ht="43.5">
      <c r="A7" s="22">
        <v>15</v>
      </c>
      <c r="B7" s="22">
        <v>26000025</v>
      </c>
      <c r="C7" s="22" t="s">
        <v>61</v>
      </c>
      <c r="D7" s="22" t="s">
        <v>29</v>
      </c>
      <c r="E7" s="23" t="s">
        <v>62</v>
      </c>
      <c r="F7" s="24">
        <v>490050</v>
      </c>
    </row>
    <row r="8" spans="1:6">
      <c r="A8" s="19">
        <v>16</v>
      </c>
      <c r="B8" s="19">
        <v>26000026</v>
      </c>
      <c r="C8" s="19" t="s">
        <v>63</v>
      </c>
      <c r="D8" s="19" t="s">
        <v>29</v>
      </c>
      <c r="E8" s="20" t="s">
        <v>65</v>
      </c>
      <c r="F8" s="21">
        <v>297000</v>
      </c>
    </row>
    <row r="9" spans="1:6" ht="29">
      <c r="A9" s="22">
        <v>17</v>
      </c>
      <c r="B9" s="22">
        <v>26000032</v>
      </c>
      <c r="C9" s="22" t="s">
        <v>66</v>
      </c>
      <c r="D9" s="22" t="s">
        <v>29</v>
      </c>
      <c r="E9" s="23" t="s">
        <v>67</v>
      </c>
      <c r="F9" s="24">
        <v>57000</v>
      </c>
    </row>
    <row r="10" spans="1:6" ht="43.5">
      <c r="A10" s="19">
        <v>18</v>
      </c>
      <c r="B10" s="19">
        <v>26000033</v>
      </c>
      <c r="C10" s="19" t="s">
        <v>68</v>
      </c>
      <c r="D10" s="19" t="s">
        <v>29</v>
      </c>
      <c r="E10" s="20" t="s">
        <v>69</v>
      </c>
      <c r="F10" s="21">
        <v>65592</v>
      </c>
    </row>
    <row r="11" spans="1:6" ht="58">
      <c r="A11" s="22">
        <v>19</v>
      </c>
      <c r="B11" s="25" t="s">
        <v>70</v>
      </c>
      <c r="C11" s="22" t="s">
        <v>71</v>
      </c>
      <c r="D11" s="22" t="s">
        <v>25</v>
      </c>
      <c r="E11" s="23" t="s">
        <v>73</v>
      </c>
      <c r="F11" s="24">
        <v>198971.91</v>
      </c>
    </row>
    <row r="12" spans="1:6" ht="29">
      <c r="A12" s="19">
        <v>20</v>
      </c>
      <c r="B12" s="19">
        <v>26000040</v>
      </c>
      <c r="C12" s="19" t="s">
        <v>75</v>
      </c>
      <c r="D12" s="19" t="s">
        <v>25</v>
      </c>
      <c r="E12" s="20" t="s">
        <v>77</v>
      </c>
      <c r="F12" s="21">
        <v>106200</v>
      </c>
    </row>
    <row r="13" spans="1:6" ht="29">
      <c r="A13" s="22">
        <v>22</v>
      </c>
      <c r="B13" s="22">
        <v>26000046</v>
      </c>
      <c r="C13" s="22" t="s">
        <v>79</v>
      </c>
      <c r="D13" s="22" t="s">
        <v>29</v>
      </c>
      <c r="E13" s="23" t="s">
        <v>80</v>
      </c>
      <c r="F13" s="24">
        <v>4200</v>
      </c>
    </row>
    <row r="15" spans="1:6" ht="22" customHeight="1">
      <c r="A15" s="58" t="s">
        <v>100</v>
      </c>
      <c r="B15" s="51"/>
      <c r="C15" s="51"/>
      <c r="D15" s="51"/>
      <c r="E15" s="51"/>
      <c r="F15" s="51"/>
    </row>
    <row r="16" spans="1:6">
      <c r="A16" s="18" t="s">
        <v>101</v>
      </c>
      <c r="B16" s="18" t="s">
        <v>97</v>
      </c>
      <c r="C16" s="18" t="s">
        <v>102</v>
      </c>
      <c r="D16" s="18" t="s">
        <v>98</v>
      </c>
      <c r="E16" s="18" t="s">
        <v>99</v>
      </c>
    </row>
    <row r="17" spans="1:6" ht="29">
      <c r="A17" s="26" t="s">
        <v>103</v>
      </c>
      <c r="B17" s="26" t="s">
        <v>29</v>
      </c>
      <c r="C17" s="26" t="s">
        <v>104</v>
      </c>
      <c r="D17" s="27" t="s">
        <v>105</v>
      </c>
      <c r="E17" s="28">
        <v>66000</v>
      </c>
    </row>
    <row r="18" spans="1:6" ht="43.5">
      <c r="A18" s="29" t="s">
        <v>106</v>
      </c>
      <c r="B18" s="29" t="s">
        <v>37</v>
      </c>
      <c r="C18" s="29" t="s">
        <v>107</v>
      </c>
      <c r="D18" s="30" t="s">
        <v>108</v>
      </c>
      <c r="E18" s="31">
        <v>412077.77</v>
      </c>
    </row>
    <row r="19" spans="1:6" ht="29">
      <c r="A19" s="26" t="s">
        <v>109</v>
      </c>
      <c r="B19" s="26" t="s">
        <v>29</v>
      </c>
      <c r="C19" s="26" t="s">
        <v>110</v>
      </c>
      <c r="D19" s="27" t="s">
        <v>111</v>
      </c>
      <c r="E19" s="28">
        <v>45000</v>
      </c>
    </row>
    <row r="20" spans="1:6" ht="43.5">
      <c r="A20" s="29" t="s">
        <v>112</v>
      </c>
      <c r="B20" s="29" t="s">
        <v>50</v>
      </c>
      <c r="C20" s="29" t="s">
        <v>107</v>
      </c>
      <c r="D20" s="30" t="s">
        <v>113</v>
      </c>
      <c r="E20" s="31">
        <v>34800</v>
      </c>
    </row>
    <row r="21" spans="1:6" ht="29">
      <c r="A21" s="26" t="s">
        <v>114</v>
      </c>
      <c r="B21" s="26" t="s">
        <v>115</v>
      </c>
      <c r="C21" s="26" t="s">
        <v>110</v>
      </c>
      <c r="D21" s="27" t="s">
        <v>116</v>
      </c>
      <c r="E21" s="28">
        <v>9600</v>
      </c>
    </row>
    <row r="23" spans="1:6">
      <c r="A23" s="56" t="s">
        <v>117</v>
      </c>
      <c r="B23" s="51"/>
      <c r="C23" s="51"/>
      <c r="D23" s="51"/>
      <c r="E23" s="51"/>
      <c r="F23" s="51"/>
    </row>
    <row r="25" spans="1:6" ht="22" customHeight="1">
      <c r="A25" s="53" t="s">
        <v>118</v>
      </c>
      <c r="B25" s="51"/>
      <c r="C25" s="51"/>
      <c r="D25" s="51"/>
      <c r="E25" s="51"/>
      <c r="F25" s="51"/>
    </row>
    <row r="26" spans="1:6">
      <c r="A26" s="32" t="s">
        <v>3</v>
      </c>
      <c r="B26" s="32" t="s">
        <v>119</v>
      </c>
      <c r="C26" s="32" t="s">
        <v>120</v>
      </c>
      <c r="D26" s="32" t="s">
        <v>121</v>
      </c>
      <c r="E26" s="32" t="s">
        <v>122</v>
      </c>
      <c r="F26" s="32" t="s">
        <v>123</v>
      </c>
    </row>
    <row r="27" spans="1:6">
      <c r="A27" s="33">
        <v>26000001</v>
      </c>
      <c r="B27" s="33" t="s">
        <v>16</v>
      </c>
      <c r="C27" s="33" t="s">
        <v>124</v>
      </c>
      <c r="D27" s="34">
        <v>13900</v>
      </c>
      <c r="E27" s="34">
        <v>13900</v>
      </c>
      <c r="F27" s="34">
        <v>0</v>
      </c>
    </row>
    <row r="28" spans="1:6">
      <c r="A28" s="35">
        <v>26000002</v>
      </c>
      <c r="B28" s="35" t="s">
        <v>16</v>
      </c>
      <c r="C28" s="35" t="s">
        <v>124</v>
      </c>
      <c r="D28" s="36">
        <v>21600</v>
      </c>
      <c r="E28" s="36">
        <v>21600</v>
      </c>
      <c r="F28" s="36">
        <v>0</v>
      </c>
    </row>
    <row r="29" spans="1:6">
      <c r="A29" s="33">
        <v>26000003</v>
      </c>
      <c r="B29" s="33" t="s">
        <v>25</v>
      </c>
      <c r="C29" s="33" t="s">
        <v>125</v>
      </c>
      <c r="D29" s="34">
        <v>112800</v>
      </c>
      <c r="E29" s="34">
        <v>112800</v>
      </c>
      <c r="F29" s="34">
        <v>0</v>
      </c>
    </row>
    <row r="30" spans="1:6">
      <c r="A30" s="35">
        <v>26000006</v>
      </c>
      <c r="B30" s="35" t="s">
        <v>16</v>
      </c>
      <c r="C30" s="35" t="s">
        <v>124</v>
      </c>
      <c r="D30" s="36">
        <v>109350</v>
      </c>
      <c r="E30" s="36">
        <v>109350</v>
      </c>
      <c r="F30" s="36">
        <v>0</v>
      </c>
    </row>
    <row r="31" spans="1:6">
      <c r="A31" s="33">
        <v>26000020</v>
      </c>
      <c r="B31" s="33" t="s">
        <v>54</v>
      </c>
      <c r="C31" s="33" t="s">
        <v>126</v>
      </c>
      <c r="D31" s="34">
        <v>107000.004</v>
      </c>
      <c r="E31" s="34">
        <v>107000</v>
      </c>
      <c r="F31" s="34">
        <v>0</v>
      </c>
    </row>
    <row r="32" spans="1:6">
      <c r="A32" s="35">
        <v>26000023</v>
      </c>
      <c r="B32" s="35" t="s">
        <v>54</v>
      </c>
      <c r="C32" s="35" t="s">
        <v>126</v>
      </c>
      <c r="D32" s="36">
        <v>37800</v>
      </c>
      <c r="E32" s="36">
        <v>37800</v>
      </c>
      <c r="F32" s="36">
        <v>0</v>
      </c>
    </row>
    <row r="33" spans="1:6">
      <c r="A33" s="33">
        <v>26000044</v>
      </c>
      <c r="B33" s="33" t="s">
        <v>54</v>
      </c>
      <c r="C33" s="33" t="s">
        <v>126</v>
      </c>
      <c r="D33" s="34">
        <v>14000.004000000001</v>
      </c>
      <c r="E33" s="34">
        <v>14000</v>
      </c>
      <c r="F33" s="34">
        <v>0</v>
      </c>
    </row>
    <row r="34" spans="1:6">
      <c r="A34" s="35">
        <v>26000050</v>
      </c>
      <c r="B34" s="35" t="s">
        <v>84</v>
      </c>
      <c r="C34" s="35" t="s">
        <v>127</v>
      </c>
      <c r="D34" s="36">
        <v>35976</v>
      </c>
      <c r="E34" s="36">
        <v>35976</v>
      </c>
      <c r="F34" s="36">
        <v>0</v>
      </c>
    </row>
    <row r="35" spans="1:6">
      <c r="A35" s="33">
        <v>26000042</v>
      </c>
      <c r="B35" s="33" t="s">
        <v>54</v>
      </c>
      <c r="C35" s="33" t="s">
        <v>126</v>
      </c>
      <c r="D35" s="34">
        <v>89976</v>
      </c>
      <c r="E35" s="34">
        <v>89976</v>
      </c>
      <c r="F35" s="34">
        <v>0</v>
      </c>
    </row>
    <row r="36" spans="1:6">
      <c r="A36" s="35">
        <v>26000048</v>
      </c>
      <c r="B36" s="35" t="s">
        <v>84</v>
      </c>
      <c r="C36" s="35" t="s">
        <v>127</v>
      </c>
      <c r="D36" s="36">
        <v>25920</v>
      </c>
      <c r="E36" s="36">
        <v>25920</v>
      </c>
      <c r="F36" s="36">
        <v>0</v>
      </c>
    </row>
    <row r="37" spans="1:6">
      <c r="A37" s="33">
        <v>26000049</v>
      </c>
      <c r="B37" s="33" t="s">
        <v>84</v>
      </c>
      <c r="C37" s="33" t="s">
        <v>127</v>
      </c>
      <c r="D37" s="34">
        <v>57600</v>
      </c>
      <c r="E37" s="34">
        <v>57600</v>
      </c>
      <c r="F37" s="34">
        <v>0</v>
      </c>
    </row>
    <row r="38" spans="1:6">
      <c r="A38" s="35">
        <v>26000052</v>
      </c>
      <c r="B38" s="35" t="s">
        <v>84</v>
      </c>
      <c r="C38" s="35" t="s">
        <v>127</v>
      </c>
      <c r="D38" s="36">
        <v>32040</v>
      </c>
      <c r="E38" s="36">
        <v>32040</v>
      </c>
      <c r="F38" s="36">
        <v>0</v>
      </c>
    </row>
  </sheetData>
  <mergeCells count="6">
    <mergeCell ref="A25:F25"/>
    <mergeCell ref="A2:F2"/>
    <mergeCell ref="A1:F1"/>
    <mergeCell ref="A23:F23"/>
    <mergeCell ref="A4:F4"/>
    <mergeCell ref="A15:F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1</vt:i4>
      </vt:variant>
    </vt:vector>
  </HeadingPairs>
  <TitlesOfParts>
    <vt:vector size="4" baseType="lpstr">
      <vt:lpstr>BC APPROUVE</vt:lpstr>
      <vt:lpstr>BC en instance</vt:lpstr>
      <vt:lpstr>Anomalies BC vs État</vt:lpstr>
      <vt:lpstr>'BC APPROUVE'!Impression_des_titres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Sobha AJANA</dc:creator>
  <cp:lastModifiedBy>HP</cp:lastModifiedBy>
  <dcterms:created xsi:type="dcterms:W3CDTF">2026-07-01T15:03:07Z</dcterms:created>
  <dcterms:modified xsi:type="dcterms:W3CDTF">2026-07-29T15:05:06Z</dcterms:modified>
</cp:coreProperties>
</file>