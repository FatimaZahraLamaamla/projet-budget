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_rels/externalLink1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te" sheetId="1" state="visible" r:id="rId3"/>
    <sheet name="Poste" sheetId="2" state="visible" r:id="rId4"/>
    <sheet name="INV-EXP" sheetId="3" state="visible" r:id="rId5"/>
  </sheets>
  <externalReferences>
    <externalReference r:id="rId6"/>
  </externalReferences>
  <definedNames>
    <definedName function="false" hidden="true" localSheetId="1" name="_xlnm._FilterDatabase" vbProcedure="false">Poste!$A$1:$AE$31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<sst xmlns="http://schemas.openxmlformats.org/spreadsheetml/2006/main" count="240" uniqueCount="163">
  <si>
    <t xml:space="preserve">Compte</t>
  </si>
  <si>
    <t xml:space="preserve">Libellé</t>
  </si>
  <si>
    <t xml:space="preserve">Total général</t>
  </si>
  <si>
    <t xml:space="preserve">AL MAGHERIBIA</t>
  </si>
  <si>
    <t xml:space="preserve">AMAZIGHIA</t>
  </si>
  <si>
    <t xml:space="preserve">Arryadia</t>
  </si>
  <si>
    <t xml:space="preserve">Arryadia Annexe</t>
  </si>
  <si>
    <t xml:space="preserve">ASSADISSA</t>
  </si>
  <si>
    <t xml:space="preserve">ATTAKAFIA</t>
  </si>
  <si>
    <t xml:space="preserve">DA</t>
  </si>
  <si>
    <t xml:space="preserve">DACG</t>
  </si>
  <si>
    <t xml:space="preserve">DAR</t>
  </si>
  <si>
    <t xml:space="preserve">DCPA</t>
  </si>
  <si>
    <t xml:space="preserve">DCRI</t>
  </si>
  <si>
    <t xml:space="preserve">DF</t>
  </si>
  <si>
    <t xml:space="preserve">DJ</t>
  </si>
  <si>
    <t xml:space="preserve">DMPTV</t>
  </si>
  <si>
    <t xml:space="preserve">DPMG</t>
  </si>
  <si>
    <t xml:space="preserve">DPPR</t>
  </si>
  <si>
    <t xml:space="preserve">DRH</t>
  </si>
  <si>
    <t xml:space="preserve">DROI</t>
  </si>
  <si>
    <t xml:space="preserve">DTSI</t>
  </si>
  <si>
    <t xml:space="preserve">INFO RADIO</t>
  </si>
  <si>
    <t xml:space="preserve">INFO TV</t>
  </si>
  <si>
    <t xml:space="preserve">LAAYOUNE</t>
  </si>
  <si>
    <t xml:space="preserve">LAAYOUNE ANNEXE</t>
  </si>
  <si>
    <t xml:space="preserve">Prod Ext</t>
  </si>
  <si>
    <t xml:space="preserve">RPSD</t>
  </si>
  <si>
    <t xml:space="preserve">RSSI</t>
  </si>
  <si>
    <t xml:space="preserve">TDF - DEM</t>
  </si>
  <si>
    <t xml:space="preserve">TDF - SITE</t>
  </si>
  <si>
    <t xml:space="preserve">212-1</t>
  </si>
  <si>
    <t xml:space="preserve">Frais d'acquisition des immobilisations</t>
  </si>
  <si>
    <t xml:space="preserve">212-2</t>
  </si>
  <si>
    <t xml:space="preserve">Prestations de service à immobiliser</t>
  </si>
  <si>
    <t xml:space="preserve">221-1</t>
  </si>
  <si>
    <t xml:space="preserve">Immobilisations incorporelles (logiciels, licences, etc.)</t>
  </si>
  <si>
    <t xml:space="preserve">231-1</t>
  </si>
  <si>
    <t xml:space="preserve">Terrains</t>
  </si>
  <si>
    <t xml:space="preserve">232-2</t>
  </si>
  <si>
    <t xml:space="preserve">Agencements et aménagement constructions</t>
  </si>
  <si>
    <t xml:space="preserve">233-1</t>
  </si>
  <si>
    <t xml:space="preserve">Installations techniques</t>
  </si>
  <si>
    <t xml:space="preserve">233-2</t>
  </si>
  <si>
    <t xml:space="preserve">Matériel et outillage </t>
  </si>
  <si>
    <t xml:space="preserve">233-3</t>
  </si>
  <si>
    <t xml:space="preserve">Equipements de télédiffusion</t>
  </si>
  <si>
    <t xml:space="preserve">233-4</t>
  </si>
  <si>
    <t xml:space="preserve">Equipements techniques</t>
  </si>
  <si>
    <t xml:space="preserve">235-1</t>
  </si>
  <si>
    <t xml:space="preserve">Mobilier de bureau</t>
  </si>
  <si>
    <t xml:space="preserve">235-2</t>
  </si>
  <si>
    <t xml:space="preserve">Matériel de bureau</t>
  </si>
  <si>
    <t xml:space="preserve">235-3</t>
  </si>
  <si>
    <t xml:space="preserve">Matériel informatiques</t>
  </si>
  <si>
    <t xml:space="preserve">235-4</t>
  </si>
  <si>
    <t xml:space="preserve">Autres Matériel et mobilier de bureau</t>
  </si>
  <si>
    <t xml:space="preserve">612-1-1</t>
  </si>
  <si>
    <t xml:space="preserve">Acquis définitive Programmes TV externes</t>
  </si>
  <si>
    <t xml:space="preserve">612-1-3</t>
  </si>
  <si>
    <t xml:space="preserve">Achat des programmes en production interne</t>
  </si>
  <si>
    <t xml:space="preserve">612-1-4</t>
  </si>
  <si>
    <t xml:space="preserve">Achats des programmes en co-production</t>
  </si>
  <si>
    <t xml:space="preserve">612-2-1</t>
  </si>
  <si>
    <t xml:space="preserve">Achats des droits de captation</t>
  </si>
  <si>
    <t xml:space="preserve">612-2-2</t>
  </si>
  <si>
    <t xml:space="preserve">Cession de Droits de sport </t>
  </si>
  <si>
    <t xml:space="preserve">612-3-2</t>
  </si>
  <si>
    <t xml:space="preserve">Achats des pièces de rechange</t>
  </si>
  <si>
    <t xml:space="preserve">612-3-3</t>
  </si>
  <si>
    <t xml:space="preserve">Fournitures de bureau et fournitures informatiques</t>
  </si>
  <si>
    <t xml:space="preserve">612-3-4</t>
  </si>
  <si>
    <t xml:space="preserve">Autres Matières et fournitures consommables</t>
  </si>
  <si>
    <t xml:space="preserve">612-4-2</t>
  </si>
  <si>
    <t xml:space="preserve">Achats de carburants</t>
  </si>
  <si>
    <t xml:space="preserve">612-4-3</t>
  </si>
  <si>
    <t xml:space="preserve">Achats Petit outillage &amp; petit équipement</t>
  </si>
  <si>
    <t xml:space="preserve">612-4-4</t>
  </si>
  <si>
    <t xml:space="preserve">Achat fournitures (entretien, fournitures de bureau et fournitures informatiques)</t>
  </si>
  <si>
    <t xml:space="preserve">612-5-1</t>
  </si>
  <si>
    <t xml:space="preserve">Achats d'études </t>
  </si>
  <si>
    <t xml:space="preserve">612-5-2</t>
  </si>
  <si>
    <t xml:space="preserve">Achat prestations de services locales - sociétés</t>
  </si>
  <si>
    <t xml:space="preserve">612-5-3</t>
  </si>
  <si>
    <t xml:space="preserve">Achat prestations de services locales - personnes physiques </t>
  </si>
  <si>
    <t xml:space="preserve">612-5-4</t>
  </si>
  <si>
    <t xml:space="preserve">Achat prestations services Etrangères</t>
  </si>
  <si>
    <t xml:space="preserve">612-6-1</t>
  </si>
  <si>
    <t xml:space="preserve">Achat prestations satellitaires </t>
  </si>
  <si>
    <t xml:space="preserve">613-1-1</t>
  </si>
  <si>
    <t xml:space="preserve">Location de terrains et constructions</t>
  </si>
  <si>
    <t xml:space="preserve">613-1-4</t>
  </si>
  <si>
    <t xml:space="preserve">Location matériel transport</t>
  </si>
  <si>
    <t xml:space="preserve">613-2-1</t>
  </si>
  <si>
    <t xml:space="preserve">Entr&amp;réparat biens immoblier</t>
  </si>
  <si>
    <t xml:space="preserve">613-2-2</t>
  </si>
  <si>
    <t xml:space="preserve">Entr&amp;réparat biens mobilier</t>
  </si>
  <si>
    <t xml:space="preserve">613-2-3</t>
  </si>
  <si>
    <t xml:space="preserve">Entretien et réparation matériel transport</t>
  </si>
  <si>
    <t xml:space="preserve">613-2-4</t>
  </si>
  <si>
    <t xml:space="preserve">Entretien et réparation matériel&amp;outillage</t>
  </si>
  <si>
    <t xml:space="preserve">613-2-5</t>
  </si>
  <si>
    <t xml:space="preserve">Entretien et maintenance matériel Informatiq &amp; logiciels</t>
  </si>
  <si>
    <t xml:space="preserve">613-2-6</t>
  </si>
  <si>
    <t xml:space="preserve">Assurances </t>
  </si>
  <si>
    <t xml:space="preserve">613-3-2</t>
  </si>
  <si>
    <t xml:space="preserve">Honoraires</t>
  </si>
  <si>
    <t xml:space="preserve">613-3-3</t>
  </si>
  <si>
    <t xml:space="preserve">Frais d'actes et contentieux</t>
  </si>
  <si>
    <t xml:space="preserve">613-4-2</t>
  </si>
  <si>
    <t xml:space="preserve">Autres redevances</t>
  </si>
  <si>
    <t xml:space="preserve">613-4-3</t>
  </si>
  <si>
    <t xml:space="preserve">Documentation </t>
  </si>
  <si>
    <t xml:space="preserve">613-4-4</t>
  </si>
  <si>
    <t xml:space="preserve">Abonnements</t>
  </si>
  <si>
    <t xml:space="preserve">613-4-5</t>
  </si>
  <si>
    <t xml:space="preserve">Cotisations</t>
  </si>
  <si>
    <t xml:space="preserve">614-1-1</t>
  </si>
  <si>
    <t xml:space="preserve">Mission au Maroc</t>
  </si>
  <si>
    <t xml:space="preserve">614-1-2</t>
  </si>
  <si>
    <t xml:space="preserve">Mission à l'étranger</t>
  </si>
  <si>
    <t xml:space="preserve">614-1-3</t>
  </si>
  <si>
    <t xml:space="preserve">Réceptions</t>
  </si>
  <si>
    <t xml:space="preserve">614-2-1</t>
  </si>
  <si>
    <t xml:space="preserve">Annonces et insertions</t>
  </si>
  <si>
    <t xml:space="preserve">614-2-2</t>
  </si>
  <si>
    <t xml:space="preserve">Charges de publicité</t>
  </si>
  <si>
    <t xml:space="preserve">614-2-3</t>
  </si>
  <si>
    <t xml:space="preserve">Autres charges de relations publiques</t>
  </si>
  <si>
    <t xml:space="preserve">614-3-1</t>
  </si>
  <si>
    <t xml:space="preserve">Frais postaux</t>
  </si>
  <si>
    <t xml:space="preserve">614-3-2</t>
  </si>
  <si>
    <t xml:space="preserve">Téléphone &amp; internet</t>
  </si>
  <si>
    <t xml:space="preserve">614-3-4</t>
  </si>
  <si>
    <t xml:space="preserve">Transport du personnel</t>
  </si>
  <si>
    <t xml:space="preserve">614-3-5</t>
  </si>
  <si>
    <t xml:space="preserve">Autres transports</t>
  </si>
  <si>
    <t xml:space="preserve">617-1-1</t>
  </si>
  <si>
    <t xml:space="preserve">Salaires de bases +rappels</t>
  </si>
  <si>
    <t xml:space="preserve">617-1-2</t>
  </si>
  <si>
    <t xml:space="preserve">Primes et indemnités </t>
  </si>
  <si>
    <t xml:space="preserve">617-2</t>
  </si>
  <si>
    <t xml:space="preserve">Charges sociales</t>
  </si>
  <si>
    <t xml:space="preserve">617-3</t>
  </si>
  <si>
    <t xml:space="preserve">Charges sociales diverses</t>
  </si>
  <si>
    <t xml:space="preserve">Poste</t>
  </si>
  <si>
    <t xml:space="preserve">612-1</t>
  </si>
  <si>
    <t xml:space="preserve">612-2</t>
  </si>
  <si>
    <t xml:space="preserve">612-3</t>
  </si>
  <si>
    <t xml:space="preserve">612-4</t>
  </si>
  <si>
    <t xml:space="preserve">612-5</t>
  </si>
  <si>
    <t xml:space="preserve">612-6</t>
  </si>
  <si>
    <t xml:space="preserve">613-1</t>
  </si>
  <si>
    <t xml:space="preserve">613-2</t>
  </si>
  <si>
    <t xml:space="preserve">613-3</t>
  </si>
  <si>
    <t xml:space="preserve">613-4</t>
  </si>
  <si>
    <t xml:space="preserve">614-1</t>
  </si>
  <si>
    <t xml:space="preserve">614-2</t>
  </si>
  <si>
    <t xml:space="preserve">614-3</t>
  </si>
  <si>
    <t xml:space="preserve">617-1</t>
  </si>
  <si>
    <t xml:space="preserve">Direction</t>
  </si>
  <si>
    <t xml:space="preserve">Exploitation</t>
  </si>
  <si>
    <t xml:space="preserve">Investissement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</si>
</sst>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_D_H_-;\-* #,##0.00\ _D_H_-;_-* \-??\ _D_H_-;_-@_-"/>
    <numFmt numFmtId="166" formatCode="_-* #,##0.00\ _€_-;\-* #,##0.00\ _€_-;_-* \-??\ _€_-;_-@_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Book Antiqua"/>
      <family val="1"/>
      <charset val="1"/>
    </font>
    <font>
      <sz val="11"/>
      <color rgb="FF000000"/>
      <name val="Book Antiqu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4" xfId="15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E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/G:/Pr&#233;sentation%20Budget%20Consolid&#233;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ésentation Compte"/>
      <sheetName val="Présentation Poste"/>
      <sheetName val="Présentation 2-6"/>
      <sheetName val="Feuil1"/>
    </sheetNames>
    <sheetDataSet>
      <sheetData sheetId="0"/>
      <sheetData sheetId="1">
        <row r="1">
          <cell r="A1" t="str">
            <v>Poste</v>
          </cell>
          <cell r="B1" t="str">
            <v>Libellé</v>
          </cell>
        </row>
        <row r="2">
          <cell r="A2" t="str">
            <v>212-1</v>
          </cell>
          <cell r="B2" t="str">
            <v>Frais d'acquisition des immobilisations</v>
          </cell>
        </row>
        <row r="3">
          <cell r="A3" t="str">
            <v>212-2</v>
          </cell>
          <cell r="B3" t="str">
            <v>Prestations de service à immobiliser</v>
          </cell>
        </row>
        <row r="4">
          <cell r="A4" t="str">
            <v>221-1</v>
          </cell>
          <cell r="B4" t="str">
            <v>Immobilisations incorporelles (logiciels, licences, etc.)</v>
          </cell>
        </row>
        <row r="5">
          <cell r="A5" t="str">
            <v>231-1</v>
          </cell>
          <cell r="B5" t="str">
            <v>Terrains</v>
          </cell>
        </row>
        <row r="6">
          <cell r="A6" t="str">
            <v>232-2</v>
          </cell>
          <cell r="B6" t="str">
            <v>Agencements et aménagement constructions</v>
          </cell>
        </row>
        <row r="7">
          <cell r="A7" t="str">
            <v>233-1</v>
          </cell>
          <cell r="B7" t="str">
            <v>Installations techniques</v>
          </cell>
        </row>
        <row r="8">
          <cell r="A8" t="str">
            <v>233-2</v>
          </cell>
          <cell r="B8" t="str">
            <v>Matériel et outillage </v>
          </cell>
        </row>
        <row r="9">
          <cell r="A9" t="str">
            <v>233-3</v>
          </cell>
          <cell r="B9" t="str">
            <v>Equipements de télédiffusion</v>
          </cell>
        </row>
        <row r="10">
          <cell r="A10" t="str">
            <v>233-4</v>
          </cell>
          <cell r="B10" t="str">
            <v>Equipements techniques</v>
          </cell>
        </row>
        <row r="11">
          <cell r="A11" t="str">
            <v>235-1</v>
          </cell>
          <cell r="B11" t="str">
            <v>Mobilier de bureau</v>
          </cell>
        </row>
        <row r="12">
          <cell r="A12" t="str">
            <v>235-2</v>
          </cell>
          <cell r="B12" t="str">
            <v>Matériel de bureau</v>
          </cell>
        </row>
        <row r="13">
          <cell r="A13" t="str">
            <v>235-3</v>
          </cell>
          <cell r="B13" t="str">
            <v>Matériel informatiques</v>
          </cell>
        </row>
        <row r="14">
          <cell r="A14" t="str">
            <v>235-4</v>
          </cell>
          <cell r="B14" t="str">
            <v>Autres Matériel et mobilier de bureau</v>
          </cell>
        </row>
        <row r="15">
          <cell r="A15" t="str">
            <v>612-1</v>
          </cell>
          <cell r="B15" t="str">
            <v>Achats de productions et de programmes</v>
          </cell>
        </row>
        <row r="16">
          <cell r="A16" t="str">
            <v>612-2</v>
          </cell>
          <cell r="B16" t="str">
            <v>Achats de droits</v>
          </cell>
        </row>
        <row r="17">
          <cell r="A17" t="str">
            <v>612-3</v>
          </cell>
          <cell r="B17" t="str">
            <v>Achats de matières et fournitures consommables</v>
          </cell>
        </row>
        <row r="18">
          <cell r="A18" t="str">
            <v>612-4</v>
          </cell>
          <cell r="B18" t="str">
            <v>Achats non stockés de matières et fournitures </v>
          </cell>
        </row>
        <row r="19">
          <cell r="A19" t="str">
            <v>612-5</v>
          </cell>
          <cell r="B19" t="str">
            <v>Prestations de service</v>
          </cell>
        </row>
        <row r="20">
          <cell r="A20" t="str">
            <v>612-6</v>
          </cell>
          <cell r="B20" t="str">
            <v>Redevances satellitaires</v>
          </cell>
        </row>
        <row r="21">
          <cell r="A21" t="str">
            <v>613-1</v>
          </cell>
          <cell r="B21" t="str">
            <v>Locations</v>
          </cell>
        </row>
        <row r="22">
          <cell r="A22" t="str">
            <v>613-2</v>
          </cell>
          <cell r="B22" t="str">
            <v>Entretien, réparation et assurance</v>
          </cell>
        </row>
        <row r="23">
          <cell r="A23" t="str">
            <v>613-3</v>
          </cell>
          <cell r="B23" t="str">
            <v>Honoraires et rémunération du personnel occasionnel</v>
          </cell>
        </row>
        <row r="24">
          <cell r="A24" t="str">
            <v>613-4</v>
          </cell>
          <cell r="B24" t="str">
            <v>Redevances et cotisations</v>
          </cell>
        </row>
        <row r="25">
          <cell r="A25" t="str">
            <v>614-1</v>
          </cell>
          <cell r="B25" t="str">
            <v>Déplacements, missions et réceptions</v>
          </cell>
        </row>
        <row r="26">
          <cell r="A26" t="str">
            <v>614-2</v>
          </cell>
          <cell r="B26" t="str">
            <v>Charges marketing et relations publiques</v>
          </cell>
        </row>
        <row r="27">
          <cell r="A27" t="str">
            <v>614-3</v>
          </cell>
          <cell r="B27" t="str">
            <v>Autres charges de fonctionnement</v>
          </cell>
        </row>
        <row r="28">
          <cell r="A28" t="str">
            <v>617-1</v>
          </cell>
          <cell r="B28" t="str">
            <v>Charges du personnel</v>
          </cell>
        </row>
        <row r="29">
          <cell r="A29" t="str">
            <v>617-2</v>
          </cell>
          <cell r="B29" t="str">
            <v>Charges sociales</v>
          </cell>
        </row>
        <row r="30">
          <cell r="A30" t="str">
            <v>617-3</v>
          </cell>
          <cell r="B30" t="str">
            <v>Charges sociales diverses</v>
          </cell>
        </row>
        <row r="31">
          <cell r="A31" t="str">
            <v>Total général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4.57"/>
    <col collapsed="false" customWidth="true" hidden="false" outlineLevel="0" max="3" min="3" style="0" width="19.86"/>
    <col collapsed="false" customWidth="true" hidden="false" outlineLevel="0" max="4" min="4" style="0" width="16.29"/>
    <col collapsed="false" customWidth="true" hidden="false" outlineLevel="0" max="6" min="5" style="0" width="18.29"/>
    <col collapsed="false" customWidth="true" hidden="false" outlineLevel="0" max="7" min="7" style="0" width="16.29"/>
    <col collapsed="false" customWidth="true" hidden="false" outlineLevel="0" max="8" min="8" style="0" width="17.29"/>
    <col collapsed="false" customWidth="true" hidden="false" outlineLevel="0" max="9" min="9" style="0" width="14.57"/>
    <col collapsed="false" customWidth="true" hidden="false" outlineLevel="0" max="10" min="10" style="0" width="16.29"/>
    <col collapsed="false" customWidth="true" hidden="false" outlineLevel="0" max="12" min="11" style="0" width="14.57"/>
    <col collapsed="false" customWidth="true" hidden="false" outlineLevel="0" max="13" min="13" style="0" width="17.29"/>
    <col collapsed="false" customWidth="true" hidden="false" outlineLevel="0" max="16" min="14" style="0" width="16.29"/>
    <col collapsed="false" customWidth="true" hidden="false" outlineLevel="0" max="17" min="17" style="0" width="17.29"/>
    <col collapsed="false" customWidth="true" hidden="false" outlineLevel="0" max="18" min="18" style="0" width="18.29"/>
    <col collapsed="false" customWidth="true" hidden="false" outlineLevel="0" max="19" min="19" style="0" width="16.29"/>
    <col collapsed="false" customWidth="true" hidden="false" outlineLevel="0" max="20" min="20" style="0" width="18.29"/>
    <col collapsed="false" customWidth="true" hidden="false" outlineLevel="0" max="21" min="21" style="0" width="16.29"/>
    <col collapsed="false" customWidth="true" hidden="false" outlineLevel="0" max="22" min="22" style="0" width="17.29"/>
    <col collapsed="false" customWidth="true" hidden="false" outlineLevel="0" max="23" min="23" style="0" width="16.29"/>
    <col collapsed="false" customWidth="true" hidden="false" outlineLevel="0" max="25" min="24" style="0" width="17.29"/>
    <col collapsed="false" customWidth="true" hidden="false" outlineLevel="0" max="26" min="26" style="0" width="18.71"/>
    <col collapsed="false" customWidth="true" hidden="false" outlineLevel="0" max="27" min="27" style="0" width="18.29"/>
    <col collapsed="false" customWidth="true" hidden="false" outlineLevel="0" max="28" min="28" style="0" width="17.29"/>
    <col collapsed="false" customWidth="true" hidden="false" outlineLevel="0" max="29" min="29" style="0" width="16.29"/>
    <col collapsed="false" customWidth="true" hidden="false" outlineLevel="0" max="30" min="30" style="0" width="17.29"/>
    <col collapsed="false" customWidth="true" hidden="false" outlineLevel="0" max="31" min="31" style="0" width="18.29"/>
    <col collapsed="false" customWidth="true" hidden="false" outlineLevel="0" max="32" min="32" style="0" width="16.29"/>
    <col collapsed="false" customWidth="true" hidden="false" outlineLevel="0" max="33" min="33" style="0" width="17.29"/>
    <col collapsed="false" customWidth="true" hidden="false" outlineLevel="0" max="34" min="34" style="0" width="27.86"/>
    <col collapsed="false" customWidth="true" hidden="false" outlineLevel="0" max="35" min="35" style="0" width="16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2" t="s">
        <v>31</v>
      </c>
      <c r="B2" s="2" t="s">
        <v>32</v>
      </c>
      <c r="C2" s="3" t="n">
        <v>1390000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n">
        <v>520000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 t="n">
        <v>870000</v>
      </c>
    </row>
    <row r="3" customFormat="false" ht="15" hidden="false" customHeight="false" outlineLevel="0" collapsed="false">
      <c r="A3" s="2" t="s">
        <v>33</v>
      </c>
      <c r="B3" s="2" t="s">
        <v>34</v>
      </c>
      <c r="C3" s="3" t="n">
        <v>2500000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 t="n">
        <v>500000</v>
      </c>
      <c r="AC3" s="4"/>
      <c r="AD3" s="4"/>
      <c r="AE3" s="4" t="n">
        <v>2000000</v>
      </c>
    </row>
    <row r="4" customFormat="false" ht="15" hidden="false" customHeight="false" outlineLevel="0" collapsed="false">
      <c r="A4" s="2" t="s">
        <v>35</v>
      </c>
      <c r="B4" s="2" t="s">
        <v>36</v>
      </c>
      <c r="C4" s="3" t="n">
        <v>3850000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 t="n">
        <v>100000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 t="n">
        <v>1100000</v>
      </c>
      <c r="AC4" s="4" t="n">
        <v>2650000</v>
      </c>
      <c r="AD4" s="4"/>
      <c r="AE4" s="4"/>
    </row>
    <row r="5" customFormat="false" ht="15" hidden="false" customHeight="false" outlineLevel="0" collapsed="false">
      <c r="A5" s="2" t="s">
        <v>37</v>
      </c>
      <c r="B5" s="2" t="s">
        <v>38</v>
      </c>
      <c r="C5" s="3" t="n">
        <v>500000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n">
        <v>500000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customFormat="false" ht="15" hidden="false" customHeight="false" outlineLevel="0" collapsed="false">
      <c r="A6" s="2" t="s">
        <v>39</v>
      </c>
      <c r="B6" s="2" t="s">
        <v>40</v>
      </c>
      <c r="C6" s="3" t="n">
        <v>33010000</v>
      </c>
      <c r="D6" s="4" t="n">
        <v>300000</v>
      </c>
      <c r="E6" s="4" t="n">
        <v>300000</v>
      </c>
      <c r="F6" s="4"/>
      <c r="G6" s="4"/>
      <c r="H6" s="4"/>
      <c r="I6" s="4"/>
      <c r="J6" s="4"/>
      <c r="K6" s="4"/>
      <c r="L6" s="4"/>
      <c r="M6" s="4" t="n">
        <v>1000000</v>
      </c>
      <c r="N6" s="4"/>
      <c r="O6" s="4"/>
      <c r="P6" s="4"/>
      <c r="Q6" s="4" t="n">
        <v>7900000</v>
      </c>
      <c r="R6" s="4" t="n">
        <v>12200000</v>
      </c>
      <c r="S6" s="4"/>
      <c r="T6" s="4"/>
      <c r="U6" s="4"/>
      <c r="V6" s="4"/>
      <c r="W6" s="4"/>
      <c r="X6" s="4" t="n">
        <v>1010000</v>
      </c>
      <c r="Y6" s="4" t="n">
        <v>300000</v>
      </c>
      <c r="Z6" s="4"/>
      <c r="AA6" s="4"/>
      <c r="AB6" s="4"/>
      <c r="AC6" s="4"/>
      <c r="AD6" s="4"/>
      <c r="AE6" s="4" t="n">
        <v>10000000</v>
      </c>
      <c r="AG6" s="5"/>
    </row>
    <row r="7" customFormat="false" ht="15" hidden="false" customHeight="false" outlineLevel="0" collapsed="false">
      <c r="A7" s="2" t="s">
        <v>41</v>
      </c>
      <c r="B7" s="2" t="s">
        <v>42</v>
      </c>
      <c r="C7" s="3" t="n">
        <v>5860000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 t="n">
        <v>2000000</v>
      </c>
      <c r="R7" s="4"/>
      <c r="S7" s="4"/>
      <c r="T7" s="4"/>
      <c r="U7" s="4"/>
      <c r="V7" s="4" t="n">
        <v>360000</v>
      </c>
      <c r="W7" s="4"/>
      <c r="X7" s="4"/>
      <c r="Y7" s="4"/>
      <c r="Z7" s="4"/>
      <c r="AA7" s="4"/>
      <c r="AB7" s="4"/>
      <c r="AC7" s="4"/>
      <c r="AD7" s="4" t="n">
        <v>3500000</v>
      </c>
      <c r="AE7" s="4"/>
    </row>
    <row r="8" customFormat="false" ht="15" hidden="false" customHeight="false" outlineLevel="0" collapsed="false">
      <c r="A8" s="2" t="s">
        <v>43</v>
      </c>
      <c r="B8" s="2" t="s">
        <v>44</v>
      </c>
      <c r="C8" s="3" t="n">
        <v>7520000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n">
        <v>7520000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customFormat="false" ht="15" hidden="false" customHeight="false" outlineLevel="0" collapsed="false">
      <c r="A9" s="2" t="s">
        <v>45</v>
      </c>
      <c r="B9" s="2" t="s">
        <v>46</v>
      </c>
      <c r="C9" s="3" t="n">
        <v>49555000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 t="n">
        <v>11800000</v>
      </c>
      <c r="AE9" s="4" t="n">
        <v>37755000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3" t="n">
        <v>42480000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 t="n">
        <v>42480000</v>
      </c>
      <c r="W10" s="4"/>
      <c r="X10" s="4"/>
      <c r="Y10" s="4"/>
      <c r="Z10" s="4"/>
      <c r="AA10" s="4"/>
      <c r="AB10" s="4"/>
      <c r="AC10" s="4"/>
      <c r="AD10" s="4"/>
      <c r="AE10" s="4"/>
    </row>
    <row r="11" customFormat="false" ht="15" hidden="false" customHeight="false" outlineLevel="0" collapsed="false">
      <c r="A11" s="2" t="s">
        <v>49</v>
      </c>
      <c r="B11" s="2" t="s">
        <v>50</v>
      </c>
      <c r="C11" s="3" t="n">
        <v>2040000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 t="n">
        <v>2040000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customFormat="false" ht="15" hidden="false" customHeight="false" outlineLevel="0" collapsed="false">
      <c r="A12" s="2" t="s">
        <v>51</v>
      </c>
      <c r="B12" s="2" t="s">
        <v>52</v>
      </c>
      <c r="C12" s="3" t="n">
        <v>1000000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 t="n">
        <v>1000000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customFormat="false" ht="15" hidden="false" customHeight="false" outlineLevel="0" collapsed="false">
      <c r="A13" s="2" t="s">
        <v>53</v>
      </c>
      <c r="B13" s="2" t="s">
        <v>54</v>
      </c>
      <c r="C13" s="3" t="n">
        <v>27802795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 t="n">
        <v>27802795</v>
      </c>
      <c r="W13" s="4"/>
      <c r="X13" s="4"/>
      <c r="Y13" s="4"/>
      <c r="Z13" s="4"/>
      <c r="AA13" s="4"/>
      <c r="AB13" s="4"/>
      <c r="AC13" s="4"/>
      <c r="AD13" s="4"/>
      <c r="AE13" s="4"/>
    </row>
    <row r="14" customFormat="false" ht="15" hidden="false" customHeight="false" outlineLevel="0" collapsed="false">
      <c r="A14" s="2" t="s">
        <v>55</v>
      </c>
      <c r="B14" s="2" t="s">
        <v>56</v>
      </c>
      <c r="C14" s="3" t="n">
        <v>400000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 t="n">
        <v>280000</v>
      </c>
      <c r="S14" s="4"/>
      <c r="T14" s="4"/>
      <c r="U14" s="4"/>
      <c r="V14" s="4"/>
      <c r="W14" s="4"/>
      <c r="X14" s="4"/>
      <c r="Y14" s="4" t="n">
        <v>120000</v>
      </c>
      <c r="Z14" s="4"/>
      <c r="AA14" s="4"/>
      <c r="AB14" s="4"/>
      <c r="AC14" s="4"/>
      <c r="AD14" s="4"/>
      <c r="AE14" s="4"/>
    </row>
    <row r="15" customFormat="false" ht="15" hidden="false" customHeight="false" outlineLevel="0" collapsed="false">
      <c r="A15" s="2" t="s">
        <v>57</v>
      </c>
      <c r="B15" s="2" t="s">
        <v>58</v>
      </c>
      <c r="C15" s="3" t="n">
        <v>438246611.39</v>
      </c>
      <c r="D15" s="4" t="n">
        <v>2800000</v>
      </c>
      <c r="E15" s="4" t="n">
        <v>125236222.4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 t="n">
        <v>2000000</v>
      </c>
      <c r="R15" s="4"/>
      <c r="S15" s="4"/>
      <c r="T15" s="4"/>
      <c r="U15" s="4"/>
      <c r="V15" s="4"/>
      <c r="W15" s="4"/>
      <c r="X15" s="4"/>
      <c r="Y15" s="4" t="n">
        <v>23863209.4</v>
      </c>
      <c r="Z15" s="4"/>
      <c r="AA15" s="4" t="n">
        <v>284347179.59</v>
      </c>
      <c r="AB15" s="4"/>
      <c r="AC15" s="4"/>
      <c r="AD15" s="4"/>
      <c r="AE15" s="4"/>
    </row>
    <row r="16" customFormat="false" ht="15" hidden="false" customHeight="false" outlineLevel="0" collapsed="false">
      <c r="A16" s="2" t="s">
        <v>59</v>
      </c>
      <c r="B16" s="2" t="s">
        <v>60</v>
      </c>
      <c r="C16" s="3" t="n">
        <v>30358432.1457143</v>
      </c>
      <c r="D16" s="4"/>
      <c r="E16" s="4"/>
      <c r="F16" s="4"/>
      <c r="G16" s="4"/>
      <c r="H16" s="4" t="n">
        <v>8334674.08</v>
      </c>
      <c r="I16" s="4"/>
      <c r="J16" s="4"/>
      <c r="K16" s="4"/>
      <c r="L16" s="4"/>
      <c r="M16" s="4" t="n">
        <v>19693156.5257143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 t="n">
        <v>708571.54</v>
      </c>
      <c r="Z16" s="4" t="n">
        <v>1622030</v>
      </c>
      <c r="AA16" s="4"/>
      <c r="AB16" s="4"/>
      <c r="AC16" s="4"/>
      <c r="AD16" s="4"/>
      <c r="AE16" s="4"/>
    </row>
    <row r="17" customFormat="false" ht="15" hidden="false" customHeight="false" outlineLevel="0" collapsed="false">
      <c r="A17" s="2" t="s">
        <v>61</v>
      </c>
      <c r="B17" s="2" t="s">
        <v>62</v>
      </c>
      <c r="C17" s="3" t="n">
        <v>4149655.96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 t="n">
        <v>4149655.96</v>
      </c>
      <c r="Z17" s="4"/>
      <c r="AA17" s="4"/>
      <c r="AB17" s="4"/>
      <c r="AC17" s="4"/>
      <c r="AD17" s="4"/>
      <c r="AE17" s="4"/>
    </row>
    <row r="18" customFormat="false" ht="15" hidden="false" customHeight="false" outlineLevel="0" collapsed="false">
      <c r="A18" s="2" t="s">
        <v>63</v>
      </c>
      <c r="B18" s="2" t="s">
        <v>64</v>
      </c>
      <c r="C18" s="3" t="n">
        <v>21722184</v>
      </c>
      <c r="D18" s="4"/>
      <c r="E18" s="4"/>
      <c r="F18" s="4"/>
      <c r="G18" s="4"/>
      <c r="H18" s="4"/>
      <c r="I18" s="4"/>
      <c r="J18" s="4"/>
      <c r="K18" s="4"/>
      <c r="L18" s="4"/>
      <c r="M18" s="4" t="n">
        <v>21722184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customFormat="false" ht="15" hidden="false" customHeight="false" outlineLevel="0" collapsed="false">
      <c r="A19" s="2" t="s">
        <v>65</v>
      </c>
      <c r="B19" s="2" t="s">
        <v>66</v>
      </c>
      <c r="C19" s="3" t="n">
        <v>325435617.5</v>
      </c>
      <c r="D19" s="4"/>
      <c r="E19" s="4"/>
      <c r="F19" s="4" t="n">
        <v>325435617.5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customFormat="false" ht="15" hidden="false" customHeight="false" outlineLevel="0" collapsed="false">
      <c r="A20" s="2" t="s">
        <v>67</v>
      </c>
      <c r="B20" s="2" t="s">
        <v>68</v>
      </c>
      <c r="C20" s="3" t="n">
        <v>19200000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 t="n">
        <v>19200000</v>
      </c>
      <c r="AE20" s="4"/>
    </row>
    <row r="21" customFormat="false" ht="15" hidden="false" customHeight="false" outlineLevel="0" collapsed="false">
      <c r="A21" s="2" t="s">
        <v>69</v>
      </c>
      <c r="B21" s="2" t="s">
        <v>70</v>
      </c>
      <c r="C21" s="3" t="n">
        <v>1400000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 t="n">
        <v>1330000</v>
      </c>
      <c r="S21" s="4"/>
      <c r="T21" s="4"/>
      <c r="U21" s="4"/>
      <c r="V21" s="4"/>
      <c r="W21" s="4"/>
      <c r="X21" s="4"/>
      <c r="Y21" s="4" t="n">
        <v>70000</v>
      </c>
      <c r="Z21" s="4"/>
      <c r="AA21" s="4"/>
      <c r="AB21" s="4"/>
      <c r="AC21" s="4"/>
      <c r="AD21" s="4"/>
      <c r="AE21" s="4"/>
    </row>
    <row r="22" customFormat="false" ht="15" hidden="false" customHeight="false" outlineLevel="0" collapsed="false">
      <c r="A22" s="2" t="s">
        <v>71</v>
      </c>
      <c r="B22" s="2" t="s">
        <v>72</v>
      </c>
      <c r="C22" s="3" t="n">
        <v>860000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 t="n">
        <v>200000</v>
      </c>
      <c r="S22" s="4"/>
      <c r="T22" s="4"/>
      <c r="U22" s="4"/>
      <c r="V22" s="4" t="n">
        <v>660000</v>
      </c>
      <c r="W22" s="4"/>
      <c r="X22" s="4"/>
      <c r="Y22" s="4"/>
      <c r="Z22" s="4"/>
      <c r="AA22" s="4"/>
      <c r="AB22" s="4"/>
      <c r="AC22" s="4"/>
      <c r="AD22" s="4"/>
      <c r="AE22" s="4"/>
    </row>
    <row r="23" customFormat="false" ht="15" hidden="false" customHeight="false" outlineLevel="0" collapsed="false">
      <c r="A23" s="2" t="s">
        <v>73</v>
      </c>
      <c r="B23" s="2" t="s">
        <v>74</v>
      </c>
      <c r="C23" s="3" t="n">
        <v>11860100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 t="n">
        <v>10360100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 t="n">
        <v>1500000</v>
      </c>
      <c r="AE23" s="4"/>
    </row>
    <row r="24" customFormat="false" ht="15" hidden="false" customHeight="false" outlineLevel="0" collapsed="false">
      <c r="A24" s="2" t="s">
        <v>75</v>
      </c>
      <c r="B24" s="2" t="s">
        <v>76</v>
      </c>
      <c r="C24" s="3" t="n">
        <v>1190000</v>
      </c>
      <c r="D24" s="4"/>
      <c r="E24" s="4"/>
      <c r="F24" s="4" t="n">
        <v>100000</v>
      </c>
      <c r="G24" s="4"/>
      <c r="H24" s="4" t="n">
        <v>90000</v>
      </c>
      <c r="I24" s="4" t="n">
        <v>120000</v>
      </c>
      <c r="J24" s="4"/>
      <c r="K24" s="4"/>
      <c r="L24" s="4"/>
      <c r="M24" s="4"/>
      <c r="N24" s="4"/>
      <c r="O24" s="4"/>
      <c r="P24" s="4"/>
      <c r="Q24" s="4"/>
      <c r="R24" s="4" t="n">
        <v>720000</v>
      </c>
      <c r="S24" s="4"/>
      <c r="T24" s="4"/>
      <c r="U24" s="4"/>
      <c r="V24" s="4" t="n">
        <v>120000</v>
      </c>
      <c r="W24" s="4"/>
      <c r="X24" s="4"/>
      <c r="Y24" s="4" t="n">
        <v>40000</v>
      </c>
      <c r="Z24" s="4"/>
      <c r="AA24" s="4"/>
      <c r="AB24" s="4"/>
      <c r="AC24" s="4"/>
      <c r="AD24" s="4"/>
      <c r="AE24" s="4"/>
    </row>
    <row r="25" customFormat="false" ht="15" hidden="false" customHeight="false" outlineLevel="0" collapsed="false">
      <c r="A25" s="2" t="s">
        <v>77</v>
      </c>
      <c r="B25" s="2" t="s">
        <v>78</v>
      </c>
      <c r="C25" s="3" t="n">
        <v>1690000</v>
      </c>
      <c r="D25" s="4" t="n">
        <v>150000</v>
      </c>
      <c r="E25" s="4" t="n">
        <v>200000</v>
      </c>
      <c r="F25" s="4" t="n">
        <v>180000</v>
      </c>
      <c r="G25" s="4" t="n">
        <v>310000</v>
      </c>
      <c r="H25" s="4"/>
      <c r="I25" s="4" t="n">
        <v>150000</v>
      </c>
      <c r="J25" s="4"/>
      <c r="K25" s="4"/>
      <c r="L25" s="4"/>
      <c r="M25" s="4" t="n">
        <v>150000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 t="n">
        <v>300000</v>
      </c>
      <c r="Y25" s="4" t="n">
        <v>100000</v>
      </c>
      <c r="Z25" s="4"/>
      <c r="AA25" s="4"/>
      <c r="AB25" s="4" t="n">
        <v>150000</v>
      </c>
      <c r="AC25" s="4"/>
      <c r="AD25" s="4"/>
      <c r="AE25" s="4"/>
    </row>
    <row r="26" customFormat="false" ht="15" hidden="false" customHeight="false" outlineLevel="0" collapsed="false">
      <c r="A26" s="2" t="s">
        <v>79</v>
      </c>
      <c r="B26" s="2" t="s">
        <v>80</v>
      </c>
      <c r="C26" s="3" t="n">
        <v>2850000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 t="n">
        <v>1200000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 t="n">
        <v>1650000</v>
      </c>
      <c r="AC26" s="4"/>
      <c r="AD26" s="4"/>
      <c r="AE26" s="4"/>
    </row>
    <row r="27" customFormat="false" ht="15" hidden="false" customHeight="false" outlineLevel="0" collapsed="false">
      <c r="A27" s="2" t="s">
        <v>81</v>
      </c>
      <c r="B27" s="2" t="s">
        <v>82</v>
      </c>
      <c r="C27" s="3" t="n">
        <v>82188263.456</v>
      </c>
      <c r="D27" s="4" t="n">
        <v>60000</v>
      </c>
      <c r="E27" s="4"/>
      <c r="F27" s="4"/>
      <c r="G27" s="4"/>
      <c r="H27" s="4" t="n">
        <v>60000</v>
      </c>
      <c r="I27" s="4" t="n">
        <v>60000</v>
      </c>
      <c r="J27" s="4" t="n">
        <v>620000</v>
      </c>
      <c r="K27" s="4"/>
      <c r="L27" s="4"/>
      <c r="M27" s="4"/>
      <c r="N27" s="4"/>
      <c r="O27" s="4"/>
      <c r="P27" s="4"/>
      <c r="Q27" s="4" t="n">
        <v>8430000</v>
      </c>
      <c r="R27" s="4" t="n">
        <v>57337024</v>
      </c>
      <c r="S27" s="4"/>
      <c r="T27" s="4" t="n">
        <v>710000</v>
      </c>
      <c r="U27" s="4"/>
      <c r="V27" s="4" t="n">
        <v>8617119.456</v>
      </c>
      <c r="W27" s="4"/>
      <c r="X27" s="4" t="n">
        <v>532000</v>
      </c>
      <c r="Y27" s="4" t="n">
        <v>60000</v>
      </c>
      <c r="Z27" s="4"/>
      <c r="AA27" s="4"/>
      <c r="AB27" s="4" t="n">
        <v>2457520</v>
      </c>
      <c r="AC27" s="4"/>
      <c r="AD27" s="4" t="n">
        <v>840000</v>
      </c>
      <c r="AE27" s="4" t="n">
        <v>2404600</v>
      </c>
    </row>
    <row r="28" customFormat="false" ht="15" hidden="false" customHeight="false" outlineLevel="0" collapsed="false">
      <c r="A28" s="2" t="s">
        <v>83</v>
      </c>
      <c r="B28" s="2" t="s">
        <v>84</v>
      </c>
      <c r="C28" s="3" t="n">
        <v>43797431.19</v>
      </c>
      <c r="D28" s="4" t="n">
        <v>1718800</v>
      </c>
      <c r="E28" s="4" t="n">
        <v>5976171.24</v>
      </c>
      <c r="F28" s="4" t="n">
        <v>10772000</v>
      </c>
      <c r="G28" s="4" t="n">
        <v>10000</v>
      </c>
      <c r="H28" s="4" t="n">
        <v>2587200</v>
      </c>
      <c r="I28" s="4"/>
      <c r="J28" s="4"/>
      <c r="K28" s="4"/>
      <c r="L28" s="4" t="n">
        <v>271896</v>
      </c>
      <c r="M28" s="4"/>
      <c r="N28" s="4"/>
      <c r="O28" s="4"/>
      <c r="P28" s="4"/>
      <c r="Q28" s="4" t="n">
        <v>4700000</v>
      </c>
      <c r="R28" s="4" t="n">
        <v>450200</v>
      </c>
      <c r="S28" s="4" t="n">
        <v>4836000</v>
      </c>
      <c r="T28" s="4"/>
      <c r="U28" s="4"/>
      <c r="V28" s="4" t="n">
        <v>792600</v>
      </c>
      <c r="W28" s="4" t="n">
        <v>963428.52</v>
      </c>
      <c r="X28" s="4" t="n">
        <v>6742620.49</v>
      </c>
      <c r="Y28" s="4" t="n">
        <v>867514.94</v>
      </c>
      <c r="Z28" s="4"/>
      <c r="AA28" s="4"/>
      <c r="AB28" s="4" t="n">
        <v>3109000</v>
      </c>
      <c r="AC28" s="4"/>
      <c r="AD28" s="4"/>
      <c r="AE28" s="4"/>
    </row>
    <row r="29" customFormat="false" ht="15" hidden="false" customHeight="false" outlineLevel="0" collapsed="false">
      <c r="A29" s="2" t="s">
        <v>85</v>
      </c>
      <c r="B29" s="2" t="s">
        <v>86</v>
      </c>
      <c r="C29" s="3" t="n">
        <v>9775921.6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 t="n">
        <v>407808</v>
      </c>
      <c r="W29" s="4"/>
      <c r="X29" s="4" t="n">
        <v>9368113.6</v>
      </c>
      <c r="Y29" s="4"/>
      <c r="Z29" s="4"/>
      <c r="AA29" s="4"/>
      <c r="AB29" s="4"/>
      <c r="AC29" s="4"/>
      <c r="AD29" s="4"/>
      <c r="AE29" s="4"/>
    </row>
    <row r="30" customFormat="false" ht="15" hidden="false" customHeight="false" outlineLevel="0" collapsed="false">
      <c r="A30" s="2" t="s">
        <v>87</v>
      </c>
      <c r="B30" s="2" t="s">
        <v>88</v>
      </c>
      <c r="C30" s="3" t="n">
        <v>92680944.36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 t="n">
        <v>92680944.36</v>
      </c>
    </row>
    <row r="31" customFormat="false" ht="15" hidden="false" customHeight="false" outlineLevel="0" collapsed="false">
      <c r="A31" s="2" t="s">
        <v>89</v>
      </c>
      <c r="B31" s="2" t="s">
        <v>90</v>
      </c>
      <c r="C31" s="3" t="n">
        <v>21997694</v>
      </c>
      <c r="D31" s="4"/>
      <c r="E31" s="4" t="n">
        <v>700000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 t="n">
        <v>21297694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customFormat="false" ht="15" hidden="false" customHeight="false" outlineLevel="0" collapsed="false">
      <c r="A32" s="2" t="s">
        <v>91</v>
      </c>
      <c r="B32" s="2" t="s">
        <v>92</v>
      </c>
      <c r="C32" s="3" t="n">
        <v>23338405.58</v>
      </c>
      <c r="D32" s="4"/>
      <c r="E32" s="4"/>
      <c r="F32" s="4"/>
      <c r="G32" s="4" t="n">
        <v>450000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 t="n">
        <v>22888405.58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customFormat="false" ht="15" hidden="false" customHeight="false" outlineLevel="0" collapsed="false">
      <c r="A33" s="2" t="s">
        <v>93</v>
      </c>
      <c r="B33" s="2" t="s">
        <v>94</v>
      </c>
      <c r="C33" s="3" t="n">
        <v>620000</v>
      </c>
      <c r="D33" s="4"/>
      <c r="E33" s="4"/>
      <c r="F33" s="4"/>
      <c r="G33" s="4" t="n">
        <v>40000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 t="n">
        <v>580000</v>
      </c>
      <c r="AE33" s="4"/>
    </row>
    <row r="34" customFormat="false" ht="15" hidden="false" customHeight="false" outlineLevel="0" collapsed="false">
      <c r="A34" s="2" t="s">
        <v>95</v>
      </c>
      <c r="B34" s="2" t="s">
        <v>96</v>
      </c>
      <c r="C34" s="3" t="n">
        <v>40000</v>
      </c>
      <c r="D34" s="4"/>
      <c r="E34" s="4"/>
      <c r="F34" s="4"/>
      <c r="G34" s="4" t="n">
        <v>40000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customFormat="false" ht="15" hidden="false" customHeight="false" outlineLevel="0" collapsed="false">
      <c r="A35" s="2" t="s">
        <v>97</v>
      </c>
      <c r="B35" s="2" t="s">
        <v>98</v>
      </c>
      <c r="C35" s="3" t="n">
        <v>1300000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 t="n">
        <v>1300000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customFormat="false" ht="15" hidden="false" customHeight="false" outlineLevel="0" collapsed="false">
      <c r="A36" s="2" t="s">
        <v>99</v>
      </c>
      <c r="B36" s="2" t="s">
        <v>100</v>
      </c>
      <c r="C36" s="3" t="n">
        <v>11087760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 t="n">
        <v>2170000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 t="n">
        <v>5480000</v>
      </c>
      <c r="AE36" s="4" t="n">
        <v>3437760</v>
      </c>
    </row>
    <row r="37" customFormat="false" ht="15" hidden="false" customHeight="false" outlineLevel="0" collapsed="false">
      <c r="A37" s="2" t="s">
        <v>101</v>
      </c>
      <c r="B37" s="2" t="s">
        <v>102</v>
      </c>
      <c r="C37" s="3" t="n">
        <v>3349940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 t="n">
        <v>650000</v>
      </c>
      <c r="S37" s="4"/>
      <c r="T37" s="4"/>
      <c r="U37" s="4"/>
      <c r="V37" s="4" t="n">
        <v>1260000</v>
      </c>
      <c r="W37" s="4"/>
      <c r="X37" s="4"/>
      <c r="Y37" s="4" t="n">
        <v>100000</v>
      </c>
      <c r="Z37" s="4"/>
      <c r="AA37" s="4"/>
      <c r="AB37" s="4" t="n">
        <v>1339940</v>
      </c>
      <c r="AC37" s="4"/>
      <c r="AD37" s="4"/>
      <c r="AE37" s="4"/>
    </row>
    <row r="38" customFormat="false" ht="15" hidden="false" customHeight="false" outlineLevel="0" collapsed="false">
      <c r="A38" s="2" t="s">
        <v>103</v>
      </c>
      <c r="B38" s="2" t="s">
        <v>104</v>
      </c>
      <c r="C38" s="3" t="n">
        <v>6303818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 t="n">
        <v>6303818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customFormat="false" ht="15" hidden="false" customHeight="false" outlineLevel="0" collapsed="false">
      <c r="A39" s="2" t="s">
        <v>105</v>
      </c>
      <c r="B39" s="2" t="s">
        <v>106</v>
      </c>
      <c r="C39" s="3" t="n">
        <v>11044000</v>
      </c>
      <c r="D39" s="4"/>
      <c r="E39" s="4"/>
      <c r="F39" s="4"/>
      <c r="G39" s="4"/>
      <c r="H39" s="4"/>
      <c r="I39" s="4"/>
      <c r="J39" s="4" t="n">
        <v>1008000</v>
      </c>
      <c r="K39" s="4" t="n">
        <v>350000</v>
      </c>
      <c r="L39" s="4"/>
      <c r="M39" s="4"/>
      <c r="N39" s="4"/>
      <c r="O39" s="4" t="n">
        <v>7436000</v>
      </c>
      <c r="P39" s="4" t="n">
        <v>750000</v>
      </c>
      <c r="Q39" s="4"/>
      <c r="R39" s="4" t="n">
        <v>50000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 t="n">
        <v>1450000</v>
      </c>
      <c r="AD39" s="4"/>
      <c r="AE39" s="4"/>
    </row>
    <row r="40" customFormat="false" ht="15" hidden="false" customHeight="false" outlineLevel="0" collapsed="false">
      <c r="A40" s="2" t="s">
        <v>107</v>
      </c>
      <c r="B40" s="2" t="s">
        <v>108</v>
      </c>
      <c r="C40" s="3" t="n">
        <v>201000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 t="n">
        <v>201000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customFormat="false" ht="15" hidden="false" customHeight="false" outlineLevel="0" collapsed="false">
      <c r="A41" s="2" t="s">
        <v>109</v>
      </c>
      <c r="B41" s="2" t="s">
        <v>110</v>
      </c>
      <c r="C41" s="3" t="n">
        <v>42506488.99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 t="n">
        <v>2000000</v>
      </c>
      <c r="Q41" s="4" t="n">
        <v>4572550</v>
      </c>
      <c r="R41" s="4" t="n">
        <v>300000</v>
      </c>
      <c r="S41" s="4"/>
      <c r="T41" s="4"/>
      <c r="U41" s="4"/>
      <c r="V41" s="4"/>
      <c r="W41" s="4"/>
      <c r="X41" s="4"/>
      <c r="Y41" s="4"/>
      <c r="Z41" s="4"/>
      <c r="AA41" s="4"/>
      <c r="AB41" s="4" t="n">
        <v>22664550</v>
      </c>
      <c r="AC41" s="4"/>
      <c r="AD41" s="4"/>
      <c r="AE41" s="4" t="n">
        <v>12969388.99</v>
      </c>
    </row>
    <row r="42" customFormat="false" ht="15" hidden="false" customHeight="false" outlineLevel="0" collapsed="false">
      <c r="A42" s="2" t="s">
        <v>111</v>
      </c>
      <c r="B42" s="2" t="s">
        <v>112</v>
      </c>
      <c r="C42" s="3" t="n">
        <v>625200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 t="n">
        <v>625200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customFormat="false" ht="15" hidden="false" customHeight="false" outlineLevel="0" collapsed="false">
      <c r="A43" s="2" t="s">
        <v>113</v>
      </c>
      <c r="B43" s="2" t="s">
        <v>114</v>
      </c>
      <c r="C43" s="3" t="n">
        <v>11898236</v>
      </c>
      <c r="D43" s="4"/>
      <c r="E43" s="4"/>
      <c r="F43" s="4"/>
      <c r="G43" s="4" t="n">
        <v>300000</v>
      </c>
      <c r="H43" s="4"/>
      <c r="I43" s="4"/>
      <c r="J43" s="4" t="n">
        <v>10000</v>
      </c>
      <c r="K43" s="4" t="n">
        <v>118500</v>
      </c>
      <c r="L43" s="4"/>
      <c r="M43" s="4"/>
      <c r="N43" s="4" t="n">
        <v>200000</v>
      </c>
      <c r="O43" s="4"/>
      <c r="P43" s="4"/>
      <c r="Q43" s="4" t="n">
        <v>900000</v>
      </c>
      <c r="R43" s="4" t="n">
        <v>1100000</v>
      </c>
      <c r="S43" s="4"/>
      <c r="T43" s="4"/>
      <c r="U43" s="4"/>
      <c r="V43" s="4" t="n">
        <v>3088792</v>
      </c>
      <c r="W43" s="4" t="n">
        <v>1837404</v>
      </c>
      <c r="X43" s="4" t="n">
        <v>2040040</v>
      </c>
      <c r="Y43" s="4"/>
      <c r="Z43" s="4"/>
      <c r="AA43" s="4"/>
      <c r="AB43" s="4" t="n">
        <v>1553500</v>
      </c>
      <c r="AC43" s="4" t="n">
        <v>750000</v>
      </c>
      <c r="AD43" s="4"/>
      <c r="AE43" s="4"/>
    </row>
    <row r="44" customFormat="false" ht="15" hidden="false" customHeight="false" outlineLevel="0" collapsed="false">
      <c r="A44" s="2" t="s">
        <v>115</v>
      </c>
      <c r="B44" s="2" t="s">
        <v>116</v>
      </c>
      <c r="C44" s="3" t="n">
        <v>10764000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n">
        <v>9500000</v>
      </c>
      <c r="V44" s="4"/>
      <c r="W44" s="4"/>
      <c r="X44" s="4" t="n">
        <v>864000</v>
      </c>
      <c r="Y44" s="4"/>
      <c r="Z44" s="4"/>
      <c r="AA44" s="4"/>
      <c r="AB44" s="4" t="n">
        <v>400000</v>
      </c>
      <c r="AC44" s="4"/>
      <c r="AD44" s="4"/>
      <c r="AE44" s="4"/>
    </row>
    <row r="45" customFormat="false" ht="15" hidden="false" customHeight="false" outlineLevel="0" collapsed="false">
      <c r="A45" s="2" t="s">
        <v>117</v>
      </c>
      <c r="B45" s="2" t="s">
        <v>118</v>
      </c>
      <c r="C45" s="3" t="n">
        <v>37325500</v>
      </c>
      <c r="D45" s="4"/>
      <c r="E45" s="4"/>
      <c r="F45" s="4"/>
      <c r="G45" s="4" t="n">
        <v>5000000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 t="n">
        <v>31525500</v>
      </c>
      <c r="S45" s="4"/>
      <c r="T45" s="4"/>
      <c r="U45" s="4"/>
      <c r="V45" s="4"/>
      <c r="W45" s="4"/>
      <c r="X45" s="4"/>
      <c r="Y45" s="4"/>
      <c r="Z45" s="4" t="n">
        <v>800000</v>
      </c>
      <c r="AA45" s="4"/>
      <c r="AB45" s="4"/>
      <c r="AC45" s="4"/>
      <c r="AD45" s="4"/>
      <c r="AE45" s="4"/>
    </row>
    <row r="46" customFormat="false" ht="15" hidden="false" customHeight="false" outlineLevel="0" collapsed="false">
      <c r="A46" s="2" t="s">
        <v>119</v>
      </c>
      <c r="B46" s="2" t="s">
        <v>120</v>
      </c>
      <c r="C46" s="3" t="n">
        <v>4000000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 t="n">
        <v>4000000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customFormat="false" ht="15" hidden="false" customHeight="false" outlineLevel="0" collapsed="false">
      <c r="A47" s="2" t="s">
        <v>121</v>
      </c>
      <c r="B47" s="2" t="s">
        <v>122</v>
      </c>
      <c r="C47" s="3" t="n">
        <v>3960000</v>
      </c>
      <c r="D47" s="4"/>
      <c r="E47" s="4"/>
      <c r="F47" s="4"/>
      <c r="G47" s="4" t="n">
        <v>450000</v>
      </c>
      <c r="H47" s="4"/>
      <c r="I47" s="4" t="n">
        <v>350000</v>
      </c>
      <c r="J47" s="4"/>
      <c r="K47" s="4"/>
      <c r="L47" s="4"/>
      <c r="M47" s="4"/>
      <c r="N47" s="4"/>
      <c r="O47" s="4"/>
      <c r="P47" s="4"/>
      <c r="Q47" s="4"/>
      <c r="R47" s="4" t="n">
        <v>2720000</v>
      </c>
      <c r="S47" s="4"/>
      <c r="T47" s="4"/>
      <c r="U47" s="4"/>
      <c r="V47" s="4"/>
      <c r="W47" s="4"/>
      <c r="X47" s="4" t="n">
        <v>200000</v>
      </c>
      <c r="Y47" s="4" t="n">
        <v>240000</v>
      </c>
      <c r="Z47" s="4"/>
      <c r="AA47" s="4"/>
      <c r="AB47" s="4"/>
      <c r="AC47" s="4"/>
      <c r="AD47" s="4"/>
      <c r="AE47" s="4"/>
    </row>
    <row r="48" customFormat="false" ht="15" hidden="false" customHeight="false" outlineLevel="0" collapsed="false">
      <c r="A48" s="2" t="s">
        <v>123</v>
      </c>
      <c r="B48" s="2" t="s">
        <v>124</v>
      </c>
      <c r="C48" s="3" t="n">
        <v>546600</v>
      </c>
      <c r="D48" s="4"/>
      <c r="E48" s="4"/>
      <c r="F48" s="4"/>
      <c r="G48" s="4"/>
      <c r="H48" s="4"/>
      <c r="I48" s="4"/>
      <c r="J48" s="4" t="n">
        <v>500000</v>
      </c>
      <c r="K48" s="4"/>
      <c r="L48" s="4"/>
      <c r="M48" s="4"/>
      <c r="N48" s="4"/>
      <c r="O48" s="4"/>
      <c r="P48" s="4" t="n">
        <v>46600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customFormat="false" ht="15" hidden="false" customHeight="false" outlineLevel="0" collapsed="false">
      <c r="A49" s="2" t="s">
        <v>125</v>
      </c>
      <c r="B49" s="2" t="s">
        <v>126</v>
      </c>
      <c r="C49" s="3" t="n">
        <v>32405000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 t="n">
        <v>32405000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customFormat="false" ht="15" hidden="false" customHeight="false" outlineLevel="0" collapsed="false">
      <c r="A50" s="2" t="s">
        <v>127</v>
      </c>
      <c r="B50" s="2" t="s">
        <v>128</v>
      </c>
      <c r="C50" s="3" t="n">
        <v>27016000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 t="n">
        <v>4480000</v>
      </c>
      <c r="O50" s="4"/>
      <c r="P50" s="4"/>
      <c r="Q50" s="4" t="n">
        <v>21480000</v>
      </c>
      <c r="R50" s="4" t="n">
        <v>250000</v>
      </c>
      <c r="S50" s="4"/>
      <c r="T50" s="4"/>
      <c r="U50" s="4"/>
      <c r="V50" s="4"/>
      <c r="W50" s="4"/>
      <c r="X50" s="4"/>
      <c r="Y50" s="4"/>
      <c r="Z50" s="4"/>
      <c r="AA50" s="4"/>
      <c r="AB50" s="4" t="n">
        <v>806000</v>
      </c>
      <c r="AC50" s="4"/>
      <c r="AD50" s="4"/>
      <c r="AE50" s="4"/>
    </row>
    <row r="51" customFormat="false" ht="15" hidden="false" customHeight="false" outlineLevel="0" collapsed="false">
      <c r="A51" s="2" t="s">
        <v>129</v>
      </c>
      <c r="B51" s="2" t="s">
        <v>130</v>
      </c>
      <c r="C51" s="3" t="n">
        <v>75318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 t="n">
        <v>75318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customFormat="false" ht="15" hidden="false" customHeight="false" outlineLevel="0" collapsed="false">
      <c r="A52" s="2" t="s">
        <v>131</v>
      </c>
      <c r="B52" s="2" t="s">
        <v>132</v>
      </c>
      <c r="C52" s="3" t="n">
        <v>13343264.78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 t="n">
        <v>13343264.78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customFormat="false" ht="15" hidden="false" customHeight="false" outlineLevel="0" collapsed="false">
      <c r="A53" s="2" t="s">
        <v>133</v>
      </c>
      <c r="B53" s="2" t="s">
        <v>134</v>
      </c>
      <c r="C53" s="3" t="n">
        <v>2136257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 t="n">
        <v>2136257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customFormat="false" ht="15" hidden="false" customHeight="false" outlineLevel="0" collapsed="false">
      <c r="A54" s="2" t="s">
        <v>135</v>
      </c>
      <c r="B54" s="2" t="s">
        <v>136</v>
      </c>
      <c r="C54" s="3" t="n">
        <v>410000</v>
      </c>
      <c r="D54" s="4"/>
      <c r="E54" s="4"/>
      <c r="F54" s="4"/>
      <c r="G54" s="4" t="n">
        <v>400000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 t="n">
        <v>10000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customFormat="false" ht="15" hidden="false" customHeight="false" outlineLevel="0" collapsed="false">
      <c r="A55" s="2" t="s">
        <v>137</v>
      </c>
      <c r="B55" s="2" t="s">
        <v>138</v>
      </c>
      <c r="C55" s="3" t="n">
        <v>406863901.79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 t="n">
        <v>406863901.79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customFormat="false" ht="15" hidden="false" customHeight="false" outlineLevel="0" collapsed="false">
      <c r="A56" s="2" t="s">
        <v>139</v>
      </c>
      <c r="B56" s="2" t="s">
        <v>140</v>
      </c>
      <c r="C56" s="3" t="n">
        <v>213554515.02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 t="n">
        <v>213554515.02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customFormat="false" ht="15" hidden="false" customHeight="false" outlineLevel="0" collapsed="false">
      <c r="A57" s="2" t="s">
        <v>141</v>
      </c>
      <c r="B57" s="2" t="s">
        <v>142</v>
      </c>
      <c r="C57" s="3" t="n">
        <v>66581583.19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 t="n">
        <v>66581583.19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customFormat="false" ht="15" hidden="false" customHeight="false" outlineLevel="0" collapsed="false">
      <c r="A58" s="2" t="s">
        <v>143</v>
      </c>
      <c r="B58" s="2" t="s">
        <v>144</v>
      </c>
      <c r="C58" s="3" t="n">
        <v>20738878.18</v>
      </c>
      <c r="D58" s="4" t="n">
        <v>300000</v>
      </c>
      <c r="E58" s="4" t="n">
        <v>200000</v>
      </c>
      <c r="F58" s="4" t="n">
        <v>160000</v>
      </c>
      <c r="G58" s="4"/>
      <c r="H58" s="4"/>
      <c r="I58" s="4" t="n">
        <v>200000</v>
      </c>
      <c r="J58" s="4"/>
      <c r="K58" s="4" t="n">
        <v>340000</v>
      </c>
      <c r="L58" s="4"/>
      <c r="M58" s="4"/>
      <c r="N58" s="4"/>
      <c r="O58" s="4"/>
      <c r="P58" s="4"/>
      <c r="Q58" s="4"/>
      <c r="R58" s="4" t="n">
        <v>500000</v>
      </c>
      <c r="S58" s="4"/>
      <c r="T58" s="4" t="n">
        <v>17238878.18</v>
      </c>
      <c r="U58" s="4"/>
      <c r="V58" s="4"/>
      <c r="W58" s="4"/>
      <c r="X58" s="4" t="n">
        <v>1000000</v>
      </c>
      <c r="Y58" s="4" t="n">
        <v>300000</v>
      </c>
      <c r="Z58" s="4"/>
      <c r="AA58" s="4"/>
      <c r="AB58" s="4"/>
      <c r="AC58" s="4"/>
      <c r="AD58" s="4"/>
      <c r="AE58" s="4" t="n">
        <v>500000</v>
      </c>
    </row>
    <row r="59" customFormat="false" ht="15" hidden="false" customHeight="false" outlineLevel="0" collapsed="false">
      <c r="A59" s="6" t="s">
        <v>2</v>
      </c>
      <c r="B59" s="6"/>
      <c r="C59" s="7" t="n">
        <v>2239346317.13171</v>
      </c>
      <c r="D59" s="7" t="n">
        <v>5328800</v>
      </c>
      <c r="E59" s="7" t="n">
        <v>132612393.64</v>
      </c>
      <c r="F59" s="7" t="n">
        <v>336647617.5</v>
      </c>
      <c r="G59" s="7" t="n">
        <v>7000000</v>
      </c>
      <c r="H59" s="7" t="n">
        <v>11071874.08</v>
      </c>
      <c r="I59" s="7" t="n">
        <v>880000</v>
      </c>
      <c r="J59" s="7" t="n">
        <v>2138000</v>
      </c>
      <c r="K59" s="7" t="n">
        <v>808500</v>
      </c>
      <c r="L59" s="7" t="n">
        <v>271896</v>
      </c>
      <c r="M59" s="7" t="n">
        <v>42565340.5257143</v>
      </c>
      <c r="N59" s="7" t="n">
        <v>4680000</v>
      </c>
      <c r="O59" s="7" t="n">
        <v>7436000</v>
      </c>
      <c r="P59" s="7" t="n">
        <v>3097600</v>
      </c>
      <c r="Q59" s="7" t="n">
        <v>85587550</v>
      </c>
      <c r="R59" s="7" t="n">
        <v>205702781.36</v>
      </c>
      <c r="S59" s="7" t="n">
        <v>4836000</v>
      </c>
      <c r="T59" s="7" t="n">
        <v>704948878.18</v>
      </c>
      <c r="U59" s="7" t="n">
        <v>9500000</v>
      </c>
      <c r="V59" s="7" t="n">
        <v>85589114.456</v>
      </c>
      <c r="W59" s="7" t="n">
        <v>2800832.52</v>
      </c>
      <c r="X59" s="7" t="n">
        <v>22056774.09</v>
      </c>
      <c r="Y59" s="7" t="n">
        <v>30918951.84</v>
      </c>
      <c r="Z59" s="7" t="n">
        <v>2422030</v>
      </c>
      <c r="AA59" s="7" t="n">
        <v>284347179.59</v>
      </c>
      <c r="AB59" s="7" t="n">
        <v>35730510</v>
      </c>
      <c r="AC59" s="7" t="n">
        <v>4850000</v>
      </c>
      <c r="AD59" s="7" t="n">
        <v>42900000</v>
      </c>
      <c r="AE59" s="7" t="n">
        <v>162617693.35</v>
      </c>
    </row>
  </sheetData>
  <mergeCells count="1">
    <mergeCell ref="A59:B5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8.29"/>
    <col collapsed="false" customWidth="true" hidden="false" outlineLevel="0" max="2" min="2" style="0" width="50"/>
    <col collapsed="false" customWidth="true" hidden="false" outlineLevel="0" max="3" min="3" style="0" width="20.85"/>
    <col collapsed="false" customWidth="true" hidden="false" outlineLevel="0" max="4" min="4" style="0" width="17.42"/>
    <col collapsed="false" customWidth="true" hidden="false" outlineLevel="0" max="7" min="5" style="0" width="18"/>
    <col collapsed="false" customWidth="true" hidden="false" outlineLevel="0" max="8" min="8" style="0" width="17"/>
    <col collapsed="false" customWidth="true" hidden="false" outlineLevel="0" max="9" min="9" style="0" width="14.42"/>
    <col collapsed="false" customWidth="true" hidden="false" outlineLevel="0" max="10" min="10" style="0" width="15.85"/>
    <col collapsed="false" customWidth="true" hidden="false" outlineLevel="0" max="12" min="11" style="0" width="14.42"/>
    <col collapsed="false" customWidth="true" hidden="false" outlineLevel="0" max="13" min="13" style="0" width="17"/>
    <col collapsed="false" customWidth="true" hidden="false" outlineLevel="0" max="16" min="14" style="0" width="15.85"/>
    <col collapsed="false" customWidth="true" hidden="false" outlineLevel="0" max="17" min="17" style="0" width="17"/>
    <col collapsed="false" customWidth="true" hidden="false" outlineLevel="0" max="18" min="18" style="0" width="18"/>
    <col collapsed="false" customWidth="true" hidden="false" outlineLevel="0" max="19" min="19" style="0" width="15.85"/>
    <col collapsed="false" customWidth="true" hidden="false" outlineLevel="0" max="20" min="20" style="0" width="18"/>
    <col collapsed="false" customWidth="true" hidden="false" outlineLevel="0" max="21" min="21" style="0" width="15.85"/>
    <col collapsed="false" customWidth="true" hidden="false" outlineLevel="0" max="22" min="22" style="0" width="17"/>
    <col collapsed="false" customWidth="true" hidden="false" outlineLevel="0" max="23" min="23" style="0" width="15.85"/>
    <col collapsed="false" customWidth="true" hidden="false" outlineLevel="0" max="25" min="24" style="0" width="17"/>
    <col collapsed="false" customWidth="true" hidden="false" outlineLevel="0" max="26" min="26" style="0" width="21"/>
    <col collapsed="false" customWidth="true" hidden="false" outlineLevel="0" max="27" min="27" style="0" width="18"/>
    <col collapsed="false" customWidth="true" hidden="false" outlineLevel="0" max="28" min="28" style="0" width="17"/>
    <col collapsed="false" customWidth="true" hidden="false" outlineLevel="0" max="29" min="29" style="0" width="15.85"/>
    <col collapsed="false" customWidth="true" hidden="false" outlineLevel="0" max="30" min="30" style="0" width="17"/>
    <col collapsed="false" customWidth="true" hidden="false" outlineLevel="0" max="31" min="31" style="0" width="18"/>
    <col collapsed="false" customWidth="true" hidden="false" outlineLevel="0" max="33" min="33" style="0" width="14.14"/>
  </cols>
  <sheetData>
    <row r="1" customFormat="false" ht="15" hidden="false" customHeight="false" outlineLevel="0" collapsed="false">
      <c r="A1" s="8" t="s">
        <v>145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customFormat="false" ht="15" hidden="false" customHeight="false" outlineLevel="0" collapsed="false">
      <c r="A2" s="9" t="s">
        <v>31</v>
      </c>
      <c r="B2" s="9" t="str">
        <f aca="false">VLOOKUP(A2,'[1]Présentation Poste'!$A$1:$B$1048576,2,FALSE())</f>
        <v>Frais d'acquisition des immobilisations</v>
      </c>
      <c r="C2" s="10" t="n">
        <f aca="false">SUM(D2:AE2)</f>
        <v>1390000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 t="n">
        <v>520000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 t="n">
        <v>870000</v>
      </c>
    </row>
    <row r="3" customFormat="false" ht="15" hidden="false" customHeight="false" outlineLevel="0" collapsed="false">
      <c r="A3" s="9" t="s">
        <v>33</v>
      </c>
      <c r="B3" s="9" t="str">
        <f aca="false">VLOOKUP(A3,'[1]Présentation Poste'!$A$1:$B$1048576,2,FALSE())</f>
        <v>Prestations de service à immobiliser</v>
      </c>
      <c r="C3" s="10" t="n">
        <f aca="false">SUM(D3:AE3)</f>
        <v>2500000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 t="n">
        <v>500000</v>
      </c>
      <c r="AC3" s="11"/>
      <c r="AD3" s="11"/>
      <c r="AE3" s="11" t="n">
        <v>2000000</v>
      </c>
    </row>
    <row r="4" customFormat="false" ht="15" hidden="false" customHeight="false" outlineLevel="0" collapsed="false">
      <c r="A4" s="9" t="s">
        <v>35</v>
      </c>
      <c r="B4" s="9" t="str">
        <f aca="false">VLOOKUP(A4,'[1]Présentation Poste'!$A$1:$B$1048576,2,FALSE())</f>
        <v>Immobilisations incorporelles (logiciels, licences, etc.)</v>
      </c>
      <c r="C4" s="10" t="n">
        <f aca="false">SUM(D4:AE4)</f>
        <v>3850000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 t="n">
        <v>100000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 t="n">
        <v>1100000</v>
      </c>
      <c r="AC4" s="11" t="n">
        <v>2650000</v>
      </c>
      <c r="AD4" s="11"/>
      <c r="AE4" s="11"/>
    </row>
    <row r="5" customFormat="false" ht="15" hidden="false" customHeight="false" outlineLevel="0" collapsed="false">
      <c r="A5" s="9" t="s">
        <v>37</v>
      </c>
      <c r="B5" s="9" t="str">
        <f aca="false">VLOOKUP(A5,'[1]Présentation Poste'!$A$1:$B$1048576,2,FALSE())</f>
        <v>Terrains</v>
      </c>
      <c r="C5" s="10" t="n">
        <f aca="false">SUM(D5:AE5)</f>
        <v>500000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 t="n">
        <v>500000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customFormat="false" ht="15" hidden="false" customHeight="false" outlineLevel="0" collapsed="false">
      <c r="A6" s="9" t="s">
        <v>39</v>
      </c>
      <c r="B6" s="9" t="str">
        <f aca="false">VLOOKUP(A6,'[1]Présentation Poste'!$A$1:$B$1048576,2,FALSE())</f>
        <v>Agencements et aménagement constructions</v>
      </c>
      <c r="C6" s="10" t="n">
        <f aca="false">SUM(D6:AE6)</f>
        <v>33010000</v>
      </c>
      <c r="D6" s="11" t="n">
        <v>300000</v>
      </c>
      <c r="E6" s="11" t="n">
        <v>300000</v>
      </c>
      <c r="F6" s="11"/>
      <c r="G6" s="11"/>
      <c r="H6" s="11"/>
      <c r="I6" s="11"/>
      <c r="J6" s="11"/>
      <c r="K6" s="11"/>
      <c r="L6" s="11"/>
      <c r="M6" s="11" t="n">
        <v>1000000</v>
      </c>
      <c r="N6" s="11"/>
      <c r="O6" s="11"/>
      <c r="P6" s="11"/>
      <c r="Q6" s="11" t="n">
        <v>7900000</v>
      </c>
      <c r="R6" s="11" t="n">
        <v>12200000</v>
      </c>
      <c r="S6" s="11"/>
      <c r="T6" s="11"/>
      <c r="U6" s="11"/>
      <c r="V6" s="11"/>
      <c r="W6" s="11"/>
      <c r="X6" s="11" t="n">
        <v>1010000</v>
      </c>
      <c r="Y6" s="11" t="n">
        <v>300000</v>
      </c>
      <c r="Z6" s="11"/>
      <c r="AA6" s="11"/>
      <c r="AB6" s="11"/>
      <c r="AC6" s="11"/>
      <c r="AD6" s="11"/>
      <c r="AE6" s="11" t="n">
        <v>10000000</v>
      </c>
    </row>
    <row r="7" customFormat="false" ht="15" hidden="false" customHeight="false" outlineLevel="0" collapsed="false">
      <c r="A7" s="9" t="s">
        <v>41</v>
      </c>
      <c r="B7" s="9" t="str">
        <f aca="false">VLOOKUP(A7,'[1]Présentation Poste'!$A$1:$B$1048576,2,FALSE())</f>
        <v>Installations techniques</v>
      </c>
      <c r="C7" s="10" t="n">
        <f aca="false">SUM(D7:AE7)</f>
        <v>5860000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 t="n">
        <v>2000000</v>
      </c>
      <c r="R7" s="11"/>
      <c r="S7" s="11"/>
      <c r="T7" s="11"/>
      <c r="U7" s="11"/>
      <c r="V7" s="11" t="n">
        <v>360000</v>
      </c>
      <c r="W7" s="11"/>
      <c r="X7" s="11"/>
      <c r="Y7" s="11"/>
      <c r="Z7" s="11"/>
      <c r="AA7" s="11"/>
      <c r="AB7" s="11"/>
      <c r="AC7" s="11"/>
      <c r="AD7" s="11" t="n">
        <v>3500000</v>
      </c>
      <c r="AE7" s="11"/>
    </row>
    <row r="8" customFormat="false" ht="15" hidden="false" customHeight="false" outlineLevel="0" collapsed="false">
      <c r="A8" s="9" t="s">
        <v>43</v>
      </c>
      <c r="B8" s="9" t="str">
        <f aca="false">VLOOKUP(A8,'[1]Présentation Poste'!$A$1:$B$1048576,2,FALSE())</f>
        <v>Matériel et outillage </v>
      </c>
      <c r="C8" s="10" t="n">
        <f aca="false">SUM(D8:AE8)</f>
        <v>7520000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 t="n">
        <v>7520000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customFormat="false" ht="15" hidden="false" customHeight="false" outlineLevel="0" collapsed="false">
      <c r="A9" s="9" t="s">
        <v>45</v>
      </c>
      <c r="B9" s="9" t="str">
        <f aca="false">VLOOKUP(A9,'[1]Présentation Poste'!$A$1:$B$1048576,2,FALSE())</f>
        <v>Equipements de télédiffusion</v>
      </c>
      <c r="C9" s="10" t="n">
        <f aca="false">SUM(D9:AE9)</f>
        <v>8555000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 t="n">
        <f aca="false">11800000-3245000</f>
        <v>8555000</v>
      </c>
      <c r="AE9" s="11" t="n">
        <v>0</v>
      </c>
    </row>
    <row r="10" customFormat="false" ht="15" hidden="false" customHeight="false" outlineLevel="0" collapsed="false">
      <c r="A10" s="9" t="s">
        <v>47</v>
      </c>
      <c r="B10" s="9" t="str">
        <f aca="false">VLOOKUP(A10,'[1]Présentation Poste'!$A$1:$B$1048576,2,FALSE())</f>
        <v>Equipements techniques</v>
      </c>
      <c r="C10" s="10" t="n">
        <f aca="false">SUM(D10:AE10)</f>
        <v>26880000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 t="n">
        <f aca="false">42480000-15600000</f>
        <v>26880000</v>
      </c>
      <c r="W10" s="11"/>
      <c r="X10" s="11"/>
      <c r="Y10" s="11"/>
      <c r="Z10" s="11"/>
      <c r="AA10" s="11"/>
      <c r="AB10" s="11"/>
      <c r="AC10" s="11"/>
      <c r="AD10" s="11"/>
      <c r="AE10" s="11"/>
    </row>
    <row r="11" customFormat="false" ht="15" hidden="false" customHeight="false" outlineLevel="0" collapsed="false">
      <c r="A11" s="9" t="s">
        <v>49</v>
      </c>
      <c r="B11" s="9" t="str">
        <f aca="false">VLOOKUP(A11,'[1]Présentation Poste'!$A$1:$B$1048576,2,FALSE())</f>
        <v>Mobilier de bureau</v>
      </c>
      <c r="C11" s="10" t="n">
        <f aca="false">SUM(D11:AE11)</f>
        <v>2040000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 t="n">
        <v>2040000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customFormat="false" ht="15" hidden="false" customHeight="false" outlineLevel="0" collapsed="false">
      <c r="A12" s="9" t="s">
        <v>51</v>
      </c>
      <c r="B12" s="9" t="str">
        <f aca="false">VLOOKUP(A12,'[1]Présentation Poste'!$A$1:$B$1048576,2,FALSE())</f>
        <v>Matériel de bureau</v>
      </c>
      <c r="C12" s="10" t="n">
        <f aca="false">SUM(D12:AE12)</f>
        <v>1000000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 t="n">
        <v>1000000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G12" s="12"/>
    </row>
    <row r="13" customFormat="false" ht="15" hidden="false" customHeight="false" outlineLevel="0" collapsed="false">
      <c r="A13" s="9" t="s">
        <v>53</v>
      </c>
      <c r="B13" s="9" t="str">
        <f aca="false">VLOOKUP(A13,'[1]Présentation Poste'!$A$1:$B$1048576,2,FALSE())</f>
        <v>Matériel informatiques</v>
      </c>
      <c r="C13" s="10" t="n">
        <f aca="false">SUM(D13:AE13)</f>
        <v>27802795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 t="n">
        <v>27802795</v>
      </c>
      <c r="W13" s="11"/>
      <c r="X13" s="11"/>
      <c r="Y13" s="11"/>
      <c r="Z13" s="11"/>
      <c r="AA13" s="11"/>
      <c r="AB13" s="11"/>
      <c r="AC13" s="11"/>
      <c r="AD13" s="11"/>
      <c r="AE13" s="11"/>
    </row>
    <row r="14" customFormat="false" ht="15" hidden="false" customHeight="false" outlineLevel="0" collapsed="false">
      <c r="A14" s="9" t="s">
        <v>55</v>
      </c>
      <c r="B14" s="9" t="str">
        <f aca="false">VLOOKUP(A14,'[1]Présentation Poste'!$A$1:$B$1048576,2,FALSE())</f>
        <v>Autres Matériel et mobilier de bureau</v>
      </c>
      <c r="C14" s="10" t="n">
        <f aca="false">SUM(D14:AE14)</f>
        <v>400000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 t="n">
        <v>280000</v>
      </c>
      <c r="S14" s="11"/>
      <c r="T14" s="11"/>
      <c r="U14" s="11"/>
      <c r="V14" s="11"/>
      <c r="W14" s="11"/>
      <c r="X14" s="11"/>
      <c r="Y14" s="11" t="n">
        <v>120000</v>
      </c>
      <c r="Z14" s="11"/>
      <c r="AA14" s="11"/>
      <c r="AB14" s="11"/>
      <c r="AC14" s="11"/>
      <c r="AD14" s="11"/>
      <c r="AE14" s="11"/>
    </row>
    <row r="15" customFormat="false" ht="15" hidden="false" customHeight="false" outlineLevel="0" collapsed="false">
      <c r="A15" s="9" t="s">
        <v>146</v>
      </c>
      <c r="B15" s="9" t="str">
        <f aca="false">VLOOKUP(A15,'[1]Présentation Poste'!$A$1:$B$1048576,2,FALSE())</f>
        <v>Achats de productions et de programmes</v>
      </c>
      <c r="C15" s="10" t="n">
        <f aca="false">SUM(D15:AE15)</f>
        <v>472754699.495714</v>
      </c>
      <c r="D15" s="11" t="n">
        <v>2800000</v>
      </c>
      <c r="E15" s="11" t="n">
        <v>125236222.4</v>
      </c>
      <c r="F15" s="11"/>
      <c r="G15" s="11"/>
      <c r="H15" s="11" t="n">
        <v>8334674.08</v>
      </c>
      <c r="I15" s="11"/>
      <c r="J15" s="11"/>
      <c r="K15" s="11"/>
      <c r="L15" s="11"/>
      <c r="M15" s="11" t="n">
        <v>19693156.5257143</v>
      </c>
      <c r="N15" s="11"/>
      <c r="O15" s="11"/>
      <c r="P15" s="11"/>
      <c r="Q15" s="11" t="n">
        <v>2000000</v>
      </c>
      <c r="R15" s="11"/>
      <c r="S15" s="11"/>
      <c r="T15" s="11"/>
      <c r="U15" s="11"/>
      <c r="V15" s="11"/>
      <c r="W15" s="11"/>
      <c r="X15" s="11"/>
      <c r="Y15" s="11" t="n">
        <v>28721436.9</v>
      </c>
      <c r="Z15" s="11" t="n">
        <v>1622030</v>
      </c>
      <c r="AA15" s="11" t="n">
        <v>284347179.59</v>
      </c>
      <c r="AB15" s="11"/>
      <c r="AC15" s="11"/>
      <c r="AD15" s="11"/>
      <c r="AE15" s="11"/>
    </row>
    <row r="16" customFormat="false" ht="15" hidden="false" customHeight="false" outlineLevel="0" collapsed="false">
      <c r="A16" s="9" t="s">
        <v>147</v>
      </c>
      <c r="B16" s="9" t="str">
        <f aca="false">VLOOKUP(A16,'[1]Présentation Poste'!$A$1:$B$1048576,2,FALSE())</f>
        <v>Achats de droits</v>
      </c>
      <c r="C16" s="10" t="n">
        <f aca="false">SUM(D16:AE16)</f>
        <v>347157801.5</v>
      </c>
      <c r="D16" s="11"/>
      <c r="E16" s="11"/>
      <c r="F16" s="11" t="n">
        <v>325435617.5</v>
      </c>
      <c r="G16" s="11"/>
      <c r="H16" s="11"/>
      <c r="I16" s="11"/>
      <c r="J16" s="11"/>
      <c r="K16" s="11"/>
      <c r="L16" s="11"/>
      <c r="M16" s="11" t="n">
        <v>21722184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customFormat="false" ht="15" hidden="false" customHeight="false" outlineLevel="0" collapsed="false">
      <c r="A17" s="9" t="s">
        <v>148</v>
      </c>
      <c r="B17" s="9" t="str">
        <f aca="false">VLOOKUP(A17,'[1]Présentation Poste'!$A$1:$B$1048576,2,FALSE())</f>
        <v>Achats de matières et fournitures consommables</v>
      </c>
      <c r="C17" s="10" t="n">
        <f aca="false">SUM(D17:AE17)</f>
        <v>21460000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 t="n">
        <v>1530000</v>
      </c>
      <c r="S17" s="11"/>
      <c r="T17" s="11"/>
      <c r="U17" s="11"/>
      <c r="V17" s="11" t="n">
        <v>660000</v>
      </c>
      <c r="W17" s="11"/>
      <c r="X17" s="11"/>
      <c r="Y17" s="11" t="n">
        <v>70000</v>
      </c>
      <c r="Z17" s="11"/>
      <c r="AA17" s="11"/>
      <c r="AB17" s="11"/>
      <c r="AC17" s="11"/>
      <c r="AD17" s="11" t="n">
        <v>19200000</v>
      </c>
      <c r="AE17" s="11"/>
    </row>
    <row r="18" customFormat="false" ht="15" hidden="false" customHeight="false" outlineLevel="0" collapsed="false">
      <c r="A18" s="9" t="s">
        <v>149</v>
      </c>
      <c r="B18" s="9" t="str">
        <f aca="false">VLOOKUP(A18,'[1]Présentation Poste'!$A$1:$B$1048576,2,FALSE())</f>
        <v>Achats non stockés de matières et fournitures </v>
      </c>
      <c r="C18" s="10" t="n">
        <f aca="false">SUM(D18:AE18)</f>
        <v>14740100</v>
      </c>
      <c r="D18" s="11" t="n">
        <v>150000</v>
      </c>
      <c r="E18" s="11" t="n">
        <v>200000</v>
      </c>
      <c r="F18" s="11" t="n">
        <v>280000</v>
      </c>
      <c r="G18" s="11" t="n">
        <v>310000</v>
      </c>
      <c r="H18" s="11" t="n">
        <v>90000</v>
      </c>
      <c r="I18" s="11" t="n">
        <v>270000</v>
      </c>
      <c r="J18" s="11"/>
      <c r="K18" s="11"/>
      <c r="L18" s="11"/>
      <c r="M18" s="11" t="n">
        <v>150000</v>
      </c>
      <c r="N18" s="11"/>
      <c r="O18" s="11"/>
      <c r="P18" s="11"/>
      <c r="Q18" s="11"/>
      <c r="R18" s="11" t="n">
        <v>11080100</v>
      </c>
      <c r="S18" s="11"/>
      <c r="T18" s="11"/>
      <c r="U18" s="11"/>
      <c r="V18" s="11" t="n">
        <v>120000</v>
      </c>
      <c r="W18" s="11"/>
      <c r="X18" s="11" t="n">
        <v>300000</v>
      </c>
      <c r="Y18" s="11" t="n">
        <v>140000</v>
      </c>
      <c r="Z18" s="11"/>
      <c r="AA18" s="11"/>
      <c r="AB18" s="11" t="n">
        <v>150000</v>
      </c>
      <c r="AC18" s="11"/>
      <c r="AD18" s="11" t="n">
        <v>1500000</v>
      </c>
      <c r="AE18" s="11"/>
    </row>
    <row r="19" customFormat="false" ht="15" hidden="false" customHeight="false" outlineLevel="0" collapsed="false">
      <c r="A19" s="9" t="s">
        <v>150</v>
      </c>
      <c r="B19" s="9" t="str">
        <f aca="false">VLOOKUP(A19,'[1]Présentation Poste'!$A$1:$B$1048576,2,FALSE())</f>
        <v>Prestations de service</v>
      </c>
      <c r="C19" s="10" t="n">
        <f aca="false">SUM(D19:AE19)</f>
        <v>138611616.246</v>
      </c>
      <c r="D19" s="11" t="n">
        <v>1778800</v>
      </c>
      <c r="E19" s="11" t="n">
        <v>5976171.24</v>
      </c>
      <c r="F19" s="11" t="n">
        <v>10772000</v>
      </c>
      <c r="G19" s="11" t="n">
        <v>10000</v>
      </c>
      <c r="H19" s="11" t="n">
        <v>2647200</v>
      </c>
      <c r="I19" s="11" t="n">
        <v>60000</v>
      </c>
      <c r="J19" s="11" t="n">
        <v>620000</v>
      </c>
      <c r="K19" s="11"/>
      <c r="L19" s="11" t="n">
        <v>271896</v>
      </c>
      <c r="M19" s="11"/>
      <c r="N19" s="11"/>
      <c r="O19" s="11"/>
      <c r="P19" s="11"/>
      <c r="Q19" s="11" t="n">
        <v>14330000</v>
      </c>
      <c r="R19" s="11" t="n">
        <v>57787224</v>
      </c>
      <c r="S19" s="11" t="n">
        <v>4836000</v>
      </c>
      <c r="T19" s="11" t="n">
        <v>710000</v>
      </c>
      <c r="U19" s="11"/>
      <c r="V19" s="11" t="n">
        <v>9817527.456</v>
      </c>
      <c r="W19" s="11" t="n">
        <v>963428.52</v>
      </c>
      <c r="X19" s="11" t="n">
        <v>16642734.09</v>
      </c>
      <c r="Y19" s="11" t="n">
        <v>927514.94</v>
      </c>
      <c r="Z19" s="11"/>
      <c r="AA19" s="11"/>
      <c r="AB19" s="11" t="n">
        <v>7216520</v>
      </c>
      <c r="AC19" s="11"/>
      <c r="AD19" s="11" t="n">
        <v>840000</v>
      </c>
      <c r="AE19" s="11" t="n">
        <v>2404600</v>
      </c>
    </row>
    <row r="20" customFormat="false" ht="15" hidden="false" customHeight="false" outlineLevel="0" collapsed="false">
      <c r="A20" s="9" t="s">
        <v>151</v>
      </c>
      <c r="B20" s="9" t="str">
        <f aca="false">VLOOKUP(A20,'[1]Présentation Poste'!$A$1:$B$1048576,2,FALSE())</f>
        <v>Redevances satellitaires</v>
      </c>
      <c r="C20" s="10" t="n">
        <f aca="false">SUM(D20:AE20)</f>
        <v>92680944.36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 t="n">
        <v>92680944.36</v>
      </c>
    </row>
    <row r="21" customFormat="false" ht="15" hidden="false" customHeight="false" outlineLevel="0" collapsed="false">
      <c r="A21" s="9" t="s">
        <v>152</v>
      </c>
      <c r="B21" s="9" t="str">
        <f aca="false">VLOOKUP(A21,'[1]Présentation Poste'!$A$1:$B$1048576,2,FALSE())</f>
        <v>Locations</v>
      </c>
      <c r="C21" s="10" t="n">
        <f aca="false">SUM(D21:AE21)</f>
        <v>45336099.58</v>
      </c>
      <c r="D21" s="11"/>
      <c r="E21" s="11" t="n">
        <v>700000</v>
      </c>
      <c r="F21" s="11"/>
      <c r="G21" s="11" t="n">
        <v>450000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 t="n">
        <v>44186099.58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customFormat="false" ht="15" hidden="false" customHeight="false" outlineLevel="0" collapsed="false">
      <c r="A22" s="9" t="s">
        <v>153</v>
      </c>
      <c r="B22" s="9" t="str">
        <f aca="false">VLOOKUP(A22,'[1]Présentation Poste'!$A$1:$B$1048576,2,FALSE())</f>
        <v>Entretien, réparation et assurance</v>
      </c>
      <c r="C22" s="10" t="n">
        <f aca="false">SUM(D22:AE22)</f>
        <v>22701518</v>
      </c>
      <c r="D22" s="11"/>
      <c r="E22" s="11"/>
      <c r="F22" s="11"/>
      <c r="G22" s="11" t="n">
        <v>80000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 t="n">
        <v>10423818</v>
      </c>
      <c r="S22" s="11"/>
      <c r="T22" s="11"/>
      <c r="U22" s="11"/>
      <c r="V22" s="11" t="n">
        <v>1260000</v>
      </c>
      <c r="W22" s="11"/>
      <c r="X22" s="11"/>
      <c r="Y22" s="11" t="n">
        <v>100000</v>
      </c>
      <c r="Z22" s="11"/>
      <c r="AA22" s="11"/>
      <c r="AB22" s="11" t="n">
        <v>1339940</v>
      </c>
      <c r="AC22" s="11"/>
      <c r="AD22" s="11" t="n">
        <v>6060000</v>
      </c>
      <c r="AE22" s="11" t="n">
        <v>3437760</v>
      </c>
    </row>
    <row r="23" customFormat="false" ht="15" hidden="false" customHeight="false" outlineLevel="0" collapsed="false">
      <c r="A23" s="9" t="s">
        <v>154</v>
      </c>
      <c r="B23" s="9" t="str">
        <f aca="false">VLOOKUP(A23,'[1]Présentation Poste'!$A$1:$B$1048576,2,FALSE())</f>
        <v>Honoraires et rémunération du personnel occasionnel</v>
      </c>
      <c r="C23" s="10" t="n">
        <f aca="false">SUM(D23:AE23)</f>
        <v>11245000</v>
      </c>
      <c r="D23" s="11"/>
      <c r="E23" s="11"/>
      <c r="F23" s="11"/>
      <c r="G23" s="11"/>
      <c r="H23" s="11"/>
      <c r="I23" s="11"/>
      <c r="J23" s="11" t="n">
        <v>1008000</v>
      </c>
      <c r="K23" s="11" t="n">
        <v>350000</v>
      </c>
      <c r="L23" s="11"/>
      <c r="M23" s="11"/>
      <c r="N23" s="11"/>
      <c r="O23" s="12" t="n">
        <v>7436000</v>
      </c>
      <c r="P23" s="11" t="n">
        <v>951000</v>
      </c>
      <c r="Q23" s="11"/>
      <c r="R23" s="11" t="n">
        <v>50000</v>
      </c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 t="n">
        <v>1450000</v>
      </c>
      <c r="AD23" s="11"/>
      <c r="AE23" s="11"/>
    </row>
    <row r="24" customFormat="false" ht="15" hidden="false" customHeight="false" outlineLevel="0" collapsed="false">
      <c r="A24" s="9" t="s">
        <v>155</v>
      </c>
      <c r="B24" s="9" t="str">
        <f aca="false">VLOOKUP(A24,'[1]Présentation Poste'!$A$1:$B$1048576,2,FALSE())</f>
        <v>Redevances et cotisations</v>
      </c>
      <c r="C24" s="10" t="n">
        <f aca="false">SUM(D24:AE24)</f>
        <v>65793924.99</v>
      </c>
      <c r="D24" s="11"/>
      <c r="E24" s="11"/>
      <c r="F24" s="11"/>
      <c r="G24" s="11" t="n">
        <v>300000</v>
      </c>
      <c r="H24" s="11"/>
      <c r="I24" s="11"/>
      <c r="J24" s="11" t="n">
        <v>10000</v>
      </c>
      <c r="K24" s="11" t="n">
        <v>118500</v>
      </c>
      <c r="L24" s="11"/>
      <c r="M24" s="11"/>
      <c r="N24" s="11" t="n">
        <v>200000</v>
      </c>
      <c r="O24" s="11"/>
      <c r="P24" s="11" t="n">
        <v>2000000</v>
      </c>
      <c r="Q24" s="11" t="n">
        <v>5472550</v>
      </c>
      <c r="R24" s="11" t="n">
        <v>2025200</v>
      </c>
      <c r="S24" s="11"/>
      <c r="T24" s="11"/>
      <c r="U24" s="11" t="n">
        <v>9500000</v>
      </c>
      <c r="V24" s="11" t="n">
        <v>3088792</v>
      </c>
      <c r="W24" s="11" t="n">
        <v>1837404</v>
      </c>
      <c r="X24" s="11" t="n">
        <v>2904040</v>
      </c>
      <c r="Y24" s="11"/>
      <c r="Z24" s="11"/>
      <c r="AA24" s="11"/>
      <c r="AB24" s="11" t="n">
        <v>24618050</v>
      </c>
      <c r="AC24" s="11" t="n">
        <v>750000</v>
      </c>
      <c r="AD24" s="11"/>
      <c r="AE24" s="11" t="n">
        <v>12969388.99</v>
      </c>
    </row>
    <row r="25" customFormat="false" ht="15" hidden="false" customHeight="false" outlineLevel="0" collapsed="false">
      <c r="A25" s="9" t="s">
        <v>156</v>
      </c>
      <c r="B25" s="9" t="str">
        <f aca="false">VLOOKUP(A25,'[1]Présentation Poste'!$A$1:$B$1048576,2,FALSE())</f>
        <v>Déplacements, missions et réceptions</v>
      </c>
      <c r="C25" s="10" t="n">
        <f aca="false">SUM(D25:AE25)</f>
        <v>45285500</v>
      </c>
      <c r="D25" s="11"/>
      <c r="E25" s="11"/>
      <c r="F25" s="11"/>
      <c r="G25" s="11" t="n">
        <v>5450000</v>
      </c>
      <c r="H25" s="11"/>
      <c r="I25" s="11" t="n">
        <v>350000</v>
      </c>
      <c r="J25" s="11"/>
      <c r="K25" s="11"/>
      <c r="L25" s="11"/>
      <c r="M25" s="11"/>
      <c r="N25" s="11"/>
      <c r="O25" s="11"/>
      <c r="P25" s="11"/>
      <c r="Q25" s="11"/>
      <c r="R25" s="11" t="n">
        <v>38245500</v>
      </c>
      <c r="S25" s="11"/>
      <c r="T25" s="11"/>
      <c r="U25" s="11"/>
      <c r="V25" s="11"/>
      <c r="W25" s="11"/>
      <c r="X25" s="11" t="n">
        <v>200000</v>
      </c>
      <c r="Y25" s="11" t="n">
        <v>240000</v>
      </c>
      <c r="Z25" s="11" t="n">
        <v>800000</v>
      </c>
      <c r="AA25" s="11"/>
      <c r="AB25" s="11"/>
      <c r="AC25" s="11"/>
      <c r="AD25" s="11"/>
      <c r="AE25" s="11"/>
    </row>
    <row r="26" customFormat="false" ht="15" hidden="false" customHeight="false" outlineLevel="0" collapsed="false">
      <c r="A26" s="9" t="s">
        <v>157</v>
      </c>
      <c r="B26" s="9" t="str">
        <f aca="false">VLOOKUP(A26,'[1]Présentation Poste'!$A$1:$B$1048576,2,FALSE())</f>
        <v>Charges marketing et relations publiques</v>
      </c>
      <c r="C26" s="10" t="n">
        <f aca="false">SUM(D26:AE26)</f>
        <v>59967600</v>
      </c>
      <c r="D26" s="11"/>
      <c r="E26" s="11"/>
      <c r="F26" s="11"/>
      <c r="G26" s="11"/>
      <c r="H26" s="11"/>
      <c r="I26" s="11"/>
      <c r="J26" s="11" t="n">
        <v>500000</v>
      </c>
      <c r="K26" s="11"/>
      <c r="L26" s="11"/>
      <c r="M26" s="11"/>
      <c r="N26" s="11" t="n">
        <v>4480000</v>
      </c>
      <c r="O26" s="11"/>
      <c r="P26" s="11" t="n">
        <v>46600</v>
      </c>
      <c r="Q26" s="11" t="n">
        <v>53885000</v>
      </c>
      <c r="R26" s="11" t="n">
        <v>250000</v>
      </c>
      <c r="S26" s="11"/>
      <c r="T26" s="11"/>
      <c r="U26" s="11"/>
      <c r="V26" s="11"/>
      <c r="W26" s="11"/>
      <c r="X26" s="11"/>
      <c r="Y26" s="11"/>
      <c r="Z26" s="11"/>
      <c r="AA26" s="11"/>
      <c r="AB26" s="11" t="n">
        <v>806000</v>
      </c>
      <c r="AC26" s="11"/>
      <c r="AD26" s="11"/>
      <c r="AE26" s="11"/>
    </row>
    <row r="27" customFormat="false" ht="15" hidden="false" customHeight="false" outlineLevel="0" collapsed="false">
      <c r="A27" s="9" t="s">
        <v>158</v>
      </c>
      <c r="B27" s="9" t="str">
        <f aca="false">VLOOKUP(A27,'[1]Présentation Poste'!$A$1:$B$1048576,2,FALSE())</f>
        <v>Autres charges de fonctionnement</v>
      </c>
      <c r="C27" s="10" t="n">
        <f aca="false">SUM(D27:AE27)</f>
        <v>15964839.78</v>
      </c>
      <c r="D27" s="11"/>
      <c r="E27" s="11"/>
      <c r="F27" s="11"/>
      <c r="G27" s="11" t="n">
        <v>400000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 t="n">
        <v>15564839.78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customFormat="false" ht="15" hidden="false" customHeight="false" outlineLevel="0" collapsed="false">
      <c r="A28" s="9" t="s">
        <v>159</v>
      </c>
      <c r="B28" s="9" t="str">
        <f aca="false">VLOOKUP(A28,'[1]Présentation Poste'!$A$1:$B$1048576,2,FALSE())</f>
        <v>Charges du personnel</v>
      </c>
      <c r="C28" s="10" t="n">
        <f aca="false">SUM(D28:AE28)</f>
        <v>611518416.81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 t="n">
        <v>611518416.81</v>
      </c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customFormat="false" ht="15" hidden="false" customHeight="false" outlineLevel="0" collapsed="false">
      <c r="A29" s="9" t="s">
        <v>141</v>
      </c>
      <c r="B29" s="9" t="str">
        <f aca="false">VLOOKUP(A29,'[1]Présentation Poste'!$A$1:$B$1048576,2,FALSE())</f>
        <v>Charges sociales</v>
      </c>
      <c r="C29" s="10" t="n">
        <f aca="false">SUM(D29:AE29)</f>
        <v>65481583.19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 t="n">
        <v>65481583.19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customFormat="false" ht="15" hidden="false" customHeight="false" outlineLevel="0" collapsed="false">
      <c r="A30" s="9" t="s">
        <v>143</v>
      </c>
      <c r="B30" s="9" t="str">
        <f aca="false">VLOOKUP(A30,'[1]Présentation Poste'!$A$1:$B$1048576,2,FALSE())</f>
        <v>Charges sociales diverses</v>
      </c>
      <c r="C30" s="10" t="n">
        <f aca="false">SUM(D30:AE30)</f>
        <v>20738878.18</v>
      </c>
      <c r="D30" s="11" t="n">
        <v>300000</v>
      </c>
      <c r="E30" s="11" t="n">
        <v>200000</v>
      </c>
      <c r="F30" s="11" t="n">
        <v>160000</v>
      </c>
      <c r="G30" s="11"/>
      <c r="H30" s="11"/>
      <c r="I30" s="11" t="n">
        <v>200000</v>
      </c>
      <c r="J30" s="11"/>
      <c r="K30" s="11" t="n">
        <v>340000</v>
      </c>
      <c r="L30" s="11"/>
      <c r="M30" s="11"/>
      <c r="N30" s="11"/>
      <c r="O30" s="11"/>
      <c r="P30" s="11"/>
      <c r="Q30" s="11"/>
      <c r="R30" s="11" t="n">
        <v>500000</v>
      </c>
      <c r="S30" s="11"/>
      <c r="T30" s="11" t="n">
        <v>17238878.18</v>
      </c>
      <c r="U30" s="11"/>
      <c r="V30" s="11"/>
      <c r="W30" s="11"/>
      <c r="X30" s="11" t="n">
        <v>1000000</v>
      </c>
      <c r="Y30" s="11" t="n">
        <v>300000</v>
      </c>
      <c r="Z30" s="11"/>
      <c r="AA30" s="11"/>
      <c r="AB30" s="11"/>
      <c r="AC30" s="11"/>
      <c r="AD30" s="11"/>
      <c r="AE30" s="11" t="n">
        <v>500000</v>
      </c>
    </row>
    <row r="31" customFormat="false" ht="15" hidden="false" customHeight="false" outlineLevel="0" collapsed="false">
      <c r="A31" s="13" t="s">
        <v>2</v>
      </c>
      <c r="B31" s="13"/>
      <c r="C31" s="14" t="n">
        <f aca="false">SUM(C2:C30)</f>
        <v>2172746317.13171</v>
      </c>
      <c r="D31" s="14" t="n">
        <f aca="false">SUM(D2:D30)</f>
        <v>5328800</v>
      </c>
      <c r="E31" s="14" t="n">
        <f aca="false">SUM(E2:E30)</f>
        <v>132612393.64</v>
      </c>
      <c r="F31" s="14" t="n">
        <f aca="false">SUM(F2:F30)</f>
        <v>336647617.5</v>
      </c>
      <c r="G31" s="14" t="n">
        <f aca="false">SUM(G2:G30)</f>
        <v>7000000</v>
      </c>
      <c r="H31" s="14" t="n">
        <f aca="false">SUM(H2:H30)</f>
        <v>11071874.08</v>
      </c>
      <c r="I31" s="14" t="n">
        <f aca="false">SUM(I2:I30)</f>
        <v>880000</v>
      </c>
      <c r="J31" s="14" t="n">
        <f aca="false">SUM(J2:J30)</f>
        <v>2138000</v>
      </c>
      <c r="K31" s="14" t="n">
        <f aca="false">SUM(K2:K30)</f>
        <v>808500</v>
      </c>
      <c r="L31" s="14" t="n">
        <f aca="false">SUM(L2:L30)</f>
        <v>271896</v>
      </c>
      <c r="M31" s="14" t="n">
        <f aca="false">SUM(M2:M30)</f>
        <v>42565340.5257143</v>
      </c>
      <c r="N31" s="14" t="n">
        <f aca="false">SUM(N2:N30)</f>
        <v>4680000</v>
      </c>
      <c r="O31" s="14" t="n">
        <f aca="false">SUM(O2:O30)</f>
        <v>7436000</v>
      </c>
      <c r="P31" s="14" t="n">
        <f aca="false">SUM(P2:P30)</f>
        <v>3097600</v>
      </c>
      <c r="Q31" s="14" t="n">
        <f aca="false">SUM(Q2:Q30)</f>
        <v>85587550</v>
      </c>
      <c r="R31" s="14" t="n">
        <f aca="false">SUM(R2:R30)</f>
        <v>205702781.36</v>
      </c>
      <c r="S31" s="14" t="n">
        <f aca="false">SUM(S2:S30)</f>
        <v>4836000</v>
      </c>
      <c r="T31" s="14" t="n">
        <f aca="false">SUM(T2:T30)</f>
        <v>694948878.18</v>
      </c>
      <c r="U31" s="14" t="n">
        <f aca="false">SUM(U2:U30)</f>
        <v>9500000</v>
      </c>
      <c r="V31" s="14" t="n">
        <f aca="false">SUM(V2:V30)</f>
        <v>69989114.456</v>
      </c>
      <c r="W31" s="14" t="n">
        <f aca="false">SUM(W2:W30)</f>
        <v>2800832.52</v>
      </c>
      <c r="X31" s="14" t="n">
        <f aca="false">SUM(X2:X30)</f>
        <v>22056774.09</v>
      </c>
      <c r="Y31" s="14" t="n">
        <f aca="false">SUM(Y2:Y30)</f>
        <v>30918951.84</v>
      </c>
      <c r="Z31" s="14" t="n">
        <f aca="false">SUM(Z2:Z30)</f>
        <v>2422030</v>
      </c>
      <c r="AA31" s="14" t="n">
        <f aca="false">SUM(AA2:AA30)</f>
        <v>284347179.59</v>
      </c>
      <c r="AB31" s="14" t="n">
        <f aca="false">SUM(AB2:AB30)</f>
        <v>35730510</v>
      </c>
      <c r="AC31" s="14" t="n">
        <f aca="false">SUM(AC2:AC30)</f>
        <v>4850000</v>
      </c>
      <c r="AD31" s="14" t="n">
        <f aca="false">SUM(AD2:AD30)</f>
        <v>39655000</v>
      </c>
      <c r="AE31" s="14" t="n">
        <f aca="false">SUM(AE2:AE30)</f>
        <v>124862693.35</v>
      </c>
    </row>
    <row r="32" customFormat="false" ht="15" hidden="false" customHeight="false" outlineLevel="0" collapsed="false">
      <c r="C32" s="12"/>
      <c r="N32" s="12"/>
      <c r="O32" s="12"/>
    </row>
    <row r="33" customFormat="false" ht="15" hidden="false" customHeight="false" outlineLevel="0" collapsed="false">
      <c r="C33" s="12"/>
      <c r="F33" s="12"/>
      <c r="V33" s="12"/>
    </row>
    <row r="34" customFormat="false" ht="15" hidden="false" customHeight="false" outlineLevel="0" collapsed="false">
      <c r="C34" s="15"/>
    </row>
    <row r="35" customFormat="false" ht="15" hidden="false" customHeight="false" outlineLevel="0" collapsed="false">
      <c r="C35" s="16"/>
    </row>
  </sheetData>
  <autoFilter ref="A1:AE31"/>
  <mergeCells count="1">
    <mergeCell ref="A31:B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19.86"/>
    <col collapsed="false" customWidth="true" hidden="false" outlineLevel="0" max="3" min="3" style="0" width="18.29"/>
    <col collapsed="false" customWidth="true" hidden="false" outlineLevel="0" max="4" min="4" style="0" width="19.86"/>
  </cols>
  <sheetData>
    <row r="1" customFormat="false" ht="15" hidden="false" customHeight="false" outlineLevel="0" collapsed="false">
      <c r="A1" s="1" t="s">
        <v>160</v>
      </c>
      <c r="B1" s="1" t="s">
        <v>161</v>
      </c>
      <c r="C1" s="1" t="s">
        <v>162</v>
      </c>
      <c r="D1" s="1" t="s">
        <v>2</v>
      </c>
    </row>
    <row r="2" customFormat="false" ht="15" hidden="false" customHeight="false" outlineLevel="0" collapsed="false">
      <c r="A2" s="2" t="s">
        <v>3</v>
      </c>
      <c r="B2" s="3" t="n">
        <v>5028800</v>
      </c>
      <c r="C2" s="3" t="n">
        <v>300000</v>
      </c>
      <c r="D2" s="3" t="n">
        <v>5328800</v>
      </c>
    </row>
    <row r="3" customFormat="false" ht="15" hidden="false" customHeight="false" outlineLevel="0" collapsed="false">
      <c r="A3" s="2" t="s">
        <v>4</v>
      </c>
      <c r="B3" s="3" t="n">
        <v>132312393.64</v>
      </c>
      <c r="C3" s="3" t="n">
        <v>300000</v>
      </c>
      <c r="D3" s="3" t="n">
        <v>132612393.64</v>
      </c>
    </row>
    <row r="4" customFormat="false" ht="15" hidden="false" customHeight="false" outlineLevel="0" collapsed="false">
      <c r="A4" s="2" t="s">
        <v>5</v>
      </c>
      <c r="B4" s="3" t="n">
        <v>336647617.5</v>
      </c>
      <c r="C4" s="3"/>
      <c r="D4" s="3" t="n">
        <v>336647617.5</v>
      </c>
    </row>
    <row r="5" customFormat="false" ht="15" hidden="false" customHeight="false" outlineLevel="0" collapsed="false">
      <c r="A5" s="2" t="s">
        <v>6</v>
      </c>
      <c r="B5" s="3" t="n">
        <v>7000000</v>
      </c>
      <c r="C5" s="3"/>
      <c r="D5" s="3" t="n">
        <v>7000000</v>
      </c>
    </row>
    <row r="6" customFormat="false" ht="15" hidden="false" customHeight="false" outlineLevel="0" collapsed="false">
      <c r="A6" s="2" t="s">
        <v>7</v>
      </c>
      <c r="B6" s="3" t="n">
        <v>11071874.08</v>
      </c>
      <c r="C6" s="3"/>
      <c r="D6" s="3" t="n">
        <v>11071874.08</v>
      </c>
    </row>
    <row r="7" customFormat="false" ht="15" hidden="false" customHeight="false" outlineLevel="0" collapsed="false">
      <c r="A7" s="2" t="s">
        <v>8</v>
      </c>
      <c r="B7" s="3" t="n">
        <v>880000</v>
      </c>
      <c r="C7" s="3"/>
      <c r="D7" s="3" t="n">
        <v>880000</v>
      </c>
    </row>
    <row r="8" customFormat="false" ht="15" hidden="false" customHeight="false" outlineLevel="0" collapsed="false">
      <c r="A8" s="2" t="s">
        <v>9</v>
      </c>
      <c r="B8" s="3" t="n">
        <v>2138000</v>
      </c>
      <c r="C8" s="3"/>
      <c r="D8" s="3" t="n">
        <v>2138000</v>
      </c>
    </row>
    <row r="9" customFormat="false" ht="15" hidden="false" customHeight="false" outlineLevel="0" collapsed="false">
      <c r="A9" s="2" t="s">
        <v>10</v>
      </c>
      <c r="B9" s="3" t="n">
        <v>808500</v>
      </c>
      <c r="C9" s="3"/>
      <c r="D9" s="3" t="n">
        <v>808500</v>
      </c>
    </row>
    <row r="10" customFormat="false" ht="15" hidden="false" customHeight="false" outlineLevel="0" collapsed="false">
      <c r="A10" s="2" t="s">
        <v>11</v>
      </c>
      <c r="B10" s="3" t="n">
        <v>271896</v>
      </c>
      <c r="C10" s="3"/>
      <c r="D10" s="3" t="n">
        <v>271896</v>
      </c>
    </row>
    <row r="11" customFormat="false" ht="15" hidden="false" customHeight="false" outlineLevel="0" collapsed="false">
      <c r="A11" s="2" t="s">
        <v>12</v>
      </c>
      <c r="B11" s="3" t="n">
        <v>41565340.5257143</v>
      </c>
      <c r="C11" s="3" t="n">
        <v>1000000</v>
      </c>
      <c r="D11" s="3" t="n">
        <v>42565340.5257143</v>
      </c>
    </row>
    <row r="12" customFormat="false" ht="15" hidden="false" customHeight="false" outlineLevel="0" collapsed="false">
      <c r="A12" s="2" t="s">
        <v>13</v>
      </c>
      <c r="B12" s="3" t="n">
        <v>4680000</v>
      </c>
      <c r="C12" s="3"/>
      <c r="D12" s="3" t="n">
        <v>4680000</v>
      </c>
    </row>
    <row r="13" customFormat="false" ht="15" hidden="false" customHeight="false" outlineLevel="0" collapsed="false">
      <c r="A13" s="2" t="s">
        <v>14</v>
      </c>
      <c r="B13" s="3" t="n">
        <v>7436000</v>
      </c>
      <c r="C13" s="3"/>
      <c r="D13" s="3" t="n">
        <v>7436000</v>
      </c>
    </row>
    <row r="14" customFormat="false" ht="15" hidden="false" customHeight="false" outlineLevel="0" collapsed="false">
      <c r="A14" s="2" t="s">
        <v>15</v>
      </c>
      <c r="B14" s="3" t="n">
        <v>2997600</v>
      </c>
      <c r="C14" s="3" t="n">
        <v>100000</v>
      </c>
      <c r="D14" s="3" t="n">
        <v>3097600</v>
      </c>
    </row>
    <row r="15" customFormat="false" ht="15" hidden="false" customHeight="false" outlineLevel="0" collapsed="false">
      <c r="A15" s="2" t="s">
        <v>16</v>
      </c>
      <c r="B15" s="3" t="n">
        <v>75687550</v>
      </c>
      <c r="C15" s="3" t="n">
        <v>9900000</v>
      </c>
      <c r="D15" s="3" t="n">
        <v>85587550</v>
      </c>
    </row>
    <row r="16" customFormat="false" ht="15" hidden="false" customHeight="false" outlineLevel="0" collapsed="false">
      <c r="A16" s="2" t="s">
        <v>17</v>
      </c>
      <c r="B16" s="3" t="n">
        <v>181642781.36</v>
      </c>
      <c r="C16" s="3" t="n">
        <v>24060000</v>
      </c>
      <c r="D16" s="3" t="n">
        <v>205702781.36</v>
      </c>
    </row>
    <row r="17" customFormat="false" ht="15" hidden="false" customHeight="false" outlineLevel="0" collapsed="false">
      <c r="A17" s="2" t="s">
        <v>18</v>
      </c>
      <c r="B17" s="3" t="n">
        <v>4836000</v>
      </c>
      <c r="C17" s="3"/>
      <c r="D17" s="3" t="n">
        <v>4836000</v>
      </c>
    </row>
    <row r="18" customFormat="false" ht="15" hidden="false" customHeight="false" outlineLevel="0" collapsed="false">
      <c r="A18" s="2" t="s">
        <v>19</v>
      </c>
      <c r="B18" s="3" t="n">
        <v>704948878.18</v>
      </c>
      <c r="C18" s="3"/>
      <c r="D18" s="3" t="n">
        <v>704948878.18</v>
      </c>
    </row>
    <row r="19" customFormat="false" ht="15" hidden="false" customHeight="false" outlineLevel="0" collapsed="false">
      <c r="A19" s="2" t="s">
        <v>20</v>
      </c>
      <c r="B19" s="3" t="n">
        <v>9500000</v>
      </c>
      <c r="C19" s="3"/>
      <c r="D19" s="3" t="n">
        <v>9500000</v>
      </c>
    </row>
    <row r="20" customFormat="false" ht="15" hidden="false" customHeight="false" outlineLevel="0" collapsed="false">
      <c r="A20" s="2" t="s">
        <v>21</v>
      </c>
      <c r="B20" s="3" t="n">
        <v>14946319.456</v>
      </c>
      <c r="C20" s="3" t="n">
        <v>70642795</v>
      </c>
      <c r="D20" s="3" t="n">
        <v>85589114.456</v>
      </c>
    </row>
    <row r="21" customFormat="false" ht="15" hidden="false" customHeight="false" outlineLevel="0" collapsed="false">
      <c r="A21" s="2" t="s">
        <v>22</v>
      </c>
      <c r="B21" s="3" t="n">
        <v>2800832.52</v>
      </c>
      <c r="C21" s="3"/>
      <c r="D21" s="3" t="n">
        <v>2800832.52</v>
      </c>
    </row>
    <row r="22" customFormat="false" ht="15" hidden="false" customHeight="false" outlineLevel="0" collapsed="false">
      <c r="A22" s="2" t="s">
        <v>23</v>
      </c>
      <c r="B22" s="3" t="n">
        <v>21046774.09</v>
      </c>
      <c r="C22" s="3" t="n">
        <v>1010000</v>
      </c>
      <c r="D22" s="3" t="n">
        <v>22056774.09</v>
      </c>
    </row>
    <row r="23" customFormat="false" ht="15" hidden="false" customHeight="false" outlineLevel="0" collapsed="false">
      <c r="A23" s="2" t="s">
        <v>24</v>
      </c>
      <c r="B23" s="3" t="n">
        <v>30498951.84</v>
      </c>
      <c r="C23" s="3" t="n">
        <v>420000</v>
      </c>
      <c r="D23" s="3" t="n">
        <v>30918951.84</v>
      </c>
    </row>
    <row r="24" customFormat="false" ht="15" hidden="false" customHeight="false" outlineLevel="0" collapsed="false">
      <c r="A24" s="2" t="s">
        <v>25</v>
      </c>
      <c r="B24" s="3" t="n">
        <v>2422030</v>
      </c>
      <c r="C24" s="3"/>
      <c r="D24" s="3" t="n">
        <v>2422030</v>
      </c>
    </row>
    <row r="25" customFormat="false" ht="15" hidden="false" customHeight="false" outlineLevel="0" collapsed="false">
      <c r="A25" s="2" t="s">
        <v>26</v>
      </c>
      <c r="B25" s="3" t="n">
        <v>284347179.59</v>
      </c>
      <c r="C25" s="3"/>
      <c r="D25" s="3" t="n">
        <v>284347179.59</v>
      </c>
    </row>
    <row r="26" customFormat="false" ht="15" hidden="false" customHeight="false" outlineLevel="0" collapsed="false">
      <c r="A26" s="2" t="s">
        <v>27</v>
      </c>
      <c r="B26" s="3" t="n">
        <v>34130510</v>
      </c>
      <c r="C26" s="3" t="n">
        <v>1600000</v>
      </c>
      <c r="D26" s="3" t="n">
        <v>35730510</v>
      </c>
    </row>
    <row r="27" customFormat="false" ht="15" hidden="false" customHeight="false" outlineLevel="0" collapsed="false">
      <c r="A27" s="2" t="s">
        <v>28</v>
      </c>
      <c r="B27" s="3" t="n">
        <v>2200000</v>
      </c>
      <c r="C27" s="3" t="n">
        <v>2650000</v>
      </c>
      <c r="D27" s="3" t="n">
        <v>4850000</v>
      </c>
    </row>
    <row r="28" customFormat="false" ht="15" hidden="false" customHeight="false" outlineLevel="0" collapsed="false">
      <c r="A28" s="2" t="s">
        <v>29</v>
      </c>
      <c r="B28" s="3" t="n">
        <v>27600000</v>
      </c>
      <c r="C28" s="3" t="n">
        <v>15300000</v>
      </c>
      <c r="D28" s="3" t="n">
        <v>42900000</v>
      </c>
    </row>
    <row r="29" customFormat="false" ht="15" hidden="false" customHeight="false" outlineLevel="0" collapsed="false">
      <c r="A29" s="2" t="s">
        <v>30</v>
      </c>
      <c r="B29" s="3" t="n">
        <v>111992693.35</v>
      </c>
      <c r="C29" s="3" t="n">
        <v>50625000</v>
      </c>
      <c r="D29" s="3" t="n">
        <v>162617693.35</v>
      </c>
    </row>
    <row r="30" customFormat="false" ht="15" hidden="false" customHeight="false" outlineLevel="0" collapsed="false">
      <c r="A30" s="2" t="s">
        <v>2</v>
      </c>
      <c r="B30" s="3" t="n">
        <v>2061438522.13171</v>
      </c>
      <c r="C30" s="3" t="n">
        <v>177907795</v>
      </c>
      <c r="D30" s="3" t="n">
        <v>2239346317.13171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2025-11-04T16:15:45Z</dcterms:created>
  <dc:creator>BOUROUIS Ayoub</dc:creator>
  <dc:description/>
  <dc:language>fr-FR</dc:language>
  <cp:lastModifiedBy/>
  <dcterms:modified xsi:type="dcterms:W3CDTF">2026-02-12T14:55:25Z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