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6F0E585A-7183-4FC0-8D16-1DA59209FB86}" xr6:coauthVersionLast="36" xr6:coauthVersionMax="36" xr10:uidLastSave="{00000000-0000-0000-0000-000000000000}"/>
  <bookViews>
    <workbookView xWindow="0" yWindow="0" windowWidth="14380" windowHeight="6160" xr2:uid="{00000000-000D-0000-FFFF-FFFF00000000}"/>
  </bookViews>
  <sheets>
    <sheet name="FONCTIONNEMENT" sheetId="1" r:id="rId1"/>
    <sheet name="INVESTISSEMENT" sheetId="2" r:id="rId2"/>
  </sheets>
  <definedNames>
    <definedName name="Print_Area" localSheetId="0">FONCTIONNEMENT!$A$1:$J$30</definedName>
    <definedName name="Print_Area" localSheetId="1">INVESTISSEMENT!$A$1:$I$25</definedName>
  </definedNames>
  <calcPr calcId="191029"/>
</workbook>
</file>

<file path=xl/calcChain.xml><?xml version="1.0" encoding="utf-8"?>
<calcChain xmlns="http://schemas.openxmlformats.org/spreadsheetml/2006/main">
  <c r="G25" i="2" l="1"/>
  <c r="F25" i="2"/>
  <c r="E25" i="2"/>
  <c r="D25" i="2"/>
  <c r="C25" i="2"/>
  <c r="B25" i="2"/>
  <c r="H25" i="2" s="1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G10" i="2"/>
  <c r="H10" i="2" s="1"/>
  <c r="F10" i="2"/>
  <c r="E10" i="2"/>
  <c r="D10" i="2"/>
  <c r="C10" i="2"/>
  <c r="B10" i="2"/>
  <c r="I10" i="2" s="1"/>
  <c r="I9" i="2"/>
  <c r="H9" i="2"/>
  <c r="I8" i="2"/>
  <c r="H8" i="2"/>
  <c r="I7" i="2"/>
  <c r="H7" i="2"/>
  <c r="I6" i="2"/>
  <c r="H6" i="2"/>
  <c r="I5" i="2"/>
  <c r="H5" i="2"/>
  <c r="G30" i="1"/>
  <c r="F30" i="1"/>
  <c r="E30" i="1"/>
  <c r="D30" i="1"/>
  <c r="C30" i="1"/>
  <c r="B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I30" i="1" l="1"/>
  <c r="I25" i="2"/>
  <c r="J30" i="1"/>
  <c r="H30" i="1"/>
</calcChain>
</file>

<file path=xl/sharedStrings.xml><?xml version="1.0" encoding="utf-8"?>
<sst xmlns="http://schemas.openxmlformats.org/spreadsheetml/2006/main" count="77" uniqueCount="47">
  <si>
    <t>SNRT - SITUATION BUDGETAIRE PAR DIRECTION - FONCTIONNEMENT 2026</t>
  </si>
  <si>
    <t>Direction</t>
  </si>
  <si>
    <t>Budget Initial</t>
  </si>
  <si>
    <t>En Cours de
Préengagement</t>
  </si>
  <si>
    <t>Engagement</t>
  </si>
  <si>
    <t>Projet d'Engagement</t>
  </si>
  <si>
    <t>Projet de
Préengagement</t>
  </si>
  <si>
    <t>Disponible</t>
  </si>
  <si>
    <t>% Disponible</t>
  </si>
  <si>
    <t>% Mobilisé</t>
  </si>
  <si>
    <t>% Engagé</t>
  </si>
  <si>
    <t>ALMAGHRIBIA</t>
  </si>
  <si>
    <t>ARRIYADIA</t>
  </si>
  <si>
    <t>ASSADISSA</t>
  </si>
  <si>
    <t>DA</t>
  </si>
  <si>
    <t>DACG</t>
  </si>
  <si>
    <t>DAR</t>
  </si>
  <si>
    <t>DCMPTV</t>
  </si>
  <si>
    <t>DCPA</t>
  </si>
  <si>
    <t>DCRI</t>
  </si>
  <si>
    <t>DCRPSD</t>
  </si>
  <si>
    <t>DF</t>
  </si>
  <si>
    <t>DG</t>
  </si>
  <si>
    <t>DINFORADIO</t>
  </si>
  <si>
    <t>DINFOTV</t>
  </si>
  <si>
    <t>DJURIDIQUE</t>
  </si>
  <si>
    <t>DPMG</t>
  </si>
  <si>
    <t>DPPR</t>
  </si>
  <si>
    <t>DRH</t>
  </si>
  <si>
    <t>DROI</t>
  </si>
  <si>
    <t>DTSI</t>
  </si>
  <si>
    <t>QUATRIEME</t>
  </si>
  <si>
    <t>RSSI</t>
  </si>
  <si>
    <t>TAMAZIGHT</t>
  </si>
  <si>
    <t>TDF -SITES</t>
  </si>
  <si>
    <t>TDF-EXP&amp;MAIN</t>
  </si>
  <si>
    <t>TV LAAYOUNE</t>
  </si>
  <si>
    <t>TOTAL GENERAL</t>
  </si>
  <si>
    <t>SNRT - SITUATION BUDGETAIRE PAR DIRECTION - INVESTISSEMENT 2026</t>
  </si>
  <si>
    <t>TABLEAU 1 - DIRECTIONS AVEC REPORT DE BUDGET 2025</t>
  </si>
  <si>
    <t>Budget</t>
  </si>
  <si>
    <t>Projet
d'Engagement</t>
  </si>
  <si>
    <t>DTSI EXCEPTIONNEL</t>
  </si>
  <si>
    <t>TDF-SITES</t>
  </si>
  <si>
    <t>TOTAL REPORT 2025</t>
  </si>
  <si>
    <t>TABLEAU 2 - BUDGET 2026 PAR DIRECTION</t>
  </si>
  <si>
    <t>TOTAL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</si>
</sst>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5"/>
      <color rgb="FF1F4E79"/>
      <name val="Calibri"/>
    </font>
    <font>
      <b/>
      <sz val="11"/>
      <color rgb="FFFFFFFF"/>
      <name val="Calibri"/>
    </font>
    <font>
      <b/>
      <sz val="10"/>
      <color rgb="FF1F4E79"/>
      <name val="Calibri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b/>
      <sz val="15"/>
      <color rgb="FF1F4E79"/>
      <name val="Calibri"/>
    </font>
    <font>
      <b/>
      <sz val="12"/>
      <color rgb="FF1F4E79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4" fontId="4" fillId="6" borderId="2" xfId="0" applyNumberFormat="1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0" borderId="0" xfId="0"/>
    <xf numFmtId="0" fontId="9" fillId="9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left" vertical="center"/>
    </xf>
    <xf numFmtId="4" fontId="4" fillId="0" borderId="6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center" vertical="center"/>
    </xf>
    <xf numFmtId="0" fontId="11" fillId="9" borderId="5" xfId="0" applyFont="1" applyFill="1" applyBorder="1" applyAlignment="1">
      <alignment horizontal="left" vertical="center"/>
    </xf>
    <xf numFmtId="4" fontId="11" fillId="9" borderId="5" xfId="0" applyNumberFormat="1" applyFont="1" applyFill="1" applyBorder="1" applyAlignment="1">
      <alignment horizontal="right" vertical="center"/>
    </xf>
    <xf numFmtId="164" fontId="11" fillId="9" borderId="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4" fontId="4" fillId="6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6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showGridLines="0" tabSelected="1" workbookViewId="0">
      <pane ySplit="3" topLeftCell="A4" activePane="bottomLeft" state="frozen"/>
      <selection pane="bottomLeft" activeCell="K3" sqref="K3"/>
    </sheetView>
  </sheetViews>
  <sheetFormatPr baseColWidth="10" defaultColWidth="8.7265625" defaultRowHeight="14.5" x14ac:dyDescent="0.35"/>
  <cols>
    <col min="1" max="2" width="16" style="16" customWidth="1"/>
    <col min="3" max="3" width="15" style="16" customWidth="1"/>
    <col min="4" max="4" width="16" style="16" customWidth="1"/>
    <col min="5" max="6" width="15" style="16" customWidth="1"/>
    <col min="7" max="7" width="16" style="16" customWidth="1"/>
    <col min="8" max="10" width="12" style="16" customWidth="1"/>
  </cols>
  <sheetData>
    <row r="1" spans="1:10" ht="28" customHeight="1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2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8" t="s">
        <v>10</v>
      </c>
    </row>
    <row r="4" spans="1:10" ht="18" customHeight="1" x14ac:dyDescent="0.35">
      <c r="A4" s="2" t="s">
        <v>11</v>
      </c>
      <c r="B4" s="3">
        <v>5028800</v>
      </c>
      <c r="C4" s="3">
        <v>0</v>
      </c>
      <c r="D4" s="3">
        <v>1051200</v>
      </c>
      <c r="E4" s="3">
        <v>0</v>
      </c>
      <c r="F4" s="3">
        <v>0</v>
      </c>
      <c r="G4" s="3">
        <v>3977600</v>
      </c>
      <c r="H4" s="4">
        <f t="shared" ref="H4:H30" si="0">IF(B4=0,0,G4/B4)</f>
        <v>0.79096404708876866</v>
      </c>
      <c r="I4" s="9">
        <f t="shared" ref="I4:I30" si="1">IF(B4=0,0,(C4+E4+F4)/B4)</f>
        <v>0</v>
      </c>
      <c r="J4" s="9">
        <f t="shared" ref="J4:J30" si="2">IF(B4=0,0,D4/B4)</f>
        <v>0.20903595291123131</v>
      </c>
    </row>
    <row r="5" spans="1:10" s="15" customFormat="1" ht="18" customHeight="1" x14ac:dyDescent="0.35">
      <c r="A5" s="11" t="s">
        <v>12</v>
      </c>
      <c r="B5" s="12">
        <v>343197617.5</v>
      </c>
      <c r="C5" s="12">
        <v>0</v>
      </c>
      <c r="D5" s="12">
        <v>177159086.53999999</v>
      </c>
      <c r="E5" s="12">
        <v>2908079.56</v>
      </c>
      <c r="F5" s="12">
        <v>0</v>
      </c>
      <c r="G5" s="12">
        <v>155980451.40000001</v>
      </c>
      <c r="H5" s="13">
        <f t="shared" si="0"/>
        <v>0.45449164984369395</v>
      </c>
      <c r="I5" s="14">
        <f t="shared" si="1"/>
        <v>8.4734841144402766E-3</v>
      </c>
      <c r="J5" s="14">
        <f t="shared" si="2"/>
        <v>0.51620138808218852</v>
      </c>
    </row>
    <row r="6" spans="1:10" ht="18" customHeight="1" x14ac:dyDescent="0.35">
      <c r="A6" s="2" t="s">
        <v>13</v>
      </c>
      <c r="B6" s="3">
        <v>11071874.08</v>
      </c>
      <c r="C6" s="3">
        <v>0</v>
      </c>
      <c r="D6" s="3">
        <v>8022706.2800000003</v>
      </c>
      <c r="E6" s="3">
        <v>0</v>
      </c>
      <c r="F6" s="3">
        <v>0</v>
      </c>
      <c r="G6" s="3">
        <v>3049167.8</v>
      </c>
      <c r="H6" s="4">
        <f t="shared" si="0"/>
        <v>0.27539762265793399</v>
      </c>
      <c r="I6" s="9">
        <f t="shared" si="1"/>
        <v>0</v>
      </c>
      <c r="J6" s="9">
        <f t="shared" si="2"/>
        <v>0.72460237734206601</v>
      </c>
    </row>
    <row r="7" spans="1:10" ht="18" customHeight="1" x14ac:dyDescent="0.35">
      <c r="A7" s="2" t="s">
        <v>14</v>
      </c>
      <c r="B7" s="3">
        <v>2138000</v>
      </c>
      <c r="C7" s="3">
        <v>0</v>
      </c>
      <c r="D7" s="3">
        <v>427760</v>
      </c>
      <c r="E7" s="3">
        <v>0</v>
      </c>
      <c r="F7" s="3">
        <v>0</v>
      </c>
      <c r="G7" s="3">
        <v>1710240</v>
      </c>
      <c r="H7" s="4">
        <f t="shared" si="0"/>
        <v>0.79992516370439659</v>
      </c>
      <c r="I7" s="9">
        <f t="shared" si="1"/>
        <v>0</v>
      </c>
      <c r="J7" s="9">
        <f t="shared" si="2"/>
        <v>0.20007483629560338</v>
      </c>
    </row>
    <row r="8" spans="1:10" ht="18" customHeight="1" x14ac:dyDescent="0.35">
      <c r="A8" s="2" t="s">
        <v>15</v>
      </c>
      <c r="B8" s="3">
        <v>1978500</v>
      </c>
      <c r="C8" s="3">
        <v>0</v>
      </c>
      <c r="D8" s="3">
        <v>318500</v>
      </c>
      <c r="E8" s="3">
        <v>0</v>
      </c>
      <c r="F8" s="3">
        <v>1440000</v>
      </c>
      <c r="G8" s="3">
        <v>220000</v>
      </c>
      <c r="H8" s="4">
        <f t="shared" si="0"/>
        <v>0.11119535001263584</v>
      </c>
      <c r="I8" s="9">
        <f t="shared" si="1"/>
        <v>0.7278241091736164</v>
      </c>
      <c r="J8" s="9">
        <f t="shared" si="2"/>
        <v>0.1609805408137478</v>
      </c>
    </row>
    <row r="9" spans="1:10" ht="18" customHeight="1" x14ac:dyDescent="0.35">
      <c r="A9" s="2" t="s">
        <v>16</v>
      </c>
      <c r="B9" s="3">
        <v>271896</v>
      </c>
      <c r="C9" s="3">
        <v>0</v>
      </c>
      <c r="D9" s="3">
        <v>108000</v>
      </c>
      <c r="E9" s="3">
        <v>0</v>
      </c>
      <c r="F9" s="3">
        <v>0</v>
      </c>
      <c r="G9" s="3">
        <v>163896</v>
      </c>
      <c r="H9" s="4">
        <f t="shared" si="0"/>
        <v>0.60278930179186163</v>
      </c>
      <c r="I9" s="9">
        <f t="shared" si="1"/>
        <v>0</v>
      </c>
      <c r="J9" s="9">
        <f t="shared" si="2"/>
        <v>0.39721069820813842</v>
      </c>
    </row>
    <row r="10" spans="1:10" ht="18" customHeight="1" x14ac:dyDescent="0.35">
      <c r="A10" s="2" t="s">
        <v>17</v>
      </c>
      <c r="B10" s="3">
        <v>75687550</v>
      </c>
      <c r="C10" s="3">
        <v>14848560</v>
      </c>
      <c r="D10" s="3">
        <v>23694428.210000001</v>
      </c>
      <c r="E10" s="3">
        <v>0</v>
      </c>
      <c r="F10" s="3">
        <v>0</v>
      </c>
      <c r="G10" s="3">
        <v>37144561.789999999</v>
      </c>
      <c r="H10" s="4">
        <f t="shared" si="0"/>
        <v>0.49076184643313198</v>
      </c>
      <c r="I10" s="9">
        <f t="shared" si="1"/>
        <v>0.19618233117599923</v>
      </c>
      <c r="J10" s="9">
        <f t="shared" si="2"/>
        <v>0.31305582239086877</v>
      </c>
    </row>
    <row r="11" spans="1:10" ht="18" customHeight="1" x14ac:dyDescent="0.35">
      <c r="A11" s="2" t="s">
        <v>18</v>
      </c>
      <c r="B11" s="3">
        <v>320292520.12</v>
      </c>
      <c r="C11" s="3">
        <v>0</v>
      </c>
      <c r="D11" s="3">
        <v>17356593.52</v>
      </c>
      <c r="E11" s="3">
        <v>674634.14999999991</v>
      </c>
      <c r="F11" s="3">
        <v>0</v>
      </c>
      <c r="G11" s="3">
        <v>302261292.44999999</v>
      </c>
      <c r="H11" s="4">
        <f t="shared" si="0"/>
        <v>0.94370387524740051</v>
      </c>
      <c r="I11" s="9">
        <f t="shared" si="1"/>
        <v>2.1063062907221283E-3</v>
      </c>
      <c r="J11" s="9">
        <f t="shared" si="2"/>
        <v>5.418981846187735E-2</v>
      </c>
    </row>
    <row r="12" spans="1:10" ht="18" customHeight="1" x14ac:dyDescent="0.35">
      <c r="A12" s="2" t="s">
        <v>19</v>
      </c>
      <c r="B12" s="3">
        <v>4680000</v>
      </c>
      <c r="C12" s="3">
        <v>0</v>
      </c>
      <c r="D12" s="3">
        <v>318240</v>
      </c>
      <c r="E12" s="3">
        <v>0</v>
      </c>
      <c r="F12" s="3">
        <v>0</v>
      </c>
      <c r="G12" s="3">
        <v>4361760</v>
      </c>
      <c r="H12" s="4">
        <f t="shared" si="0"/>
        <v>0.93200000000000005</v>
      </c>
      <c r="I12" s="9">
        <f t="shared" si="1"/>
        <v>0</v>
      </c>
      <c r="J12" s="9">
        <f t="shared" si="2"/>
        <v>6.8000000000000005E-2</v>
      </c>
    </row>
    <row r="13" spans="1:10" ht="18" customHeight="1" x14ac:dyDescent="0.35">
      <c r="A13" s="2" t="s">
        <v>20</v>
      </c>
      <c r="B13" s="3">
        <v>34380510</v>
      </c>
      <c r="C13" s="3">
        <v>0</v>
      </c>
      <c r="D13" s="3">
        <v>14382451.23</v>
      </c>
      <c r="E13" s="3">
        <v>350000</v>
      </c>
      <c r="F13" s="3">
        <v>1205928</v>
      </c>
      <c r="G13" s="3">
        <v>18442130.77</v>
      </c>
      <c r="H13" s="4">
        <f t="shared" si="0"/>
        <v>0.53641236764666955</v>
      </c>
      <c r="I13" s="9">
        <f t="shared" si="1"/>
        <v>4.5256105857650164E-2</v>
      </c>
      <c r="J13" s="9">
        <f t="shared" si="2"/>
        <v>0.41833152649568028</v>
      </c>
    </row>
    <row r="14" spans="1:10" ht="18" customHeight="1" x14ac:dyDescent="0.35">
      <c r="A14" s="2" t="s">
        <v>21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f t="shared" si="0"/>
        <v>0</v>
      </c>
      <c r="I14" s="9">
        <f t="shared" si="1"/>
        <v>0</v>
      </c>
      <c r="J14" s="9">
        <f t="shared" si="2"/>
        <v>0</v>
      </c>
    </row>
    <row r="15" spans="1:10" ht="18" customHeight="1" x14ac:dyDescent="0.35">
      <c r="A15" s="2" t="s">
        <v>22</v>
      </c>
      <c r="B15" s="3">
        <v>600000</v>
      </c>
      <c r="C15" s="3">
        <v>0</v>
      </c>
      <c r="D15" s="3">
        <v>576000</v>
      </c>
      <c r="E15" s="3">
        <v>0</v>
      </c>
      <c r="F15" s="3">
        <v>0</v>
      </c>
      <c r="G15" s="3">
        <v>24000</v>
      </c>
      <c r="H15" s="4">
        <f t="shared" si="0"/>
        <v>0.04</v>
      </c>
      <c r="I15" s="9">
        <f t="shared" si="1"/>
        <v>0</v>
      </c>
      <c r="J15" s="9">
        <f t="shared" si="2"/>
        <v>0.96</v>
      </c>
    </row>
    <row r="16" spans="1:10" ht="18" customHeight="1" x14ac:dyDescent="0.35">
      <c r="A16" s="2" t="s">
        <v>23</v>
      </c>
      <c r="B16" s="3">
        <v>2800832.52</v>
      </c>
      <c r="C16" s="3">
        <v>0</v>
      </c>
      <c r="D16" s="3">
        <v>2648832.52</v>
      </c>
      <c r="E16" s="3">
        <v>0</v>
      </c>
      <c r="F16" s="3">
        <v>0</v>
      </c>
      <c r="G16" s="3">
        <v>152000</v>
      </c>
      <c r="H16" s="4">
        <f t="shared" si="0"/>
        <v>5.4269578389499702E-2</v>
      </c>
      <c r="I16" s="9">
        <f t="shared" si="1"/>
        <v>0</v>
      </c>
      <c r="J16" s="9">
        <f t="shared" si="2"/>
        <v>0.94573042161050025</v>
      </c>
    </row>
    <row r="17" spans="1:10" ht="18" customHeight="1" x14ac:dyDescent="0.35">
      <c r="A17" s="2" t="s">
        <v>24</v>
      </c>
      <c r="B17" s="3">
        <v>21686774.09</v>
      </c>
      <c r="C17" s="3">
        <v>76464</v>
      </c>
      <c r="D17" s="3">
        <v>10711701.33</v>
      </c>
      <c r="E17" s="3">
        <v>0</v>
      </c>
      <c r="F17" s="3">
        <v>0</v>
      </c>
      <c r="G17" s="3">
        <v>10898608.76</v>
      </c>
      <c r="H17" s="4">
        <f t="shared" si="0"/>
        <v>0.50254633145394656</v>
      </c>
      <c r="I17" s="9">
        <f t="shared" si="1"/>
        <v>3.5258355937436707E-3</v>
      </c>
      <c r="J17" s="9">
        <f t="shared" si="2"/>
        <v>0.4939278329523098</v>
      </c>
    </row>
    <row r="18" spans="1:10" ht="18" customHeight="1" x14ac:dyDescent="0.35">
      <c r="A18" s="2" t="s">
        <v>25</v>
      </c>
      <c r="B18" s="3">
        <v>12497600</v>
      </c>
      <c r="C18" s="3">
        <v>0</v>
      </c>
      <c r="D18" s="3">
        <v>8560062.3300000001</v>
      </c>
      <c r="E18" s="3">
        <v>9600</v>
      </c>
      <c r="F18" s="3">
        <v>0</v>
      </c>
      <c r="G18" s="3">
        <v>3927937.67</v>
      </c>
      <c r="H18" s="4">
        <f t="shared" si="0"/>
        <v>0.31429535830879529</v>
      </c>
      <c r="I18" s="9">
        <f t="shared" si="1"/>
        <v>7.6814748431698891E-4</v>
      </c>
      <c r="J18" s="9">
        <f t="shared" si="2"/>
        <v>0.68493649420688774</v>
      </c>
    </row>
    <row r="19" spans="1:10" ht="18" customHeight="1" x14ac:dyDescent="0.35">
      <c r="A19" s="2" t="s">
        <v>26</v>
      </c>
      <c r="B19" s="3">
        <v>181402781.36000001</v>
      </c>
      <c r="C19" s="3">
        <v>241200</v>
      </c>
      <c r="D19" s="3">
        <v>127537347.56</v>
      </c>
      <c r="E19" s="3">
        <v>978577.2</v>
      </c>
      <c r="F19" s="3">
        <v>600696</v>
      </c>
      <c r="G19" s="3">
        <v>52044960.600000001</v>
      </c>
      <c r="H19" s="4">
        <f t="shared" si="0"/>
        <v>0.28690277078340382</v>
      </c>
      <c r="I19" s="9">
        <f t="shared" si="1"/>
        <v>1.003553080251404E-2</v>
      </c>
      <c r="J19" s="9">
        <f t="shared" si="2"/>
        <v>0.70306169841408206</v>
      </c>
    </row>
    <row r="20" spans="1:10" ht="18" customHeight="1" x14ac:dyDescent="0.35">
      <c r="A20" s="2" t="s">
        <v>27</v>
      </c>
      <c r="B20" s="3">
        <v>4836000</v>
      </c>
      <c r="C20" s="3">
        <v>0</v>
      </c>
      <c r="D20" s="3">
        <v>4332000</v>
      </c>
      <c r="E20" s="3">
        <v>144000</v>
      </c>
      <c r="F20" s="3">
        <v>0</v>
      </c>
      <c r="G20" s="3">
        <v>360000</v>
      </c>
      <c r="H20" s="4">
        <f t="shared" si="0"/>
        <v>7.4441687344913146E-2</v>
      </c>
      <c r="I20" s="9">
        <f t="shared" si="1"/>
        <v>2.9776674937965261E-2</v>
      </c>
      <c r="J20" s="9">
        <f t="shared" si="2"/>
        <v>0.8957816377171216</v>
      </c>
    </row>
    <row r="21" spans="1:10" ht="18" customHeight="1" x14ac:dyDescent="0.35">
      <c r="A21" s="2" t="s">
        <v>28</v>
      </c>
      <c r="B21" s="3">
        <v>695448878.17999995</v>
      </c>
      <c r="C21" s="3">
        <v>0</v>
      </c>
      <c r="D21" s="3">
        <v>6948426.0999999996</v>
      </c>
      <c r="E21" s="3">
        <v>0</v>
      </c>
      <c r="F21" s="3">
        <v>0</v>
      </c>
      <c r="G21" s="3">
        <v>611917070.13999999</v>
      </c>
      <c r="H21" s="4">
        <f t="shared" si="0"/>
        <v>0.87988792467592447</v>
      </c>
      <c r="I21" s="9">
        <f t="shared" si="1"/>
        <v>0</v>
      </c>
      <c r="J21" s="9">
        <f t="shared" si="2"/>
        <v>9.991282347286452E-3</v>
      </c>
    </row>
    <row r="22" spans="1:10" ht="18" customHeight="1" x14ac:dyDescent="0.35">
      <c r="A22" s="2" t="s">
        <v>29</v>
      </c>
      <c r="B22" s="3">
        <v>9500000</v>
      </c>
      <c r="C22" s="3">
        <v>0</v>
      </c>
      <c r="D22" s="3">
        <v>8450528.7300000004</v>
      </c>
      <c r="E22" s="3">
        <v>109894.8</v>
      </c>
      <c r="F22" s="3">
        <v>0</v>
      </c>
      <c r="G22" s="3">
        <v>939576.47</v>
      </c>
      <c r="H22" s="4">
        <f t="shared" si="0"/>
        <v>9.890278631578947E-2</v>
      </c>
      <c r="I22" s="9">
        <f t="shared" si="1"/>
        <v>1.1567873684210526E-2</v>
      </c>
      <c r="J22" s="9">
        <f t="shared" si="2"/>
        <v>0.88952934000000006</v>
      </c>
    </row>
    <row r="23" spans="1:10" ht="18" customHeight="1" x14ac:dyDescent="0.35">
      <c r="A23" s="2" t="s">
        <v>30</v>
      </c>
      <c r="B23" s="3">
        <v>17346319.460000001</v>
      </c>
      <c r="C23" s="3">
        <v>1479556.8</v>
      </c>
      <c r="D23" s="3">
        <v>8343146.2599999998</v>
      </c>
      <c r="E23" s="3">
        <v>307526.40000000002</v>
      </c>
      <c r="F23" s="3">
        <v>0</v>
      </c>
      <c r="G23" s="3">
        <v>7216090.0000000009</v>
      </c>
      <c r="H23" s="4">
        <f t="shared" si="0"/>
        <v>0.41600121666386053</v>
      </c>
      <c r="I23" s="9">
        <f t="shared" si="1"/>
        <v>0.10302376847843434</v>
      </c>
      <c r="J23" s="9">
        <f t="shared" si="2"/>
        <v>0.48097501485770511</v>
      </c>
    </row>
    <row r="24" spans="1:10" ht="18" customHeight="1" x14ac:dyDescent="0.35">
      <c r="A24" s="2" t="s">
        <v>31</v>
      </c>
      <c r="B24" s="3">
        <v>290000</v>
      </c>
      <c r="C24" s="3">
        <v>0</v>
      </c>
      <c r="D24" s="3">
        <v>0</v>
      </c>
      <c r="E24" s="3">
        <v>0</v>
      </c>
      <c r="F24" s="3">
        <v>0</v>
      </c>
      <c r="G24" s="3">
        <v>290000</v>
      </c>
      <c r="H24" s="4">
        <f t="shared" si="0"/>
        <v>1</v>
      </c>
      <c r="I24" s="9">
        <f t="shared" si="1"/>
        <v>0</v>
      </c>
      <c r="J24" s="9">
        <f t="shared" si="2"/>
        <v>0</v>
      </c>
    </row>
    <row r="25" spans="1:10" ht="18" customHeight="1" x14ac:dyDescent="0.35">
      <c r="A25" s="2" t="s">
        <v>32</v>
      </c>
      <c r="B25" s="3">
        <v>2460000</v>
      </c>
      <c r="C25" s="3">
        <v>0</v>
      </c>
      <c r="D25" s="3">
        <v>403200</v>
      </c>
      <c r="E25" s="3">
        <v>349008</v>
      </c>
      <c r="F25" s="3">
        <v>432000</v>
      </c>
      <c r="G25" s="3">
        <v>1275792</v>
      </c>
      <c r="H25" s="4">
        <f t="shared" si="0"/>
        <v>0.51861463414634146</v>
      </c>
      <c r="I25" s="9">
        <f t="shared" si="1"/>
        <v>0.31748292682926832</v>
      </c>
      <c r="J25" s="9">
        <f t="shared" si="2"/>
        <v>0.16390243902439025</v>
      </c>
    </row>
    <row r="26" spans="1:10" ht="18" customHeight="1" x14ac:dyDescent="0.35">
      <c r="A26" s="2" t="s">
        <v>33</v>
      </c>
      <c r="B26" s="3">
        <v>128312393.64</v>
      </c>
      <c r="C26" s="3">
        <v>0</v>
      </c>
      <c r="D26" s="3">
        <v>5680171.2400000002</v>
      </c>
      <c r="E26" s="3">
        <v>0</v>
      </c>
      <c r="F26" s="3">
        <v>0</v>
      </c>
      <c r="G26" s="3">
        <v>122432222.40000001</v>
      </c>
      <c r="H26" s="4">
        <f t="shared" si="0"/>
        <v>0.95417300641668557</v>
      </c>
      <c r="I26" s="9">
        <f t="shared" si="1"/>
        <v>0</v>
      </c>
      <c r="J26" s="9">
        <f t="shared" si="2"/>
        <v>4.4268297698011834E-2</v>
      </c>
    </row>
    <row r="27" spans="1:10" ht="18" customHeight="1" x14ac:dyDescent="0.35">
      <c r="A27" s="2" t="s">
        <v>34</v>
      </c>
      <c r="B27" s="3">
        <v>111992693.34999999</v>
      </c>
      <c r="C27" s="3">
        <v>0</v>
      </c>
      <c r="D27" s="3">
        <v>108052693.34999999</v>
      </c>
      <c r="E27" s="3">
        <v>14000</v>
      </c>
      <c r="F27" s="3">
        <v>952473.59999999998</v>
      </c>
      <c r="G27" s="3">
        <v>2973526.4</v>
      </c>
      <c r="H27" s="4">
        <f t="shared" si="0"/>
        <v>2.6551074994750987E-2</v>
      </c>
      <c r="I27" s="9">
        <f t="shared" si="1"/>
        <v>8.6297915613081384E-3</v>
      </c>
      <c r="J27" s="9">
        <f t="shared" si="2"/>
        <v>0.96481913344394088</v>
      </c>
    </row>
    <row r="28" spans="1:10" ht="18" customHeight="1" x14ac:dyDescent="0.35">
      <c r="A28" s="2" t="s">
        <v>35</v>
      </c>
      <c r="B28" s="3">
        <v>32100000</v>
      </c>
      <c r="C28" s="3">
        <v>10559952</v>
      </c>
      <c r="D28" s="3">
        <v>151536</v>
      </c>
      <c r="E28" s="3">
        <v>832134</v>
      </c>
      <c r="F28" s="3">
        <v>8219959.2000000002</v>
      </c>
      <c r="G28" s="3">
        <v>12336418.800000001</v>
      </c>
      <c r="H28" s="4">
        <f t="shared" si="0"/>
        <v>0.38431211214953276</v>
      </c>
      <c r="I28" s="9">
        <f t="shared" si="1"/>
        <v>0.61096714018691589</v>
      </c>
      <c r="J28" s="9">
        <f t="shared" si="2"/>
        <v>4.7207476635514022E-3</v>
      </c>
    </row>
    <row r="29" spans="1:10" ht="18" customHeight="1" x14ac:dyDescent="0.35">
      <c r="A29" s="2" t="s">
        <v>36</v>
      </c>
      <c r="B29" s="3">
        <v>32920981.84</v>
      </c>
      <c r="C29" s="3">
        <v>0</v>
      </c>
      <c r="D29" s="3">
        <v>22592635.920000002</v>
      </c>
      <c r="E29" s="3">
        <v>0</v>
      </c>
      <c r="F29" s="3">
        <v>102000</v>
      </c>
      <c r="G29" s="3">
        <v>10226345.92</v>
      </c>
      <c r="H29" s="4">
        <f t="shared" si="0"/>
        <v>0.31063307800785811</v>
      </c>
      <c r="I29" s="9">
        <f t="shared" si="1"/>
        <v>3.0983280053958439E-3</v>
      </c>
      <c r="J29" s="9">
        <f t="shared" si="2"/>
        <v>0.68626859398674611</v>
      </c>
    </row>
    <row r="30" spans="1:10" ht="22" customHeight="1" x14ac:dyDescent="0.35">
      <c r="A30" s="5" t="s">
        <v>37</v>
      </c>
      <c r="B30" s="6">
        <f t="shared" ref="B30:G30" si="3">SUM(B4:B29)</f>
        <v>2052922522.1399999</v>
      </c>
      <c r="C30" s="6">
        <f t="shared" si="3"/>
        <v>27205732.800000001</v>
      </c>
      <c r="D30" s="6">
        <f t="shared" si="3"/>
        <v>557827247.12</v>
      </c>
      <c r="E30" s="6">
        <f t="shared" si="3"/>
        <v>6677454.1100000003</v>
      </c>
      <c r="F30" s="6">
        <f t="shared" si="3"/>
        <v>12953056.800000001</v>
      </c>
      <c r="G30" s="6">
        <f t="shared" si="3"/>
        <v>1364325649.3700004</v>
      </c>
      <c r="H30" s="7">
        <f t="shared" si="0"/>
        <v>0.66457727198969252</v>
      </c>
      <c r="I30" s="10">
        <f t="shared" si="1"/>
        <v>2.2814423440187671E-2</v>
      </c>
      <c r="J30" s="10">
        <f t="shared" si="2"/>
        <v>0.27172347767830607</v>
      </c>
    </row>
  </sheetData>
  <mergeCells count="1">
    <mergeCell ref="A1:J1"/>
  </mergeCells>
  <conditionalFormatting sqref="H4:H30">
    <cfRule type="cellIs" dxfId="5" priority="1" operator="lessThan">
      <formula>0.15</formula>
    </cfRule>
    <cfRule type="cellIs" dxfId="4" priority="2" operator="greaterThanOrEqual">
      <formula>0.5</formula>
    </cfRule>
  </conditionalFormatting>
  <printOptions horizontalCentered="1"/>
  <pageMargins left="0.30555555555555558" right="0.30555555555555558" top="0.5" bottom="0.5" header="0.5" footer="0.5"/>
  <pageSetup scale="91" orientation="landscape"/>
  <headerFooter>
    <oddFooter>&amp;LSNRT - Direction des Achats&amp;CA l'attention de la Direction Financiere&amp;RPage &amp;P / &amp;N   - 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5"/>
  <sheetViews>
    <sheetView showGridLines="0" workbookViewId="0">
      <selection activeCell="A21" sqref="A21:XFD21"/>
    </sheetView>
  </sheetViews>
  <sheetFormatPr baseColWidth="10" defaultColWidth="8.7265625" defaultRowHeight="14.5" x14ac:dyDescent="0.35"/>
  <cols>
    <col min="1" max="2" width="16" style="16" customWidth="1"/>
    <col min="3" max="3" width="15" style="16" customWidth="1"/>
    <col min="4" max="4" width="16" style="16" customWidth="1"/>
    <col min="5" max="6" width="15" style="16" customWidth="1"/>
    <col min="7" max="7" width="16" style="16" customWidth="1"/>
    <col min="8" max="9" width="12" style="16" customWidth="1"/>
  </cols>
  <sheetData>
    <row r="1" spans="1:9" ht="28" customHeight="1" x14ac:dyDescent="0.35">
      <c r="A1" s="26" t="s">
        <v>38</v>
      </c>
      <c r="B1" s="25"/>
      <c r="C1" s="25"/>
      <c r="D1" s="25"/>
      <c r="E1" s="25"/>
      <c r="F1" s="25"/>
      <c r="G1" s="25"/>
      <c r="H1" s="25"/>
      <c r="I1" s="25"/>
    </row>
    <row r="3" spans="1:9" ht="22" customHeight="1" x14ac:dyDescent="0.35">
      <c r="A3" s="27" t="s">
        <v>39</v>
      </c>
      <c r="B3" s="25"/>
      <c r="C3" s="25"/>
      <c r="D3" s="25"/>
      <c r="E3" s="25"/>
      <c r="F3" s="25"/>
      <c r="G3" s="25"/>
      <c r="H3" s="25"/>
      <c r="I3" s="25"/>
    </row>
    <row r="4" spans="1:9" ht="30" customHeight="1" x14ac:dyDescent="0.35">
      <c r="A4" s="17" t="s">
        <v>1</v>
      </c>
      <c r="B4" s="17" t="s">
        <v>40</v>
      </c>
      <c r="C4" s="17" t="s">
        <v>3</v>
      </c>
      <c r="D4" s="17" t="s">
        <v>4</v>
      </c>
      <c r="E4" s="17" t="s">
        <v>41</v>
      </c>
      <c r="F4" s="17" t="s">
        <v>6</v>
      </c>
      <c r="G4" s="17" t="s">
        <v>7</v>
      </c>
      <c r="H4" s="17" t="s">
        <v>8</v>
      </c>
      <c r="I4" s="17" t="s">
        <v>10</v>
      </c>
    </row>
    <row r="5" spans="1:9" ht="18" customHeight="1" x14ac:dyDescent="0.35">
      <c r="A5" s="18" t="s">
        <v>26</v>
      </c>
      <c r="B5" s="19">
        <v>24267384</v>
      </c>
      <c r="C5" s="19">
        <v>2365740</v>
      </c>
      <c r="D5" s="19">
        <v>2388367.2000000002</v>
      </c>
      <c r="E5" s="19">
        <v>0</v>
      </c>
      <c r="F5" s="19">
        <v>4467153.5999999996</v>
      </c>
      <c r="G5" s="19">
        <v>15046123.199999999</v>
      </c>
      <c r="H5" s="20">
        <f t="shared" ref="H5:H10" si="0">IF(B5=0,0,G5/B5)</f>
        <v>0.62001422155762642</v>
      </c>
      <c r="I5" s="20">
        <f t="shared" ref="I5:I10" si="1">IF(B5=0,0,D5/B5)</f>
        <v>9.8418815971264159E-2</v>
      </c>
    </row>
    <row r="6" spans="1:9" ht="18" customHeight="1" x14ac:dyDescent="0.35">
      <c r="A6" s="18" t="s">
        <v>30</v>
      </c>
      <c r="B6" s="19">
        <v>679118.4</v>
      </c>
      <c r="C6" s="19">
        <v>349387.2</v>
      </c>
      <c r="D6" s="19">
        <v>166800</v>
      </c>
      <c r="E6" s="19">
        <v>0</v>
      </c>
      <c r="F6" s="19">
        <v>0</v>
      </c>
      <c r="G6" s="19">
        <v>162931.20000000001</v>
      </c>
      <c r="H6" s="20">
        <f t="shared" si="0"/>
        <v>0.23991574959535775</v>
      </c>
      <c r="I6" s="20">
        <f t="shared" si="1"/>
        <v>0.24561254709046315</v>
      </c>
    </row>
    <row r="7" spans="1:9" ht="18" customHeight="1" x14ac:dyDescent="0.35">
      <c r="A7" s="18" t="s">
        <v>42</v>
      </c>
      <c r="B7" s="19">
        <v>41454646.399999999</v>
      </c>
      <c r="C7" s="19">
        <v>10984982</v>
      </c>
      <c r="D7" s="19">
        <v>2688636</v>
      </c>
      <c r="E7" s="19">
        <v>0</v>
      </c>
      <c r="F7" s="19">
        <v>0</v>
      </c>
      <c r="G7" s="19">
        <v>27781028.399999999</v>
      </c>
      <c r="H7" s="20">
        <f t="shared" si="0"/>
        <v>0.67015475495649146</v>
      </c>
      <c r="I7" s="20">
        <f t="shared" si="1"/>
        <v>6.4857289435232043E-2</v>
      </c>
    </row>
    <row r="8" spans="1:9" ht="18" customHeight="1" x14ac:dyDescent="0.35">
      <c r="A8" s="18" t="s">
        <v>35</v>
      </c>
      <c r="B8" s="19">
        <v>3615120</v>
      </c>
      <c r="C8" s="19">
        <v>0</v>
      </c>
      <c r="D8" s="19">
        <v>2958360</v>
      </c>
      <c r="E8" s="19">
        <v>0</v>
      </c>
      <c r="F8" s="19">
        <v>0</v>
      </c>
      <c r="G8" s="19">
        <v>656760</v>
      </c>
      <c r="H8" s="20">
        <f t="shared" si="0"/>
        <v>0.1816703179977428</v>
      </c>
      <c r="I8" s="20">
        <f t="shared" si="1"/>
        <v>0.8183296820022572</v>
      </c>
    </row>
    <row r="9" spans="1:9" ht="18" customHeight="1" x14ac:dyDescent="0.35">
      <c r="A9" s="18" t="s">
        <v>43</v>
      </c>
      <c r="B9" s="19">
        <v>29075308.800000001</v>
      </c>
      <c r="C9" s="19">
        <v>10915820.17</v>
      </c>
      <c r="D9" s="19">
        <v>13082365.140000001</v>
      </c>
      <c r="E9" s="19">
        <v>978972</v>
      </c>
      <c r="F9" s="19">
        <v>1512000</v>
      </c>
      <c r="G9" s="19">
        <v>2586151.4900000002</v>
      </c>
      <c r="H9" s="20">
        <f t="shared" si="0"/>
        <v>8.8946656002497904E-2</v>
      </c>
      <c r="I9" s="20">
        <f t="shared" si="1"/>
        <v>0.44994759058242573</v>
      </c>
    </row>
    <row r="10" spans="1:9" ht="22" customHeight="1" x14ac:dyDescent="0.35">
      <c r="A10" s="21" t="s">
        <v>44</v>
      </c>
      <c r="B10" s="22">
        <f t="shared" ref="B10:G10" si="2">SUM(B5:B9)</f>
        <v>99091577.599999994</v>
      </c>
      <c r="C10" s="22">
        <f t="shared" si="2"/>
        <v>24615929.369999997</v>
      </c>
      <c r="D10" s="22">
        <f t="shared" si="2"/>
        <v>21284528.34</v>
      </c>
      <c r="E10" s="22">
        <f t="shared" si="2"/>
        <v>978972</v>
      </c>
      <c r="F10" s="22">
        <f t="shared" si="2"/>
        <v>5979153.5999999996</v>
      </c>
      <c r="G10" s="22">
        <f t="shared" si="2"/>
        <v>46232994.289999999</v>
      </c>
      <c r="H10" s="23">
        <f t="shared" si="0"/>
        <v>0.46656835434215554</v>
      </c>
      <c r="I10" s="23">
        <f t="shared" si="1"/>
        <v>0.21479654331388909</v>
      </c>
    </row>
    <row r="12" spans="1:9" ht="22" customHeight="1" x14ac:dyDescent="0.35">
      <c r="A12" s="27" t="s">
        <v>45</v>
      </c>
      <c r="B12" s="25"/>
      <c r="C12" s="25"/>
      <c r="D12" s="25"/>
      <c r="E12" s="25"/>
      <c r="F12" s="25"/>
      <c r="G12" s="25"/>
      <c r="H12" s="25"/>
      <c r="I12" s="25"/>
    </row>
    <row r="13" spans="1:9" ht="30" customHeight="1" x14ac:dyDescent="0.35">
      <c r="A13" s="17" t="s">
        <v>1</v>
      </c>
      <c r="B13" s="17" t="s">
        <v>40</v>
      </c>
      <c r="C13" s="17" t="s">
        <v>3</v>
      </c>
      <c r="D13" s="17" t="s">
        <v>4</v>
      </c>
      <c r="E13" s="17" t="s">
        <v>41</v>
      </c>
      <c r="F13" s="17" t="s">
        <v>6</v>
      </c>
      <c r="G13" s="17" t="s">
        <v>7</v>
      </c>
      <c r="H13" s="17" t="s">
        <v>8</v>
      </c>
      <c r="I13" s="17" t="s">
        <v>10</v>
      </c>
    </row>
    <row r="14" spans="1:9" ht="18" customHeight="1" x14ac:dyDescent="0.35">
      <c r="A14" s="18" t="s">
        <v>17</v>
      </c>
      <c r="B14" s="19">
        <v>9900000</v>
      </c>
      <c r="C14" s="19">
        <v>0</v>
      </c>
      <c r="D14" s="19">
        <v>198971.91</v>
      </c>
      <c r="E14" s="19">
        <v>0</v>
      </c>
      <c r="F14" s="19">
        <v>0</v>
      </c>
      <c r="G14" s="19">
        <v>9701028.0899999999</v>
      </c>
      <c r="H14" s="20">
        <f t="shared" ref="H14:H25" si="3">IF(B14=0,0,G14/B14)</f>
        <v>0.97990182727272723</v>
      </c>
      <c r="I14" s="20">
        <f t="shared" ref="I14:I25" si="4">IF(B14=0,0,D14/B14)</f>
        <v>2.0098172727272729E-2</v>
      </c>
    </row>
    <row r="15" spans="1:9" ht="18" customHeight="1" x14ac:dyDescent="0.35">
      <c r="A15" s="18" t="s">
        <v>18</v>
      </c>
      <c r="B15" s="19">
        <v>1000000</v>
      </c>
      <c r="C15" s="19">
        <v>0</v>
      </c>
      <c r="D15" s="19">
        <v>0</v>
      </c>
      <c r="E15" s="19">
        <v>0</v>
      </c>
      <c r="F15" s="19">
        <v>0</v>
      </c>
      <c r="G15" s="19">
        <v>1000000</v>
      </c>
      <c r="H15" s="20">
        <f t="shared" si="3"/>
        <v>1</v>
      </c>
      <c r="I15" s="20">
        <f t="shared" si="4"/>
        <v>0</v>
      </c>
    </row>
    <row r="16" spans="1:9" ht="18" customHeight="1" x14ac:dyDescent="0.35">
      <c r="A16" s="18" t="s">
        <v>20</v>
      </c>
      <c r="B16" s="19">
        <v>1600000</v>
      </c>
      <c r="C16" s="19">
        <v>0</v>
      </c>
      <c r="D16" s="19">
        <v>0</v>
      </c>
      <c r="E16" s="19">
        <v>0</v>
      </c>
      <c r="F16" s="19">
        <v>0</v>
      </c>
      <c r="G16" s="28">
        <v>500000</v>
      </c>
      <c r="H16" s="20">
        <f t="shared" si="3"/>
        <v>0.3125</v>
      </c>
      <c r="I16" s="20">
        <f t="shared" si="4"/>
        <v>0</v>
      </c>
    </row>
    <row r="17" spans="1:9" ht="18" customHeight="1" x14ac:dyDescent="0.35">
      <c r="A17" s="18" t="s">
        <v>24</v>
      </c>
      <c r="B17" s="19">
        <v>1010000</v>
      </c>
      <c r="C17" s="19">
        <v>0</v>
      </c>
      <c r="D17" s="19">
        <v>0</v>
      </c>
      <c r="E17" s="19">
        <v>0</v>
      </c>
      <c r="F17" s="19">
        <v>0</v>
      </c>
      <c r="G17" s="19">
        <v>1010000</v>
      </c>
      <c r="H17" s="20">
        <f t="shared" si="3"/>
        <v>1</v>
      </c>
      <c r="I17" s="20">
        <f t="shared" si="4"/>
        <v>0</v>
      </c>
    </row>
    <row r="18" spans="1:9" ht="18" customHeight="1" x14ac:dyDescent="0.35">
      <c r="A18" s="18" t="s">
        <v>26</v>
      </c>
      <c r="B18" s="19">
        <v>24060000</v>
      </c>
      <c r="C18" s="19">
        <v>551520</v>
      </c>
      <c r="D18" s="19">
        <v>238938</v>
      </c>
      <c r="E18" s="19">
        <v>45000</v>
      </c>
      <c r="F18" s="19">
        <v>0</v>
      </c>
      <c r="G18" s="19">
        <v>23224542</v>
      </c>
      <c r="H18" s="20">
        <f t="shared" si="3"/>
        <v>0.96527605985037401</v>
      </c>
      <c r="I18" s="20">
        <f t="shared" si="4"/>
        <v>9.9309226932668328E-3</v>
      </c>
    </row>
    <row r="19" spans="1:9" ht="18" customHeight="1" x14ac:dyDescent="0.35">
      <c r="A19" s="18" t="s">
        <v>30</v>
      </c>
      <c r="B19" s="19">
        <v>68242795</v>
      </c>
      <c r="C19" s="19">
        <v>11990503.199999999</v>
      </c>
      <c r="D19" s="19">
        <v>1137114.26</v>
      </c>
      <c r="E19" s="19">
        <v>0</v>
      </c>
      <c r="F19" s="19">
        <v>388353.6</v>
      </c>
      <c r="G19" s="19">
        <v>54726823.940000013</v>
      </c>
      <c r="H19" s="20">
        <f t="shared" si="3"/>
        <v>0.80194288554564641</v>
      </c>
      <c r="I19" s="20">
        <f t="shared" si="4"/>
        <v>1.666277385033834E-2</v>
      </c>
    </row>
    <row r="20" spans="1:9" ht="18" customHeight="1" x14ac:dyDescent="0.35">
      <c r="A20" s="18" t="s">
        <v>42</v>
      </c>
      <c r="B20" s="19">
        <v>73200000</v>
      </c>
      <c r="C20" s="19">
        <v>2017741.2</v>
      </c>
      <c r="D20" s="19">
        <v>0</v>
      </c>
      <c r="E20" s="19">
        <v>0</v>
      </c>
      <c r="F20" s="19">
        <v>3758731.2</v>
      </c>
      <c r="G20" s="19">
        <v>67423527.599999994</v>
      </c>
      <c r="H20" s="20">
        <f t="shared" si="3"/>
        <v>0.9210864426229507</v>
      </c>
      <c r="I20" s="20">
        <f t="shared" si="4"/>
        <v>0</v>
      </c>
    </row>
    <row r="21" spans="1:9" ht="18" customHeight="1" x14ac:dyDescent="0.35">
      <c r="A21" s="18" t="s">
        <v>33</v>
      </c>
      <c r="B21" s="19">
        <v>300000</v>
      </c>
      <c r="C21" s="19">
        <v>0</v>
      </c>
      <c r="D21" s="19">
        <v>0</v>
      </c>
      <c r="E21" s="19">
        <v>0</v>
      </c>
      <c r="F21" s="19">
        <v>0</v>
      </c>
      <c r="G21" s="19">
        <v>300000</v>
      </c>
      <c r="H21" s="20">
        <f t="shared" si="3"/>
        <v>1</v>
      </c>
      <c r="I21" s="20">
        <f t="shared" si="4"/>
        <v>0</v>
      </c>
    </row>
    <row r="22" spans="1:9" ht="18" customHeight="1" x14ac:dyDescent="0.35">
      <c r="A22" s="18" t="s">
        <v>35</v>
      </c>
      <c r="B22" s="19">
        <v>15300000</v>
      </c>
      <c r="C22" s="19">
        <v>0</v>
      </c>
      <c r="D22" s="19">
        <v>0</v>
      </c>
      <c r="E22" s="19">
        <v>0</v>
      </c>
      <c r="F22" s="19">
        <v>0</v>
      </c>
      <c r="G22" s="19">
        <v>15300000</v>
      </c>
      <c r="H22" s="20">
        <f t="shared" si="3"/>
        <v>1</v>
      </c>
      <c r="I22" s="20">
        <f t="shared" si="4"/>
        <v>0</v>
      </c>
    </row>
    <row r="23" spans="1:9" ht="18" customHeight="1" x14ac:dyDescent="0.35">
      <c r="A23" s="18" t="s">
        <v>43</v>
      </c>
      <c r="B23" s="19">
        <v>50625000</v>
      </c>
      <c r="C23" s="19">
        <v>0</v>
      </c>
      <c r="D23" s="19">
        <v>89976</v>
      </c>
      <c r="E23" s="19">
        <v>0</v>
      </c>
      <c r="F23" s="19">
        <v>345600</v>
      </c>
      <c r="G23" s="19">
        <v>50189424</v>
      </c>
      <c r="H23" s="20">
        <f t="shared" si="3"/>
        <v>0.99139602962962958</v>
      </c>
      <c r="I23" s="20">
        <f t="shared" si="4"/>
        <v>1.7773037037037036E-3</v>
      </c>
    </row>
    <row r="24" spans="1:9" ht="18" customHeight="1" x14ac:dyDescent="0.35">
      <c r="A24" s="18" t="s">
        <v>36</v>
      </c>
      <c r="B24" s="19">
        <v>420000</v>
      </c>
      <c r="C24" s="19">
        <v>0</v>
      </c>
      <c r="D24" s="19">
        <v>0</v>
      </c>
      <c r="E24" s="19">
        <v>0</v>
      </c>
      <c r="F24" s="19">
        <v>0</v>
      </c>
      <c r="G24" s="19">
        <v>420000</v>
      </c>
      <c r="H24" s="20">
        <f t="shared" si="3"/>
        <v>1</v>
      </c>
      <c r="I24" s="20">
        <f t="shared" si="4"/>
        <v>0</v>
      </c>
    </row>
    <row r="25" spans="1:9" ht="22" customHeight="1" x14ac:dyDescent="0.35">
      <c r="A25" s="21" t="s">
        <v>46</v>
      </c>
      <c r="B25" s="22">
        <f t="shared" ref="B25:G25" si="5">SUM(B14:B24)</f>
        <v>245657795</v>
      </c>
      <c r="C25" s="22">
        <f t="shared" si="5"/>
        <v>14559764.399999999</v>
      </c>
      <c r="D25" s="22">
        <f t="shared" si="5"/>
        <v>1665000.17</v>
      </c>
      <c r="E25" s="22">
        <f t="shared" si="5"/>
        <v>45000</v>
      </c>
      <c r="F25" s="22">
        <f t="shared" si="5"/>
        <v>4492684.8000000007</v>
      </c>
      <c r="G25" s="22">
        <f t="shared" si="5"/>
        <v>223795345.63</v>
      </c>
      <c r="H25" s="23">
        <f t="shared" si="3"/>
        <v>0.91100445491664528</v>
      </c>
      <c r="I25" s="23">
        <f t="shared" si="4"/>
        <v>6.7777217083626433E-3</v>
      </c>
    </row>
  </sheetData>
  <mergeCells count="3">
    <mergeCell ref="A1:I1"/>
    <mergeCell ref="A12:I12"/>
    <mergeCell ref="A3:I3"/>
  </mergeCells>
  <conditionalFormatting sqref="H5:H10">
    <cfRule type="cellIs" dxfId="3" priority="1" operator="lessThan">
      <formula>0.15</formula>
    </cfRule>
    <cfRule type="cellIs" dxfId="2" priority="2" operator="greaterThanOrEqual">
      <formula>0.5</formula>
    </cfRule>
  </conditionalFormatting>
  <conditionalFormatting sqref="H14:H25">
    <cfRule type="cellIs" dxfId="1" priority="3" operator="lessThan">
      <formula>0.15</formula>
    </cfRule>
    <cfRule type="cellIs" dxfId="0" priority="4" operator="greaterThanOrEqual">
      <formula>0.5</formula>
    </cfRule>
  </conditionalFormatting>
  <pageMargins left="0.75" right="0.75" top="1" bottom="1" header="0.5" footer="0.5"/>
  <pageSetup orientation="landscape"/>
  <headerFooter>
    <oddFooter>&amp;LSNRT - Direction des Achats&amp;CA l'attention de la Direction Financiere&amp;RPage &amp;P / &amp;N   - 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FONCTIONNEMENT</vt:lpstr>
      <vt:lpstr>INVESTISSEMENT</vt:lpstr>
      <vt:lpstr>FONCTIONNEMENT!Print_Area</vt:lpstr>
      <vt:lpstr>INVESTISSEMENT!Print_Area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2026-07-14T14:56:22Z</dcterms:created>
  <dcterms:modified xsi:type="dcterms:W3CDTF">2026-07-16T13:56:13Z</dcterms:modified>
</cp:coreProperties>
</file>