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.ahoujil\Desktop\20\2026\"/>
    </mc:Choice>
  </mc:AlternateContent>
  <bookViews>
    <workbookView xWindow="0" yWindow="0" windowWidth="28800" windowHeight="13125" activeTab="1"/>
  </bookViews>
  <sheets>
    <sheet name="RECAP" sheetId="3" r:id="rId1"/>
    <sheet name="Report 2025 à 2026" sheetId="1" r:id="rId2"/>
  </sheets>
  <externalReferences>
    <externalReference r:id="rId3"/>
  </externalReferences>
  <definedNames>
    <definedName name="_xlnm._FilterDatabase" localSheetId="1" hidden="1">'Report 2025 à 2026'!$A$1:$AA$32</definedName>
    <definedName name="ANN">[1]Parametres!$A$116</definedName>
    <definedName name="INF">[1]Parametres!$A$115</definedName>
    <definedName name="NA">[1]Parametres!$A$113</definedName>
    <definedName name="TypBudget">[1]Parametres!$A$2:$A$5</definedName>
    <definedName name="xBesoin">[1]Parametres!$A$146:$A$149</definedName>
    <definedName name="xBUDGET">[1]Parametres!$A$7:$A$8</definedName>
    <definedName name="xCATEGORIES">[1]Parametres!$A$137:$A$139</definedName>
    <definedName name="xDIRECTION">[1]Parametres!$A$51:$A$78</definedName>
    <definedName name="xRec">[1]Parametres!$A$149</definedName>
    <definedName name="xStatut1">[1]Parametres!$A$113:$A$118</definedName>
    <definedName name="xSTATUTSUP">[1]Parametres!$A$128:$A$135</definedName>
    <definedName name="xStEng">[1]Parametres!$A$96:$A$100</definedName>
    <definedName name="xTYPE1">[1]Parametres!$A$102:$A$111</definedName>
    <definedName name="xTYPSUP">[1]Parametres!$A$120:$A$126</definedName>
  </definedName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<sst xmlns="http://schemas.openxmlformats.org/spreadsheetml/2006/main" count="381" uniqueCount="117">
  <si>
    <t>ANNEE LANCEMENT</t>
  </si>
  <si>
    <t>N°AOO</t>
  </si>
  <si>
    <t>TYPE 1</t>
  </si>
  <si>
    <t>STATUT 1</t>
  </si>
  <si>
    <t>LOTS</t>
  </si>
  <si>
    <t xml:space="preserve">DIRECTION </t>
  </si>
  <si>
    <t>OBJET</t>
  </si>
  <si>
    <t>TYPE BUDGET</t>
  </si>
  <si>
    <t>BUDGET</t>
  </si>
  <si>
    <t>LIGNES BUDGETAIRES</t>
  </si>
  <si>
    <t>MONTANT PREENGAGE INITIAL</t>
  </si>
  <si>
    <t>ESTIMATION TTC</t>
  </si>
  <si>
    <t>ESTIMATION HT</t>
  </si>
  <si>
    <t>ADJUDICATAIRE / FRS</t>
  </si>
  <si>
    <t>ANNEE APPROBATION</t>
  </si>
  <si>
    <t>N° SUPPORT D'ENGAGEMENT</t>
  </si>
  <si>
    <t>TYPE DE SUPPORT D'ENGAGEMENT</t>
  </si>
  <si>
    <t>STATUT SUPPORT D'ENGAGEMENT</t>
  </si>
  <si>
    <t>DATE APPROB</t>
  </si>
  <si>
    <t>STATUT D'ENGAGEMENT</t>
  </si>
  <si>
    <t>AOO-M</t>
  </si>
  <si>
    <t>ANNULE</t>
  </si>
  <si>
    <t>INVESTISSEMENT</t>
  </si>
  <si>
    <t>MARCHE</t>
  </si>
  <si>
    <t>NON ENGAGE</t>
  </si>
  <si>
    <t>INFRUCTUEUX</t>
  </si>
  <si>
    <t>105AOM</t>
  </si>
  <si>
    <t>TDF -SITES</t>
  </si>
  <si>
    <t xml:space="preserve">Fourniture d'un ensemble d'appareils de mesure et test pour les réseaux de faisceaux hertziens et les signaux vidéo </t>
  </si>
  <si>
    <t>DTSI</t>
  </si>
  <si>
    <t>Ordinaire</t>
  </si>
  <si>
    <t>Equipements de télédiffusion</t>
  </si>
  <si>
    <t>Exceptionnel</t>
  </si>
  <si>
    <t>Equipements techniques</t>
  </si>
  <si>
    <t>DPMG</t>
  </si>
  <si>
    <t>Agencements et aménagement constructions</t>
  </si>
  <si>
    <t>Installations techniques</t>
  </si>
  <si>
    <t>Immobilisations incorporelles (logiciels, licences, etc.)</t>
  </si>
  <si>
    <t>Fourniture et mise en service de licences de la solution de gestion des RH pour les besoins de la SNRT</t>
  </si>
  <si>
    <t>56AOM</t>
  </si>
  <si>
    <t>EN SIGNATURE</t>
  </si>
  <si>
    <t>Acquisition et travaux d'installation d'un ascenseur  dans le bâtiment de la Radio SNRT-Rabat</t>
  </si>
  <si>
    <t>PHASE AOO</t>
  </si>
  <si>
    <t>EN COURS DE PREENGAGEMENT</t>
  </si>
  <si>
    <t>62AOM</t>
  </si>
  <si>
    <t>VALIDE</t>
  </si>
  <si>
    <t>Travaux d'aménagement des sites de diffusion de la SNRT "LAKHIAR KHMISSET"- "SIDI AHMED BENRAHAL SIDI BENNOUR"</t>
  </si>
  <si>
    <t>ATLANTIC MULTIPOLE</t>
  </si>
  <si>
    <t>EN COURS D'ENGAGEMENT</t>
  </si>
  <si>
    <t>64AOM</t>
  </si>
  <si>
    <t>70AOM</t>
  </si>
  <si>
    <t>Travaux d'extension de l'Abri des cars Régies à Temara</t>
  </si>
  <si>
    <t>71AOM</t>
  </si>
  <si>
    <t>Travaux de démolition et de reconstruction d'un mur de cloture de la station Régionale Radio à Oujda</t>
  </si>
  <si>
    <t>73AOM</t>
  </si>
  <si>
    <t>74AOM</t>
  </si>
  <si>
    <t>75AOM</t>
  </si>
  <si>
    <t>Fourniture, installation et mise en service de climatiseurs de type armoire de puissance frigorifique 48000 Btu</t>
  </si>
  <si>
    <t>BRAHIM SIDATE</t>
  </si>
  <si>
    <t>ATTRIBUE</t>
  </si>
  <si>
    <t>PREENGAGE</t>
  </si>
  <si>
    <t>78AOM</t>
  </si>
  <si>
    <t>TDF-EXP&amp;MAIN</t>
  </si>
  <si>
    <t>Travaux d'entretien et renouvellement  du faux plancher de la salle technique du centre SNRT d'AIN CHOCK</t>
  </si>
  <si>
    <t>82AOM</t>
  </si>
  <si>
    <t xml:space="preserve">Acquisition de matériel technique et informatique pour l'extension de l'outil digital de gestion de ressources techniques et humaines de l'exploitation et de la maintenance </t>
  </si>
  <si>
    <t>89AOM</t>
  </si>
  <si>
    <t>Fourniture d'une solution DLP "Data Loss Prevention"</t>
  </si>
  <si>
    <t>90AOM</t>
  </si>
  <si>
    <t>Fourniture, installation et mise en service de dix stations DVB-T/T2 de puissance 500 W rms et d'une station DVB-T/T2 de 1KW rms, fonctionnant en mode (2+1) dans la bande [474-690] MHz, avec triplexeurs RF et accessoires</t>
  </si>
  <si>
    <t>Fourniture et mise en service d'équipements de captation vidéo et de prise de son destinés aux besoins de production des chaînes TV</t>
  </si>
  <si>
    <t>92AOM</t>
  </si>
  <si>
    <t>Acquisition de mobilier de bureau pour la SNRT</t>
  </si>
  <si>
    <t>Moblier de bureau</t>
  </si>
  <si>
    <t>STOKAD</t>
  </si>
  <si>
    <t>93AOM</t>
  </si>
  <si>
    <t>Fourniture, insallation et mise en service d'antenne parabolique 3,6 m et guide d'ondes elliptique 4 GHz pour le réseau faisceaux hertiziens</t>
  </si>
  <si>
    <t>96AOM</t>
  </si>
  <si>
    <t>Fourniture de commutateurs de flux " Transport Stream over ASI/IP (TSoASI/IP)</t>
  </si>
  <si>
    <t>Fourniture de convertisseurs "Electrique/Optique" - "Optique/Electrique" bidirectionnels pour les signaux électrique SDI, ASI et IP</t>
  </si>
  <si>
    <t>MOYANO MAROC</t>
  </si>
  <si>
    <t>97AOM</t>
  </si>
  <si>
    <t>Travaux d'aménagement du site de diffusion JBEL TAZEKKA (P.TAZA)</t>
  </si>
  <si>
    <t>MED MAN</t>
  </si>
  <si>
    <t>99AOM</t>
  </si>
  <si>
    <t>100AOM</t>
  </si>
  <si>
    <t>Fourniture, installation des radômes pour le feeder du centre émetteur radio AM de Foum El Ouad à Laayoune</t>
  </si>
  <si>
    <t>101AOM</t>
  </si>
  <si>
    <t>Fourniture, installation et mise en service des onduleurs 2 x 150 KVA type modulaires au centre SNRT de ZAER</t>
  </si>
  <si>
    <t>102AOM</t>
  </si>
  <si>
    <t>Fourniture, installation et mise en service d'une station de diffusion radio FM composée d'émetteurs de puissance 1kw en mode (5+1) et un combiner RF avec ses accessoires+ 2 stations de diffusion radio FM  composée d'émetteurs de puissance 500W en mode 5+1 et un combiner RF + 2 émetteurs FM de puissance 2KW avec leurs accessoires</t>
  </si>
  <si>
    <t>103AOM</t>
  </si>
  <si>
    <t>Fourniture de combiners / upconverters</t>
  </si>
  <si>
    <t>104AOM</t>
  </si>
  <si>
    <t>Travaux d'aménagement et d'agencement de la régie publicitaire et des solutions digitales</t>
  </si>
  <si>
    <t>XXXXAOM</t>
  </si>
  <si>
    <t>Fourniture d’un nouveau groupe électrogène pour le centre de PALOMAS de puissance 200 KW/PRP, ainsi que la mise à niveau et transfert de quelques groupes électrogène entre quelques centres SNRT</t>
  </si>
  <si>
    <t>TAMAZIGHT</t>
  </si>
  <si>
    <t>Conception et fabrication d'un ensemble de décors comprenant une table et cinq chaises dédiées aux émissions de débat télévisé diffusées sur la chaîne TV8</t>
  </si>
  <si>
    <t>Fourniture et installation du matériel de bureau : Photocopieurs, Fax, Toners, Drums et Fours</t>
  </si>
  <si>
    <t>Matériel de bureau</t>
  </si>
  <si>
    <t>Acquisition et installation de caméras dans les locaux de la SNRT y compris serveurs et baie de stockage</t>
  </si>
  <si>
    <t>Travaux d'aménagement des locaux techniques à RABAT lot: AMENAGEMENT ET AGENCEMENT</t>
  </si>
  <si>
    <t>Travaux d'aménagement des locaux techniques à RABAT lot: ELECTRICITE-LUSTRERIES-CLIMATISATION</t>
  </si>
  <si>
    <t>MONTANT MARCHE HT
PART EN MAD</t>
  </si>
  <si>
    <t>MONTANT MARCHE HT
PART EN DEVISES</t>
  </si>
  <si>
    <t>MONTANT MARCHE TTC
 PART EN MAD</t>
  </si>
  <si>
    <t>MONTANT MARCHE TTC
PART EN DEVISES</t>
  </si>
  <si>
    <t xml:space="preserve"> TOTAL ENGAGE HT</t>
  </si>
  <si>
    <t>TOTAL ENGAGE TTC</t>
  </si>
  <si>
    <t xml:space="preserve">MONTANT A REPORTER </t>
  </si>
  <si>
    <t>Étiquettes de lignes</t>
  </si>
  <si>
    <t>Total général</t>
  </si>
  <si>
    <t xml:space="preserve">Somme de MONTANT A REPORTER </t>
  </si>
  <si>
    <r>
      <t xml:space="preserve">Fourniture et mise en service des équipements de réception par satellite pour les besoins de la SNRT  </t>
    </r>
    <r>
      <rPr>
        <sz val="11"/>
        <color rgb="FFC00000"/>
        <rFont val="Calibri"/>
        <family val="2"/>
        <scheme val="minor"/>
      </rPr>
      <t/>
    </r>
  </si>
  <si>
    <t xml:space="preserve">Fourniture et mise en service de démodulateurs satellite multinormes pour les besoins de la SNRT </t>
  </si>
  <si>
    <t xml:space="preserve">Fourniture et mise en service d'un systéme d'intercom boradcast pour les besoins de la SNRT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</si>
</sst>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#,##0.00\ [$MAD]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497B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lightUp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43" fontId="2" fillId="0" borderId="2" xfId="1" applyFont="1" applyFill="1" applyBorder="1" applyAlignment="1">
      <alignment vertical="center" wrapText="1"/>
    </xf>
    <xf numFmtId="43" fontId="1" fillId="0" borderId="2" xfId="1" applyFont="1" applyFill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3" fontId="0" fillId="0" borderId="2" xfId="1" applyFont="1" applyFill="1" applyBorder="1" applyAlignment="1">
      <alignment vertical="center" wrapText="1"/>
    </xf>
    <xf numFmtId="43" fontId="6" fillId="4" borderId="2" xfId="1" applyFont="1" applyFill="1" applyBorder="1" applyAlignment="1">
      <alignment horizontal="center" vertical="center" wrapText="1"/>
    </xf>
    <xf numFmtId="164" fontId="1" fillId="0" borderId="2" xfId="1" applyNumberFormat="1" applyFont="1" applyFill="1" applyBorder="1" applyAlignment="1">
      <alignment vertical="center" wrapText="1"/>
    </xf>
    <xf numFmtId="164" fontId="2" fillId="0" borderId="2" xfId="1" applyNumberFormat="1" applyFont="1" applyFill="1" applyBorder="1" applyAlignment="1">
      <alignment vertical="center" wrapText="1"/>
    </xf>
    <xf numFmtId="0" fontId="0" fillId="0" borderId="2" xfId="1" applyNumberFormat="1" applyFont="1" applyFill="1" applyBorder="1" applyAlignment="1">
      <alignment horizontal="center" vertical="center" wrapText="1"/>
    </xf>
    <xf numFmtId="43" fontId="7" fillId="0" borderId="2" xfId="1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8" fillId="5" borderId="2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267"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theme="9"/>
        </patternFill>
      </fill>
    </dxf>
    <dxf>
      <fill>
        <patternFill patternType="lightUp"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.taleb/Desktop/MENU%20PROFESSIONNEL/BUDGET%20AOO/SUIVI%20BUDGETAIRE%202025/BUDGET%20ENGAGEMENTS%20AOO-M-BC-CT%2017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ENGAGEMENTS 2025"/>
      <sheetName val="Archive 2023"/>
      <sheetName val="Archive 2022"/>
      <sheetName val="Archive 2021-2022"/>
      <sheetName val="BUDGET 2024"/>
      <sheetName val="Fiche FONC"/>
      <sheetName val="Fiche INV"/>
      <sheetName val="Fiche INV-DTSI"/>
    </sheetNames>
    <sheetDataSet>
      <sheetData sheetId="0">
        <row r="2">
          <cell r="A2" t="str">
            <v>REPORT BUDGET ANNEE ANTERIEURE</v>
          </cell>
        </row>
        <row r="3">
          <cell r="A3" t="str">
            <v>REPORT BUDGET EXCEP  ANNEE ANTERIEURE</v>
          </cell>
        </row>
        <row r="4">
          <cell r="A4" t="str">
            <v>Ordinaire</v>
          </cell>
        </row>
        <row r="5">
          <cell r="A5" t="str">
            <v>Exceptionnel</v>
          </cell>
        </row>
        <row r="7">
          <cell r="A7" t="str">
            <v>FONCTIONNEMENT</v>
          </cell>
        </row>
        <row r="8">
          <cell r="A8" t="str">
            <v>INVESTISSEMENT</v>
          </cell>
        </row>
        <row r="51">
          <cell r="A51" t="str">
            <v>TDF</v>
          </cell>
        </row>
        <row r="52">
          <cell r="A52" t="str">
            <v>TDF -SITES</v>
          </cell>
        </row>
        <row r="53">
          <cell r="A53" t="str">
            <v>TDF-EXP&amp;MAIN</v>
          </cell>
        </row>
        <row r="54">
          <cell r="A54" t="str">
            <v>DG</v>
          </cell>
        </row>
        <row r="55">
          <cell r="A55" t="str">
            <v>DTSI</v>
          </cell>
        </row>
        <row r="56">
          <cell r="A56" t="str">
            <v>RSSI</v>
          </cell>
        </row>
        <row r="57">
          <cell r="A57" t="str">
            <v>DPMG</v>
          </cell>
        </row>
        <row r="58">
          <cell r="A58" t="str">
            <v>DRPSD</v>
          </cell>
        </row>
        <row r="59">
          <cell r="A59" t="str">
            <v>DINFORADIO</v>
          </cell>
        </row>
        <row r="60">
          <cell r="A60" t="str">
            <v>ARRIYADIA</v>
          </cell>
        </row>
        <row r="61">
          <cell r="A61" t="str">
            <v>TV LAAYOUNE</v>
          </cell>
        </row>
        <row r="62">
          <cell r="A62" t="str">
            <v>MAGHRIBIA</v>
          </cell>
        </row>
        <row r="63">
          <cell r="A63" t="str">
            <v>DMPTV</v>
          </cell>
        </row>
        <row r="64">
          <cell r="A64" t="str">
            <v>TAMAZIGHT</v>
          </cell>
        </row>
        <row r="65">
          <cell r="A65" t="str">
            <v>DINFOTV</v>
          </cell>
        </row>
        <row r="66">
          <cell r="A66" t="str">
            <v>DA</v>
          </cell>
        </row>
        <row r="67">
          <cell r="A67" t="str">
            <v>DRH</v>
          </cell>
        </row>
        <row r="68">
          <cell r="A68" t="str">
            <v>DJURIDIQUE</v>
          </cell>
        </row>
        <row r="69">
          <cell r="A69" t="str">
            <v>ASSADISSA</v>
          </cell>
        </row>
        <row r="70">
          <cell r="A70" t="str">
            <v>ARRABIAA</v>
          </cell>
        </row>
        <row r="71">
          <cell r="A71" t="str">
            <v>DCRI</v>
          </cell>
        </row>
        <row r="72">
          <cell r="A72" t="str">
            <v>DROI</v>
          </cell>
        </row>
        <row r="73">
          <cell r="A73" t="str">
            <v>DAR</v>
          </cell>
        </row>
        <row r="74">
          <cell r="A74" t="str">
            <v>DCPA</v>
          </cell>
        </row>
        <row r="75">
          <cell r="A75" t="str">
            <v>DACG</v>
          </cell>
        </row>
        <row r="76">
          <cell r="A76" t="str">
            <v>DPPR</v>
          </cell>
        </row>
        <row r="77">
          <cell r="A77" t="str">
            <v>DF</v>
          </cell>
        </row>
        <row r="78">
          <cell r="A78" t="str">
            <v>DSI</v>
          </cell>
        </row>
        <row r="96">
          <cell r="A96" t="str">
            <v>EN COURS DE PREENGAGEMENT</v>
          </cell>
        </row>
        <row r="97">
          <cell r="A97" t="str">
            <v>PREENGAGE</v>
          </cell>
        </row>
        <row r="98">
          <cell r="A98" t="str">
            <v>EN COURS D'ENGAGEMENT</v>
          </cell>
        </row>
        <row r="99">
          <cell r="A99" t="str">
            <v>ENGAGE</v>
          </cell>
        </row>
        <row r="100">
          <cell r="A100" t="str">
            <v>NON ENGAGE</v>
          </cell>
        </row>
        <row r="102">
          <cell r="A102" t="str">
            <v>AOO</v>
          </cell>
        </row>
        <row r="103">
          <cell r="A103" t="str">
            <v>AOO-M</v>
          </cell>
        </row>
        <row r="104">
          <cell r="A104" t="str">
            <v>AOO-CT</v>
          </cell>
        </row>
        <row r="105">
          <cell r="A105" t="str">
            <v>CA</v>
          </cell>
        </row>
        <row r="106">
          <cell r="A106" t="str">
            <v>BCL</v>
          </cell>
        </row>
        <row r="107">
          <cell r="A107" t="str">
            <v>BCI</v>
          </cell>
        </row>
        <row r="108">
          <cell r="A108" t="str">
            <v>AV MARCHE</v>
          </cell>
        </row>
        <row r="109">
          <cell r="A109" t="str">
            <v>AV CONTRAT</v>
          </cell>
        </row>
        <row r="110">
          <cell r="A110" t="str">
            <v>DECISION</v>
          </cell>
        </row>
        <row r="111">
          <cell r="A111" t="str">
            <v>CONTRAT</v>
          </cell>
        </row>
        <row r="113">
          <cell r="A113" t="str">
            <v>NON ATTRIBUE</v>
          </cell>
        </row>
        <row r="114">
          <cell r="A114" t="str">
            <v>REJET</v>
          </cell>
        </row>
        <row r="115">
          <cell r="A115" t="str">
            <v>INFRUCTUEUX</v>
          </cell>
        </row>
        <row r="116">
          <cell r="A116" t="str">
            <v>ANNULE</v>
          </cell>
        </row>
        <row r="117">
          <cell r="A117" t="str">
            <v>EN SIGNATURE</v>
          </cell>
        </row>
        <row r="118">
          <cell r="A118" t="str">
            <v>VALIDE</v>
          </cell>
        </row>
        <row r="120">
          <cell r="A120" t="str">
            <v>MARCHE</v>
          </cell>
        </row>
        <row r="121">
          <cell r="A121" t="str">
            <v>AV MARCHE</v>
          </cell>
        </row>
        <row r="122">
          <cell r="A122" t="str">
            <v>AV CONTRAT</v>
          </cell>
        </row>
        <row r="123">
          <cell r="A123" t="str">
            <v>DECISION</v>
          </cell>
        </row>
        <row r="124">
          <cell r="A124" t="str">
            <v>BCL</v>
          </cell>
        </row>
        <row r="125">
          <cell r="A125" t="str">
            <v>BCI</v>
          </cell>
        </row>
        <row r="126">
          <cell r="A126" t="str">
            <v>CONTRAT</v>
          </cell>
        </row>
        <row r="128">
          <cell r="A128" t="str">
            <v>APPROUVE</v>
          </cell>
        </row>
        <row r="129">
          <cell r="A129" t="str">
            <v>ATTRIBUE</v>
          </cell>
        </row>
        <row r="130">
          <cell r="A130" t="str">
            <v>NON ATTRIBUE</v>
          </cell>
        </row>
        <row r="131">
          <cell r="A131" t="str">
            <v>REJET</v>
          </cell>
        </row>
        <row r="132">
          <cell r="A132" t="str">
            <v>INFRUCTUEUX</v>
          </cell>
        </row>
        <row r="133">
          <cell r="A133" t="str">
            <v>ANNULE</v>
          </cell>
        </row>
        <row r="134">
          <cell r="A134" t="str">
            <v>PHASE AOO</v>
          </cell>
        </row>
        <row r="135">
          <cell r="A135" t="str">
            <v>EN SIGNATURE</v>
          </cell>
        </row>
        <row r="137">
          <cell r="A137" t="str">
            <v>PME</v>
          </cell>
        </row>
        <row r="138">
          <cell r="A138" t="str">
            <v>GENERAL</v>
          </cell>
        </row>
        <row r="139">
          <cell r="A139" t="str">
            <v>NON CONCERNE</v>
          </cell>
        </row>
        <row r="146">
          <cell r="A146" t="str">
            <v>NOUVEAU BESOIN</v>
          </cell>
        </row>
        <row r="147">
          <cell r="A147" t="str">
            <v>BESOIN RECURRENT</v>
          </cell>
        </row>
        <row r="148">
          <cell r="A148" t="str">
            <v>RECONDUCTION</v>
          </cell>
        </row>
        <row r="149">
          <cell r="A149" t="str">
            <v>RECONDUCTIBLE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LEB Nora" refreshedDate="46030.688053240738" createdVersion="5" refreshedVersion="5" minRefreshableVersion="3" recordCount="31">
  <cacheSource type="worksheet">
    <worksheetSource ref="A1:AA32" sheet="Report 2025 à 2026"/>
  </cacheSource>
  <cacheFields count="27">
    <cacheField name="ANNEE LANCEMENT" numFmtId="0">
      <sharedItems containsSemiMixedTypes="0" containsString="0" containsNumber="1" containsInteger="1" minValue="2025" maxValue="2025"/>
    </cacheField>
    <cacheField name="N°AOO" numFmtId="0">
      <sharedItems/>
    </cacheField>
    <cacheField name="TYPE 1" numFmtId="0">
      <sharedItems/>
    </cacheField>
    <cacheField name="STATUT 1" numFmtId="0">
      <sharedItems/>
    </cacheField>
    <cacheField name="LOTS" numFmtId="0">
      <sharedItems containsString="0" containsBlank="1" containsNumber="1" containsInteger="1" minValue="1" maxValue="2"/>
    </cacheField>
    <cacheField name="DIRECTION " numFmtId="0">
      <sharedItems count="5">
        <s v="DPMG"/>
        <s v="TDF -SITES"/>
        <s v="DTSI"/>
        <s v="TDF-EXP&amp;MAIN"/>
        <s v="TAMAZIGHT"/>
      </sharedItems>
    </cacheField>
    <cacheField name="OBJET" numFmtId="0">
      <sharedItems longText="1"/>
    </cacheField>
    <cacheField name="TYPE BUDGET" numFmtId="0">
      <sharedItems/>
    </cacheField>
    <cacheField name="BUDGET" numFmtId="0">
      <sharedItems/>
    </cacheField>
    <cacheField name="LIGNES BUDGETAIRES" numFmtId="0">
      <sharedItems/>
    </cacheField>
    <cacheField name="MONTANT A REPORTER " numFmtId="43">
      <sharedItems containsSemiMixedTypes="0" containsString="0" containsNumber="1" minValue="171446.39999999999" maxValue="9317496" count="30">
        <n v="576000"/>
        <n v="3228000"/>
        <n v="178200"/>
        <n v="9317496"/>
        <n v="1047096"/>
        <n v="315576"/>
        <n v="439660.79999999999"/>
        <n v="329472"/>
        <n v="600000"/>
        <n v="463680"/>
        <n v="648000"/>
        <n v="171446.39999999999"/>
        <n v="6715440"/>
        <n v="1569228"/>
        <n v="1572336"/>
        <n v="2142000"/>
        <n v="1581600"/>
        <n v="2497248"/>
        <n v="1094400"/>
        <n v="2503440"/>
        <n v="3962044.8"/>
        <n v="3067200"/>
        <n v="1175040"/>
        <n v="2699409.6"/>
        <n v="2551240.7999999998"/>
        <n v="1440000"/>
        <n v="1028592"/>
        <n v="4038480"/>
        <n v="2977228.7999999998"/>
        <n v="587419.19999999995"/>
      </sharedItems>
    </cacheField>
    <cacheField name="MONTANT PREENGAGE INITIAL" numFmtId="43">
      <sharedItems containsSemiMixedTypes="0" containsString="0" containsNumber="1" minValue="171446.39999999999" maxValue="9317496"/>
    </cacheField>
    <cacheField name="ESTIMATION TTC" numFmtId="43">
      <sharedItems containsSemiMixedTypes="0" containsString="0" containsNumber="1" containsInteger="1" minValue="142872" maxValue="7764580"/>
    </cacheField>
    <cacheField name="ESTIMATION HT" numFmtId="43">
      <sharedItems containsSemiMixedTypes="0" containsString="0" containsNumber="1" minValue="119060" maxValue="6470483.333333334"/>
    </cacheField>
    <cacheField name="ADJUDICATAIRE / FRS" numFmtId="14">
      <sharedItems containsBlank="1"/>
    </cacheField>
    <cacheField name="ANNEE APPROBATION" numFmtId="0">
      <sharedItems containsSemiMixedTypes="0" containsString="0" containsNumber="1" containsInteger="1" minValue="2025" maxValue="2025"/>
    </cacheField>
    <cacheField name="N° SUPPORT D'ENGAGEMENT" numFmtId="0">
      <sharedItems containsNonDate="0" containsString="0" containsBlank="1"/>
    </cacheField>
    <cacheField name="TYPE DE SUPPORT D'ENGAGEMENT" numFmtId="0">
      <sharedItems/>
    </cacheField>
    <cacheField name="STATUT SUPPORT D'ENGAGEMENT" numFmtId="0">
      <sharedItems/>
    </cacheField>
    <cacheField name="DATE APPROB" numFmtId="14">
      <sharedItems containsNonDate="0" containsString="0" containsBlank="1"/>
    </cacheField>
    <cacheField name="MONTANT MARCHE HT_x000a_PART EN MAD" numFmtId="43">
      <sharedItems containsString="0" containsBlank="1" containsNumber="1" containsInteger="1" minValue="500000" maxValue="2690000"/>
    </cacheField>
    <cacheField name="MONTANT MARCHE HT_x000a_PART EN DEVISES" numFmtId="43">
      <sharedItems containsNonDate="0" containsString="0" containsBlank="1"/>
    </cacheField>
    <cacheField name="MONTANT MARCHE TTC_x000a_ PART EN MAD" numFmtId="43">
      <sharedItems containsString="0" containsBlank="1" containsNumber="1" containsInteger="1" minValue="600000" maxValue="3228000"/>
    </cacheField>
    <cacheField name="MONTANT MARCHE TTC_x000a_PART EN DEVISES" numFmtId="43">
      <sharedItems containsNonDate="0" containsString="0" containsBlank="1"/>
    </cacheField>
    <cacheField name=" TOTAL ENGAGE HT" numFmtId="164">
      <sharedItems containsString="0" containsBlank="1" containsNumber="1" containsInteger="1" minValue="500000" maxValue="2690000"/>
    </cacheField>
    <cacheField name="TOTAL ENGAGE TTC" numFmtId="164">
      <sharedItems containsString="0" containsBlank="1" containsNumber="1" containsInteger="1" minValue="600000" maxValue="3228000"/>
    </cacheField>
    <cacheField name="STATUT D'ENGAGE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n v="2025"/>
    <s v="56AOM"/>
    <s v="AOO-M"/>
    <s v="EN SIGNATURE"/>
    <n v="1"/>
    <x v="0"/>
    <s v="Acquisition et travaux d'installation d'un ascenseur  dans le bâtiment de la Radio SNRT-Rabat"/>
    <s v="Ordinaire"/>
    <s v="INVESTISSEMENT"/>
    <s v="Agencements et aménagement constructions"/>
    <x v="0"/>
    <n v="576000"/>
    <n v="480000"/>
    <n v="400000"/>
    <m/>
    <n v="2025"/>
    <m/>
    <s v="MARCHE"/>
    <s v="PHASE AOO"/>
    <m/>
    <m/>
    <m/>
    <m/>
    <m/>
    <m/>
    <m/>
    <s v="EN COURS DE PREENGAGEMENT"/>
  </r>
  <r>
    <n v="2025"/>
    <s v="62AOM"/>
    <s v="AOO-M"/>
    <s v="VALIDE"/>
    <n v="1"/>
    <x v="1"/>
    <s v="Travaux d'aménagement des sites de diffusion de la SNRT &quot;LAKHIAR KHMISSET&quot;- &quot;SIDI AHMED BENRAHAL SIDI BENNOUR&quot;"/>
    <s v="Ordinaire"/>
    <s v="INVESTISSEMENT"/>
    <s v="Agencements et aménagement constructions"/>
    <x v="1"/>
    <n v="3368440.8"/>
    <n v="2807034"/>
    <n v="2339195"/>
    <s v="ATLANTIC MULTIPOLE"/>
    <n v="2025"/>
    <m/>
    <s v="MARCHE"/>
    <s v="EN SIGNATURE"/>
    <m/>
    <n v="2690000"/>
    <m/>
    <n v="3228000"/>
    <m/>
    <n v="2690000"/>
    <n v="3228000"/>
    <s v="EN COURS D'ENGAGEMENT"/>
  </r>
  <r>
    <n v="2025"/>
    <s v="64AOM"/>
    <s v="AOO-M"/>
    <s v="INFRUCTUEUX"/>
    <n v="2"/>
    <x v="2"/>
    <s v="Fourniture et mise en service de licences de la solution de gestion des RH pour les besoins de la SNRT"/>
    <s v="Ordinaire"/>
    <s v="INVESTISSEMENT"/>
    <s v="Immobilisations incorporelles (logiciels, licences, etc.)"/>
    <x v="2"/>
    <n v="178200"/>
    <n v="148500"/>
    <n v="123750"/>
    <m/>
    <n v="2025"/>
    <m/>
    <s v="MARCHE"/>
    <s v="INFRUCTUEUX"/>
    <m/>
    <m/>
    <m/>
    <m/>
    <m/>
    <m/>
    <m/>
    <s v="NON ENGAGE"/>
  </r>
  <r>
    <n v="2025"/>
    <s v="70AOM"/>
    <s v="AOO-M"/>
    <s v="EN SIGNATURE"/>
    <n v="1"/>
    <x v="0"/>
    <s v="Travaux d'extension de l'Abri des cars Régies à Temara"/>
    <s v="Ordinaire"/>
    <s v="INVESTISSEMENT"/>
    <s v="Agencements et aménagement constructions"/>
    <x v="3"/>
    <n v="9317496"/>
    <n v="7764580"/>
    <n v="6470483.333333334"/>
    <m/>
    <n v="2025"/>
    <m/>
    <s v="MARCHE"/>
    <s v="PHASE AOO"/>
    <m/>
    <m/>
    <m/>
    <m/>
    <m/>
    <m/>
    <m/>
    <s v="EN COURS DE PREENGAGEMENT"/>
  </r>
  <r>
    <n v="2025"/>
    <s v="71AOM"/>
    <s v="AOO-M"/>
    <s v="EN SIGNATURE"/>
    <n v="1"/>
    <x v="0"/>
    <s v="Travaux de démolition et de reconstruction d'un mur de cloture de la station Régionale Radio à Oujda"/>
    <s v="Ordinaire"/>
    <s v="INVESTISSEMENT"/>
    <s v="Agencements et aménagement constructions"/>
    <x v="4"/>
    <n v="1047096"/>
    <n v="872580"/>
    <n v="727150"/>
    <m/>
    <n v="2025"/>
    <m/>
    <s v="MARCHE"/>
    <s v="PHASE AOO"/>
    <m/>
    <m/>
    <m/>
    <m/>
    <m/>
    <m/>
    <m/>
    <s v="EN COURS DE PREENGAGEMENT"/>
  </r>
  <r>
    <n v="2025"/>
    <s v="73AOM"/>
    <s v="AOO-M"/>
    <s v="INFRUCTUEUX"/>
    <n v="1"/>
    <x v="2"/>
    <s v="Fourniture et mise en service des équipements de réception par satellite pour les besoins de la SNRT"/>
    <s v="Exceptionnel"/>
    <s v="INVESTISSEMENT"/>
    <s v="Equipements techniques"/>
    <x v="5"/>
    <n v="315576"/>
    <n v="262980"/>
    <n v="219150"/>
    <m/>
    <n v="2025"/>
    <m/>
    <s v="MARCHE"/>
    <s v="INFRUCTUEUX"/>
    <m/>
    <m/>
    <m/>
    <m/>
    <m/>
    <m/>
    <m/>
    <s v="NON ENGAGE"/>
  </r>
  <r>
    <n v="2025"/>
    <s v="73AOM"/>
    <s v="AOO-M"/>
    <s v="INFRUCTUEUX"/>
    <n v="2"/>
    <x v="2"/>
    <s v="Fourniture et mise en service de démodulateurs satellite multinormes pour les besoins de la SNRT"/>
    <s v="Exceptionnel"/>
    <s v="INVESTISSEMENT"/>
    <s v="Equipements techniques"/>
    <x v="6"/>
    <n v="439660.79999999999"/>
    <n v="366384"/>
    <n v="305320"/>
    <m/>
    <n v="2025"/>
    <m/>
    <s v="MARCHE"/>
    <s v="INFRUCTUEUX"/>
    <m/>
    <m/>
    <m/>
    <m/>
    <m/>
    <m/>
    <m/>
    <s v="NON ENGAGE"/>
  </r>
  <r>
    <n v="2025"/>
    <s v="74AOM"/>
    <s v="AOO-M"/>
    <s v="INFRUCTUEUX"/>
    <n v="1"/>
    <x v="2"/>
    <s v="Fourniture et mise en service d'un systéme d'intercom boradcast pour les besoins de la SNRT"/>
    <s v="Ordinaire"/>
    <s v="INVESTISSEMENT"/>
    <s v="Immobilisations incorporelles (logiciels, licences, etc.)"/>
    <x v="7"/>
    <n v="329472"/>
    <n v="274560"/>
    <n v="228800"/>
    <m/>
    <n v="2025"/>
    <m/>
    <s v="MARCHE"/>
    <s v="INFRUCTUEUX"/>
    <m/>
    <m/>
    <m/>
    <m/>
    <m/>
    <m/>
    <m/>
    <s v="NON ENGAGE"/>
  </r>
  <r>
    <n v="2025"/>
    <s v="75AOM"/>
    <s v="AOO-M"/>
    <s v="VALIDE"/>
    <n v="1"/>
    <x v="1"/>
    <s v="Fourniture, installation et mise en service de climatiseurs de type armoire de puissance frigorifique 48000 Btu"/>
    <s v="Ordinaire"/>
    <s v="INVESTISSEMENT"/>
    <s v="Equipements de télédiffusion"/>
    <x v="8"/>
    <n v="918000"/>
    <n v="765000"/>
    <n v="637500"/>
    <s v="BRAHIM SIDATE"/>
    <n v="2025"/>
    <m/>
    <s v="MARCHE"/>
    <s v="ATTRIBUE"/>
    <m/>
    <n v="500000"/>
    <m/>
    <n v="600000"/>
    <m/>
    <n v="500000"/>
    <n v="600000"/>
    <s v="PREENGAGE"/>
  </r>
  <r>
    <n v="2025"/>
    <s v="78AOM"/>
    <s v="AOO-M"/>
    <s v="VALIDE"/>
    <m/>
    <x v="3"/>
    <s v="Travaux d'entretien et renouvellement  du faux plancher de la salle technique du centre SNRT d'AIN CHOCK"/>
    <s v="Ordinaire"/>
    <s v="INVESTISSEMENT"/>
    <s v="Agencements et aménagement constructions"/>
    <x v="9"/>
    <n v="463680"/>
    <n v="386400"/>
    <n v="322000"/>
    <m/>
    <n v="2025"/>
    <m/>
    <s v="MARCHE"/>
    <s v="PHASE AOO"/>
    <m/>
    <m/>
    <m/>
    <m/>
    <m/>
    <m/>
    <m/>
    <s v="PREENGAGE"/>
  </r>
  <r>
    <n v="2025"/>
    <s v="82AOM"/>
    <s v="AOO-M"/>
    <s v="VALIDE"/>
    <n v="1"/>
    <x v="3"/>
    <s v="Acquisition de matériel technique et informatique pour l'extension de l'outil digital de gestion de ressources techniques et humaines de l'exploitation et de la maintenance "/>
    <s v="Ordinaire"/>
    <s v="INVESTISSEMENT"/>
    <s v="Equipements de télédiffusion"/>
    <x v="10"/>
    <n v="648000"/>
    <n v="540000"/>
    <n v="450000"/>
    <m/>
    <n v="2025"/>
    <m/>
    <s v="MARCHE"/>
    <s v="PHASE AOO"/>
    <m/>
    <m/>
    <m/>
    <m/>
    <m/>
    <m/>
    <m/>
    <s v="PREENGAGE"/>
  </r>
  <r>
    <n v="2025"/>
    <s v="89AOM"/>
    <s v="AOO-M"/>
    <s v="INFRUCTUEUX"/>
    <n v="1"/>
    <x v="2"/>
    <s v="Fourniture d'une solution DLP &quot;Data Loss Prevention&quot;"/>
    <s v="Ordinaire"/>
    <s v="INVESTISSEMENT"/>
    <s v="Immobilisations incorporelles (logiciels, licences, etc.)"/>
    <x v="11"/>
    <n v="171446.39999999999"/>
    <n v="142872"/>
    <n v="119060"/>
    <m/>
    <n v="2025"/>
    <m/>
    <s v="MARCHE"/>
    <s v="INFRUCTUEUX"/>
    <m/>
    <m/>
    <m/>
    <m/>
    <m/>
    <m/>
    <m/>
    <s v="NON ENGAGE"/>
  </r>
  <r>
    <n v="2025"/>
    <s v="90AOM"/>
    <s v="AOO-M"/>
    <s v="INFRUCTUEUX"/>
    <n v="1"/>
    <x v="1"/>
    <s v="Fourniture, installation et mise en service de dix stations DVB-T/T2 de puissance 500 W rms et d'une station DVB-T/T2 de 1KW rms, fonctionnant en mode (2+1) dans la bande [474-690] MHz, avec triplexeurs RF et accessoires"/>
    <s v="Ordinaire"/>
    <s v="INVESTISSEMENT"/>
    <s v="Equipements de télédiffusion"/>
    <x v="12"/>
    <n v="6715440"/>
    <n v="5596200"/>
    <n v="4663500"/>
    <m/>
    <n v="2025"/>
    <m/>
    <s v="MARCHE"/>
    <s v="INFRUCTUEUX"/>
    <m/>
    <m/>
    <m/>
    <m/>
    <m/>
    <m/>
    <m/>
    <s v="NON ENGAGE"/>
  </r>
  <r>
    <n v="2025"/>
    <s v="92AOM"/>
    <s v="AOO-M"/>
    <s v="VALIDE"/>
    <n v="1"/>
    <x v="0"/>
    <s v="Acquisition de mobilier de bureau pour la SNRT"/>
    <s v="Ordinaire"/>
    <s v="INVESTISSEMENT"/>
    <s v="Moblier de bureau"/>
    <x v="13"/>
    <n v="1572336"/>
    <n v="1310280"/>
    <n v="1091900"/>
    <s v="STOKAD"/>
    <n v="2025"/>
    <m/>
    <s v="MARCHE"/>
    <s v="ATTRIBUE"/>
    <m/>
    <n v="1307690"/>
    <m/>
    <n v="1569228"/>
    <m/>
    <n v="1307690"/>
    <n v="1569228"/>
    <s v="PREENGAGE"/>
  </r>
  <r>
    <n v="2025"/>
    <s v="93AOM"/>
    <s v="AOO-M"/>
    <s v="VALIDE"/>
    <n v="1"/>
    <x v="1"/>
    <s v="Fourniture, insallation et mise en service d'antenne parabolique 3,6 m et guide d'ondes elliptique 4 GHz pour le réseau faisceaux hertiziens"/>
    <s v="Ordinaire"/>
    <s v="INVESTISSEMENT"/>
    <s v="Equipements de télédiffusion"/>
    <x v="14"/>
    <n v="1572336"/>
    <n v="1310280"/>
    <n v="1091900"/>
    <m/>
    <n v="2025"/>
    <m/>
    <s v="MARCHE"/>
    <s v="PHASE AOO"/>
    <m/>
    <m/>
    <m/>
    <m/>
    <m/>
    <m/>
    <m/>
    <s v="PREENGAGE"/>
  </r>
  <r>
    <n v="2025"/>
    <s v="96AOM"/>
    <s v="AOO-M"/>
    <s v="ANNULE"/>
    <n v="1"/>
    <x v="1"/>
    <s v="Fourniture de commutateurs de flux &quot; Transport Stream over ASI/IP (TSoASI/IP)"/>
    <s v="Ordinaire"/>
    <s v="INVESTISSEMENT"/>
    <s v="Equipements de télédiffusion"/>
    <x v="15"/>
    <n v="2142000"/>
    <n v="1785000"/>
    <n v="1487500"/>
    <m/>
    <n v="2025"/>
    <m/>
    <s v="MARCHE"/>
    <s v="ANNULE"/>
    <m/>
    <m/>
    <m/>
    <m/>
    <m/>
    <m/>
    <m/>
    <s v="NON ENGAGE"/>
  </r>
  <r>
    <n v="2025"/>
    <s v="96AOM"/>
    <s v="AOO-M"/>
    <s v="VALIDE"/>
    <n v="2"/>
    <x v="1"/>
    <s v="Fourniture de convertisseurs &quot;Electrique/Optique&quot; - &quot;Optique/Electrique&quot; bidirectionnels pour les signaux électrique SDI, ASI et IP"/>
    <s v="Ordinaire"/>
    <s v="INVESTISSEMENT"/>
    <s v="Equipements de télédiffusion"/>
    <x v="16"/>
    <n v="1800000"/>
    <n v="1500000"/>
    <n v="1250000"/>
    <s v="MOYANO MAROC"/>
    <n v="2025"/>
    <m/>
    <s v="MARCHE"/>
    <s v="ATTRIBUE"/>
    <m/>
    <n v="1318000"/>
    <m/>
    <n v="1581600"/>
    <m/>
    <n v="1318000"/>
    <n v="1581600"/>
    <s v="PREENGAGE"/>
  </r>
  <r>
    <n v="2025"/>
    <s v="97AOM"/>
    <s v="AOO-M"/>
    <s v="VALIDE"/>
    <n v="1"/>
    <x v="1"/>
    <s v="Travaux d'aménagement du site de diffusion JBEL TAZEKKA (P.TAZA)"/>
    <s v="Ordinaire"/>
    <s v="INVESTISSEMENT"/>
    <s v="Agencements et aménagement constructions"/>
    <x v="17"/>
    <n v="3071462.4"/>
    <n v="2559552"/>
    <n v="2132960"/>
    <s v="MED MAN"/>
    <n v="2025"/>
    <m/>
    <s v="MARCHE"/>
    <s v="EN SIGNATURE"/>
    <m/>
    <n v="2081040"/>
    <m/>
    <n v="2497248"/>
    <m/>
    <n v="2081040"/>
    <n v="2497248"/>
    <s v="EN COURS D'ENGAGEMENT"/>
  </r>
  <r>
    <n v="2025"/>
    <s v="99AOM"/>
    <s v="AOO-M"/>
    <s v="VALIDE"/>
    <n v="1"/>
    <x v="1"/>
    <s v="Fourniture d'un ensemble d'appareils de mesure et test pour les réseaux de faisceaux hertziens et les signaux vidéo "/>
    <s v="Ordinaire"/>
    <s v="INVESTISSEMENT"/>
    <s v="Equipements de télédiffusion"/>
    <x v="18"/>
    <n v="1094400"/>
    <n v="912000"/>
    <n v="760000"/>
    <m/>
    <n v="2025"/>
    <m/>
    <s v="MARCHE"/>
    <s v="PHASE AOO"/>
    <m/>
    <m/>
    <m/>
    <m/>
    <m/>
    <m/>
    <m/>
    <s v="PREENGAGE"/>
  </r>
  <r>
    <n v="2025"/>
    <s v="100AOM"/>
    <s v="AOO-M"/>
    <s v="VALIDE"/>
    <n v="1"/>
    <x v="3"/>
    <s v="Fourniture, installation des radômes pour le feeder du centre émetteur radio AM de Foum El Ouad à Laayoune"/>
    <s v="Ordinaire"/>
    <s v="INVESTISSEMENT"/>
    <s v="Equipements de télédiffusion"/>
    <x v="19"/>
    <n v="2503440"/>
    <n v="2086200"/>
    <n v="1738500"/>
    <m/>
    <n v="2025"/>
    <m/>
    <s v="MARCHE"/>
    <s v="PHASE AOO"/>
    <m/>
    <m/>
    <m/>
    <m/>
    <m/>
    <m/>
    <m/>
    <s v="PREENGAGE"/>
  </r>
  <r>
    <n v="2025"/>
    <s v="101AOM"/>
    <s v="AOO-M"/>
    <s v="EN SIGNATURE"/>
    <n v="1"/>
    <x v="1"/>
    <s v="Fourniture, installation et mise en service des onduleurs 2 x 150 KVA type modulaires au centre SNRT de ZAER"/>
    <s v="Ordinaire"/>
    <s v="INVESTISSEMENT"/>
    <s v="Equipements de télédiffusion"/>
    <x v="20"/>
    <n v="3962044.8"/>
    <n v="3301704"/>
    <n v="2751420"/>
    <m/>
    <n v="2025"/>
    <m/>
    <s v="MARCHE"/>
    <s v="PHASE AOO"/>
    <m/>
    <m/>
    <m/>
    <m/>
    <m/>
    <m/>
    <m/>
    <s v="EN COURS DE PREENGAGEMENT"/>
  </r>
  <r>
    <n v="2025"/>
    <s v="102AOM"/>
    <s v="AOO-M"/>
    <s v="VALIDE"/>
    <n v="1"/>
    <x v="1"/>
    <s v="Fourniture, installation et mise en service d'une station de diffusion radio FM composée d'émetteurs de puissance 1kw en mode (5+1) et un combiner RF avec ses accessoires+ 2 stations de diffusion radio FM  composée d'émetteurs de puissance 500W en mode 5+1 et un combiner RF + 2 émetteurs FM de puissance 2KW avec leurs accessoires"/>
    <s v="Ordinaire"/>
    <s v="INVESTISSEMENT"/>
    <s v="Equipements de télédiffusion"/>
    <x v="21"/>
    <n v="3067200"/>
    <n v="2556000"/>
    <n v="2130000"/>
    <m/>
    <n v="2025"/>
    <m/>
    <s v="MARCHE"/>
    <s v="PHASE AOO"/>
    <m/>
    <m/>
    <m/>
    <m/>
    <m/>
    <m/>
    <m/>
    <s v="PREENGAGE"/>
  </r>
  <r>
    <n v="2025"/>
    <s v="103AOM"/>
    <s v="AOO-M"/>
    <s v="EN SIGNATURE"/>
    <n v="1"/>
    <x v="1"/>
    <s v="Fourniture de combiners / upconverters"/>
    <s v="Ordinaire"/>
    <s v="INVESTISSEMENT"/>
    <s v="Equipements de télédiffusion"/>
    <x v="22"/>
    <n v="1175040"/>
    <n v="979200"/>
    <n v="816000"/>
    <m/>
    <n v="2025"/>
    <m/>
    <s v="MARCHE"/>
    <s v="PHASE AOO"/>
    <m/>
    <m/>
    <m/>
    <m/>
    <m/>
    <m/>
    <m/>
    <s v="EN COURS DE PREENGAGEMENT"/>
  </r>
  <r>
    <n v="2025"/>
    <s v="104AOM"/>
    <s v="AOO-M"/>
    <s v="VALIDE"/>
    <n v="1"/>
    <x v="2"/>
    <s v="Fourniture et mise en service d'équipements de captation vidéo et de prise de son destinés aux besoins de production des chaînes TV"/>
    <s v="Exceptionnel"/>
    <s v="INVESTISSEMENT"/>
    <s v="Equipements techniques"/>
    <x v="23"/>
    <n v="2699409.6"/>
    <n v="2249508"/>
    <n v="1874590"/>
    <m/>
    <n v="2025"/>
    <m/>
    <s v="MARCHE"/>
    <s v="PHASE AOO"/>
    <m/>
    <m/>
    <m/>
    <m/>
    <m/>
    <m/>
    <m/>
    <s v="PREENGAGE"/>
  </r>
  <r>
    <n v="2025"/>
    <s v="105AOM"/>
    <s v="AOO-M"/>
    <s v="EN SIGNATURE"/>
    <n v="1"/>
    <x v="0"/>
    <s v="Travaux d'aménagement et d'agencement de la régie publicitaire et des solutions digitales"/>
    <s v="Ordinaire"/>
    <s v="INVESTISSEMENT"/>
    <s v="Agencements et aménagement constructions"/>
    <x v="24"/>
    <n v="2551240.7999999998"/>
    <n v="2126034"/>
    <n v="1771695"/>
    <m/>
    <n v="2025"/>
    <m/>
    <s v="MARCHE"/>
    <s v="PHASE AOO"/>
    <m/>
    <m/>
    <m/>
    <m/>
    <m/>
    <m/>
    <m/>
    <s v="EN COURS DE PREENGAGEMENT"/>
  </r>
  <r>
    <n v="2025"/>
    <s v="XXXXAOM"/>
    <s v="AOO-M"/>
    <s v="EN SIGNATURE"/>
    <n v="1"/>
    <x v="1"/>
    <s v="Fourniture d’un nouveau groupe électrogène pour le centre de PALOMAS de puissance 200 KW/PRP, ainsi que la mise à niveau et transfert de quelques groupes électrogène entre quelques centres SNRT"/>
    <s v="Ordinaire"/>
    <s v="INVESTISSEMENT"/>
    <s v="Equipements de télédiffusion"/>
    <x v="25"/>
    <n v="1440000"/>
    <n v="1200000"/>
    <n v="1000000"/>
    <m/>
    <n v="2025"/>
    <m/>
    <s v="MARCHE"/>
    <s v="PHASE AOO"/>
    <m/>
    <m/>
    <m/>
    <m/>
    <m/>
    <m/>
    <m/>
    <s v="EN COURS DE PREENGAGEMENT"/>
  </r>
  <r>
    <n v="2025"/>
    <s v="XXXXAOM"/>
    <s v="AOO-M"/>
    <s v="EN SIGNATURE"/>
    <n v="1"/>
    <x v="4"/>
    <s v="Conception et fabrication d'un ensemble de décors comprenant une table et cinq chaises dédiées aux émissions de débat télévisé diffusées sur la chaîne TV8"/>
    <s v="Ordinaire"/>
    <s v="INVESTISSEMENT"/>
    <s v="Agencements et aménagement constructions"/>
    <x v="8"/>
    <n v="600000"/>
    <n v="500000"/>
    <n v="416666.66666666669"/>
    <m/>
    <n v="2025"/>
    <m/>
    <s v="MARCHE"/>
    <s v="PHASE AOO"/>
    <m/>
    <m/>
    <m/>
    <m/>
    <m/>
    <m/>
    <m/>
    <s v="EN COURS DE PREENGAGEMENT"/>
  </r>
  <r>
    <n v="2025"/>
    <s v="XXXXAOM"/>
    <s v="AOO-M"/>
    <s v="EN SIGNATURE"/>
    <n v="1"/>
    <x v="0"/>
    <s v="Fourniture et installation du matériel de bureau : Photocopieurs, Fax, Toners, Drums et Fours"/>
    <s v="Ordinaire"/>
    <s v="INVESTISSEMENT"/>
    <s v="Matériel de bureau"/>
    <x v="26"/>
    <n v="1028592"/>
    <n v="857160"/>
    <n v="714300"/>
    <m/>
    <n v="2025"/>
    <m/>
    <s v="MARCHE"/>
    <s v="PHASE AOO"/>
    <m/>
    <m/>
    <m/>
    <m/>
    <m/>
    <m/>
    <m/>
    <s v="EN COURS DE PREENGAGEMENT"/>
  </r>
  <r>
    <n v="2025"/>
    <s v="XXXXAOM"/>
    <s v="AOO-M"/>
    <s v="EN SIGNATURE"/>
    <n v="1"/>
    <x v="0"/>
    <s v="Acquisition et installation de caméras dans les locaux de la SNRT y compris serveurs et baie de stockage"/>
    <s v="Ordinaire"/>
    <s v="INVESTISSEMENT"/>
    <s v="Installations techniques"/>
    <x v="27"/>
    <n v="4038480"/>
    <n v="3365400"/>
    <n v="2804500"/>
    <m/>
    <n v="2025"/>
    <m/>
    <s v="MARCHE"/>
    <s v="PHASE AOO"/>
    <m/>
    <m/>
    <m/>
    <m/>
    <m/>
    <m/>
    <m/>
    <s v="EN COURS DE PREENGAGEMENT"/>
  </r>
  <r>
    <n v="2025"/>
    <s v="XXXXAOM"/>
    <s v="AOO-M"/>
    <s v="EN SIGNATURE"/>
    <n v="1"/>
    <x v="0"/>
    <s v="Travaux d'aménagement des locaux techniques à RABAT lot: AMENAGEMENT ET AGENCEMENT"/>
    <s v="Ordinaire"/>
    <s v="INVESTISSEMENT"/>
    <s v="Agencements et aménagement constructions"/>
    <x v="28"/>
    <n v="2977228.7999999998"/>
    <n v="2481024"/>
    <n v="2067520"/>
    <m/>
    <n v="2025"/>
    <m/>
    <s v="MARCHE"/>
    <s v="PHASE AOO"/>
    <m/>
    <m/>
    <m/>
    <m/>
    <m/>
    <m/>
    <m/>
    <s v="EN COURS DE PREENGAGEMENT"/>
  </r>
  <r>
    <n v="2025"/>
    <s v="XXXXAOM"/>
    <s v="AOO-M"/>
    <s v="EN SIGNATURE"/>
    <n v="2"/>
    <x v="0"/>
    <s v="Travaux d'aménagement des locaux techniques à RABAT lot: ELECTRICITE-LUSTRERIES-CLIMATISATION"/>
    <s v="Ordinaire"/>
    <s v="INVESTISSEMENT"/>
    <s v="Agencements et aménagement constructions"/>
    <x v="29"/>
    <n v="587419.19999999995"/>
    <n v="489516"/>
    <n v="407930"/>
    <m/>
    <n v="2025"/>
    <m/>
    <s v="MARCHE"/>
    <s v="PHASE AOO"/>
    <m/>
    <m/>
    <m/>
    <m/>
    <m/>
    <m/>
    <m/>
    <s v="EN COURS DE PREENGAG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B9" firstHeaderRow="1" firstDataRow="1" firstDataCol="1"/>
  <pivotFields count="27"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dataField="1" numFmtId="43" showAll="0">
      <items count="31">
        <item x="11"/>
        <item x="2"/>
        <item x="5"/>
        <item x="7"/>
        <item x="6"/>
        <item x="9"/>
        <item x="0"/>
        <item x="29"/>
        <item x="8"/>
        <item x="10"/>
        <item x="26"/>
        <item x="4"/>
        <item x="18"/>
        <item x="22"/>
        <item x="25"/>
        <item x="13"/>
        <item x="14"/>
        <item x="16"/>
        <item x="15"/>
        <item x="17"/>
        <item x="19"/>
        <item x="24"/>
        <item x="23"/>
        <item x="28"/>
        <item x="21"/>
        <item x="1"/>
        <item x="20"/>
        <item x="27"/>
        <item x="12"/>
        <item x="3"/>
        <item t="default"/>
      </items>
    </pivotField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MONTANT A REPORTER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A46" workbookViewId="0">
      <selection activeCell="B18" sqref="B18"/>
    </sheetView>
  </sheetViews>
  <sheetFormatPr baseColWidth="10" defaultRowHeight="15" x14ac:dyDescent="0.25"/>
  <cols>
    <col min="1" max="1" width="21" bestFit="1" customWidth="1"/>
    <col min="2" max="2" width="32.42578125" style="26" bestFit="1" customWidth="1"/>
    <col min="3" max="11" width="12.85546875" bestFit="1" customWidth="1"/>
    <col min="12" max="31" width="14.28515625" bestFit="1" customWidth="1"/>
    <col min="32" max="32" width="14" bestFit="1" customWidth="1"/>
  </cols>
  <sheetData>
    <row r="3" spans="1:2" x14ac:dyDescent="0.25">
      <c r="A3" s="24" t="s">
        <v>111</v>
      </c>
      <c r="B3" s="26" t="s">
        <v>113</v>
      </c>
    </row>
    <row r="4" spans="1:2" x14ac:dyDescent="0.25">
      <c r="A4" s="25" t="s">
        <v>34</v>
      </c>
      <c r="B4" s="26">
        <v>23692780.800000001</v>
      </c>
    </row>
    <row r="5" spans="1:2" x14ac:dyDescent="0.25">
      <c r="A5" s="25" t="s">
        <v>29</v>
      </c>
      <c r="B5" s="26">
        <v>4133764.8</v>
      </c>
    </row>
    <row r="6" spans="1:2" x14ac:dyDescent="0.25">
      <c r="A6" s="25" t="s">
        <v>97</v>
      </c>
      <c r="B6" s="26">
        <v>600000</v>
      </c>
    </row>
    <row r="7" spans="1:2" x14ac:dyDescent="0.25">
      <c r="A7" s="25" t="s">
        <v>27</v>
      </c>
      <c r="B7" s="26">
        <v>29075308.800000001</v>
      </c>
    </row>
    <row r="8" spans="1:2" x14ac:dyDescent="0.25">
      <c r="A8" s="25" t="s">
        <v>62</v>
      </c>
      <c r="B8" s="26">
        <v>3615120</v>
      </c>
    </row>
    <row r="9" spans="1:2" x14ac:dyDescent="0.25">
      <c r="A9" s="25" t="s">
        <v>112</v>
      </c>
      <c r="B9" s="26">
        <v>61116974.400000006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workbookViewId="0">
      <selection activeCell="G9" sqref="G9"/>
    </sheetView>
  </sheetViews>
  <sheetFormatPr baseColWidth="10" defaultRowHeight="15" x14ac:dyDescent="0.25"/>
  <cols>
    <col min="4" max="4" width="17.140625" customWidth="1"/>
    <col min="5" max="5" width="9.85546875" bestFit="1" customWidth="1"/>
    <col min="7" max="7" width="45.85546875" customWidth="1"/>
    <col min="8" max="8" width="18.5703125" bestFit="1" customWidth="1"/>
    <col min="9" max="9" width="19.42578125" customWidth="1"/>
    <col min="10" max="10" width="30" customWidth="1"/>
    <col min="11" max="11" width="30" style="26" customWidth="1"/>
    <col min="12" max="12" width="20.5703125" customWidth="1"/>
    <col min="13" max="14" width="15.28515625" bestFit="1" customWidth="1"/>
    <col min="15" max="15" width="17.7109375" customWidth="1"/>
    <col min="16" max="16" width="12.85546875" hidden="1" customWidth="1"/>
    <col min="17" max="17" width="16.85546875" customWidth="1"/>
    <col min="18" max="18" width="17.42578125" customWidth="1"/>
    <col min="19" max="19" width="21.42578125" customWidth="1"/>
    <col min="20" max="20" width="16.140625" hidden="1" customWidth="1"/>
    <col min="21" max="21" width="23.5703125" customWidth="1"/>
    <col min="22" max="22" width="21.85546875" customWidth="1"/>
    <col min="23" max="23" width="22.5703125" customWidth="1"/>
    <col min="24" max="24" width="24.7109375" customWidth="1"/>
    <col min="25" max="25" width="16.28515625" bestFit="1" customWidth="1"/>
    <col min="26" max="26" width="16.42578125" bestFit="1" customWidth="1"/>
    <col min="27" max="27" width="18.7109375" customWidth="1"/>
  </cols>
  <sheetData>
    <row r="1" spans="1:27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7" t="s">
        <v>110</v>
      </c>
      <c r="L1" s="3" t="s">
        <v>10</v>
      </c>
      <c r="M1" s="3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3" t="s">
        <v>104</v>
      </c>
      <c r="V1" s="3" t="s">
        <v>105</v>
      </c>
      <c r="W1" s="3" t="s">
        <v>106</v>
      </c>
      <c r="X1" s="3" t="s">
        <v>107</v>
      </c>
      <c r="Y1" s="5" t="s">
        <v>108</v>
      </c>
      <c r="Z1" s="5" t="s">
        <v>109</v>
      </c>
      <c r="AA1" s="6" t="s">
        <v>19</v>
      </c>
    </row>
    <row r="2" spans="1:27" ht="45" x14ac:dyDescent="0.25">
      <c r="A2" s="7">
        <v>2025</v>
      </c>
      <c r="B2" s="8" t="s">
        <v>39</v>
      </c>
      <c r="C2" s="8" t="s">
        <v>20</v>
      </c>
      <c r="D2" s="8" t="s">
        <v>40</v>
      </c>
      <c r="E2" s="9">
        <v>1</v>
      </c>
      <c r="F2" s="10" t="s">
        <v>34</v>
      </c>
      <c r="G2" s="30" t="s">
        <v>41</v>
      </c>
      <c r="H2" s="11" t="s">
        <v>30</v>
      </c>
      <c r="I2" s="9" t="s">
        <v>22</v>
      </c>
      <c r="J2" s="11" t="s">
        <v>35</v>
      </c>
      <c r="K2" s="23">
        <v>576000</v>
      </c>
      <c r="L2" s="12">
        <v>576000</v>
      </c>
      <c r="M2" s="12">
        <v>480000</v>
      </c>
      <c r="N2" s="13">
        <v>400000</v>
      </c>
      <c r="O2" s="15"/>
      <c r="P2" s="16">
        <v>2025</v>
      </c>
      <c r="Q2" s="17"/>
      <c r="R2" s="16" t="s">
        <v>23</v>
      </c>
      <c r="S2" s="16" t="s">
        <v>42</v>
      </c>
      <c r="T2" s="14"/>
      <c r="U2" s="18"/>
      <c r="V2" s="19"/>
      <c r="W2" s="18"/>
      <c r="X2" s="19"/>
      <c r="Y2" s="20"/>
      <c r="Z2" s="21"/>
      <c r="AA2" s="22" t="s">
        <v>43</v>
      </c>
    </row>
    <row r="3" spans="1:27" ht="45" x14ac:dyDescent="0.25">
      <c r="A3" s="7">
        <v>2025</v>
      </c>
      <c r="B3" s="8" t="s">
        <v>44</v>
      </c>
      <c r="C3" s="8" t="s">
        <v>20</v>
      </c>
      <c r="D3" s="8" t="s">
        <v>45</v>
      </c>
      <c r="E3" s="9">
        <v>1</v>
      </c>
      <c r="F3" s="10" t="s">
        <v>27</v>
      </c>
      <c r="G3" s="30" t="s">
        <v>46</v>
      </c>
      <c r="H3" s="11" t="s">
        <v>30</v>
      </c>
      <c r="I3" s="9" t="s">
        <v>22</v>
      </c>
      <c r="J3" s="11" t="s">
        <v>35</v>
      </c>
      <c r="K3" s="23">
        <v>3228000</v>
      </c>
      <c r="L3" s="12">
        <v>3368440.8</v>
      </c>
      <c r="M3" s="12">
        <v>2807034</v>
      </c>
      <c r="N3" s="13">
        <v>2339195</v>
      </c>
      <c r="O3" s="15" t="s">
        <v>47</v>
      </c>
      <c r="P3" s="16">
        <v>2025</v>
      </c>
      <c r="Q3" s="17"/>
      <c r="R3" s="16" t="s">
        <v>23</v>
      </c>
      <c r="S3" s="16" t="s">
        <v>40</v>
      </c>
      <c r="T3" s="14"/>
      <c r="U3" s="18">
        <v>2690000</v>
      </c>
      <c r="V3" s="19"/>
      <c r="W3" s="18">
        <v>3228000</v>
      </c>
      <c r="X3" s="19"/>
      <c r="Y3" s="20">
        <v>2690000</v>
      </c>
      <c r="Z3" s="21">
        <v>3228000</v>
      </c>
      <c r="AA3" s="22" t="s">
        <v>48</v>
      </c>
    </row>
    <row r="4" spans="1:27" ht="45" x14ac:dyDescent="0.25">
      <c r="A4" s="7">
        <v>2025</v>
      </c>
      <c r="B4" s="8" t="s">
        <v>49</v>
      </c>
      <c r="C4" s="8" t="s">
        <v>20</v>
      </c>
      <c r="D4" s="8" t="s">
        <v>25</v>
      </c>
      <c r="E4" s="9">
        <v>2</v>
      </c>
      <c r="F4" s="10" t="s">
        <v>29</v>
      </c>
      <c r="G4" s="30" t="s">
        <v>38</v>
      </c>
      <c r="H4" s="11" t="s">
        <v>30</v>
      </c>
      <c r="I4" s="9" t="s">
        <v>22</v>
      </c>
      <c r="J4" s="11" t="s">
        <v>37</v>
      </c>
      <c r="K4" s="23">
        <v>178200</v>
      </c>
      <c r="L4" s="12">
        <v>178200</v>
      </c>
      <c r="M4" s="12">
        <v>148500</v>
      </c>
      <c r="N4" s="13">
        <v>123750</v>
      </c>
      <c r="O4" s="15"/>
      <c r="P4" s="16">
        <v>2025</v>
      </c>
      <c r="Q4" s="17"/>
      <c r="R4" s="16" t="s">
        <v>23</v>
      </c>
      <c r="S4" s="16" t="s">
        <v>25</v>
      </c>
      <c r="T4" s="14"/>
      <c r="U4" s="18"/>
      <c r="V4" s="19"/>
      <c r="W4" s="18"/>
      <c r="X4" s="19"/>
      <c r="Y4" s="20"/>
      <c r="Z4" s="21"/>
      <c r="AA4" s="22" t="s">
        <v>24</v>
      </c>
    </row>
    <row r="5" spans="1:27" ht="30" x14ac:dyDescent="0.25">
      <c r="A5" s="7">
        <v>2025</v>
      </c>
      <c r="B5" s="8" t="s">
        <v>50</v>
      </c>
      <c r="C5" s="8" t="s">
        <v>20</v>
      </c>
      <c r="D5" s="8" t="s">
        <v>40</v>
      </c>
      <c r="E5" s="9">
        <v>1</v>
      </c>
      <c r="F5" s="10" t="s">
        <v>34</v>
      </c>
      <c r="G5" s="30" t="s">
        <v>51</v>
      </c>
      <c r="H5" s="11" t="s">
        <v>30</v>
      </c>
      <c r="I5" s="9" t="s">
        <v>22</v>
      </c>
      <c r="J5" s="11" t="s">
        <v>35</v>
      </c>
      <c r="K5" s="23">
        <v>9317496</v>
      </c>
      <c r="L5" s="12">
        <v>9317496</v>
      </c>
      <c r="M5" s="12">
        <v>7764580</v>
      </c>
      <c r="N5" s="13">
        <v>6470483.333333334</v>
      </c>
      <c r="O5" s="15"/>
      <c r="P5" s="16">
        <v>2025</v>
      </c>
      <c r="Q5" s="17"/>
      <c r="R5" s="16" t="s">
        <v>23</v>
      </c>
      <c r="S5" s="16" t="s">
        <v>42</v>
      </c>
      <c r="T5" s="14"/>
      <c r="U5" s="18"/>
      <c r="V5" s="19"/>
      <c r="W5" s="18"/>
      <c r="X5" s="19"/>
      <c r="Y5" s="20"/>
      <c r="Z5" s="21"/>
      <c r="AA5" s="22" t="s">
        <v>43</v>
      </c>
    </row>
    <row r="6" spans="1:27" ht="45" x14ac:dyDescent="0.25">
      <c r="A6" s="7">
        <v>2025</v>
      </c>
      <c r="B6" s="8" t="s">
        <v>52</v>
      </c>
      <c r="C6" s="8" t="s">
        <v>20</v>
      </c>
      <c r="D6" s="8" t="s">
        <v>40</v>
      </c>
      <c r="E6" s="9">
        <v>1</v>
      </c>
      <c r="F6" s="10" t="s">
        <v>34</v>
      </c>
      <c r="G6" s="30" t="s">
        <v>53</v>
      </c>
      <c r="H6" s="11" t="s">
        <v>30</v>
      </c>
      <c r="I6" s="9" t="s">
        <v>22</v>
      </c>
      <c r="J6" s="11" t="s">
        <v>35</v>
      </c>
      <c r="K6" s="23">
        <v>1047096</v>
      </c>
      <c r="L6" s="12">
        <v>1047096</v>
      </c>
      <c r="M6" s="12">
        <v>872580</v>
      </c>
      <c r="N6" s="13">
        <v>727150</v>
      </c>
      <c r="O6" s="15"/>
      <c r="P6" s="16">
        <v>2025</v>
      </c>
      <c r="Q6" s="17"/>
      <c r="R6" s="16" t="s">
        <v>23</v>
      </c>
      <c r="S6" s="16" t="s">
        <v>42</v>
      </c>
      <c r="T6" s="14"/>
      <c r="U6" s="18"/>
      <c r="V6" s="19"/>
      <c r="W6" s="18"/>
      <c r="X6" s="19"/>
      <c r="Y6" s="20"/>
      <c r="Z6" s="21"/>
      <c r="AA6" s="22" t="s">
        <v>43</v>
      </c>
    </row>
    <row r="7" spans="1:27" ht="45" x14ac:dyDescent="0.25">
      <c r="A7" s="7">
        <v>2025</v>
      </c>
      <c r="B7" s="8" t="s">
        <v>54</v>
      </c>
      <c r="C7" s="8" t="s">
        <v>20</v>
      </c>
      <c r="D7" s="31" t="s">
        <v>25</v>
      </c>
      <c r="E7" s="9">
        <v>1</v>
      </c>
      <c r="F7" s="10" t="s">
        <v>29</v>
      </c>
      <c r="G7" s="11" t="s">
        <v>114</v>
      </c>
      <c r="H7" s="11" t="s">
        <v>32</v>
      </c>
      <c r="I7" s="9" t="s">
        <v>22</v>
      </c>
      <c r="J7" s="11" t="s">
        <v>33</v>
      </c>
      <c r="K7" s="23">
        <v>315576</v>
      </c>
      <c r="L7" s="12">
        <v>315576</v>
      </c>
      <c r="M7" s="12">
        <v>262980</v>
      </c>
      <c r="N7" s="13">
        <v>219150</v>
      </c>
      <c r="O7" s="15"/>
      <c r="P7" s="16">
        <v>2025</v>
      </c>
      <c r="Q7" s="17"/>
      <c r="R7" s="16" t="s">
        <v>23</v>
      </c>
      <c r="S7" s="16" t="s">
        <v>25</v>
      </c>
      <c r="T7" s="14"/>
      <c r="U7" s="18"/>
      <c r="V7" s="19"/>
      <c r="W7" s="18"/>
      <c r="X7" s="19"/>
      <c r="Y7" s="20"/>
      <c r="Z7" s="21"/>
      <c r="AA7" s="22" t="s">
        <v>24</v>
      </c>
    </row>
    <row r="8" spans="1:27" ht="30" x14ac:dyDescent="0.25">
      <c r="A8" s="7">
        <v>2025</v>
      </c>
      <c r="B8" s="8" t="s">
        <v>54</v>
      </c>
      <c r="C8" s="8" t="s">
        <v>20</v>
      </c>
      <c r="D8" s="31" t="s">
        <v>25</v>
      </c>
      <c r="E8" s="9">
        <v>2</v>
      </c>
      <c r="F8" s="10" t="s">
        <v>29</v>
      </c>
      <c r="G8" s="11" t="s">
        <v>115</v>
      </c>
      <c r="H8" s="11" t="s">
        <v>32</v>
      </c>
      <c r="I8" s="9" t="s">
        <v>22</v>
      </c>
      <c r="J8" s="11" t="s">
        <v>33</v>
      </c>
      <c r="K8" s="23">
        <v>439660.79999999999</v>
      </c>
      <c r="L8" s="12">
        <v>439660.79999999999</v>
      </c>
      <c r="M8" s="12">
        <v>366384</v>
      </c>
      <c r="N8" s="13">
        <v>305320</v>
      </c>
      <c r="O8" s="15"/>
      <c r="P8" s="16">
        <v>2025</v>
      </c>
      <c r="Q8" s="17"/>
      <c r="R8" s="16" t="s">
        <v>23</v>
      </c>
      <c r="S8" s="16" t="s">
        <v>25</v>
      </c>
      <c r="T8" s="14"/>
      <c r="U8" s="18"/>
      <c r="V8" s="19"/>
      <c r="W8" s="18"/>
      <c r="X8" s="19"/>
      <c r="Y8" s="20"/>
      <c r="Z8" s="21"/>
      <c r="AA8" s="22" t="s">
        <v>24</v>
      </c>
    </row>
    <row r="9" spans="1:27" ht="30" x14ac:dyDescent="0.25">
      <c r="A9" s="7">
        <v>2025</v>
      </c>
      <c r="B9" s="8" t="s">
        <v>55</v>
      </c>
      <c r="C9" s="8" t="s">
        <v>20</v>
      </c>
      <c r="D9" s="31" t="s">
        <v>25</v>
      </c>
      <c r="E9" s="9">
        <v>1</v>
      </c>
      <c r="F9" s="10" t="s">
        <v>29</v>
      </c>
      <c r="G9" s="11" t="s">
        <v>116</v>
      </c>
      <c r="H9" s="11" t="s">
        <v>30</v>
      </c>
      <c r="I9" s="9" t="s">
        <v>22</v>
      </c>
      <c r="J9" s="11" t="s">
        <v>37</v>
      </c>
      <c r="K9" s="23">
        <v>329472</v>
      </c>
      <c r="L9" s="12">
        <v>329472</v>
      </c>
      <c r="M9" s="12">
        <v>274560</v>
      </c>
      <c r="N9" s="13">
        <v>228800</v>
      </c>
      <c r="O9" s="15"/>
      <c r="P9" s="16">
        <v>2025</v>
      </c>
      <c r="Q9" s="17"/>
      <c r="R9" s="16" t="s">
        <v>23</v>
      </c>
      <c r="S9" s="16" t="s">
        <v>25</v>
      </c>
      <c r="T9" s="14"/>
      <c r="U9" s="18"/>
      <c r="V9" s="19"/>
      <c r="W9" s="18"/>
      <c r="X9" s="19"/>
      <c r="Y9" s="20"/>
      <c r="Z9" s="21"/>
      <c r="AA9" s="22" t="s">
        <v>24</v>
      </c>
    </row>
    <row r="10" spans="1:27" ht="45" x14ac:dyDescent="0.25">
      <c r="A10" s="7">
        <v>2025</v>
      </c>
      <c r="B10" s="8" t="s">
        <v>56</v>
      </c>
      <c r="C10" s="8" t="s">
        <v>20</v>
      </c>
      <c r="D10" s="8" t="s">
        <v>45</v>
      </c>
      <c r="E10" s="9">
        <v>1</v>
      </c>
      <c r="F10" s="10" t="s">
        <v>27</v>
      </c>
      <c r="G10" s="30" t="s">
        <v>57</v>
      </c>
      <c r="H10" s="11" t="s">
        <v>30</v>
      </c>
      <c r="I10" s="9" t="s">
        <v>22</v>
      </c>
      <c r="J10" s="11" t="s">
        <v>31</v>
      </c>
      <c r="K10" s="23">
        <v>600000</v>
      </c>
      <c r="L10" s="12">
        <v>918000</v>
      </c>
      <c r="M10" s="12">
        <v>765000</v>
      </c>
      <c r="N10" s="13">
        <v>637500</v>
      </c>
      <c r="O10" s="15" t="s">
        <v>58</v>
      </c>
      <c r="P10" s="16">
        <v>2025</v>
      </c>
      <c r="Q10" s="17"/>
      <c r="R10" s="16" t="s">
        <v>23</v>
      </c>
      <c r="S10" s="16" t="s">
        <v>59</v>
      </c>
      <c r="T10" s="14"/>
      <c r="U10" s="18">
        <v>500000</v>
      </c>
      <c r="V10" s="19"/>
      <c r="W10" s="18">
        <v>600000</v>
      </c>
      <c r="X10" s="19"/>
      <c r="Y10" s="20">
        <v>500000</v>
      </c>
      <c r="Z10" s="21">
        <v>600000</v>
      </c>
      <c r="AA10" s="22" t="s">
        <v>60</v>
      </c>
    </row>
    <row r="11" spans="1:27" ht="45" x14ac:dyDescent="0.25">
      <c r="A11" s="7">
        <v>2025</v>
      </c>
      <c r="B11" s="8" t="s">
        <v>61</v>
      </c>
      <c r="C11" s="8" t="s">
        <v>20</v>
      </c>
      <c r="D11" s="8" t="s">
        <v>45</v>
      </c>
      <c r="E11" s="9"/>
      <c r="F11" s="10" t="s">
        <v>62</v>
      </c>
      <c r="G11" s="29" t="s">
        <v>63</v>
      </c>
      <c r="H11" s="11" t="s">
        <v>30</v>
      </c>
      <c r="I11" s="9" t="s">
        <v>22</v>
      </c>
      <c r="J11" s="11" t="s">
        <v>35</v>
      </c>
      <c r="K11" s="23">
        <v>463680</v>
      </c>
      <c r="L11" s="12">
        <v>463680</v>
      </c>
      <c r="M11" s="12">
        <v>386400</v>
      </c>
      <c r="N11" s="13">
        <v>322000</v>
      </c>
      <c r="O11" s="15"/>
      <c r="P11" s="16">
        <v>2025</v>
      </c>
      <c r="Q11" s="17"/>
      <c r="R11" s="16" t="s">
        <v>23</v>
      </c>
      <c r="S11" s="16" t="s">
        <v>42</v>
      </c>
      <c r="T11" s="14"/>
      <c r="U11" s="18"/>
      <c r="V11" s="19"/>
      <c r="W11" s="18"/>
      <c r="X11" s="19"/>
      <c r="Y11" s="20"/>
      <c r="Z11" s="21"/>
      <c r="AA11" s="22" t="s">
        <v>60</v>
      </c>
    </row>
    <row r="12" spans="1:27" ht="60" x14ac:dyDescent="0.25">
      <c r="A12" s="7">
        <v>2025</v>
      </c>
      <c r="B12" s="8" t="s">
        <v>64</v>
      </c>
      <c r="C12" s="8" t="s">
        <v>20</v>
      </c>
      <c r="D12" s="8" t="s">
        <v>45</v>
      </c>
      <c r="E12" s="9">
        <v>1</v>
      </c>
      <c r="F12" s="10" t="s">
        <v>62</v>
      </c>
      <c r="G12" s="29" t="s">
        <v>65</v>
      </c>
      <c r="H12" s="11" t="s">
        <v>30</v>
      </c>
      <c r="I12" s="9" t="s">
        <v>22</v>
      </c>
      <c r="J12" s="11" t="s">
        <v>31</v>
      </c>
      <c r="K12" s="23">
        <v>648000</v>
      </c>
      <c r="L12" s="12">
        <v>648000</v>
      </c>
      <c r="M12" s="12">
        <v>540000</v>
      </c>
      <c r="N12" s="13">
        <v>450000</v>
      </c>
      <c r="O12" s="15"/>
      <c r="P12" s="16">
        <v>2025</v>
      </c>
      <c r="Q12" s="17"/>
      <c r="R12" s="16" t="s">
        <v>23</v>
      </c>
      <c r="S12" s="16" t="s">
        <v>42</v>
      </c>
      <c r="T12" s="14"/>
      <c r="U12" s="18"/>
      <c r="V12" s="19"/>
      <c r="W12" s="18"/>
      <c r="X12" s="19"/>
      <c r="Y12" s="20"/>
      <c r="Z12" s="21"/>
      <c r="AA12" s="22" t="s">
        <v>60</v>
      </c>
    </row>
    <row r="13" spans="1:27" ht="30" x14ac:dyDescent="0.25">
      <c r="A13" s="7">
        <v>2025</v>
      </c>
      <c r="B13" s="8" t="s">
        <v>66</v>
      </c>
      <c r="C13" s="8" t="s">
        <v>20</v>
      </c>
      <c r="D13" s="31" t="s">
        <v>25</v>
      </c>
      <c r="E13" s="9">
        <v>1</v>
      </c>
      <c r="F13" s="10" t="s">
        <v>29</v>
      </c>
      <c r="G13" s="11" t="s">
        <v>67</v>
      </c>
      <c r="H13" s="11" t="s">
        <v>30</v>
      </c>
      <c r="I13" s="9" t="s">
        <v>22</v>
      </c>
      <c r="J13" s="11" t="s">
        <v>37</v>
      </c>
      <c r="K13" s="23">
        <v>171446.39999999999</v>
      </c>
      <c r="L13" s="12">
        <v>171446.39999999999</v>
      </c>
      <c r="M13" s="12">
        <v>142872</v>
      </c>
      <c r="N13" s="13">
        <v>119060</v>
      </c>
      <c r="O13" s="15"/>
      <c r="P13" s="16">
        <v>2025</v>
      </c>
      <c r="Q13" s="17"/>
      <c r="R13" s="16" t="s">
        <v>23</v>
      </c>
      <c r="S13" s="16" t="s">
        <v>25</v>
      </c>
      <c r="T13" s="14"/>
      <c r="U13" s="19"/>
      <c r="V13" s="19"/>
      <c r="W13" s="19"/>
      <c r="X13" s="19"/>
      <c r="Y13" s="20"/>
      <c r="Z13" s="21"/>
      <c r="AA13" s="22" t="s">
        <v>24</v>
      </c>
    </row>
    <row r="14" spans="1:27" ht="75" x14ac:dyDescent="0.25">
      <c r="A14" s="7">
        <v>2025</v>
      </c>
      <c r="B14" s="8" t="s">
        <v>68</v>
      </c>
      <c r="C14" s="8" t="s">
        <v>20</v>
      </c>
      <c r="D14" s="31" t="s">
        <v>25</v>
      </c>
      <c r="E14" s="9">
        <v>1</v>
      </c>
      <c r="F14" s="10" t="s">
        <v>27</v>
      </c>
      <c r="G14" s="11" t="s">
        <v>69</v>
      </c>
      <c r="H14" s="11" t="s">
        <v>30</v>
      </c>
      <c r="I14" s="9" t="s">
        <v>22</v>
      </c>
      <c r="J14" s="11" t="s">
        <v>31</v>
      </c>
      <c r="K14" s="23">
        <v>6715440</v>
      </c>
      <c r="L14" s="12">
        <v>6715440</v>
      </c>
      <c r="M14" s="12">
        <v>5596200</v>
      </c>
      <c r="N14" s="13">
        <v>4663500</v>
      </c>
      <c r="O14" s="15"/>
      <c r="P14" s="16">
        <v>2025</v>
      </c>
      <c r="Q14" s="17"/>
      <c r="R14" s="16" t="s">
        <v>23</v>
      </c>
      <c r="S14" s="16" t="s">
        <v>25</v>
      </c>
      <c r="T14" s="14"/>
      <c r="U14" s="19"/>
      <c r="V14" s="19"/>
      <c r="W14" s="19"/>
      <c r="X14" s="19"/>
      <c r="Y14" s="20"/>
      <c r="Z14" s="21"/>
      <c r="AA14" s="22" t="s">
        <v>24</v>
      </c>
    </row>
    <row r="15" spans="1:27" x14ac:dyDescent="0.25">
      <c r="A15" s="7">
        <v>2025</v>
      </c>
      <c r="B15" s="8" t="s">
        <v>71</v>
      </c>
      <c r="C15" s="8" t="s">
        <v>20</v>
      </c>
      <c r="D15" s="8" t="s">
        <v>45</v>
      </c>
      <c r="E15" s="9">
        <v>1</v>
      </c>
      <c r="F15" s="10" t="s">
        <v>34</v>
      </c>
      <c r="G15" s="32" t="s">
        <v>72</v>
      </c>
      <c r="H15" s="11" t="s">
        <v>30</v>
      </c>
      <c r="I15" s="9" t="s">
        <v>22</v>
      </c>
      <c r="J15" s="11" t="s">
        <v>73</v>
      </c>
      <c r="K15" s="23">
        <v>1569228</v>
      </c>
      <c r="L15" s="12">
        <v>1572336</v>
      </c>
      <c r="M15" s="12">
        <v>1310280</v>
      </c>
      <c r="N15" s="13">
        <v>1091900</v>
      </c>
      <c r="O15" s="15" t="s">
        <v>74</v>
      </c>
      <c r="P15" s="16">
        <v>2025</v>
      </c>
      <c r="Q15" s="17"/>
      <c r="R15" s="16" t="s">
        <v>23</v>
      </c>
      <c r="S15" s="16" t="s">
        <v>59</v>
      </c>
      <c r="T15" s="14"/>
      <c r="U15" s="18">
        <v>1307690</v>
      </c>
      <c r="V15" s="19"/>
      <c r="W15" s="18">
        <v>1569228</v>
      </c>
      <c r="X15" s="19"/>
      <c r="Y15" s="20">
        <v>1307690</v>
      </c>
      <c r="Z15" s="21">
        <v>1569228</v>
      </c>
      <c r="AA15" s="22" t="s">
        <v>60</v>
      </c>
    </row>
    <row r="16" spans="1:27" ht="60" x14ac:dyDescent="0.25">
      <c r="A16" s="7">
        <v>2025</v>
      </c>
      <c r="B16" s="8" t="s">
        <v>75</v>
      </c>
      <c r="C16" s="8" t="s">
        <v>20</v>
      </c>
      <c r="D16" s="8" t="s">
        <v>45</v>
      </c>
      <c r="E16" s="9">
        <v>1</v>
      </c>
      <c r="F16" s="10" t="s">
        <v>27</v>
      </c>
      <c r="G16" s="32" t="s">
        <v>76</v>
      </c>
      <c r="H16" s="11" t="s">
        <v>30</v>
      </c>
      <c r="I16" s="9" t="s">
        <v>22</v>
      </c>
      <c r="J16" s="11" t="s">
        <v>31</v>
      </c>
      <c r="K16" s="23">
        <v>1572336</v>
      </c>
      <c r="L16" s="12">
        <v>1572336</v>
      </c>
      <c r="M16" s="12">
        <v>1310280</v>
      </c>
      <c r="N16" s="13">
        <v>1091900</v>
      </c>
      <c r="O16" s="15"/>
      <c r="P16" s="16">
        <v>2025</v>
      </c>
      <c r="Q16" s="17"/>
      <c r="R16" s="16" t="s">
        <v>23</v>
      </c>
      <c r="S16" s="16" t="s">
        <v>42</v>
      </c>
      <c r="T16" s="14"/>
      <c r="U16" s="19"/>
      <c r="V16" s="19"/>
      <c r="W16" s="19"/>
      <c r="X16" s="19"/>
      <c r="Y16" s="20"/>
      <c r="Z16" s="21"/>
      <c r="AA16" s="22" t="s">
        <v>60</v>
      </c>
    </row>
    <row r="17" spans="1:27" ht="30" x14ac:dyDescent="0.25">
      <c r="A17" s="7">
        <v>2025</v>
      </c>
      <c r="B17" s="8" t="s">
        <v>77</v>
      </c>
      <c r="C17" s="8" t="s">
        <v>20</v>
      </c>
      <c r="D17" s="31" t="s">
        <v>21</v>
      </c>
      <c r="E17" s="9">
        <v>1</v>
      </c>
      <c r="F17" s="10" t="s">
        <v>27</v>
      </c>
      <c r="G17" s="11" t="s">
        <v>78</v>
      </c>
      <c r="H17" s="11" t="s">
        <v>30</v>
      </c>
      <c r="I17" s="9" t="s">
        <v>22</v>
      </c>
      <c r="J17" s="11" t="s">
        <v>31</v>
      </c>
      <c r="K17" s="23">
        <v>2142000</v>
      </c>
      <c r="L17" s="12">
        <v>2142000</v>
      </c>
      <c r="M17" s="12">
        <v>1785000</v>
      </c>
      <c r="N17" s="13">
        <v>1487500</v>
      </c>
      <c r="O17" s="15"/>
      <c r="P17" s="16">
        <v>2025</v>
      </c>
      <c r="Q17" s="17"/>
      <c r="R17" s="16" t="s">
        <v>23</v>
      </c>
      <c r="S17" s="16" t="s">
        <v>21</v>
      </c>
      <c r="T17" s="14"/>
      <c r="U17" s="19"/>
      <c r="V17" s="19"/>
      <c r="W17" s="19"/>
      <c r="X17" s="19"/>
      <c r="Y17" s="20"/>
      <c r="Z17" s="21"/>
      <c r="AA17" s="22" t="s">
        <v>24</v>
      </c>
    </row>
    <row r="18" spans="1:27" ht="60" x14ac:dyDescent="0.25">
      <c r="A18" s="7">
        <v>2025</v>
      </c>
      <c r="B18" s="8" t="s">
        <v>77</v>
      </c>
      <c r="C18" s="8" t="s">
        <v>20</v>
      </c>
      <c r="D18" s="8" t="s">
        <v>45</v>
      </c>
      <c r="E18" s="9">
        <v>2</v>
      </c>
      <c r="F18" s="10" t="s">
        <v>27</v>
      </c>
      <c r="G18" s="28" t="s">
        <v>79</v>
      </c>
      <c r="H18" s="11" t="s">
        <v>30</v>
      </c>
      <c r="I18" s="9" t="s">
        <v>22</v>
      </c>
      <c r="J18" s="11" t="s">
        <v>31</v>
      </c>
      <c r="K18" s="23">
        <v>1581600</v>
      </c>
      <c r="L18" s="12">
        <v>1800000</v>
      </c>
      <c r="M18" s="12">
        <v>1500000</v>
      </c>
      <c r="N18" s="13">
        <v>1250000</v>
      </c>
      <c r="O18" s="15" t="s">
        <v>80</v>
      </c>
      <c r="P18" s="16">
        <v>2025</v>
      </c>
      <c r="Q18" s="17"/>
      <c r="R18" s="16" t="s">
        <v>23</v>
      </c>
      <c r="S18" s="16" t="s">
        <v>59</v>
      </c>
      <c r="T18" s="14"/>
      <c r="U18" s="18">
        <v>1318000</v>
      </c>
      <c r="V18" s="19"/>
      <c r="W18" s="18">
        <v>1581600</v>
      </c>
      <c r="X18" s="19"/>
      <c r="Y18" s="20">
        <v>1318000</v>
      </c>
      <c r="Z18" s="21">
        <v>1581600</v>
      </c>
      <c r="AA18" s="22" t="s">
        <v>60</v>
      </c>
    </row>
    <row r="19" spans="1:27" ht="30" x14ac:dyDescent="0.25">
      <c r="A19" s="7">
        <v>2025</v>
      </c>
      <c r="B19" s="8" t="s">
        <v>81</v>
      </c>
      <c r="C19" s="8" t="s">
        <v>20</v>
      </c>
      <c r="D19" s="8" t="s">
        <v>45</v>
      </c>
      <c r="E19" s="9">
        <v>1</v>
      </c>
      <c r="F19" s="10" t="s">
        <v>27</v>
      </c>
      <c r="G19" s="28" t="s">
        <v>82</v>
      </c>
      <c r="H19" s="11" t="s">
        <v>30</v>
      </c>
      <c r="I19" s="9" t="s">
        <v>22</v>
      </c>
      <c r="J19" s="11" t="s">
        <v>35</v>
      </c>
      <c r="K19" s="23">
        <v>2497248</v>
      </c>
      <c r="L19" s="12">
        <v>3071462.4</v>
      </c>
      <c r="M19" s="12">
        <v>2559552</v>
      </c>
      <c r="N19" s="13">
        <v>2132960</v>
      </c>
      <c r="O19" s="15" t="s">
        <v>83</v>
      </c>
      <c r="P19" s="16">
        <v>2025</v>
      </c>
      <c r="Q19" s="17"/>
      <c r="R19" s="16" t="s">
        <v>23</v>
      </c>
      <c r="S19" s="16" t="s">
        <v>40</v>
      </c>
      <c r="T19" s="14"/>
      <c r="U19" s="18">
        <v>2081040</v>
      </c>
      <c r="V19" s="19"/>
      <c r="W19" s="18">
        <v>2497248</v>
      </c>
      <c r="X19" s="19"/>
      <c r="Y19" s="20">
        <v>2081040</v>
      </c>
      <c r="Z19" s="21">
        <v>2497248</v>
      </c>
      <c r="AA19" s="22" t="s">
        <v>48</v>
      </c>
    </row>
    <row r="20" spans="1:27" ht="45" x14ac:dyDescent="0.25">
      <c r="A20" s="7">
        <v>2025</v>
      </c>
      <c r="B20" s="8" t="s">
        <v>84</v>
      </c>
      <c r="C20" s="8" t="s">
        <v>20</v>
      </c>
      <c r="D20" s="8" t="s">
        <v>45</v>
      </c>
      <c r="E20" s="9">
        <v>1</v>
      </c>
      <c r="F20" s="10" t="s">
        <v>27</v>
      </c>
      <c r="G20" s="28" t="s">
        <v>28</v>
      </c>
      <c r="H20" s="11" t="s">
        <v>30</v>
      </c>
      <c r="I20" s="9" t="s">
        <v>22</v>
      </c>
      <c r="J20" s="11" t="s">
        <v>31</v>
      </c>
      <c r="K20" s="23">
        <v>1094400</v>
      </c>
      <c r="L20" s="12">
        <v>1094400</v>
      </c>
      <c r="M20" s="12">
        <v>912000</v>
      </c>
      <c r="N20" s="13">
        <v>760000</v>
      </c>
      <c r="O20" s="15"/>
      <c r="P20" s="16">
        <v>2025</v>
      </c>
      <c r="Q20" s="17"/>
      <c r="R20" s="16" t="s">
        <v>23</v>
      </c>
      <c r="S20" s="16" t="s">
        <v>42</v>
      </c>
      <c r="T20" s="14"/>
      <c r="U20" s="19"/>
      <c r="V20" s="19"/>
      <c r="W20" s="19"/>
      <c r="X20" s="19"/>
      <c r="Y20" s="20"/>
      <c r="Z20" s="21"/>
      <c r="AA20" s="22" t="s">
        <v>60</v>
      </c>
    </row>
    <row r="21" spans="1:27" ht="45" x14ac:dyDescent="0.25">
      <c r="A21" s="7">
        <v>2025</v>
      </c>
      <c r="B21" s="8" t="s">
        <v>85</v>
      </c>
      <c r="C21" s="8" t="s">
        <v>20</v>
      </c>
      <c r="D21" s="8" t="s">
        <v>45</v>
      </c>
      <c r="E21" s="9">
        <v>1</v>
      </c>
      <c r="F21" s="10" t="s">
        <v>62</v>
      </c>
      <c r="G21" s="29" t="s">
        <v>86</v>
      </c>
      <c r="H21" s="11" t="s">
        <v>30</v>
      </c>
      <c r="I21" s="9" t="s">
        <v>22</v>
      </c>
      <c r="J21" s="11" t="s">
        <v>31</v>
      </c>
      <c r="K21" s="23">
        <v>2503440</v>
      </c>
      <c r="L21" s="12">
        <v>2503440</v>
      </c>
      <c r="M21" s="12">
        <v>2086200</v>
      </c>
      <c r="N21" s="13">
        <v>1738500</v>
      </c>
      <c r="O21" s="15"/>
      <c r="P21" s="16">
        <v>2025</v>
      </c>
      <c r="Q21" s="17"/>
      <c r="R21" s="16" t="s">
        <v>23</v>
      </c>
      <c r="S21" s="16" t="s">
        <v>42</v>
      </c>
      <c r="T21" s="14"/>
      <c r="U21" s="19"/>
      <c r="V21" s="19"/>
      <c r="W21" s="19"/>
      <c r="X21" s="19"/>
      <c r="Y21" s="20"/>
      <c r="Z21" s="21"/>
      <c r="AA21" s="22" t="s">
        <v>60</v>
      </c>
    </row>
    <row r="22" spans="1:27" ht="45" x14ac:dyDescent="0.25">
      <c r="A22" s="7">
        <v>2025</v>
      </c>
      <c r="B22" s="31" t="s">
        <v>87</v>
      </c>
      <c r="C22" s="8" t="s">
        <v>20</v>
      </c>
      <c r="D22" s="8" t="s">
        <v>40</v>
      </c>
      <c r="E22" s="9">
        <v>1</v>
      </c>
      <c r="F22" s="10" t="s">
        <v>27</v>
      </c>
      <c r="G22" s="29" t="s">
        <v>88</v>
      </c>
      <c r="H22" s="11" t="s">
        <v>30</v>
      </c>
      <c r="I22" s="9" t="s">
        <v>22</v>
      </c>
      <c r="J22" s="11" t="s">
        <v>31</v>
      </c>
      <c r="K22" s="23">
        <v>3962044.8</v>
      </c>
      <c r="L22" s="12">
        <v>3962044.8</v>
      </c>
      <c r="M22" s="12">
        <v>3301704</v>
      </c>
      <c r="N22" s="13">
        <v>2751420</v>
      </c>
      <c r="O22" s="15"/>
      <c r="P22" s="16">
        <v>2025</v>
      </c>
      <c r="Q22" s="17"/>
      <c r="R22" s="16" t="s">
        <v>23</v>
      </c>
      <c r="S22" s="16" t="s">
        <v>42</v>
      </c>
      <c r="T22" s="14"/>
      <c r="U22" s="19"/>
      <c r="V22" s="19"/>
      <c r="W22" s="19"/>
      <c r="X22" s="19"/>
      <c r="Y22" s="20"/>
      <c r="Z22" s="21"/>
      <c r="AA22" s="22" t="s">
        <v>43</v>
      </c>
    </row>
    <row r="23" spans="1:27" ht="120" x14ac:dyDescent="0.25">
      <c r="A23" s="7">
        <v>2025</v>
      </c>
      <c r="B23" s="8" t="s">
        <v>89</v>
      </c>
      <c r="C23" s="8" t="s">
        <v>20</v>
      </c>
      <c r="D23" s="8" t="s">
        <v>45</v>
      </c>
      <c r="E23" s="9">
        <v>1</v>
      </c>
      <c r="F23" s="10" t="s">
        <v>27</v>
      </c>
      <c r="G23" s="29" t="s">
        <v>90</v>
      </c>
      <c r="H23" s="11" t="s">
        <v>30</v>
      </c>
      <c r="I23" s="9" t="s">
        <v>22</v>
      </c>
      <c r="J23" s="11" t="s">
        <v>31</v>
      </c>
      <c r="K23" s="23">
        <v>3067200</v>
      </c>
      <c r="L23" s="12">
        <v>3067200</v>
      </c>
      <c r="M23" s="12">
        <v>2556000</v>
      </c>
      <c r="N23" s="13">
        <v>2130000</v>
      </c>
      <c r="O23" s="15"/>
      <c r="P23" s="16">
        <v>2025</v>
      </c>
      <c r="Q23" s="17"/>
      <c r="R23" s="16" t="s">
        <v>23</v>
      </c>
      <c r="S23" s="16" t="s">
        <v>42</v>
      </c>
      <c r="T23" s="14"/>
      <c r="U23" s="19"/>
      <c r="V23" s="19"/>
      <c r="W23" s="19"/>
      <c r="X23" s="19"/>
      <c r="Y23" s="20"/>
      <c r="Z23" s="21"/>
      <c r="AA23" s="22" t="s">
        <v>60</v>
      </c>
    </row>
    <row r="24" spans="1:27" ht="30" x14ac:dyDescent="0.25">
      <c r="A24" s="7">
        <v>2025</v>
      </c>
      <c r="B24" s="31" t="s">
        <v>91</v>
      </c>
      <c r="C24" s="8" t="s">
        <v>20</v>
      </c>
      <c r="D24" s="8" t="s">
        <v>40</v>
      </c>
      <c r="E24" s="9">
        <v>1</v>
      </c>
      <c r="F24" s="10" t="s">
        <v>27</v>
      </c>
      <c r="G24" s="29" t="s">
        <v>92</v>
      </c>
      <c r="H24" s="11" t="s">
        <v>30</v>
      </c>
      <c r="I24" s="9" t="s">
        <v>22</v>
      </c>
      <c r="J24" s="11" t="s">
        <v>31</v>
      </c>
      <c r="K24" s="23">
        <v>1175040</v>
      </c>
      <c r="L24" s="12">
        <v>1175040</v>
      </c>
      <c r="M24" s="12">
        <v>979200</v>
      </c>
      <c r="N24" s="13">
        <v>816000</v>
      </c>
      <c r="O24" s="15"/>
      <c r="P24" s="16">
        <v>2025</v>
      </c>
      <c r="Q24" s="17"/>
      <c r="R24" s="16" t="s">
        <v>23</v>
      </c>
      <c r="S24" s="16" t="s">
        <v>42</v>
      </c>
      <c r="T24" s="14"/>
      <c r="U24" s="19"/>
      <c r="V24" s="19"/>
      <c r="W24" s="19"/>
      <c r="X24" s="19"/>
      <c r="Y24" s="20"/>
      <c r="Z24" s="21"/>
      <c r="AA24" s="22" t="s">
        <v>43</v>
      </c>
    </row>
    <row r="25" spans="1:27" ht="45" x14ac:dyDescent="0.25">
      <c r="A25" s="7">
        <v>2025</v>
      </c>
      <c r="B25" s="8" t="s">
        <v>93</v>
      </c>
      <c r="C25" s="8" t="s">
        <v>20</v>
      </c>
      <c r="D25" s="8" t="s">
        <v>45</v>
      </c>
      <c r="E25" s="9">
        <v>1</v>
      </c>
      <c r="F25" s="10" t="s">
        <v>29</v>
      </c>
      <c r="G25" s="29" t="s">
        <v>70</v>
      </c>
      <c r="H25" s="11" t="s">
        <v>32</v>
      </c>
      <c r="I25" s="9" t="s">
        <v>22</v>
      </c>
      <c r="J25" s="11" t="s">
        <v>33</v>
      </c>
      <c r="K25" s="23">
        <v>2699409.6</v>
      </c>
      <c r="L25" s="12">
        <v>2699409.6</v>
      </c>
      <c r="M25" s="12">
        <v>2249508</v>
      </c>
      <c r="N25" s="13">
        <v>1874590</v>
      </c>
      <c r="O25" s="15"/>
      <c r="P25" s="16">
        <v>2025</v>
      </c>
      <c r="Q25" s="17"/>
      <c r="R25" s="16" t="s">
        <v>23</v>
      </c>
      <c r="S25" s="16" t="s">
        <v>42</v>
      </c>
      <c r="T25" s="14"/>
      <c r="U25" s="19"/>
      <c r="V25" s="19"/>
      <c r="W25" s="19"/>
      <c r="X25" s="19"/>
      <c r="Y25" s="20"/>
      <c r="Z25" s="21"/>
      <c r="AA25" s="22" t="s">
        <v>60</v>
      </c>
    </row>
    <row r="26" spans="1:27" ht="30" x14ac:dyDescent="0.25">
      <c r="A26" s="7">
        <v>2025</v>
      </c>
      <c r="B26" s="31" t="s">
        <v>26</v>
      </c>
      <c r="C26" s="8" t="s">
        <v>20</v>
      </c>
      <c r="D26" s="8" t="s">
        <v>40</v>
      </c>
      <c r="E26" s="9">
        <v>1</v>
      </c>
      <c r="F26" s="10" t="s">
        <v>34</v>
      </c>
      <c r="G26" s="29" t="s">
        <v>94</v>
      </c>
      <c r="H26" s="11" t="s">
        <v>30</v>
      </c>
      <c r="I26" s="9" t="s">
        <v>22</v>
      </c>
      <c r="J26" s="11" t="s">
        <v>35</v>
      </c>
      <c r="K26" s="23">
        <v>2551240.7999999998</v>
      </c>
      <c r="L26" s="12">
        <v>2551240.7999999998</v>
      </c>
      <c r="M26" s="12">
        <v>2126034</v>
      </c>
      <c r="N26" s="13">
        <v>1771695</v>
      </c>
      <c r="O26" s="15"/>
      <c r="P26" s="16">
        <v>2025</v>
      </c>
      <c r="Q26" s="17"/>
      <c r="R26" s="16" t="s">
        <v>23</v>
      </c>
      <c r="S26" s="16" t="s">
        <v>42</v>
      </c>
      <c r="T26" s="14"/>
      <c r="U26" s="19"/>
      <c r="V26" s="19"/>
      <c r="W26" s="19"/>
      <c r="X26" s="19"/>
      <c r="Y26" s="20"/>
      <c r="Z26" s="21"/>
      <c r="AA26" s="22" t="s">
        <v>43</v>
      </c>
    </row>
    <row r="27" spans="1:27" ht="75" x14ac:dyDescent="0.25">
      <c r="A27" s="7">
        <v>2025</v>
      </c>
      <c r="B27" s="31" t="s">
        <v>95</v>
      </c>
      <c r="C27" s="8" t="s">
        <v>20</v>
      </c>
      <c r="D27" s="8" t="s">
        <v>40</v>
      </c>
      <c r="E27" s="9">
        <v>1</v>
      </c>
      <c r="F27" s="10" t="s">
        <v>27</v>
      </c>
      <c r="G27" s="29" t="s">
        <v>96</v>
      </c>
      <c r="H27" s="11" t="s">
        <v>30</v>
      </c>
      <c r="I27" s="9" t="s">
        <v>22</v>
      </c>
      <c r="J27" s="11" t="s">
        <v>31</v>
      </c>
      <c r="K27" s="23">
        <v>1440000</v>
      </c>
      <c r="L27" s="12">
        <v>1440000</v>
      </c>
      <c r="M27" s="12">
        <v>1200000</v>
      </c>
      <c r="N27" s="13">
        <v>1000000</v>
      </c>
      <c r="O27" s="15"/>
      <c r="P27" s="16">
        <v>2025</v>
      </c>
      <c r="Q27" s="17"/>
      <c r="R27" s="16" t="s">
        <v>23</v>
      </c>
      <c r="S27" s="16" t="s">
        <v>42</v>
      </c>
      <c r="T27" s="14"/>
      <c r="U27" s="19"/>
      <c r="V27" s="19"/>
      <c r="W27" s="19"/>
      <c r="X27" s="19"/>
      <c r="Y27" s="20"/>
      <c r="Z27" s="21"/>
      <c r="AA27" s="22" t="s">
        <v>43</v>
      </c>
    </row>
    <row r="28" spans="1:27" ht="60" x14ac:dyDescent="0.25">
      <c r="A28" s="7">
        <v>2025</v>
      </c>
      <c r="B28" s="31" t="s">
        <v>95</v>
      </c>
      <c r="C28" s="8" t="s">
        <v>20</v>
      </c>
      <c r="D28" s="8" t="s">
        <v>40</v>
      </c>
      <c r="E28" s="9">
        <v>1</v>
      </c>
      <c r="F28" s="10" t="s">
        <v>97</v>
      </c>
      <c r="G28" s="29" t="s">
        <v>98</v>
      </c>
      <c r="H28" s="11" t="s">
        <v>30</v>
      </c>
      <c r="I28" s="9" t="s">
        <v>22</v>
      </c>
      <c r="J28" s="11" t="s">
        <v>35</v>
      </c>
      <c r="K28" s="23">
        <v>600000</v>
      </c>
      <c r="L28" s="12">
        <v>600000</v>
      </c>
      <c r="M28" s="12">
        <v>500000</v>
      </c>
      <c r="N28" s="13">
        <v>416666.66666666669</v>
      </c>
      <c r="O28" s="15"/>
      <c r="P28" s="16">
        <v>2025</v>
      </c>
      <c r="Q28" s="17"/>
      <c r="R28" s="16" t="s">
        <v>23</v>
      </c>
      <c r="S28" s="16" t="s">
        <v>42</v>
      </c>
      <c r="T28" s="14"/>
      <c r="U28" s="19"/>
      <c r="V28" s="19"/>
      <c r="W28" s="19"/>
      <c r="X28" s="19"/>
      <c r="Y28" s="20"/>
      <c r="Z28" s="21"/>
      <c r="AA28" s="22" t="s">
        <v>43</v>
      </c>
    </row>
    <row r="29" spans="1:27" ht="30" x14ac:dyDescent="0.25">
      <c r="A29" s="7">
        <v>2025</v>
      </c>
      <c r="B29" s="31" t="s">
        <v>95</v>
      </c>
      <c r="C29" s="8" t="s">
        <v>20</v>
      </c>
      <c r="D29" s="8" t="s">
        <v>40</v>
      </c>
      <c r="E29" s="9">
        <v>1</v>
      </c>
      <c r="F29" s="10" t="s">
        <v>34</v>
      </c>
      <c r="G29" s="29" t="s">
        <v>99</v>
      </c>
      <c r="H29" s="11" t="s">
        <v>30</v>
      </c>
      <c r="I29" s="9" t="s">
        <v>22</v>
      </c>
      <c r="J29" s="11" t="s">
        <v>100</v>
      </c>
      <c r="K29" s="23">
        <v>1028592</v>
      </c>
      <c r="L29" s="12">
        <v>1028592</v>
      </c>
      <c r="M29" s="12">
        <v>857160</v>
      </c>
      <c r="N29" s="13">
        <v>714300</v>
      </c>
      <c r="O29" s="15"/>
      <c r="P29" s="16">
        <v>2025</v>
      </c>
      <c r="Q29" s="17"/>
      <c r="R29" s="16" t="s">
        <v>23</v>
      </c>
      <c r="S29" s="16" t="s">
        <v>42</v>
      </c>
      <c r="T29" s="14"/>
      <c r="U29" s="19"/>
      <c r="V29" s="19"/>
      <c r="W29" s="19"/>
      <c r="X29" s="19"/>
      <c r="Y29" s="20"/>
      <c r="Z29" s="21"/>
      <c r="AA29" s="22" t="s">
        <v>43</v>
      </c>
    </row>
    <row r="30" spans="1:27" ht="45" x14ac:dyDescent="0.25">
      <c r="A30" s="7">
        <v>2025</v>
      </c>
      <c r="B30" s="31" t="s">
        <v>95</v>
      </c>
      <c r="C30" s="8" t="s">
        <v>20</v>
      </c>
      <c r="D30" s="8" t="s">
        <v>40</v>
      </c>
      <c r="E30" s="9">
        <v>1</v>
      </c>
      <c r="F30" s="10" t="s">
        <v>34</v>
      </c>
      <c r="G30" s="29" t="s">
        <v>101</v>
      </c>
      <c r="H30" s="11" t="s">
        <v>30</v>
      </c>
      <c r="I30" s="9" t="s">
        <v>22</v>
      </c>
      <c r="J30" s="11" t="s">
        <v>36</v>
      </c>
      <c r="K30" s="23">
        <v>4038480</v>
      </c>
      <c r="L30" s="12">
        <v>4038480</v>
      </c>
      <c r="M30" s="12">
        <v>3365400</v>
      </c>
      <c r="N30" s="13">
        <v>2804500</v>
      </c>
      <c r="O30" s="15"/>
      <c r="P30" s="16">
        <v>2025</v>
      </c>
      <c r="Q30" s="17"/>
      <c r="R30" s="16" t="s">
        <v>23</v>
      </c>
      <c r="S30" s="16" t="s">
        <v>42</v>
      </c>
      <c r="T30" s="14"/>
      <c r="U30" s="19"/>
      <c r="V30" s="19"/>
      <c r="W30" s="19"/>
      <c r="X30" s="19"/>
      <c r="Y30" s="20"/>
      <c r="Z30" s="21"/>
      <c r="AA30" s="22" t="s">
        <v>43</v>
      </c>
    </row>
    <row r="31" spans="1:27" ht="30" x14ac:dyDescent="0.25">
      <c r="A31" s="7">
        <v>2025</v>
      </c>
      <c r="B31" s="31" t="s">
        <v>95</v>
      </c>
      <c r="C31" s="8" t="s">
        <v>20</v>
      </c>
      <c r="D31" s="8" t="s">
        <v>40</v>
      </c>
      <c r="E31" s="9">
        <v>1</v>
      </c>
      <c r="F31" s="10" t="s">
        <v>34</v>
      </c>
      <c r="G31" s="29" t="s">
        <v>102</v>
      </c>
      <c r="H31" s="11" t="s">
        <v>30</v>
      </c>
      <c r="I31" s="9" t="s">
        <v>22</v>
      </c>
      <c r="J31" s="11" t="s">
        <v>35</v>
      </c>
      <c r="K31" s="23">
        <v>2977228.7999999998</v>
      </c>
      <c r="L31" s="12">
        <v>2977228.7999999998</v>
      </c>
      <c r="M31" s="12">
        <v>2481024</v>
      </c>
      <c r="N31" s="13">
        <v>2067520</v>
      </c>
      <c r="O31" s="15"/>
      <c r="P31" s="16">
        <v>2025</v>
      </c>
      <c r="Q31" s="17"/>
      <c r="R31" s="16" t="s">
        <v>23</v>
      </c>
      <c r="S31" s="16" t="s">
        <v>42</v>
      </c>
      <c r="T31" s="14"/>
      <c r="U31" s="19"/>
      <c r="V31" s="19"/>
      <c r="W31" s="19"/>
      <c r="X31" s="19"/>
      <c r="Y31" s="20"/>
      <c r="Z31" s="21"/>
      <c r="AA31" s="22" t="s">
        <v>43</v>
      </c>
    </row>
    <row r="32" spans="1:27" ht="45" x14ac:dyDescent="0.25">
      <c r="A32" s="7">
        <v>2025</v>
      </c>
      <c r="B32" s="31" t="s">
        <v>95</v>
      </c>
      <c r="C32" s="8" t="s">
        <v>20</v>
      </c>
      <c r="D32" s="8" t="s">
        <v>40</v>
      </c>
      <c r="E32" s="9">
        <v>2</v>
      </c>
      <c r="F32" s="10" t="s">
        <v>34</v>
      </c>
      <c r="G32" s="29" t="s">
        <v>103</v>
      </c>
      <c r="H32" s="11" t="s">
        <v>30</v>
      </c>
      <c r="I32" s="9" t="s">
        <v>22</v>
      </c>
      <c r="J32" s="11" t="s">
        <v>35</v>
      </c>
      <c r="K32" s="23">
        <v>587419.19999999995</v>
      </c>
      <c r="L32" s="12">
        <v>587419.19999999995</v>
      </c>
      <c r="M32" s="12">
        <v>489516</v>
      </c>
      <c r="N32" s="13">
        <v>407930</v>
      </c>
      <c r="O32" s="15"/>
      <c r="P32" s="16">
        <v>2025</v>
      </c>
      <c r="Q32" s="17"/>
      <c r="R32" s="16" t="s">
        <v>23</v>
      </c>
      <c r="S32" s="16" t="s">
        <v>42</v>
      </c>
      <c r="T32" s="14"/>
      <c r="U32" s="19"/>
      <c r="V32" s="19"/>
      <c r="W32" s="19"/>
      <c r="X32" s="19"/>
      <c r="Y32" s="20"/>
      <c r="Z32" s="21"/>
      <c r="AA32" s="22" t="s">
        <v>43</v>
      </c>
    </row>
  </sheetData>
  <autoFilter ref="A1:AA32"/>
  <conditionalFormatting sqref="L3:V3 L4:Q4 H11:J11 A2:F3 C4:F4 A5:F6 A10:F13 L2:AA2 A7:J9 L13:T32 L5:AA12 A14:E32">
    <cfRule type="expression" dxfId="266" priority="380">
      <formula>IF(OR($D2=INF,$D2=ANN),1,0)</formula>
    </cfRule>
  </conditionalFormatting>
  <conditionalFormatting sqref="L4:Q4 G25:J25 G14:J21 A13:J13 C4:F4 A11:E11 A12:H12 A2:J3 L5:Z12 L2:Z2 L3:V3 L13:T21 L25:T25 A5:H10 A14:E21 A25:E25">
    <cfRule type="expression" dxfId="265" priority="387">
      <formula>IF(#REF!=NA,1,0)</formula>
    </cfRule>
  </conditionalFormatting>
  <conditionalFormatting sqref="H2:I2">
    <cfRule type="expression" dxfId="264" priority="310">
      <formula>IF(OR($D2=INF,$D2=ANN),1,0)</formula>
    </cfRule>
  </conditionalFormatting>
  <conditionalFormatting sqref="G2 J2">
    <cfRule type="expression" dxfId="263" priority="308">
      <formula>IF(OR($D2=INF,$D2=ANN),1,0)</formula>
    </cfRule>
  </conditionalFormatting>
  <conditionalFormatting sqref="AA3">
    <cfRule type="expression" dxfId="262" priority="307">
      <formula>IF($D1048538=NA,1,0)</formula>
    </cfRule>
  </conditionalFormatting>
  <conditionalFormatting sqref="H3:I3">
    <cfRule type="expression" dxfId="261" priority="305">
      <formula>IF(OR($D3=INF,$D3=ANN),1,0)</formula>
    </cfRule>
  </conditionalFormatting>
  <conditionalFormatting sqref="X3:Z3">
    <cfRule type="expression" dxfId="260" priority="304">
      <formula>IF(#REF!=NA,1,0)</formula>
    </cfRule>
  </conditionalFormatting>
  <conditionalFormatting sqref="G3 J3">
    <cfRule type="expression" dxfId="259" priority="303">
      <formula>IF(OR($D3=INF,$D3=ANN),1,0)</formula>
    </cfRule>
  </conditionalFormatting>
  <conditionalFormatting sqref="X3:AA3">
    <cfRule type="expression" dxfId="258" priority="306">
      <formula>IF(OR($D3=INF,$D3=ANN),1,0)</formula>
    </cfRule>
  </conditionalFormatting>
  <conditionalFormatting sqref="W3 G24:J24 H26:J26 A23:E24 A26:E26 L26:T26 L23:T24 H23:J23">
    <cfRule type="expression" dxfId="257" priority="301">
      <formula>IF(#REF!=NA,1,0)</formula>
    </cfRule>
  </conditionalFormatting>
  <conditionalFormatting sqref="W3">
    <cfRule type="expression" dxfId="256" priority="302">
      <formula>IF(OR($D3=INF,$D3=ANN),1,0)</formula>
    </cfRule>
  </conditionalFormatting>
  <conditionalFormatting sqref="A4:B4 G4:I4 T4:Z4">
    <cfRule type="expression" dxfId="255" priority="300">
      <formula>IF(#REF!=NA,1,0)</formula>
    </cfRule>
  </conditionalFormatting>
  <conditionalFormatting sqref="A4:B4 G4:I4 T4:Z4">
    <cfRule type="expression" dxfId="254" priority="299">
      <formula>IF(OR($D4=INF,$D4=ANN),1,0)</formula>
    </cfRule>
  </conditionalFormatting>
  <conditionalFormatting sqref="J4">
    <cfRule type="expression" dxfId="253" priority="297">
      <formula>IF(OR($D4=INF,$D4=ANN),1,0)</formula>
    </cfRule>
  </conditionalFormatting>
  <conditionalFormatting sqref="J4">
    <cfRule type="expression" dxfId="252" priority="298">
      <formula>IF(#REF!=NA,1,0)</formula>
    </cfRule>
  </conditionalFormatting>
  <conditionalFormatting sqref="AA4">
    <cfRule type="expression" dxfId="251" priority="296">
      <formula>IF($D1048533=NA,1,0)</formula>
    </cfRule>
  </conditionalFormatting>
  <conditionalFormatting sqref="R4:S4">
    <cfRule type="expression" dxfId="250" priority="293">
      <formula>IF(#REF!=NA,1,0)</formula>
    </cfRule>
  </conditionalFormatting>
  <conditionalFormatting sqref="R4:S4 AA4">
    <cfRule type="expression" dxfId="249" priority="295">
      <formula>IF(OR($D4=INF,$D4=ANN),1,0)</formula>
    </cfRule>
  </conditionalFormatting>
  <conditionalFormatting sqref="I5:I6">
    <cfRule type="expression" dxfId="248" priority="292">
      <formula>IF(OR($D5=INF,$D5=ANN),1,0)</formula>
    </cfRule>
  </conditionalFormatting>
  <conditionalFormatting sqref="I5:J6">
    <cfRule type="expression" dxfId="247" priority="291">
      <formula>IF(#REF!=NA,1,0)</formula>
    </cfRule>
  </conditionalFormatting>
  <conditionalFormatting sqref="J5:J6">
    <cfRule type="expression" dxfId="246" priority="290">
      <formula>IF(OR($D5=INF,$D5=ANN),1,0)</formula>
    </cfRule>
  </conditionalFormatting>
  <conditionalFormatting sqref="AA5:AA6 AA9">
    <cfRule type="expression" dxfId="245" priority="289">
      <formula>IF($D1048537=NA,1,0)</formula>
    </cfRule>
  </conditionalFormatting>
  <conditionalFormatting sqref="H5:H6">
    <cfRule type="expression" dxfId="244" priority="287">
      <formula>IF(OR($D5=INF,$D5=ANN),1,0)</formula>
    </cfRule>
  </conditionalFormatting>
  <conditionalFormatting sqref="G5:G6">
    <cfRule type="expression" dxfId="243" priority="285">
      <formula>IF(OR($D5=INF,$D5=ANN),1,0)</formula>
    </cfRule>
  </conditionalFormatting>
  <conditionalFormatting sqref="I10">
    <cfRule type="expression" dxfId="242" priority="283">
      <formula>IF(OR($D10=INF,$D10=ANN),1,0)</formula>
    </cfRule>
  </conditionalFormatting>
  <conditionalFormatting sqref="I10:J10">
    <cfRule type="expression" dxfId="241" priority="282">
      <formula>IF(#REF!=NA,1,0)</formula>
    </cfRule>
  </conditionalFormatting>
  <conditionalFormatting sqref="J10">
    <cfRule type="expression" dxfId="240" priority="281">
      <formula>IF(OR($D10=INF,$D10=ANN),1,0)</formula>
    </cfRule>
  </conditionalFormatting>
  <conditionalFormatting sqref="AA10">
    <cfRule type="expression" dxfId="239" priority="280">
      <formula>IF($D1048539=NA,1,0)</formula>
    </cfRule>
  </conditionalFormatting>
  <conditionalFormatting sqref="H10">
    <cfRule type="expression" dxfId="238" priority="278">
      <formula>IF(OR($D10=INF,$D10=ANN),1,0)</formula>
    </cfRule>
  </conditionalFormatting>
  <conditionalFormatting sqref="G10">
    <cfRule type="expression" dxfId="237" priority="276">
      <formula>IF(OR($D10=INF,$D10=ANN),1,0)</formula>
    </cfRule>
  </conditionalFormatting>
  <conditionalFormatting sqref="I7:J7 I9:J9">
    <cfRule type="expression" dxfId="236" priority="275">
      <formula>IF(#REF!=NA,1,0)</formula>
    </cfRule>
  </conditionalFormatting>
  <conditionalFormatting sqref="I8:J8">
    <cfRule type="expression" dxfId="235" priority="272">
      <formula>IF(#REF!=NA,1,0)</formula>
    </cfRule>
  </conditionalFormatting>
  <conditionalFormatting sqref="F11 H11">
    <cfRule type="expression" dxfId="234" priority="270">
      <formula>IF(#REF!=NA,1,0)</formula>
    </cfRule>
  </conditionalFormatting>
  <conditionalFormatting sqref="G11">
    <cfRule type="expression" dxfId="233" priority="269">
      <formula>IF(OR($D11=INF,$D11=ANN),1,0)</formula>
    </cfRule>
  </conditionalFormatting>
  <conditionalFormatting sqref="AA11">
    <cfRule type="expression" dxfId="232" priority="268">
      <formula>IF(#REF!=NA,1,0)</formula>
    </cfRule>
  </conditionalFormatting>
  <conditionalFormatting sqref="I11:J11">
    <cfRule type="expression" dxfId="231" priority="267">
      <formula>IF(#REF!=NA,1,0)</formula>
    </cfRule>
  </conditionalFormatting>
  <conditionalFormatting sqref="G11">
    <cfRule type="expression" dxfId="230" priority="266">
      <formula>IF(#REF!=NA,1,0)</formula>
    </cfRule>
  </conditionalFormatting>
  <conditionalFormatting sqref="I12">
    <cfRule type="expression" dxfId="229" priority="265">
      <formula>IF(OR($D12=INF,$D12=ANN),1,0)</formula>
    </cfRule>
  </conditionalFormatting>
  <conditionalFormatting sqref="I12:J12">
    <cfRule type="expression" dxfId="228" priority="264">
      <formula>IF(#REF!=NA,1,0)</formula>
    </cfRule>
  </conditionalFormatting>
  <conditionalFormatting sqref="J12">
    <cfRule type="expression" dxfId="227" priority="263">
      <formula>IF(OR($D12=INF,$D12=ANN),1,0)</formula>
    </cfRule>
  </conditionalFormatting>
  <conditionalFormatting sqref="AA12">
    <cfRule type="expression" dxfId="226" priority="262">
      <formula>IF($D1048534=NA,1,0)</formula>
    </cfRule>
  </conditionalFormatting>
  <conditionalFormatting sqref="H12">
    <cfRule type="expression" dxfId="225" priority="260">
      <formula>IF(OR($D12=INF,$D12=ANN),1,0)</formula>
    </cfRule>
  </conditionalFormatting>
  <conditionalFormatting sqref="G12">
    <cfRule type="expression" dxfId="224" priority="258">
      <formula>IF(OR($D12=INF,$D12=ANN),1,0)</formula>
    </cfRule>
  </conditionalFormatting>
  <conditionalFormatting sqref="AA14">
    <cfRule type="expression" dxfId="223" priority="257">
      <formula>IF(#REF!=NA,1,0)</formula>
    </cfRule>
  </conditionalFormatting>
  <conditionalFormatting sqref="AA13">
    <cfRule type="expression" dxfId="222" priority="256">
      <formula>IF(#REF!=NA,1,0)</formula>
    </cfRule>
  </conditionalFormatting>
  <conditionalFormatting sqref="H13:I14">
    <cfRule type="expression" dxfId="221" priority="254">
      <formula>IF(OR($D13=INF,$D13=ANN),1,0)</formula>
    </cfRule>
  </conditionalFormatting>
  <conditionalFormatting sqref="X13:Z14 V13:V14">
    <cfRule type="expression" dxfId="220" priority="253">
      <formula>IF(#REF!=NA,1,0)</formula>
    </cfRule>
  </conditionalFormatting>
  <conditionalFormatting sqref="G13:G14 J13:J14">
    <cfRule type="expression" dxfId="219" priority="252">
      <formula>IF(OR($D13=INF,$D13=ANN),1,0)</formula>
    </cfRule>
  </conditionalFormatting>
  <conditionalFormatting sqref="X13:AA14 V13:V14">
    <cfRule type="expression" dxfId="218" priority="255">
      <formula>IF(OR($D13=INF,$D13=ANN),1,0)</formula>
    </cfRule>
  </conditionalFormatting>
  <conditionalFormatting sqref="W13:W14">
    <cfRule type="expression" dxfId="217" priority="251">
      <formula>IF(#REF!=NA,1,0)</formula>
    </cfRule>
  </conditionalFormatting>
  <conditionalFormatting sqref="W13:W14">
    <cfRule type="expression" dxfId="216" priority="250">
      <formula>IF(OR($D13=INF,$D13=ANN),1,0)</formula>
    </cfRule>
  </conditionalFormatting>
  <conditionalFormatting sqref="U13:U14">
    <cfRule type="expression" dxfId="215" priority="249">
      <formula>IF(#REF!=NA,1,0)</formula>
    </cfRule>
  </conditionalFormatting>
  <conditionalFormatting sqref="U13:U14">
    <cfRule type="expression" dxfId="214" priority="248">
      <formula>IF(OR($D13=INF,$D13=ANN),1,0)</formula>
    </cfRule>
  </conditionalFormatting>
  <conditionalFormatting sqref="F14">
    <cfRule type="expression" dxfId="213" priority="247">
      <formula>IF(#REF!=NA,1,0)</formula>
    </cfRule>
  </conditionalFormatting>
  <conditionalFormatting sqref="F14">
    <cfRule type="expression" dxfId="212" priority="246">
      <formula>IF(OR($D14=INF,$D14=ANN),1,0)</formula>
    </cfRule>
  </conditionalFormatting>
  <conditionalFormatting sqref="AA15">
    <cfRule type="expression" dxfId="211" priority="234">
      <formula>IF(#REF!=NA,1,0)</formula>
    </cfRule>
  </conditionalFormatting>
  <conditionalFormatting sqref="H15:I15">
    <cfRule type="expression" dxfId="210" priority="232">
      <formula>IF(OR($D15=INF,$D15=ANN),1,0)</formula>
    </cfRule>
  </conditionalFormatting>
  <conditionalFormatting sqref="X15:Z15 V15">
    <cfRule type="expression" dxfId="209" priority="231">
      <formula>IF(#REF!=NA,1,0)</formula>
    </cfRule>
  </conditionalFormatting>
  <conditionalFormatting sqref="G15 J15">
    <cfRule type="expression" dxfId="208" priority="230">
      <formula>IF(OR($D15=INF,$D15=ANN),1,0)</formula>
    </cfRule>
  </conditionalFormatting>
  <conditionalFormatting sqref="X15:AA15 V15">
    <cfRule type="expression" dxfId="207" priority="233">
      <formula>IF(OR($D15=INF,$D15=ANN),1,0)</formula>
    </cfRule>
  </conditionalFormatting>
  <conditionalFormatting sqref="F15">
    <cfRule type="expression" dxfId="206" priority="229">
      <formula>IF(#REF!=NA,1,0)</formula>
    </cfRule>
  </conditionalFormatting>
  <conditionalFormatting sqref="F15">
    <cfRule type="expression" dxfId="205" priority="228">
      <formula>IF(OR($D15=INF,$D15=ANN),1,0)</formula>
    </cfRule>
  </conditionalFormatting>
  <conditionalFormatting sqref="AA16">
    <cfRule type="expression" dxfId="204" priority="227">
      <formula>IF(#REF!=NA,1,0)</formula>
    </cfRule>
  </conditionalFormatting>
  <conditionalFormatting sqref="H16:I16">
    <cfRule type="expression" dxfId="203" priority="225">
      <formula>IF(OR($D16=INF,$D16=ANN),1,0)</formula>
    </cfRule>
  </conditionalFormatting>
  <conditionalFormatting sqref="X16:Z16 V16">
    <cfRule type="expression" dxfId="202" priority="224">
      <formula>IF(#REF!=NA,1,0)</formula>
    </cfRule>
  </conditionalFormatting>
  <conditionalFormatting sqref="G16 J16">
    <cfRule type="expression" dxfId="201" priority="223">
      <formula>IF(OR($D16=INF,$D16=ANN),1,0)</formula>
    </cfRule>
  </conditionalFormatting>
  <conditionalFormatting sqref="X16:AA16 V16">
    <cfRule type="expression" dxfId="200" priority="226">
      <formula>IF(OR($D16=INF,$D16=ANN),1,0)</formula>
    </cfRule>
  </conditionalFormatting>
  <conditionalFormatting sqref="W16">
    <cfRule type="expression" dxfId="199" priority="222">
      <formula>IF(#REF!=NA,1,0)</formula>
    </cfRule>
  </conditionalFormatting>
  <conditionalFormatting sqref="W16">
    <cfRule type="expression" dxfId="198" priority="221">
      <formula>IF(OR($D16=INF,$D16=ANN),1,0)</formula>
    </cfRule>
  </conditionalFormatting>
  <conditionalFormatting sqref="U16">
    <cfRule type="expression" dxfId="197" priority="220">
      <formula>IF(#REF!=NA,1,0)</formula>
    </cfRule>
  </conditionalFormatting>
  <conditionalFormatting sqref="U16">
    <cfRule type="expression" dxfId="196" priority="219">
      <formula>IF(OR($D16=INF,$D16=ANN),1,0)</formula>
    </cfRule>
  </conditionalFormatting>
  <conditionalFormatting sqref="F16">
    <cfRule type="expression" dxfId="195" priority="218">
      <formula>IF(#REF!=NA,1,0)</formula>
    </cfRule>
  </conditionalFormatting>
  <conditionalFormatting sqref="F16">
    <cfRule type="expression" dxfId="194" priority="217">
      <formula>IF(OR($D16=INF,$D16=ANN),1,0)</formula>
    </cfRule>
  </conditionalFormatting>
  <conditionalFormatting sqref="W15">
    <cfRule type="expression" dxfId="193" priority="215">
      <formula>IF(#REF!=NA,1,0)</formula>
    </cfRule>
  </conditionalFormatting>
  <conditionalFormatting sqref="W15">
    <cfRule type="expression" dxfId="192" priority="216">
      <formula>IF(OR($D15=INF,$D15=ANN),1,0)</formula>
    </cfRule>
  </conditionalFormatting>
  <conditionalFormatting sqref="U15">
    <cfRule type="expression" dxfId="191" priority="213">
      <formula>IF(#REF!=NA,1,0)</formula>
    </cfRule>
  </conditionalFormatting>
  <conditionalFormatting sqref="U15">
    <cfRule type="expression" dxfId="190" priority="214">
      <formula>IF(OR($D15=INF,$D15=ANN),1,0)</formula>
    </cfRule>
  </conditionalFormatting>
  <conditionalFormatting sqref="AA19">
    <cfRule type="expression" dxfId="189" priority="210">
      <formula>IF(#REF!=NA,1,0)</formula>
    </cfRule>
  </conditionalFormatting>
  <conditionalFormatting sqref="H19:I19">
    <cfRule type="expression" dxfId="188" priority="208">
      <formula>IF(OR($D19=INF,$D19=ANN),1,0)</formula>
    </cfRule>
  </conditionalFormatting>
  <conditionalFormatting sqref="X19:Z19 V19">
    <cfRule type="expression" dxfId="187" priority="207">
      <formula>IF(#REF!=NA,1,0)</formula>
    </cfRule>
  </conditionalFormatting>
  <conditionalFormatting sqref="G19 J19">
    <cfRule type="expression" dxfId="186" priority="206">
      <formula>IF(OR($D19=INF,$D19=ANN),1,0)</formula>
    </cfRule>
  </conditionalFormatting>
  <conditionalFormatting sqref="X19:AA19 V19">
    <cfRule type="expression" dxfId="185" priority="209">
      <formula>IF(OR($D19=INF,$D19=ANN),1,0)</formula>
    </cfRule>
  </conditionalFormatting>
  <conditionalFormatting sqref="F19">
    <cfRule type="expression" dxfId="184" priority="205">
      <formula>IF(#REF!=NA,1,0)</formula>
    </cfRule>
  </conditionalFormatting>
  <conditionalFormatting sqref="F19">
    <cfRule type="expression" dxfId="183" priority="204">
      <formula>IF(OR($D19=INF,$D19=ANN),1,0)</formula>
    </cfRule>
  </conditionalFormatting>
  <conditionalFormatting sqref="AA17">
    <cfRule type="expression" dxfId="182" priority="203">
      <formula>IF(#REF!=NA,1,0)</formula>
    </cfRule>
  </conditionalFormatting>
  <conditionalFormatting sqref="H17:I17">
    <cfRule type="expression" dxfId="181" priority="201">
      <formula>IF(OR($D17=INF,$D17=ANN),1,0)</formula>
    </cfRule>
  </conditionalFormatting>
  <conditionalFormatting sqref="X17:Z17 V17">
    <cfRule type="expression" dxfId="180" priority="200">
      <formula>IF(#REF!=NA,1,0)</formula>
    </cfRule>
  </conditionalFormatting>
  <conditionalFormatting sqref="G17 J17">
    <cfRule type="expression" dxfId="179" priority="199">
      <formula>IF(OR($D17=INF,$D17=ANN),1,0)</formula>
    </cfRule>
  </conditionalFormatting>
  <conditionalFormatting sqref="X17:AA17 V17">
    <cfRule type="expression" dxfId="178" priority="202">
      <formula>IF(OR($D17=INF,$D17=ANN),1,0)</formula>
    </cfRule>
  </conditionalFormatting>
  <conditionalFormatting sqref="W17">
    <cfRule type="expression" dxfId="177" priority="198">
      <formula>IF(#REF!=NA,1,0)</formula>
    </cfRule>
  </conditionalFormatting>
  <conditionalFormatting sqref="W17">
    <cfRule type="expression" dxfId="176" priority="197">
      <formula>IF(OR($D17=INF,$D17=ANN),1,0)</formula>
    </cfRule>
  </conditionalFormatting>
  <conditionalFormatting sqref="U17">
    <cfRule type="expression" dxfId="175" priority="196">
      <formula>IF(#REF!=NA,1,0)</formula>
    </cfRule>
  </conditionalFormatting>
  <conditionalFormatting sqref="U17">
    <cfRule type="expression" dxfId="174" priority="195">
      <formula>IF(OR($D17=INF,$D17=ANN),1,0)</formula>
    </cfRule>
  </conditionalFormatting>
  <conditionalFormatting sqref="F17">
    <cfRule type="expression" dxfId="173" priority="194">
      <formula>IF(#REF!=NA,1,0)</formula>
    </cfRule>
  </conditionalFormatting>
  <conditionalFormatting sqref="F17">
    <cfRule type="expression" dxfId="172" priority="193">
      <formula>IF(OR($D17=INF,$D17=ANN),1,0)</formula>
    </cfRule>
  </conditionalFormatting>
  <conditionalFormatting sqref="AA18">
    <cfRule type="expression" dxfId="171" priority="192">
      <formula>IF(#REF!=NA,1,0)</formula>
    </cfRule>
  </conditionalFormatting>
  <conditionalFormatting sqref="H18:I18">
    <cfRule type="expression" dxfId="170" priority="190">
      <formula>IF(OR($D18=INF,$D18=ANN),1,0)</formula>
    </cfRule>
  </conditionalFormatting>
  <conditionalFormatting sqref="X18:Z18 V18">
    <cfRule type="expression" dxfId="169" priority="189">
      <formula>IF(#REF!=NA,1,0)</formula>
    </cfRule>
  </conditionalFormatting>
  <conditionalFormatting sqref="G18 J18">
    <cfRule type="expression" dxfId="168" priority="188">
      <formula>IF(OR($D18=INF,$D18=ANN),1,0)</formula>
    </cfRule>
  </conditionalFormatting>
  <conditionalFormatting sqref="X18:AA18 V18">
    <cfRule type="expression" dxfId="167" priority="191">
      <formula>IF(OR($D18=INF,$D18=ANN),1,0)</formula>
    </cfRule>
  </conditionalFormatting>
  <conditionalFormatting sqref="F18">
    <cfRule type="expression" dxfId="166" priority="187">
      <formula>IF(#REF!=NA,1,0)</formula>
    </cfRule>
  </conditionalFormatting>
  <conditionalFormatting sqref="F18">
    <cfRule type="expression" dxfId="165" priority="186">
      <formula>IF(OR($D18=INF,$D18=ANN),1,0)</formula>
    </cfRule>
  </conditionalFormatting>
  <conditionalFormatting sqref="W19">
    <cfRule type="expression" dxfId="164" priority="185">
      <formula>IF(OR($D19=INF,$D19=ANN),1,0)</formula>
    </cfRule>
  </conditionalFormatting>
  <conditionalFormatting sqref="W19">
    <cfRule type="expression" dxfId="163" priority="184">
      <formula>IF(#REF!=NA,1,0)</formula>
    </cfRule>
  </conditionalFormatting>
  <conditionalFormatting sqref="U19">
    <cfRule type="expression" dxfId="162" priority="183">
      <formula>IF(OR($D19=INF,$D19=ANN),1,0)</formula>
    </cfRule>
  </conditionalFormatting>
  <conditionalFormatting sqref="U19">
    <cfRule type="expression" dxfId="161" priority="182">
      <formula>IF(#REF!=NA,1,0)</formula>
    </cfRule>
  </conditionalFormatting>
  <conditionalFormatting sqref="W18">
    <cfRule type="expression" dxfId="160" priority="180">
      <formula>IF(#REF!=NA,1,0)</formula>
    </cfRule>
  </conditionalFormatting>
  <conditionalFormatting sqref="W18">
    <cfRule type="expression" dxfId="159" priority="181">
      <formula>IF(OR($D18=INF,$D18=ANN),1,0)</formula>
    </cfRule>
  </conditionalFormatting>
  <conditionalFormatting sqref="U18">
    <cfRule type="expression" dxfId="158" priority="178">
      <formula>IF(#REF!=NA,1,0)</formula>
    </cfRule>
  </conditionalFormatting>
  <conditionalFormatting sqref="U18">
    <cfRule type="expression" dxfId="157" priority="179">
      <formula>IF(OR($D18=INF,$D18=ANN),1,0)</formula>
    </cfRule>
  </conditionalFormatting>
  <conditionalFormatting sqref="AA21">
    <cfRule type="expression" dxfId="156" priority="177">
      <formula>IF(#REF!=NA,1,0)</formula>
    </cfRule>
  </conditionalFormatting>
  <conditionalFormatting sqref="H21:I21">
    <cfRule type="expression" dxfId="155" priority="175">
      <formula>IF(OR($D21=INF,$D21=ANN),1,0)</formula>
    </cfRule>
  </conditionalFormatting>
  <conditionalFormatting sqref="X21:Z21 V21">
    <cfRule type="expression" dxfId="154" priority="174">
      <formula>IF(#REF!=NA,1,0)</formula>
    </cfRule>
  </conditionalFormatting>
  <conditionalFormatting sqref="G21 J21">
    <cfRule type="expression" dxfId="153" priority="173">
      <formula>IF(OR($D21=INF,$D21=ANN),1,0)</formula>
    </cfRule>
  </conditionalFormatting>
  <conditionalFormatting sqref="X21:AA21 V21">
    <cfRule type="expression" dxfId="152" priority="176">
      <formula>IF(OR($D21=INF,$D21=ANN),1,0)</formula>
    </cfRule>
  </conditionalFormatting>
  <conditionalFormatting sqref="W21">
    <cfRule type="expression" dxfId="151" priority="172">
      <formula>IF(#REF!=NA,1,0)</formula>
    </cfRule>
  </conditionalFormatting>
  <conditionalFormatting sqref="W21">
    <cfRule type="expression" dxfId="150" priority="171">
      <formula>IF(OR($D21=INF,$D21=ANN),1,0)</formula>
    </cfRule>
  </conditionalFormatting>
  <conditionalFormatting sqref="U21">
    <cfRule type="expression" dxfId="149" priority="170">
      <formula>IF(#REF!=NA,1,0)</formula>
    </cfRule>
  </conditionalFormatting>
  <conditionalFormatting sqref="U21">
    <cfRule type="expression" dxfId="148" priority="169">
      <formula>IF(OR($D21=INF,$D21=ANN),1,0)</formula>
    </cfRule>
  </conditionalFormatting>
  <conditionalFormatting sqref="F21">
    <cfRule type="expression" dxfId="147" priority="168">
      <formula>IF(#REF!=NA,1,0)</formula>
    </cfRule>
  </conditionalFormatting>
  <conditionalFormatting sqref="F21">
    <cfRule type="expression" dxfId="146" priority="167">
      <formula>IF(OR($D21=INF,$D21=ANN),1,0)</formula>
    </cfRule>
  </conditionalFormatting>
  <conditionalFormatting sqref="AA20">
    <cfRule type="expression" dxfId="145" priority="166">
      <formula>IF(#REF!=NA,1,0)</formula>
    </cfRule>
  </conditionalFormatting>
  <conditionalFormatting sqref="H20:I20">
    <cfRule type="expression" dxfId="144" priority="164">
      <formula>IF(OR($D20=INF,$D20=ANN),1,0)</formula>
    </cfRule>
  </conditionalFormatting>
  <conditionalFormatting sqref="X20:Z20 V20">
    <cfRule type="expression" dxfId="143" priority="163">
      <formula>IF(#REF!=NA,1,0)</formula>
    </cfRule>
  </conditionalFormatting>
  <conditionalFormatting sqref="G20 J20">
    <cfRule type="expression" dxfId="142" priority="162">
      <formula>IF(OR($D20=INF,$D20=ANN),1,0)</formula>
    </cfRule>
  </conditionalFormatting>
  <conditionalFormatting sqref="X20:AA20 V20">
    <cfRule type="expression" dxfId="141" priority="165">
      <formula>IF(OR($D20=INF,$D20=ANN),1,0)</formula>
    </cfRule>
  </conditionalFormatting>
  <conditionalFormatting sqref="W20">
    <cfRule type="expression" dxfId="140" priority="161">
      <formula>IF(#REF!=NA,1,0)</formula>
    </cfRule>
  </conditionalFormatting>
  <conditionalFormatting sqref="W20">
    <cfRule type="expression" dxfId="139" priority="160">
      <formula>IF(OR($D20=INF,$D20=ANN),1,0)</formula>
    </cfRule>
  </conditionalFormatting>
  <conditionalFormatting sqref="U20">
    <cfRule type="expression" dxfId="138" priority="159">
      <formula>IF(#REF!=NA,1,0)</formula>
    </cfRule>
  </conditionalFormatting>
  <conditionalFormatting sqref="U20">
    <cfRule type="expression" dxfId="137" priority="158">
      <formula>IF(OR($D20=INF,$D20=ANN),1,0)</formula>
    </cfRule>
  </conditionalFormatting>
  <conditionalFormatting sqref="F20">
    <cfRule type="expression" dxfId="136" priority="157">
      <formula>IF(#REF!=NA,1,0)</formula>
    </cfRule>
  </conditionalFormatting>
  <conditionalFormatting sqref="F20">
    <cfRule type="expression" dxfId="135" priority="156">
      <formula>IF(OR($D20=INF,$D20=ANN),1,0)</formula>
    </cfRule>
  </conditionalFormatting>
  <conditionalFormatting sqref="AA22">
    <cfRule type="expression" dxfId="134" priority="155">
      <formula>IF(#REF!=NA,1,0)</formula>
    </cfRule>
  </conditionalFormatting>
  <conditionalFormatting sqref="H22:I22">
    <cfRule type="expression" dxfId="133" priority="153">
      <formula>IF(OR($D22=INF,$D22=ANN),1,0)</formula>
    </cfRule>
  </conditionalFormatting>
  <conditionalFormatting sqref="X22:Z22 V22 H22:J22 H27:J27 A22:E22 A27:E27 L27:T27 L22:T22">
    <cfRule type="expression" dxfId="132" priority="152">
      <formula>IF(#REF!=NA,1,0)</formula>
    </cfRule>
  </conditionalFormatting>
  <conditionalFormatting sqref="J22">
    <cfRule type="expression" dxfId="131" priority="151">
      <formula>IF(OR($D22=INF,$D22=ANN),1,0)</formula>
    </cfRule>
  </conditionalFormatting>
  <conditionalFormatting sqref="X22:AA22 V22">
    <cfRule type="expression" dxfId="130" priority="154">
      <formula>IF(OR($D22=INF,$D22=ANN),1,0)</formula>
    </cfRule>
  </conditionalFormatting>
  <conditionalFormatting sqref="W22">
    <cfRule type="expression" dxfId="129" priority="150">
      <formula>IF(#REF!=NA,1,0)</formula>
    </cfRule>
  </conditionalFormatting>
  <conditionalFormatting sqref="W22">
    <cfRule type="expression" dxfId="128" priority="149">
      <formula>IF(OR($D22=INF,$D22=ANN),1,0)</formula>
    </cfRule>
  </conditionalFormatting>
  <conditionalFormatting sqref="U22">
    <cfRule type="expression" dxfId="127" priority="148">
      <formula>IF(#REF!=NA,1,0)</formula>
    </cfRule>
  </conditionalFormatting>
  <conditionalFormatting sqref="U22">
    <cfRule type="expression" dxfId="126" priority="147">
      <formula>IF(OR($D22=INF,$D22=ANN),1,0)</formula>
    </cfRule>
  </conditionalFormatting>
  <conditionalFormatting sqref="F22">
    <cfRule type="expression" dxfId="125" priority="146">
      <formula>IF(#REF!=NA,1,0)</formula>
    </cfRule>
  </conditionalFormatting>
  <conditionalFormatting sqref="F22">
    <cfRule type="expression" dxfId="124" priority="145">
      <formula>IF(OR($D22=INF,$D22=ANN),1,0)</formula>
    </cfRule>
  </conditionalFormatting>
  <conditionalFormatting sqref="AA25">
    <cfRule type="expression" dxfId="123" priority="144">
      <formula>IF(#REF!=NA,1,0)</formula>
    </cfRule>
  </conditionalFormatting>
  <conditionalFormatting sqref="H25:I25">
    <cfRule type="expression" dxfId="122" priority="142">
      <formula>IF(OR($D25=INF,$D25=ANN),1,0)</formula>
    </cfRule>
  </conditionalFormatting>
  <conditionalFormatting sqref="X25:Z25 V25">
    <cfRule type="expression" dxfId="121" priority="141">
      <formula>IF(#REF!=NA,1,0)</formula>
    </cfRule>
  </conditionalFormatting>
  <conditionalFormatting sqref="G25 J25">
    <cfRule type="expression" dxfId="120" priority="140">
      <formula>IF(OR($D25=INF,$D25=ANN),1,0)</formula>
    </cfRule>
  </conditionalFormatting>
  <conditionalFormatting sqref="X25:AA25 V25">
    <cfRule type="expression" dxfId="119" priority="143">
      <formula>IF(OR($D25=INF,$D25=ANN),1,0)</formula>
    </cfRule>
  </conditionalFormatting>
  <conditionalFormatting sqref="W25">
    <cfRule type="expression" dxfId="118" priority="139">
      <formula>IF(#REF!=NA,1,0)</formula>
    </cfRule>
  </conditionalFormatting>
  <conditionalFormatting sqref="W25">
    <cfRule type="expression" dxfId="117" priority="138">
      <formula>IF(OR($D25=INF,$D25=ANN),1,0)</formula>
    </cfRule>
  </conditionalFormatting>
  <conditionalFormatting sqref="U25">
    <cfRule type="expression" dxfId="116" priority="137">
      <formula>IF(#REF!=NA,1,0)</formula>
    </cfRule>
  </conditionalFormatting>
  <conditionalFormatting sqref="U25">
    <cfRule type="expression" dxfId="115" priority="136">
      <formula>IF(OR($D25=INF,$D25=ANN),1,0)</formula>
    </cfRule>
  </conditionalFormatting>
  <conditionalFormatting sqref="F25">
    <cfRule type="expression" dxfId="114" priority="135">
      <formula>IF(#REF!=NA,1,0)</formula>
    </cfRule>
  </conditionalFormatting>
  <conditionalFormatting sqref="F25">
    <cfRule type="expression" dxfId="113" priority="134">
      <formula>IF(OR($D25=INF,$D25=ANN),1,0)</formula>
    </cfRule>
  </conditionalFormatting>
  <conditionalFormatting sqref="U24">
    <cfRule type="expression" dxfId="112" priority="114">
      <formula>IF(OR($D24=INF,$D24=ANN),1,0)</formula>
    </cfRule>
  </conditionalFormatting>
  <conditionalFormatting sqref="AA23">
    <cfRule type="expression" dxfId="111" priority="133">
      <formula>IF(#REF!=NA,1,0)</formula>
    </cfRule>
  </conditionalFormatting>
  <conditionalFormatting sqref="H23:I23">
    <cfRule type="expression" dxfId="110" priority="131">
      <formula>IF(OR($D23=INF,$D23=ANN),1,0)</formula>
    </cfRule>
  </conditionalFormatting>
  <conditionalFormatting sqref="X23:Z23 V23">
    <cfRule type="expression" dxfId="109" priority="130">
      <formula>IF(#REF!=NA,1,0)</formula>
    </cfRule>
  </conditionalFormatting>
  <conditionalFormatting sqref="J23">
    <cfRule type="expression" dxfId="108" priority="129">
      <formula>IF(OR($D23=INF,$D23=ANN),1,0)</formula>
    </cfRule>
  </conditionalFormatting>
  <conditionalFormatting sqref="X23:AA23 V23">
    <cfRule type="expression" dxfId="107" priority="132">
      <formula>IF(OR($D23=INF,$D23=ANN),1,0)</formula>
    </cfRule>
  </conditionalFormatting>
  <conditionalFormatting sqref="W23">
    <cfRule type="expression" dxfId="106" priority="128">
      <formula>IF(#REF!=NA,1,0)</formula>
    </cfRule>
  </conditionalFormatting>
  <conditionalFormatting sqref="W23">
    <cfRule type="expression" dxfId="105" priority="127">
      <formula>IF(OR($D23=INF,$D23=ANN),1,0)</formula>
    </cfRule>
  </conditionalFormatting>
  <conditionalFormatting sqref="U23">
    <cfRule type="expression" dxfId="104" priority="126">
      <formula>IF(#REF!=NA,1,0)</formula>
    </cfRule>
  </conditionalFormatting>
  <conditionalFormatting sqref="U23">
    <cfRule type="expression" dxfId="103" priority="125">
      <formula>IF(OR($D23=INF,$D23=ANN),1,0)</formula>
    </cfRule>
  </conditionalFormatting>
  <conditionalFormatting sqref="F23">
    <cfRule type="expression" dxfId="102" priority="124">
      <formula>IF(#REF!=NA,1,0)</formula>
    </cfRule>
  </conditionalFormatting>
  <conditionalFormatting sqref="F23">
    <cfRule type="expression" dxfId="101" priority="123">
      <formula>IF(OR($D23=INF,$D23=ANN),1,0)</formula>
    </cfRule>
  </conditionalFormatting>
  <conditionalFormatting sqref="AA24">
    <cfRule type="expression" dxfId="100" priority="122">
      <formula>IF(#REF!=NA,1,0)</formula>
    </cfRule>
  </conditionalFormatting>
  <conditionalFormatting sqref="H24:I24">
    <cfRule type="expression" dxfId="99" priority="120">
      <formula>IF(OR($D24=INF,$D24=ANN),1,0)</formula>
    </cfRule>
  </conditionalFormatting>
  <conditionalFormatting sqref="X24:Z24 V24">
    <cfRule type="expression" dxfId="98" priority="119">
      <formula>IF(#REF!=NA,1,0)</formula>
    </cfRule>
  </conditionalFormatting>
  <conditionalFormatting sqref="G24 J24">
    <cfRule type="expression" dxfId="97" priority="118">
      <formula>IF(OR($D24=INF,$D24=ANN),1,0)</formula>
    </cfRule>
  </conditionalFormatting>
  <conditionalFormatting sqref="X24:AA24 V24">
    <cfRule type="expression" dxfId="96" priority="121">
      <formula>IF(OR($D24=INF,$D24=ANN),1,0)</formula>
    </cfRule>
  </conditionalFormatting>
  <conditionalFormatting sqref="W24">
    <cfRule type="expression" dxfId="95" priority="117">
      <formula>IF(#REF!=NA,1,0)</formula>
    </cfRule>
  </conditionalFormatting>
  <conditionalFormatting sqref="W24">
    <cfRule type="expression" dxfId="94" priority="116">
      <formula>IF(OR($D24=INF,$D24=ANN),1,0)</formula>
    </cfRule>
  </conditionalFormatting>
  <conditionalFormatting sqref="U24">
    <cfRule type="expression" dxfId="93" priority="115">
      <formula>IF(#REF!=NA,1,0)</formula>
    </cfRule>
  </conditionalFormatting>
  <conditionalFormatting sqref="F24">
    <cfRule type="expression" dxfId="92" priority="113">
      <formula>IF(#REF!=NA,1,0)</formula>
    </cfRule>
  </conditionalFormatting>
  <conditionalFormatting sqref="F24">
    <cfRule type="expression" dxfId="91" priority="112">
      <formula>IF(OR($D24=INF,$D24=ANN),1,0)</formula>
    </cfRule>
  </conditionalFormatting>
  <conditionalFormatting sqref="AA26">
    <cfRule type="expression" dxfId="90" priority="99">
      <formula>IF(#REF!=NA,1,0)</formula>
    </cfRule>
  </conditionalFormatting>
  <conditionalFormatting sqref="H26:I26">
    <cfRule type="expression" dxfId="89" priority="97">
      <formula>IF(OR($D26=INF,$D26=ANN),1,0)</formula>
    </cfRule>
  </conditionalFormatting>
  <conditionalFormatting sqref="X26:Z26 V26">
    <cfRule type="expression" dxfId="88" priority="96">
      <formula>IF(#REF!=NA,1,0)</formula>
    </cfRule>
  </conditionalFormatting>
  <conditionalFormatting sqref="J26">
    <cfRule type="expression" dxfId="87" priority="95">
      <formula>IF(OR($D26=INF,$D26=ANN),1,0)</formula>
    </cfRule>
  </conditionalFormatting>
  <conditionalFormatting sqref="X26:AA26 V26">
    <cfRule type="expression" dxfId="86" priority="98">
      <formula>IF(OR($D26=INF,$D26=ANN),1,0)</formula>
    </cfRule>
  </conditionalFormatting>
  <conditionalFormatting sqref="W26">
    <cfRule type="expression" dxfId="85" priority="94">
      <formula>IF(#REF!=NA,1,0)</formula>
    </cfRule>
  </conditionalFormatting>
  <conditionalFormatting sqref="W26">
    <cfRule type="expression" dxfId="84" priority="93">
      <formula>IF(OR($D26=INF,$D26=ANN),1,0)</formula>
    </cfRule>
  </conditionalFormatting>
  <conditionalFormatting sqref="U26">
    <cfRule type="expression" dxfId="83" priority="92">
      <formula>IF(#REF!=NA,1,0)</formula>
    </cfRule>
  </conditionalFormatting>
  <conditionalFormatting sqref="U26">
    <cfRule type="expression" dxfId="82" priority="91">
      <formula>IF(OR($D26=INF,$D26=ANN),1,0)</formula>
    </cfRule>
  </conditionalFormatting>
  <conditionalFormatting sqref="F26">
    <cfRule type="expression" dxfId="81" priority="90">
      <formula>IF(#REF!=NA,1,0)</formula>
    </cfRule>
  </conditionalFormatting>
  <conditionalFormatting sqref="F26">
    <cfRule type="expression" dxfId="80" priority="89">
      <formula>IF(OR($D26=INF,$D26=ANN),1,0)</formula>
    </cfRule>
  </conditionalFormatting>
  <conditionalFormatting sqref="AA27">
    <cfRule type="expression" dxfId="79" priority="58">
      <formula>IF($D7=NA,1,0)</formula>
    </cfRule>
  </conditionalFormatting>
  <conditionalFormatting sqref="H27:I27">
    <cfRule type="expression" dxfId="78" priority="56">
      <formula>IF(OR($D27=INF,$D27=ANN),1,0)</formula>
    </cfRule>
  </conditionalFormatting>
  <conditionalFormatting sqref="X27:Z27 V27">
    <cfRule type="expression" dxfId="77" priority="55">
      <formula>IF(#REF!=NA,1,0)</formula>
    </cfRule>
  </conditionalFormatting>
  <conditionalFormatting sqref="J27">
    <cfRule type="expression" dxfId="76" priority="54">
      <formula>IF(OR($D27=INF,$D27=ANN),1,0)</formula>
    </cfRule>
  </conditionalFormatting>
  <conditionalFormatting sqref="X27:AA27 V27">
    <cfRule type="expression" dxfId="75" priority="57">
      <formula>IF(OR($D27=INF,$D27=ANN),1,0)</formula>
    </cfRule>
  </conditionalFormatting>
  <conditionalFormatting sqref="W27">
    <cfRule type="expression" dxfId="74" priority="53">
      <formula>IF(#REF!=NA,1,0)</formula>
    </cfRule>
  </conditionalFormatting>
  <conditionalFormatting sqref="W27">
    <cfRule type="expression" dxfId="73" priority="52">
      <formula>IF(OR($D27=INF,$D27=ANN),1,0)</formula>
    </cfRule>
  </conditionalFormatting>
  <conditionalFormatting sqref="U27">
    <cfRule type="expression" dxfId="72" priority="51">
      <formula>IF(#REF!=NA,1,0)</formula>
    </cfRule>
  </conditionalFormatting>
  <conditionalFormatting sqref="U27">
    <cfRule type="expression" dxfId="71" priority="50">
      <formula>IF(OR($D27=INF,$D27=ANN),1,0)</formula>
    </cfRule>
  </conditionalFormatting>
  <conditionalFormatting sqref="F27">
    <cfRule type="expression" dxfId="70" priority="49">
      <formula>IF(#REF!=NA,1,0)</formula>
    </cfRule>
  </conditionalFormatting>
  <conditionalFormatting sqref="F27">
    <cfRule type="expression" dxfId="69" priority="48">
      <formula>IF(OR($D27=INF,$D27=ANN),1,0)</formula>
    </cfRule>
  </conditionalFormatting>
  <conditionalFormatting sqref="AA28:AA30">
    <cfRule type="expression" dxfId="68" priority="47">
      <formula>IF($D8=NA,1,0)</formula>
    </cfRule>
  </conditionalFormatting>
  <conditionalFormatting sqref="H28:I30">
    <cfRule type="expression" dxfId="67" priority="45">
      <formula>IF(OR($D28=INF,$D28=ANN),1,0)</formula>
    </cfRule>
  </conditionalFormatting>
  <conditionalFormatting sqref="X28:Z30 V28:V30 H28:J31 A28:E32 L28:T32">
    <cfRule type="expression" dxfId="66" priority="44">
      <formula>IF(#REF!=NA,1,0)</formula>
    </cfRule>
  </conditionalFormatting>
  <conditionalFormatting sqref="J28:J30">
    <cfRule type="expression" dxfId="65" priority="43">
      <formula>IF(OR($D28=INF,$D28=ANN),1,0)</formula>
    </cfRule>
  </conditionalFormatting>
  <conditionalFormatting sqref="X28:AA30 V28:V30">
    <cfRule type="expression" dxfId="64" priority="46">
      <formula>IF(OR($D28=INF,$D28=ANN),1,0)</formula>
    </cfRule>
  </conditionalFormatting>
  <conditionalFormatting sqref="W28:W30">
    <cfRule type="expression" dxfId="63" priority="42">
      <formula>IF(#REF!=NA,1,0)</formula>
    </cfRule>
  </conditionalFormatting>
  <conditionalFormatting sqref="W28:W30">
    <cfRule type="expression" dxfId="62" priority="41">
      <formula>IF(OR($D28=INF,$D28=ANN),1,0)</formula>
    </cfRule>
  </conditionalFormatting>
  <conditionalFormatting sqref="U28:U30">
    <cfRule type="expression" dxfId="61" priority="40">
      <formula>IF(#REF!=NA,1,0)</formula>
    </cfRule>
  </conditionalFormatting>
  <conditionalFormatting sqref="U28:U30">
    <cfRule type="expression" dxfId="60" priority="39">
      <formula>IF(OR($D28=INF,$D28=ANN),1,0)</formula>
    </cfRule>
  </conditionalFormatting>
  <conditionalFormatting sqref="F28:F30">
    <cfRule type="expression" dxfId="59" priority="38">
      <formula>IF(#REF!=NA,1,0)</formula>
    </cfRule>
  </conditionalFormatting>
  <conditionalFormatting sqref="F28:F30">
    <cfRule type="expression" dxfId="58" priority="37">
      <formula>IF(OR($D28=INF,$D28=ANN),1,0)</formula>
    </cfRule>
  </conditionalFormatting>
  <conditionalFormatting sqref="AA31">
    <cfRule type="expression" dxfId="57" priority="36">
      <formula>IF($D11=NA,1,0)</formula>
    </cfRule>
  </conditionalFormatting>
  <conditionalFormatting sqref="H31:I31">
    <cfRule type="expression" dxfId="56" priority="34">
      <formula>IF(OR($D31=INF,$D31=ANN),1,0)</formula>
    </cfRule>
  </conditionalFormatting>
  <conditionalFormatting sqref="X31:Z31 V31 J32">
    <cfRule type="expression" dxfId="55" priority="33">
      <formula>IF(#REF!=NA,1,0)</formula>
    </cfRule>
  </conditionalFormatting>
  <conditionalFormatting sqref="J31:J32">
    <cfRule type="expression" dxfId="54" priority="32">
      <formula>IF(OR($D31=INF,$D31=ANN),1,0)</formula>
    </cfRule>
  </conditionalFormatting>
  <conditionalFormatting sqref="X31:AA31 V31">
    <cfRule type="expression" dxfId="53" priority="35">
      <formula>IF(OR($D31=INF,$D31=ANN),1,0)</formula>
    </cfRule>
  </conditionalFormatting>
  <conditionalFormatting sqref="W31">
    <cfRule type="expression" dxfId="52" priority="31">
      <formula>IF(#REF!=NA,1,0)</formula>
    </cfRule>
  </conditionalFormatting>
  <conditionalFormatting sqref="W31">
    <cfRule type="expression" dxfId="51" priority="30">
      <formula>IF(OR($D31=INF,$D31=ANN),1,0)</formula>
    </cfRule>
  </conditionalFormatting>
  <conditionalFormatting sqref="U31">
    <cfRule type="expression" dxfId="50" priority="29">
      <formula>IF(#REF!=NA,1,0)</formula>
    </cfRule>
  </conditionalFormatting>
  <conditionalFormatting sqref="U31">
    <cfRule type="expression" dxfId="49" priority="28">
      <formula>IF(OR($D31=INF,$D31=ANN),1,0)</formula>
    </cfRule>
  </conditionalFormatting>
  <conditionalFormatting sqref="F31">
    <cfRule type="expression" dxfId="48" priority="27">
      <formula>IF(#REF!=NA,1,0)</formula>
    </cfRule>
  </conditionalFormatting>
  <conditionalFormatting sqref="F31">
    <cfRule type="expression" dxfId="47" priority="26">
      <formula>IF(OR($D31=INF,$D31=ANN),1,0)</formula>
    </cfRule>
  </conditionalFormatting>
  <conditionalFormatting sqref="AA32">
    <cfRule type="expression" dxfId="46" priority="25">
      <formula>IF($D12=NA,1,0)</formula>
    </cfRule>
  </conditionalFormatting>
  <conditionalFormatting sqref="H32:I32">
    <cfRule type="expression" dxfId="45" priority="23">
      <formula>IF(OR($D32=INF,$D32=ANN),1,0)</formula>
    </cfRule>
  </conditionalFormatting>
  <conditionalFormatting sqref="X32:Z32 V32 H32:I32">
    <cfRule type="expression" dxfId="44" priority="22">
      <formula>IF(#REF!=NA,1,0)</formula>
    </cfRule>
  </conditionalFormatting>
  <conditionalFormatting sqref="X32:AA32 V32">
    <cfRule type="expression" dxfId="43" priority="24">
      <formula>IF(OR($D32=INF,$D32=ANN),1,0)</formula>
    </cfRule>
  </conditionalFormatting>
  <conditionalFormatting sqref="W32">
    <cfRule type="expression" dxfId="42" priority="21">
      <formula>IF(#REF!=NA,1,0)</formula>
    </cfRule>
  </conditionalFormatting>
  <conditionalFormatting sqref="W32">
    <cfRule type="expression" dxfId="41" priority="20">
      <formula>IF(OR($D32=INF,$D32=ANN),1,0)</formula>
    </cfRule>
  </conditionalFormatting>
  <conditionalFormatting sqref="U32">
    <cfRule type="expression" dxfId="40" priority="19">
      <formula>IF(#REF!=NA,1,0)</formula>
    </cfRule>
  </conditionalFormatting>
  <conditionalFormatting sqref="U32">
    <cfRule type="expression" dxfId="39" priority="18">
      <formula>IF(OR($D32=INF,$D32=ANN),1,0)</formula>
    </cfRule>
  </conditionalFormatting>
  <conditionalFormatting sqref="F32">
    <cfRule type="expression" dxfId="38" priority="17">
      <formula>IF(#REF!=NA,1,0)</formula>
    </cfRule>
  </conditionalFormatting>
  <conditionalFormatting sqref="F32">
    <cfRule type="expression" dxfId="37" priority="16">
      <formula>IF(OR($D32=INF,$D32=ANN),1,0)</formula>
    </cfRule>
  </conditionalFormatting>
  <conditionalFormatting sqref="AA2">
    <cfRule type="expression" dxfId="36" priority="398">
      <formula>IF($D1048541=NA,1,0)</formula>
    </cfRule>
  </conditionalFormatting>
  <conditionalFormatting sqref="AA7:AA8">
    <cfRule type="expression" dxfId="35" priority="399">
      <formula>IF($D1048540=NA,1,0)</formula>
    </cfRule>
  </conditionalFormatting>
  <conditionalFormatting sqref="A1:AA1">
    <cfRule type="expression" dxfId="34" priority="466">
      <formula>IF(OR($D1=INF,$D1=ANN),1,0)</formula>
    </cfRule>
    <cfRule type="expression" dxfId="33" priority="467">
      <formula>IF($D1047672=NA,1,0)</formula>
    </cfRule>
  </conditionalFormatting>
  <conditionalFormatting sqref="K2:K32">
    <cfRule type="expression" dxfId="32" priority="14">
      <formula>IF(OR($D2=INF,$D2=ANN),1,0)</formula>
    </cfRule>
  </conditionalFormatting>
  <conditionalFormatting sqref="K2:K21 K25">
    <cfRule type="expression" dxfId="31" priority="15">
      <formula>IF(#REF!=NA,1,0)</formula>
    </cfRule>
  </conditionalFormatting>
  <conditionalFormatting sqref="K26 K23:K24">
    <cfRule type="expression" dxfId="30" priority="13">
      <formula>IF(#REF!=NA,1,0)</formula>
    </cfRule>
  </conditionalFormatting>
  <conditionalFormatting sqref="K27 K22">
    <cfRule type="expression" dxfId="29" priority="12">
      <formula>IF(#REF!=NA,1,0)</formula>
    </cfRule>
  </conditionalFormatting>
  <conditionalFormatting sqref="K28:K32">
    <cfRule type="expression" dxfId="28" priority="11">
      <formula>IF(#REF!=NA,1,0)</formula>
    </cfRule>
  </conditionalFormatting>
  <conditionalFormatting sqref="G10">
    <cfRule type="expression" dxfId="24" priority="10">
      <formula>IF(OR($D10=INF,$D10=ANN),1,0)</formula>
    </cfRule>
  </conditionalFormatting>
  <conditionalFormatting sqref="B23">
    <cfRule type="expression" dxfId="19" priority="9">
      <formula>IF(#REF!=NA,1,0)</formula>
    </cfRule>
  </conditionalFormatting>
  <conditionalFormatting sqref="G22">
    <cfRule type="expression" dxfId="17" priority="8">
      <formula>IF(#REF!=NA,1,0)</formula>
    </cfRule>
  </conditionalFormatting>
  <conditionalFormatting sqref="G22">
    <cfRule type="expression" dxfId="15" priority="7">
      <formula>IF(OR($D22=INF,$D22=ANN),1,0)</formula>
    </cfRule>
  </conditionalFormatting>
  <conditionalFormatting sqref="G23">
    <cfRule type="expression" dxfId="13" priority="6">
      <formula>IF(#REF!=NA,1,0)</formula>
    </cfRule>
  </conditionalFormatting>
  <conditionalFormatting sqref="G23">
    <cfRule type="expression" dxfId="11" priority="5">
      <formula>IF(OR($D23=INF,$D23=ANN),1,0)</formula>
    </cfRule>
  </conditionalFormatting>
  <conditionalFormatting sqref="G26">
    <cfRule type="expression" dxfId="7" priority="4">
      <formula>IF(#REF!=NA,1,0)</formula>
    </cfRule>
  </conditionalFormatting>
  <conditionalFormatting sqref="G26">
    <cfRule type="expression" dxfId="5" priority="3">
      <formula>IF(OR($D26=INF,$D26=ANN),1,0)</formula>
    </cfRule>
  </conditionalFormatting>
  <conditionalFormatting sqref="G27:G32">
    <cfRule type="expression" dxfId="3" priority="2">
      <formula>IF(#REF!=NA,1,0)</formula>
    </cfRule>
  </conditionalFormatting>
  <conditionalFormatting sqref="G27:G32">
    <cfRule type="expression" dxfId="1" priority="1">
      <formula>IF(OR($D27=INF,$D27=ANN),1,0)</formula>
    </cfRule>
  </conditionalFormatting>
  <dataValidations count="9">
    <dataValidation type="list" allowBlank="1" showInputMessage="1" showErrorMessage="1" sqref="F1:F32">
      <formula1>xDIRECTION</formula1>
    </dataValidation>
    <dataValidation type="list" allowBlank="1" showInputMessage="1" showErrorMessage="1" sqref="D1:D32">
      <formula1>xStatut1</formula1>
    </dataValidation>
    <dataValidation type="list" allowBlank="1" showInputMessage="1" showErrorMessage="1" sqref="C1:C32">
      <formula1>xTYPE1</formula1>
    </dataValidation>
    <dataValidation type="list" allowBlank="1" showInputMessage="1" showErrorMessage="1" sqref="AA1:AA32">
      <formula1>xStEng</formula1>
    </dataValidation>
    <dataValidation type="list" allowBlank="1" showInputMessage="1" showErrorMessage="1" sqref="V2:V32 S1:S32">
      <formula1>xSTATUTSUP</formula1>
    </dataValidation>
    <dataValidation type="list" allowBlank="1" showInputMessage="1" showErrorMessage="1" sqref="H2:H32">
      <formula1>TypBudget</formula1>
    </dataValidation>
    <dataValidation type="list" allowBlank="1" showInputMessage="1" showErrorMessage="1" sqref="I2:I32">
      <formula1>xBUDGET</formula1>
    </dataValidation>
    <dataValidation type="list" allowBlank="1" showInputMessage="1" showErrorMessage="1" sqref="J2:J32">
      <formula1>INDIRECT($I2)</formula1>
    </dataValidation>
    <dataValidation type="list" allowBlank="1" showInputMessage="1" showErrorMessage="1" sqref="R2:R32">
      <formula1>xTYPSUP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RECAP</vt:lpstr>
      <vt:lpstr>Report 2025 à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Najia AHOUJIL</cp:lastModifiedBy>
  <cp:lastPrinted>2026-01-08T15:11:36Z</cp:lastPrinted>
  <dcterms:created xsi:type="dcterms:W3CDTF">2026-01-08T15:04:05Z</dcterms:created>
  <dcterms:modified xsi:type="dcterms:W3CDTF">2026-01-09T12:23:44Z</dcterms:modified>
</cp:coreProperties>
</file>