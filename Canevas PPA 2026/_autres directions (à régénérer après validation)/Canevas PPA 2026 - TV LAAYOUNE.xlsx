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Contrats prod" sheetId="5" state="visible" r:id="rId5"/>
    <sheet name="Guide" sheetId="6" state="visible" r:id="rId6"/>
    <sheet name="Referentiels" sheetId="7" state="hidden" r:id="rId7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Duree">'Referentiels'!$F$2:$F$5</definedName>
    <definedName name="LST_PME">'Referentiels'!$G$2:$G$3</definedName>
    <definedName name="LST_Freq">'Referentiels'!$H$2:$H$7</definedName>
    <definedName name="LST_TypeProd">'Referentiels'!$I$2:$I$5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  <definedName name="_xlnm._FilterDatabase" localSheetId="4" hidden="1">'Contrats prod'!$A$3:$S$253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Intitulé comptable / rubrique budgétaire. Saisie libre pour l'instant ; une liste déroulante officielle sera ajoutée si le plan comptable est fourni.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Intitulé comptable / rubrique budgétaire. Saisie libre pour l'instant ; une liste déroulante officielle sera ajoutée si le plan comptable est fourni.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Intitulé comptable / rubrique budgétaire. Saisie libre pour l'instant ; une liste déroulante officielle sera ajoutée si le plan comptable est fourni.</t>
      </text>
    </comment>
  </commentList>
</comments>
</file>

<file path=xl/comments/comment4.xml><?xml version="1.0" encoding="utf-8"?>
<comments xmlns="http://schemas.openxmlformats.org/spreadsheetml/2006/main">
  <authors>
    <author>PPA</author>
  </authors>
  <commentList>
    <comment ref="E3" authorId="0" shapeId="0">
      <text>
        <t>Intitulé comptable / rubrique budgétaire. Saisie libre pour l'instant ; une liste déroulante officielle sera ajoutée si le plan comptable est fourni.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TV LAAYOUNE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4" t="inlineStr">
        <is>
          <t>Contrats prod</t>
        </is>
      </c>
      <c r="C10" s="4">
        <f>COUNTA('Contrats prod'!$C$4:$C$253)</f>
        <v/>
      </c>
      <c r="D10" s="5">
        <f>SUM('Contrats prod'!$F$4:$F$253)</f>
        <v/>
      </c>
      <c r="E10" s="4">
        <f>SUMPRODUCT(('Contrats prod'!$C$4:$C$253&lt;&gt;"")*(('Contrats prod'!$D$4:$D$253="")+('Contrats prod'!$G$4:$G$253="")+('Contrats prod'!$H$4:$H$253="")+('Contrats prod'!$I$4:$I$253="")+('Contrats prod'!$M$4:$M$253="")&gt;0))</f>
        <v/>
      </c>
      <c r="F10" s="4">
        <f>SUMPRODUCT(('Contrats prod'!$C$4:$C$253&lt;&gt;"")*(NOT(ISNUMBER('Contrats prod'!$F$4:$F$253)))*1)</f>
        <v/>
      </c>
    </row>
    <row r="11">
      <c r="B11" s="6" t="inlineStr">
        <is>
          <t>TOTAL</t>
        </is>
      </c>
      <c r="C11" s="6">
        <f>SUM(C7:C10)</f>
        <v/>
      </c>
      <c r="D11" s="7">
        <f>SUM(D7:D10)</f>
        <v/>
      </c>
      <c r="E11" s="6">
        <f>SUM(E7:E10)</f>
        <v/>
      </c>
      <c r="F11" s="6">
        <f>SUM(F7:F10)</f>
        <v/>
      </c>
    </row>
    <row r="13">
      <c r="B13" s="6" t="inlineStr">
        <is>
          <t>STATUT</t>
        </is>
      </c>
      <c r="C13" s="8">
        <f>IF(AND(E11=0,F11=0,C11&gt;0),"PRÊT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3">
    <cfRule type="expression" priority="1" dxfId="0">
      <formula>C13="PRÊT À ENVOYER"</formula>
    </cfRule>
    <cfRule type="expression" priority="2" dxfId="1">
      <formula>C13&lt;&gt;"PRÊT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30" customWidth="1" min="5" max="5"/>
    <col width="20" customWidth="1" min="6" max="6"/>
    <col width="16" customWidth="1" min="7" max="7"/>
    <col width="28" customWidth="1" min="8" max="8"/>
    <col width="16" customWidth="1" min="9" max="9"/>
    <col width="15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TV LAAYOUNE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 / Intitulé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7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J4:J253" showDropDown="0" showInputMessage="0" showErrorMessage="1" allowBlank="1" errorTitle="Saisie invalide" error="Valeur non autorisée : choisir dans la liste déroulante." type="list">
      <formula1>LST_Duree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30" customWidth="1" min="5" max="5"/>
    <col width="20" customWidth="1" min="6" max="6"/>
    <col width="16" customWidth="1" min="7" max="7"/>
    <col width="28" customWidth="1" min="8" max="8"/>
    <col width="16" customWidth="1" min="9" max="9"/>
    <col width="15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TV LAAYOUNE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 / Intitulé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J4:J253" showDropDown="0" showInputMessage="0" showErrorMessage="1" allowBlank="1" errorTitle="Saisie invalide" error="Valeur non autorisée : choisir dans la liste déroulante." type="list">
      <formula1>LST_Duree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30" customWidth="1" min="5" max="5"/>
    <col width="20" customWidth="1" min="6" max="6"/>
    <col width="16" customWidth="1" min="7" max="7"/>
    <col width="28" customWidth="1" min="8" max="8"/>
    <col width="16" customWidth="1" min="9" max="9"/>
    <col width="15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TV LAAYOUNE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 / Intitulé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J4:J253" showDropDown="0" showInputMessage="0" showErrorMessage="1" allowBlank="1" errorTitle="Saisie invalide" error="Valeur non autorisée : choisir dans la liste déroulante." type="list">
      <formula1>LST_Duree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30" customWidth="1" min="5" max="5"/>
    <col width="20" customWidth="1" min="6" max="6"/>
    <col width="16" customWidth="1" min="7" max="7"/>
    <col width="28" customWidth="1" min="8" max="8"/>
    <col width="16" customWidth="1" min="9" max="9"/>
    <col width="15" customWidth="1" min="10" max="10"/>
    <col width="26" customWidth="1" min="11" max="11"/>
    <col width="14" customWidth="1" min="12" max="12"/>
    <col width="48" customWidth="1" min="13" max="13"/>
    <col width="15" customWidth="1" min="14" max="14"/>
    <col width="17" customWidth="1" min="15" max="15"/>
    <col width="15" customWidth="1" min="16" max="16"/>
    <col width="20" customWidth="1" min="17" max="17"/>
    <col width="11" customWidth="1" min="18" max="18"/>
    <col width="20" customWidth="1" min="19" max="19"/>
  </cols>
  <sheetData>
    <row r="1" ht="24" customHeight="1">
      <c r="A1" s="9" t="inlineStr">
        <is>
          <t>PROGRAMME PRÉVISIONNEL DES ACHATS (PPA) 2026</t>
        </is>
      </c>
      <c r="R1" s="10" t="inlineStr">
        <is>
          <t>ANNÉE</t>
        </is>
      </c>
      <c r="S1" s="10" t="n">
        <v>2026</v>
      </c>
    </row>
    <row r="2" ht="18" customHeight="1">
      <c r="A2" s="11" t="inlineStr">
        <is>
          <t>DIRECTION :</t>
        </is>
      </c>
      <c r="B2" s="12" t="inlineStr">
        <is>
          <t>TV LAAYOUNE</t>
        </is>
      </c>
      <c r="C2" s="13" t="n"/>
      <c r="D2" s="11" t="inlineStr">
        <is>
          <t>Onglet :</t>
        </is>
      </c>
      <c r="E2" s="14" t="inlineStr">
        <is>
          <t>Contrat de production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 / Intitulé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  <c r="N3" s="3" t="inlineStr">
        <is>
          <t>Nb de programmes / prestations</t>
        </is>
      </c>
      <c r="O3" s="3" t="inlineStr">
        <is>
          <t>Fréquence de diffusion</t>
        </is>
      </c>
      <c r="P3" s="3" t="inlineStr">
        <is>
          <t>Durée de l'épisode (mn)</t>
        </is>
      </c>
      <c r="Q3" s="3" t="inlineStr">
        <is>
          <t>Type de production</t>
        </is>
      </c>
      <c r="R3" s="3" t="inlineStr">
        <is>
          <t>Nb d'épisodes</t>
        </is>
      </c>
      <c r="S3" s="3" t="inlineStr">
        <is>
          <t>Budget TTC par épisode (MAD)</t>
        </is>
      </c>
    </row>
    <row r="4">
      <c r="A4" s="15">
        <f>IF($C4="","",COUNTA($C$4:$C4))</f>
        <v/>
      </c>
      <c r="B4" s="16">
        <f>IF($C4="","","Contrat de production")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  <c r="N4" s="18" t="n"/>
      <c r="O4" s="17" t="n"/>
      <c r="P4" s="18" t="n"/>
      <c r="Q4" s="17" t="n"/>
      <c r="R4" s="18" t="n"/>
      <c r="S4" s="18" t="n"/>
    </row>
    <row r="5">
      <c r="A5" s="15">
        <f>IF($C5="","",COUNTA($C$4:$C5))</f>
        <v/>
      </c>
      <c r="B5" s="16">
        <f>IF($C5="","","Contrat de production")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  <c r="N5" s="18" t="n"/>
      <c r="O5" s="17" t="n"/>
      <c r="P5" s="18" t="n"/>
      <c r="Q5" s="17" t="n"/>
      <c r="R5" s="18" t="n"/>
      <c r="S5" s="18" t="n"/>
    </row>
    <row r="6">
      <c r="A6" s="15">
        <f>IF($C6="","",COUNTA($C$4:$C6))</f>
        <v/>
      </c>
      <c r="B6" s="16">
        <f>IF($C6="","","Contrat de production")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  <c r="N6" s="18" t="n"/>
      <c r="O6" s="17" t="n"/>
      <c r="P6" s="18" t="n"/>
      <c r="Q6" s="17" t="n"/>
      <c r="R6" s="18" t="n"/>
      <c r="S6" s="18" t="n"/>
    </row>
    <row r="7">
      <c r="A7" s="15">
        <f>IF($C7="","",COUNTA($C$4:$C7))</f>
        <v/>
      </c>
      <c r="B7" s="16">
        <f>IF($C7="","","Contrat de production")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  <c r="N7" s="18" t="n"/>
      <c r="O7" s="17" t="n"/>
      <c r="P7" s="18" t="n"/>
      <c r="Q7" s="17" t="n"/>
      <c r="R7" s="18" t="n"/>
      <c r="S7" s="18" t="n"/>
    </row>
    <row r="8">
      <c r="A8" s="15">
        <f>IF($C8="","",COUNTA($C$4:$C8))</f>
        <v/>
      </c>
      <c r="B8" s="16">
        <f>IF($C8="","","Contrat de production")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  <c r="N8" s="18" t="n"/>
      <c r="O8" s="17" t="n"/>
      <c r="P8" s="18" t="n"/>
      <c r="Q8" s="17" t="n"/>
      <c r="R8" s="18" t="n"/>
      <c r="S8" s="18" t="n"/>
    </row>
    <row r="9">
      <c r="A9" s="15">
        <f>IF($C9="","",COUNTA($C$4:$C9))</f>
        <v/>
      </c>
      <c r="B9" s="16">
        <f>IF($C9="","","Contrat de production")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  <c r="N9" s="18" t="n"/>
      <c r="O9" s="17" t="n"/>
      <c r="P9" s="18" t="n"/>
      <c r="Q9" s="17" t="n"/>
      <c r="R9" s="18" t="n"/>
      <c r="S9" s="18" t="n"/>
    </row>
    <row r="10">
      <c r="A10" s="15">
        <f>IF($C10="","",COUNTA($C$4:$C10))</f>
        <v/>
      </c>
      <c r="B10" s="16">
        <f>IF($C10="","","Contrat de production")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  <c r="N10" s="18" t="n"/>
      <c r="O10" s="17" t="n"/>
      <c r="P10" s="18" t="n"/>
      <c r="Q10" s="17" t="n"/>
      <c r="R10" s="18" t="n"/>
      <c r="S10" s="18" t="n"/>
    </row>
    <row r="11">
      <c r="A11" s="15">
        <f>IF($C11="","",COUNTA($C$4:$C11))</f>
        <v/>
      </c>
      <c r="B11" s="16">
        <f>IF($C11="","","Contrat de production")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  <c r="N11" s="18" t="n"/>
      <c r="O11" s="17" t="n"/>
      <c r="P11" s="18" t="n"/>
      <c r="Q11" s="17" t="n"/>
      <c r="R11" s="18" t="n"/>
      <c r="S11" s="18" t="n"/>
    </row>
    <row r="12">
      <c r="A12" s="15">
        <f>IF($C12="","",COUNTA($C$4:$C12))</f>
        <v/>
      </c>
      <c r="B12" s="16">
        <f>IF($C12="","","Contrat de production")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7" t="n"/>
      <c r="P12" s="18" t="n"/>
      <c r="Q12" s="17" t="n"/>
      <c r="R12" s="18" t="n"/>
      <c r="S12" s="18" t="n"/>
    </row>
    <row r="13">
      <c r="A13" s="15">
        <f>IF($C13="","",COUNTA($C$4:$C13))</f>
        <v/>
      </c>
      <c r="B13" s="16">
        <f>IF($C13="","","Contrat de production")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7" t="n"/>
      <c r="P13" s="18" t="n"/>
      <c r="Q13" s="17" t="n"/>
      <c r="R13" s="18" t="n"/>
      <c r="S13" s="18" t="n"/>
    </row>
    <row r="14">
      <c r="A14" s="15">
        <f>IF($C14="","",COUNTA($C$4:$C14))</f>
        <v/>
      </c>
      <c r="B14" s="16">
        <f>IF($C14="","","Contrat de production")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  <c r="N14" s="18" t="n"/>
      <c r="O14" s="17" t="n"/>
      <c r="P14" s="18" t="n"/>
      <c r="Q14" s="17" t="n"/>
      <c r="R14" s="18" t="n"/>
      <c r="S14" s="18" t="n"/>
    </row>
    <row r="15">
      <c r="A15" s="15">
        <f>IF($C15="","",COUNTA($C$4:$C15))</f>
        <v/>
      </c>
      <c r="B15" s="16">
        <f>IF($C15="","","Contrat de production")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  <c r="N15" s="18" t="n"/>
      <c r="O15" s="17" t="n"/>
      <c r="P15" s="18" t="n"/>
      <c r="Q15" s="17" t="n"/>
      <c r="R15" s="18" t="n"/>
      <c r="S15" s="18" t="n"/>
    </row>
    <row r="16">
      <c r="A16" s="15">
        <f>IF($C16="","",COUNTA($C$4:$C16))</f>
        <v/>
      </c>
      <c r="B16" s="16">
        <f>IF($C16="","","Contrat de production")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  <c r="N16" s="18" t="n"/>
      <c r="O16" s="17" t="n"/>
      <c r="P16" s="18" t="n"/>
      <c r="Q16" s="17" t="n"/>
      <c r="R16" s="18" t="n"/>
      <c r="S16" s="18" t="n"/>
    </row>
    <row r="17">
      <c r="A17" s="15">
        <f>IF($C17="","",COUNTA($C$4:$C17))</f>
        <v/>
      </c>
      <c r="B17" s="16">
        <f>IF($C17="","","Contrat de production")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  <c r="N17" s="18" t="n"/>
      <c r="O17" s="17" t="n"/>
      <c r="P17" s="18" t="n"/>
      <c r="Q17" s="17" t="n"/>
      <c r="R17" s="18" t="n"/>
      <c r="S17" s="18" t="n"/>
    </row>
    <row r="18">
      <c r="A18" s="15">
        <f>IF($C18="","",COUNTA($C$4:$C18))</f>
        <v/>
      </c>
      <c r="B18" s="16">
        <f>IF($C18="","","Contrat de production")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17" t="n"/>
      <c r="P18" s="18" t="n"/>
      <c r="Q18" s="17" t="n"/>
      <c r="R18" s="18" t="n"/>
      <c r="S18" s="18" t="n"/>
    </row>
    <row r="19">
      <c r="A19" s="15">
        <f>IF($C19="","",COUNTA($C$4:$C19))</f>
        <v/>
      </c>
      <c r="B19" s="16">
        <f>IF($C19="","","Contrat de production")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7" t="n"/>
      <c r="P19" s="18" t="n"/>
      <c r="Q19" s="17" t="n"/>
      <c r="R19" s="18" t="n"/>
      <c r="S19" s="18" t="n"/>
    </row>
    <row r="20">
      <c r="A20" s="15">
        <f>IF($C20="","",COUNTA($C$4:$C20))</f>
        <v/>
      </c>
      <c r="B20" s="16">
        <f>IF($C20="","","Contrat de production")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7" t="n"/>
      <c r="P20" s="18" t="n"/>
      <c r="Q20" s="17" t="n"/>
      <c r="R20" s="18" t="n"/>
      <c r="S20" s="18" t="n"/>
    </row>
    <row r="21">
      <c r="A21" s="15">
        <f>IF($C21="","",COUNTA($C$4:$C21))</f>
        <v/>
      </c>
      <c r="B21" s="16">
        <f>IF($C21="","","Contrat de production")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  <c r="N21" s="18" t="n"/>
      <c r="O21" s="17" t="n"/>
      <c r="P21" s="18" t="n"/>
      <c r="Q21" s="17" t="n"/>
      <c r="R21" s="18" t="n"/>
      <c r="S21" s="18" t="n"/>
    </row>
    <row r="22">
      <c r="A22" s="15">
        <f>IF($C22="","",COUNTA($C$4:$C22))</f>
        <v/>
      </c>
      <c r="B22" s="16">
        <f>IF($C22="","","Contrat de production")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7" t="n"/>
      <c r="P22" s="18" t="n"/>
      <c r="Q22" s="17" t="n"/>
      <c r="R22" s="18" t="n"/>
      <c r="S22" s="18" t="n"/>
    </row>
    <row r="23">
      <c r="A23" s="15">
        <f>IF($C23="","",COUNTA($C$4:$C23))</f>
        <v/>
      </c>
      <c r="B23" s="16">
        <f>IF($C23="","","Contrat de production")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  <c r="N23" s="18" t="n"/>
      <c r="O23" s="17" t="n"/>
      <c r="P23" s="18" t="n"/>
      <c r="Q23" s="17" t="n"/>
      <c r="R23" s="18" t="n"/>
      <c r="S23" s="18" t="n"/>
    </row>
    <row r="24">
      <c r="A24" s="15">
        <f>IF($C24="","",COUNTA($C$4:$C24))</f>
        <v/>
      </c>
      <c r="B24" s="16">
        <f>IF($C24="","","Contrat de production")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  <c r="N24" s="18" t="n"/>
      <c r="O24" s="17" t="n"/>
      <c r="P24" s="18" t="n"/>
      <c r="Q24" s="17" t="n"/>
      <c r="R24" s="18" t="n"/>
      <c r="S24" s="18" t="n"/>
    </row>
    <row r="25">
      <c r="A25" s="15">
        <f>IF($C25="","",COUNTA($C$4:$C25))</f>
        <v/>
      </c>
      <c r="B25" s="16">
        <f>IF($C25="","","Contrat de production")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7" t="n"/>
      <c r="P25" s="18" t="n"/>
      <c r="Q25" s="17" t="n"/>
      <c r="R25" s="18" t="n"/>
      <c r="S25" s="18" t="n"/>
    </row>
    <row r="26">
      <c r="A26" s="15">
        <f>IF($C26="","",COUNTA($C$4:$C26))</f>
        <v/>
      </c>
      <c r="B26" s="16">
        <f>IF($C26="","","Contrat de production")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  <c r="N26" s="18" t="n"/>
      <c r="O26" s="17" t="n"/>
      <c r="P26" s="18" t="n"/>
      <c r="Q26" s="17" t="n"/>
      <c r="R26" s="18" t="n"/>
      <c r="S26" s="18" t="n"/>
    </row>
    <row r="27">
      <c r="A27" s="15">
        <f>IF($C27="","",COUNTA($C$4:$C27))</f>
        <v/>
      </c>
      <c r="B27" s="16">
        <f>IF($C27="","","Contrat de production")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  <c r="N27" s="18" t="n"/>
      <c r="O27" s="17" t="n"/>
      <c r="P27" s="18" t="n"/>
      <c r="Q27" s="17" t="n"/>
      <c r="R27" s="18" t="n"/>
      <c r="S27" s="18" t="n"/>
    </row>
    <row r="28">
      <c r="A28" s="15">
        <f>IF($C28="","",COUNTA($C$4:$C28))</f>
        <v/>
      </c>
      <c r="B28" s="16">
        <f>IF($C28="","","Contrat de production")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  <c r="N28" s="18" t="n"/>
      <c r="O28" s="17" t="n"/>
      <c r="P28" s="18" t="n"/>
      <c r="Q28" s="17" t="n"/>
      <c r="R28" s="18" t="n"/>
      <c r="S28" s="18" t="n"/>
    </row>
    <row r="29">
      <c r="A29" s="15">
        <f>IF($C29="","",COUNTA($C$4:$C29))</f>
        <v/>
      </c>
      <c r="B29" s="16">
        <f>IF($C29="","","Contrat de production")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  <c r="N29" s="18" t="n"/>
      <c r="O29" s="17" t="n"/>
      <c r="P29" s="18" t="n"/>
      <c r="Q29" s="17" t="n"/>
      <c r="R29" s="18" t="n"/>
      <c r="S29" s="18" t="n"/>
    </row>
    <row r="30">
      <c r="A30" s="15">
        <f>IF($C30="","",COUNTA($C$4:$C30))</f>
        <v/>
      </c>
      <c r="B30" s="16">
        <f>IF($C30="","","Contrat de production")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  <c r="N30" s="18" t="n"/>
      <c r="O30" s="17" t="n"/>
      <c r="P30" s="18" t="n"/>
      <c r="Q30" s="17" t="n"/>
      <c r="R30" s="18" t="n"/>
      <c r="S30" s="18" t="n"/>
    </row>
    <row r="31">
      <c r="A31" s="15">
        <f>IF($C31="","",COUNTA($C$4:$C31))</f>
        <v/>
      </c>
      <c r="B31" s="16">
        <f>IF($C31="","","Contrat de production")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  <c r="N31" s="18" t="n"/>
      <c r="O31" s="17" t="n"/>
      <c r="P31" s="18" t="n"/>
      <c r="Q31" s="17" t="n"/>
      <c r="R31" s="18" t="n"/>
      <c r="S31" s="18" t="n"/>
    </row>
    <row r="32">
      <c r="A32" s="15">
        <f>IF($C32="","",COUNTA($C$4:$C32))</f>
        <v/>
      </c>
      <c r="B32" s="16">
        <f>IF($C32="","","Contrat de production")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  <c r="N32" s="18" t="n"/>
      <c r="O32" s="17" t="n"/>
      <c r="P32" s="18" t="n"/>
      <c r="Q32" s="17" t="n"/>
      <c r="R32" s="18" t="n"/>
      <c r="S32" s="18" t="n"/>
    </row>
    <row r="33">
      <c r="A33" s="15">
        <f>IF($C33="","",COUNTA($C$4:$C33))</f>
        <v/>
      </c>
      <c r="B33" s="16">
        <f>IF($C33="","","Contrat de production")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  <c r="N33" s="18" t="n"/>
      <c r="O33" s="17" t="n"/>
      <c r="P33" s="18" t="n"/>
      <c r="Q33" s="17" t="n"/>
      <c r="R33" s="18" t="n"/>
      <c r="S33" s="18" t="n"/>
    </row>
    <row r="34">
      <c r="A34" s="15">
        <f>IF($C34="","",COUNTA($C$4:$C34))</f>
        <v/>
      </c>
      <c r="B34" s="16">
        <f>IF($C34="","","Contrat de production")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  <c r="N34" s="18" t="n"/>
      <c r="O34" s="17" t="n"/>
      <c r="P34" s="18" t="n"/>
      <c r="Q34" s="17" t="n"/>
      <c r="R34" s="18" t="n"/>
      <c r="S34" s="18" t="n"/>
    </row>
    <row r="35">
      <c r="A35" s="15">
        <f>IF($C35="","",COUNTA($C$4:$C35))</f>
        <v/>
      </c>
      <c r="B35" s="16">
        <f>IF($C35="","","Contrat de production")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  <c r="N35" s="18" t="n"/>
      <c r="O35" s="17" t="n"/>
      <c r="P35" s="18" t="n"/>
      <c r="Q35" s="17" t="n"/>
      <c r="R35" s="18" t="n"/>
      <c r="S35" s="18" t="n"/>
    </row>
    <row r="36">
      <c r="A36" s="15">
        <f>IF($C36="","",COUNTA($C$4:$C36))</f>
        <v/>
      </c>
      <c r="B36" s="16">
        <f>IF($C36="","","Contrat de production")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  <c r="N36" s="18" t="n"/>
      <c r="O36" s="17" t="n"/>
      <c r="P36" s="18" t="n"/>
      <c r="Q36" s="17" t="n"/>
      <c r="R36" s="18" t="n"/>
      <c r="S36" s="18" t="n"/>
    </row>
    <row r="37">
      <c r="A37" s="15">
        <f>IF($C37="","",COUNTA($C$4:$C37))</f>
        <v/>
      </c>
      <c r="B37" s="16">
        <f>IF($C37="","","Contrat de production")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  <c r="N37" s="18" t="n"/>
      <c r="O37" s="17" t="n"/>
      <c r="P37" s="18" t="n"/>
      <c r="Q37" s="17" t="n"/>
      <c r="R37" s="18" t="n"/>
      <c r="S37" s="18" t="n"/>
    </row>
    <row r="38">
      <c r="A38" s="15">
        <f>IF($C38="","",COUNTA($C$4:$C38))</f>
        <v/>
      </c>
      <c r="B38" s="16">
        <f>IF($C38="","","Contrat de production")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  <c r="N38" s="18" t="n"/>
      <c r="O38" s="17" t="n"/>
      <c r="P38" s="18" t="n"/>
      <c r="Q38" s="17" t="n"/>
      <c r="R38" s="18" t="n"/>
      <c r="S38" s="18" t="n"/>
    </row>
    <row r="39">
      <c r="A39" s="15">
        <f>IF($C39="","",COUNTA($C$4:$C39))</f>
        <v/>
      </c>
      <c r="B39" s="16">
        <f>IF($C39="","","Contrat de production")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  <c r="N39" s="18" t="n"/>
      <c r="O39" s="17" t="n"/>
      <c r="P39" s="18" t="n"/>
      <c r="Q39" s="17" t="n"/>
      <c r="R39" s="18" t="n"/>
      <c r="S39" s="18" t="n"/>
    </row>
    <row r="40">
      <c r="A40" s="15">
        <f>IF($C40="","",COUNTA($C$4:$C40))</f>
        <v/>
      </c>
      <c r="B40" s="16">
        <f>IF($C40="","","Contrat de production")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  <c r="N40" s="18" t="n"/>
      <c r="O40" s="17" t="n"/>
      <c r="P40" s="18" t="n"/>
      <c r="Q40" s="17" t="n"/>
      <c r="R40" s="18" t="n"/>
      <c r="S40" s="18" t="n"/>
    </row>
    <row r="41">
      <c r="A41" s="15">
        <f>IF($C41="","",COUNTA($C$4:$C41))</f>
        <v/>
      </c>
      <c r="B41" s="16">
        <f>IF($C41="","","Contrat de production")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  <c r="N41" s="18" t="n"/>
      <c r="O41" s="17" t="n"/>
      <c r="P41" s="18" t="n"/>
      <c r="Q41" s="17" t="n"/>
      <c r="R41" s="18" t="n"/>
      <c r="S41" s="18" t="n"/>
    </row>
    <row r="42">
      <c r="A42" s="15">
        <f>IF($C42="","",COUNTA($C$4:$C42))</f>
        <v/>
      </c>
      <c r="B42" s="16">
        <f>IF($C42="","","Contrat de production")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  <c r="N42" s="18" t="n"/>
      <c r="O42" s="17" t="n"/>
      <c r="P42" s="18" t="n"/>
      <c r="Q42" s="17" t="n"/>
      <c r="R42" s="18" t="n"/>
      <c r="S42" s="18" t="n"/>
    </row>
    <row r="43">
      <c r="A43" s="15">
        <f>IF($C43="","",COUNTA($C$4:$C43))</f>
        <v/>
      </c>
      <c r="B43" s="16">
        <f>IF($C43="","","Contrat de production")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  <c r="N43" s="18" t="n"/>
      <c r="O43" s="17" t="n"/>
      <c r="P43" s="18" t="n"/>
      <c r="Q43" s="17" t="n"/>
      <c r="R43" s="18" t="n"/>
      <c r="S43" s="18" t="n"/>
    </row>
    <row r="44">
      <c r="A44" s="15">
        <f>IF($C44="","",COUNTA($C$4:$C44))</f>
        <v/>
      </c>
      <c r="B44" s="16">
        <f>IF($C44="","","Contrat de production")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  <c r="N44" s="18" t="n"/>
      <c r="O44" s="17" t="n"/>
      <c r="P44" s="18" t="n"/>
      <c r="Q44" s="17" t="n"/>
      <c r="R44" s="18" t="n"/>
      <c r="S44" s="18" t="n"/>
    </row>
    <row r="45">
      <c r="A45" s="15">
        <f>IF($C45="","",COUNTA($C$4:$C45))</f>
        <v/>
      </c>
      <c r="B45" s="16">
        <f>IF($C45="","","Contrat de production")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  <c r="N45" s="18" t="n"/>
      <c r="O45" s="17" t="n"/>
      <c r="P45" s="18" t="n"/>
      <c r="Q45" s="17" t="n"/>
      <c r="R45" s="18" t="n"/>
      <c r="S45" s="18" t="n"/>
    </row>
    <row r="46">
      <c r="A46" s="15">
        <f>IF($C46="","",COUNTA($C$4:$C46))</f>
        <v/>
      </c>
      <c r="B46" s="16">
        <f>IF($C46="","","Contrat de production")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  <c r="N46" s="18" t="n"/>
      <c r="O46" s="17" t="n"/>
      <c r="P46" s="18" t="n"/>
      <c r="Q46" s="17" t="n"/>
      <c r="R46" s="18" t="n"/>
      <c r="S46" s="18" t="n"/>
    </row>
    <row r="47">
      <c r="A47" s="15">
        <f>IF($C47="","",COUNTA($C$4:$C47))</f>
        <v/>
      </c>
      <c r="B47" s="16">
        <f>IF($C47="","","Contrat de production")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  <c r="N47" s="18" t="n"/>
      <c r="O47" s="17" t="n"/>
      <c r="P47" s="18" t="n"/>
      <c r="Q47" s="17" t="n"/>
      <c r="R47" s="18" t="n"/>
      <c r="S47" s="18" t="n"/>
    </row>
    <row r="48">
      <c r="A48" s="15">
        <f>IF($C48="","",COUNTA($C$4:$C48))</f>
        <v/>
      </c>
      <c r="B48" s="16">
        <f>IF($C48="","","Contrat de production")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  <c r="N48" s="18" t="n"/>
      <c r="O48" s="17" t="n"/>
      <c r="P48" s="18" t="n"/>
      <c r="Q48" s="17" t="n"/>
      <c r="R48" s="18" t="n"/>
      <c r="S48" s="18" t="n"/>
    </row>
    <row r="49">
      <c r="A49" s="15">
        <f>IF($C49="","",COUNTA($C$4:$C49))</f>
        <v/>
      </c>
      <c r="B49" s="16">
        <f>IF($C49="","","Contrat de production")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  <c r="N49" s="18" t="n"/>
      <c r="O49" s="17" t="n"/>
      <c r="P49" s="18" t="n"/>
      <c r="Q49" s="17" t="n"/>
      <c r="R49" s="18" t="n"/>
      <c r="S49" s="18" t="n"/>
    </row>
    <row r="50">
      <c r="A50" s="15">
        <f>IF($C50="","",COUNTA($C$4:$C50))</f>
        <v/>
      </c>
      <c r="B50" s="16">
        <f>IF($C50="","","Contrat de production")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  <c r="N50" s="18" t="n"/>
      <c r="O50" s="17" t="n"/>
      <c r="P50" s="18" t="n"/>
      <c r="Q50" s="17" t="n"/>
      <c r="R50" s="18" t="n"/>
      <c r="S50" s="18" t="n"/>
    </row>
    <row r="51">
      <c r="A51" s="15">
        <f>IF($C51="","",COUNTA($C$4:$C51))</f>
        <v/>
      </c>
      <c r="B51" s="16">
        <f>IF($C51="","","Contrat de production")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  <c r="N51" s="18" t="n"/>
      <c r="O51" s="17" t="n"/>
      <c r="P51" s="18" t="n"/>
      <c r="Q51" s="17" t="n"/>
      <c r="R51" s="18" t="n"/>
      <c r="S51" s="18" t="n"/>
    </row>
    <row r="52">
      <c r="A52" s="15">
        <f>IF($C52="","",COUNTA($C$4:$C52))</f>
        <v/>
      </c>
      <c r="B52" s="16">
        <f>IF($C52="","","Contrat de production")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  <c r="N52" s="18" t="n"/>
      <c r="O52" s="17" t="n"/>
      <c r="P52" s="18" t="n"/>
      <c r="Q52" s="17" t="n"/>
      <c r="R52" s="18" t="n"/>
      <c r="S52" s="18" t="n"/>
    </row>
    <row r="53">
      <c r="A53" s="15">
        <f>IF($C53="","",COUNTA($C$4:$C53))</f>
        <v/>
      </c>
      <c r="B53" s="16">
        <f>IF($C53="","","Contrat de production")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  <c r="N53" s="18" t="n"/>
      <c r="O53" s="17" t="n"/>
      <c r="P53" s="18" t="n"/>
      <c r="Q53" s="17" t="n"/>
      <c r="R53" s="18" t="n"/>
      <c r="S53" s="18" t="n"/>
    </row>
    <row r="54">
      <c r="A54" s="15">
        <f>IF($C54="","",COUNTA($C$4:$C54))</f>
        <v/>
      </c>
      <c r="B54" s="16">
        <f>IF($C54="","","Contrat de production")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  <c r="N54" s="18" t="n"/>
      <c r="O54" s="17" t="n"/>
      <c r="P54" s="18" t="n"/>
      <c r="Q54" s="17" t="n"/>
      <c r="R54" s="18" t="n"/>
      <c r="S54" s="18" t="n"/>
    </row>
    <row r="55">
      <c r="A55" s="15">
        <f>IF($C55="","",COUNTA($C$4:$C55))</f>
        <v/>
      </c>
      <c r="B55" s="16">
        <f>IF($C55="","","Contrat de production")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  <c r="N55" s="18" t="n"/>
      <c r="O55" s="17" t="n"/>
      <c r="P55" s="18" t="n"/>
      <c r="Q55" s="17" t="n"/>
      <c r="R55" s="18" t="n"/>
      <c r="S55" s="18" t="n"/>
    </row>
    <row r="56">
      <c r="A56" s="15">
        <f>IF($C56="","",COUNTA($C$4:$C56))</f>
        <v/>
      </c>
      <c r="B56" s="16">
        <f>IF($C56="","","Contrat de production")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  <c r="N56" s="18" t="n"/>
      <c r="O56" s="17" t="n"/>
      <c r="P56" s="18" t="n"/>
      <c r="Q56" s="17" t="n"/>
      <c r="R56" s="18" t="n"/>
      <c r="S56" s="18" t="n"/>
    </row>
    <row r="57">
      <c r="A57" s="15">
        <f>IF($C57="","",COUNTA($C$4:$C57))</f>
        <v/>
      </c>
      <c r="B57" s="16">
        <f>IF($C57="","","Contrat de production")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  <c r="N57" s="18" t="n"/>
      <c r="O57" s="17" t="n"/>
      <c r="P57" s="18" t="n"/>
      <c r="Q57" s="17" t="n"/>
      <c r="R57" s="18" t="n"/>
      <c r="S57" s="18" t="n"/>
    </row>
    <row r="58">
      <c r="A58" s="15">
        <f>IF($C58="","",COUNTA($C$4:$C58))</f>
        <v/>
      </c>
      <c r="B58" s="16">
        <f>IF($C58="","","Contrat de production")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  <c r="N58" s="18" t="n"/>
      <c r="O58" s="17" t="n"/>
      <c r="P58" s="18" t="n"/>
      <c r="Q58" s="17" t="n"/>
      <c r="R58" s="18" t="n"/>
      <c r="S58" s="18" t="n"/>
    </row>
    <row r="59">
      <c r="A59" s="15">
        <f>IF($C59="","",COUNTA($C$4:$C59))</f>
        <v/>
      </c>
      <c r="B59" s="16">
        <f>IF($C59="","","Contrat de production")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  <c r="N59" s="18" t="n"/>
      <c r="O59" s="17" t="n"/>
      <c r="P59" s="18" t="n"/>
      <c r="Q59" s="17" t="n"/>
      <c r="R59" s="18" t="n"/>
      <c r="S59" s="18" t="n"/>
    </row>
    <row r="60">
      <c r="A60" s="15">
        <f>IF($C60="","",COUNTA($C$4:$C60))</f>
        <v/>
      </c>
      <c r="B60" s="16">
        <f>IF($C60="","","Contrat de production")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  <c r="N60" s="18" t="n"/>
      <c r="O60" s="17" t="n"/>
      <c r="P60" s="18" t="n"/>
      <c r="Q60" s="17" t="n"/>
      <c r="R60" s="18" t="n"/>
      <c r="S60" s="18" t="n"/>
    </row>
    <row r="61">
      <c r="A61" s="15">
        <f>IF($C61="","",COUNTA($C$4:$C61))</f>
        <v/>
      </c>
      <c r="B61" s="16">
        <f>IF($C61="","","Contrat de production")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  <c r="N61" s="18" t="n"/>
      <c r="O61" s="17" t="n"/>
      <c r="P61" s="18" t="n"/>
      <c r="Q61" s="17" t="n"/>
      <c r="R61" s="18" t="n"/>
      <c r="S61" s="18" t="n"/>
    </row>
    <row r="62">
      <c r="A62" s="15">
        <f>IF($C62="","",COUNTA($C$4:$C62))</f>
        <v/>
      </c>
      <c r="B62" s="16">
        <f>IF($C62="","","Contrat de production")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  <c r="N62" s="18" t="n"/>
      <c r="O62" s="17" t="n"/>
      <c r="P62" s="18" t="n"/>
      <c r="Q62" s="17" t="n"/>
      <c r="R62" s="18" t="n"/>
      <c r="S62" s="18" t="n"/>
    </row>
    <row r="63">
      <c r="A63" s="15">
        <f>IF($C63="","",COUNTA($C$4:$C63))</f>
        <v/>
      </c>
      <c r="B63" s="16">
        <f>IF($C63="","","Contrat de production")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  <c r="N63" s="18" t="n"/>
      <c r="O63" s="17" t="n"/>
      <c r="P63" s="18" t="n"/>
      <c r="Q63" s="17" t="n"/>
      <c r="R63" s="18" t="n"/>
      <c r="S63" s="18" t="n"/>
    </row>
    <row r="64">
      <c r="A64" s="15">
        <f>IF($C64="","",COUNTA($C$4:$C64))</f>
        <v/>
      </c>
      <c r="B64" s="16">
        <f>IF($C64="","","Contrat de production")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  <c r="N64" s="18" t="n"/>
      <c r="O64" s="17" t="n"/>
      <c r="P64" s="18" t="n"/>
      <c r="Q64" s="17" t="n"/>
      <c r="R64" s="18" t="n"/>
      <c r="S64" s="18" t="n"/>
    </row>
    <row r="65">
      <c r="A65" s="15">
        <f>IF($C65="","",COUNTA($C$4:$C65))</f>
        <v/>
      </c>
      <c r="B65" s="16">
        <f>IF($C65="","","Contrat de production")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  <c r="N65" s="18" t="n"/>
      <c r="O65" s="17" t="n"/>
      <c r="P65" s="18" t="n"/>
      <c r="Q65" s="17" t="n"/>
      <c r="R65" s="18" t="n"/>
      <c r="S65" s="18" t="n"/>
    </row>
    <row r="66">
      <c r="A66" s="15">
        <f>IF($C66="","",COUNTA($C$4:$C66))</f>
        <v/>
      </c>
      <c r="B66" s="16">
        <f>IF($C66="","","Contrat de production")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  <c r="N66" s="18" t="n"/>
      <c r="O66" s="17" t="n"/>
      <c r="P66" s="18" t="n"/>
      <c r="Q66" s="17" t="n"/>
      <c r="R66" s="18" t="n"/>
      <c r="S66" s="18" t="n"/>
    </row>
    <row r="67">
      <c r="A67" s="15">
        <f>IF($C67="","",COUNTA($C$4:$C67))</f>
        <v/>
      </c>
      <c r="B67" s="16">
        <f>IF($C67="","","Contrat de production")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  <c r="N67" s="18" t="n"/>
      <c r="O67" s="17" t="n"/>
      <c r="P67" s="18" t="n"/>
      <c r="Q67" s="17" t="n"/>
      <c r="R67" s="18" t="n"/>
      <c r="S67" s="18" t="n"/>
    </row>
    <row r="68">
      <c r="A68" s="15">
        <f>IF($C68="","",COUNTA($C$4:$C68))</f>
        <v/>
      </c>
      <c r="B68" s="16">
        <f>IF($C68="","","Contrat de production")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  <c r="N68" s="18" t="n"/>
      <c r="O68" s="17" t="n"/>
      <c r="P68" s="18" t="n"/>
      <c r="Q68" s="17" t="n"/>
      <c r="R68" s="18" t="n"/>
      <c r="S68" s="18" t="n"/>
    </row>
    <row r="69">
      <c r="A69" s="15">
        <f>IF($C69="","",COUNTA($C$4:$C69))</f>
        <v/>
      </c>
      <c r="B69" s="16">
        <f>IF($C69="","","Contrat de production")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  <c r="N69" s="18" t="n"/>
      <c r="O69" s="17" t="n"/>
      <c r="P69" s="18" t="n"/>
      <c r="Q69" s="17" t="n"/>
      <c r="R69" s="18" t="n"/>
      <c r="S69" s="18" t="n"/>
    </row>
    <row r="70">
      <c r="A70" s="15">
        <f>IF($C70="","",COUNTA($C$4:$C70))</f>
        <v/>
      </c>
      <c r="B70" s="16">
        <f>IF($C70="","","Contrat de production")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  <c r="N70" s="18" t="n"/>
      <c r="O70" s="17" t="n"/>
      <c r="P70" s="18" t="n"/>
      <c r="Q70" s="17" t="n"/>
      <c r="R70" s="18" t="n"/>
      <c r="S70" s="18" t="n"/>
    </row>
    <row r="71">
      <c r="A71" s="15">
        <f>IF($C71="","",COUNTA($C$4:$C71))</f>
        <v/>
      </c>
      <c r="B71" s="16">
        <f>IF($C71="","","Contrat de production")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  <c r="N71" s="18" t="n"/>
      <c r="O71" s="17" t="n"/>
      <c r="P71" s="18" t="n"/>
      <c r="Q71" s="17" t="n"/>
      <c r="R71" s="18" t="n"/>
      <c r="S71" s="18" t="n"/>
    </row>
    <row r="72">
      <c r="A72" s="15">
        <f>IF($C72="","",COUNTA($C$4:$C72))</f>
        <v/>
      </c>
      <c r="B72" s="16">
        <f>IF($C72="","","Contrat de production")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  <c r="N72" s="18" t="n"/>
      <c r="O72" s="17" t="n"/>
      <c r="P72" s="18" t="n"/>
      <c r="Q72" s="17" t="n"/>
      <c r="R72" s="18" t="n"/>
      <c r="S72" s="18" t="n"/>
    </row>
    <row r="73">
      <c r="A73" s="15">
        <f>IF($C73="","",COUNTA($C$4:$C73))</f>
        <v/>
      </c>
      <c r="B73" s="16">
        <f>IF($C73="","","Contrat de production")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  <c r="N73" s="18" t="n"/>
      <c r="O73" s="17" t="n"/>
      <c r="P73" s="18" t="n"/>
      <c r="Q73" s="17" t="n"/>
      <c r="R73" s="18" t="n"/>
      <c r="S73" s="18" t="n"/>
    </row>
    <row r="74">
      <c r="A74" s="15">
        <f>IF($C74="","",COUNTA($C$4:$C74))</f>
        <v/>
      </c>
      <c r="B74" s="16">
        <f>IF($C74="","","Contrat de production")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  <c r="N74" s="18" t="n"/>
      <c r="O74" s="17" t="n"/>
      <c r="P74" s="18" t="n"/>
      <c r="Q74" s="17" t="n"/>
      <c r="R74" s="18" t="n"/>
      <c r="S74" s="18" t="n"/>
    </row>
    <row r="75">
      <c r="A75" s="15">
        <f>IF($C75="","",COUNTA($C$4:$C75))</f>
        <v/>
      </c>
      <c r="B75" s="16">
        <f>IF($C75="","","Contrat de production")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  <c r="N75" s="18" t="n"/>
      <c r="O75" s="17" t="n"/>
      <c r="P75" s="18" t="n"/>
      <c r="Q75" s="17" t="n"/>
      <c r="R75" s="18" t="n"/>
      <c r="S75" s="18" t="n"/>
    </row>
    <row r="76">
      <c r="A76" s="15">
        <f>IF($C76="","",COUNTA($C$4:$C76))</f>
        <v/>
      </c>
      <c r="B76" s="16">
        <f>IF($C76="","","Contrat de production")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  <c r="N76" s="18" t="n"/>
      <c r="O76" s="17" t="n"/>
      <c r="P76" s="18" t="n"/>
      <c r="Q76" s="17" t="n"/>
      <c r="R76" s="18" t="n"/>
      <c r="S76" s="18" t="n"/>
    </row>
    <row r="77">
      <c r="A77" s="15">
        <f>IF($C77="","",COUNTA($C$4:$C77))</f>
        <v/>
      </c>
      <c r="B77" s="16">
        <f>IF($C77="","","Contrat de production")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  <c r="N77" s="18" t="n"/>
      <c r="O77" s="17" t="n"/>
      <c r="P77" s="18" t="n"/>
      <c r="Q77" s="17" t="n"/>
      <c r="R77" s="18" t="n"/>
      <c r="S77" s="18" t="n"/>
    </row>
    <row r="78">
      <c r="A78" s="15">
        <f>IF($C78="","",COUNTA($C$4:$C78))</f>
        <v/>
      </c>
      <c r="B78" s="16">
        <f>IF($C78="","","Contrat de production")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  <c r="N78" s="18" t="n"/>
      <c r="O78" s="17" t="n"/>
      <c r="P78" s="18" t="n"/>
      <c r="Q78" s="17" t="n"/>
      <c r="R78" s="18" t="n"/>
      <c r="S78" s="18" t="n"/>
    </row>
    <row r="79">
      <c r="A79" s="15">
        <f>IF($C79="","",COUNTA($C$4:$C79))</f>
        <v/>
      </c>
      <c r="B79" s="16">
        <f>IF($C79="","","Contrat de production")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  <c r="N79" s="18" t="n"/>
      <c r="O79" s="17" t="n"/>
      <c r="P79" s="18" t="n"/>
      <c r="Q79" s="17" t="n"/>
      <c r="R79" s="18" t="n"/>
      <c r="S79" s="18" t="n"/>
    </row>
    <row r="80">
      <c r="A80" s="15">
        <f>IF($C80="","",COUNTA($C$4:$C80))</f>
        <v/>
      </c>
      <c r="B80" s="16">
        <f>IF($C80="","","Contrat de production")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  <c r="N80" s="18" t="n"/>
      <c r="O80" s="17" t="n"/>
      <c r="P80" s="18" t="n"/>
      <c r="Q80" s="17" t="n"/>
      <c r="R80" s="18" t="n"/>
      <c r="S80" s="18" t="n"/>
    </row>
    <row r="81">
      <c r="A81" s="15">
        <f>IF($C81="","",COUNTA($C$4:$C81))</f>
        <v/>
      </c>
      <c r="B81" s="16">
        <f>IF($C81="","","Contrat de production")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  <c r="N81" s="18" t="n"/>
      <c r="O81" s="17" t="n"/>
      <c r="P81" s="18" t="n"/>
      <c r="Q81" s="17" t="n"/>
      <c r="R81" s="18" t="n"/>
      <c r="S81" s="18" t="n"/>
    </row>
    <row r="82">
      <c r="A82" s="15">
        <f>IF($C82="","",COUNTA($C$4:$C82))</f>
        <v/>
      </c>
      <c r="B82" s="16">
        <f>IF($C82="","","Contrat de production")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  <c r="N82" s="18" t="n"/>
      <c r="O82" s="17" t="n"/>
      <c r="P82" s="18" t="n"/>
      <c r="Q82" s="17" t="n"/>
      <c r="R82" s="18" t="n"/>
      <c r="S82" s="18" t="n"/>
    </row>
    <row r="83">
      <c r="A83" s="15">
        <f>IF($C83="","",COUNTA($C$4:$C83))</f>
        <v/>
      </c>
      <c r="B83" s="16">
        <f>IF($C83="","","Contrat de production")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  <c r="N83" s="18" t="n"/>
      <c r="O83" s="17" t="n"/>
      <c r="P83" s="18" t="n"/>
      <c r="Q83" s="17" t="n"/>
      <c r="R83" s="18" t="n"/>
      <c r="S83" s="18" t="n"/>
    </row>
    <row r="84">
      <c r="A84" s="15">
        <f>IF($C84="","",COUNTA($C$4:$C84))</f>
        <v/>
      </c>
      <c r="B84" s="16">
        <f>IF($C84="","","Contrat de production")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  <c r="N84" s="18" t="n"/>
      <c r="O84" s="17" t="n"/>
      <c r="P84" s="18" t="n"/>
      <c r="Q84" s="17" t="n"/>
      <c r="R84" s="18" t="n"/>
      <c r="S84" s="18" t="n"/>
    </row>
    <row r="85">
      <c r="A85" s="15">
        <f>IF($C85="","",COUNTA($C$4:$C85))</f>
        <v/>
      </c>
      <c r="B85" s="16">
        <f>IF($C85="","","Contrat de production")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  <c r="N85" s="18" t="n"/>
      <c r="O85" s="17" t="n"/>
      <c r="P85" s="18" t="n"/>
      <c r="Q85" s="17" t="n"/>
      <c r="R85" s="18" t="n"/>
      <c r="S85" s="18" t="n"/>
    </row>
    <row r="86">
      <c r="A86" s="15">
        <f>IF($C86="","",COUNTA($C$4:$C86))</f>
        <v/>
      </c>
      <c r="B86" s="16">
        <f>IF($C86="","","Contrat de production")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  <c r="N86" s="18" t="n"/>
      <c r="O86" s="17" t="n"/>
      <c r="P86" s="18" t="n"/>
      <c r="Q86" s="17" t="n"/>
      <c r="R86" s="18" t="n"/>
      <c r="S86" s="18" t="n"/>
    </row>
    <row r="87">
      <c r="A87" s="15">
        <f>IF($C87="","",COUNTA($C$4:$C87))</f>
        <v/>
      </c>
      <c r="B87" s="16">
        <f>IF($C87="","","Contrat de production")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  <c r="N87" s="18" t="n"/>
      <c r="O87" s="17" t="n"/>
      <c r="P87" s="18" t="n"/>
      <c r="Q87" s="17" t="n"/>
      <c r="R87" s="18" t="n"/>
      <c r="S87" s="18" t="n"/>
    </row>
    <row r="88">
      <c r="A88" s="15">
        <f>IF($C88="","",COUNTA($C$4:$C88))</f>
        <v/>
      </c>
      <c r="B88" s="16">
        <f>IF($C88="","","Contrat de production")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  <c r="N88" s="18" t="n"/>
      <c r="O88" s="17" t="n"/>
      <c r="P88" s="18" t="n"/>
      <c r="Q88" s="17" t="n"/>
      <c r="R88" s="18" t="n"/>
      <c r="S88" s="18" t="n"/>
    </row>
    <row r="89">
      <c r="A89" s="15">
        <f>IF($C89="","",COUNTA($C$4:$C89))</f>
        <v/>
      </c>
      <c r="B89" s="16">
        <f>IF($C89="","","Contrat de production")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  <c r="N89" s="18" t="n"/>
      <c r="O89" s="17" t="n"/>
      <c r="P89" s="18" t="n"/>
      <c r="Q89" s="17" t="n"/>
      <c r="R89" s="18" t="n"/>
      <c r="S89" s="18" t="n"/>
    </row>
    <row r="90">
      <c r="A90" s="15">
        <f>IF($C90="","",COUNTA($C$4:$C90))</f>
        <v/>
      </c>
      <c r="B90" s="16">
        <f>IF($C90="","","Contrat de production")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  <c r="N90" s="18" t="n"/>
      <c r="O90" s="17" t="n"/>
      <c r="P90" s="18" t="n"/>
      <c r="Q90" s="17" t="n"/>
      <c r="R90" s="18" t="n"/>
      <c r="S90" s="18" t="n"/>
    </row>
    <row r="91">
      <c r="A91" s="15">
        <f>IF($C91="","",COUNTA($C$4:$C91))</f>
        <v/>
      </c>
      <c r="B91" s="16">
        <f>IF($C91="","","Contrat de production")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  <c r="N91" s="18" t="n"/>
      <c r="O91" s="17" t="n"/>
      <c r="P91" s="18" t="n"/>
      <c r="Q91" s="17" t="n"/>
      <c r="R91" s="18" t="n"/>
      <c r="S91" s="18" t="n"/>
    </row>
    <row r="92">
      <c r="A92" s="15">
        <f>IF($C92="","",COUNTA($C$4:$C92))</f>
        <v/>
      </c>
      <c r="B92" s="16">
        <f>IF($C92="","","Contrat de production")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  <c r="N92" s="18" t="n"/>
      <c r="O92" s="17" t="n"/>
      <c r="P92" s="18" t="n"/>
      <c r="Q92" s="17" t="n"/>
      <c r="R92" s="18" t="n"/>
      <c r="S92" s="18" t="n"/>
    </row>
    <row r="93">
      <c r="A93" s="15">
        <f>IF($C93="","",COUNTA($C$4:$C93))</f>
        <v/>
      </c>
      <c r="B93" s="16">
        <f>IF($C93="","","Contrat de production")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  <c r="N93" s="18" t="n"/>
      <c r="O93" s="17" t="n"/>
      <c r="P93" s="18" t="n"/>
      <c r="Q93" s="17" t="n"/>
      <c r="R93" s="18" t="n"/>
      <c r="S93" s="18" t="n"/>
    </row>
    <row r="94">
      <c r="A94" s="15">
        <f>IF($C94="","",COUNTA($C$4:$C94))</f>
        <v/>
      </c>
      <c r="B94" s="16">
        <f>IF($C94="","","Contrat de production")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  <c r="N94" s="18" t="n"/>
      <c r="O94" s="17" t="n"/>
      <c r="P94" s="18" t="n"/>
      <c r="Q94" s="17" t="n"/>
      <c r="R94" s="18" t="n"/>
      <c r="S94" s="18" t="n"/>
    </row>
    <row r="95">
      <c r="A95" s="15">
        <f>IF($C95="","",COUNTA($C$4:$C95))</f>
        <v/>
      </c>
      <c r="B95" s="16">
        <f>IF($C95="","","Contrat de production")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  <c r="N95" s="18" t="n"/>
      <c r="O95" s="17" t="n"/>
      <c r="P95" s="18" t="n"/>
      <c r="Q95" s="17" t="n"/>
      <c r="R95" s="18" t="n"/>
      <c r="S95" s="18" t="n"/>
    </row>
    <row r="96">
      <c r="A96" s="15">
        <f>IF($C96="","",COUNTA($C$4:$C96))</f>
        <v/>
      </c>
      <c r="B96" s="16">
        <f>IF($C96="","","Contrat de production")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  <c r="N96" s="18" t="n"/>
      <c r="O96" s="17" t="n"/>
      <c r="P96" s="18" t="n"/>
      <c r="Q96" s="17" t="n"/>
      <c r="R96" s="18" t="n"/>
      <c r="S96" s="18" t="n"/>
    </row>
    <row r="97">
      <c r="A97" s="15">
        <f>IF($C97="","",COUNTA($C$4:$C97))</f>
        <v/>
      </c>
      <c r="B97" s="16">
        <f>IF($C97="","","Contrat de production")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  <c r="N97" s="18" t="n"/>
      <c r="O97" s="17" t="n"/>
      <c r="P97" s="18" t="n"/>
      <c r="Q97" s="17" t="n"/>
      <c r="R97" s="18" t="n"/>
      <c r="S97" s="18" t="n"/>
    </row>
    <row r="98">
      <c r="A98" s="15">
        <f>IF($C98="","",COUNTA($C$4:$C98))</f>
        <v/>
      </c>
      <c r="B98" s="16">
        <f>IF($C98="","","Contrat de production")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  <c r="N98" s="18" t="n"/>
      <c r="O98" s="17" t="n"/>
      <c r="P98" s="18" t="n"/>
      <c r="Q98" s="17" t="n"/>
      <c r="R98" s="18" t="n"/>
      <c r="S98" s="18" t="n"/>
    </row>
    <row r="99">
      <c r="A99" s="15">
        <f>IF($C99="","",COUNTA($C$4:$C99))</f>
        <v/>
      </c>
      <c r="B99" s="16">
        <f>IF($C99="","","Contrat de production")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  <c r="N99" s="18" t="n"/>
      <c r="O99" s="17" t="n"/>
      <c r="P99" s="18" t="n"/>
      <c r="Q99" s="17" t="n"/>
      <c r="R99" s="18" t="n"/>
      <c r="S99" s="18" t="n"/>
    </row>
    <row r="100">
      <c r="A100" s="15">
        <f>IF($C100="","",COUNTA($C$4:$C100))</f>
        <v/>
      </c>
      <c r="B100" s="16">
        <f>IF($C100="","","Contrat de production")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  <c r="N100" s="18" t="n"/>
      <c r="O100" s="17" t="n"/>
      <c r="P100" s="18" t="n"/>
      <c r="Q100" s="17" t="n"/>
      <c r="R100" s="18" t="n"/>
      <c r="S100" s="18" t="n"/>
    </row>
    <row r="101">
      <c r="A101" s="15">
        <f>IF($C101="","",COUNTA($C$4:$C101))</f>
        <v/>
      </c>
      <c r="B101" s="16">
        <f>IF($C101="","","Contrat de production")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  <c r="N101" s="18" t="n"/>
      <c r="O101" s="17" t="n"/>
      <c r="P101" s="18" t="n"/>
      <c r="Q101" s="17" t="n"/>
      <c r="R101" s="18" t="n"/>
      <c r="S101" s="18" t="n"/>
    </row>
    <row r="102">
      <c r="A102" s="15">
        <f>IF($C102="","",COUNTA($C$4:$C102))</f>
        <v/>
      </c>
      <c r="B102" s="16">
        <f>IF($C102="","","Contrat de production")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  <c r="N102" s="18" t="n"/>
      <c r="O102" s="17" t="n"/>
      <c r="P102" s="18" t="n"/>
      <c r="Q102" s="17" t="n"/>
      <c r="R102" s="18" t="n"/>
      <c r="S102" s="18" t="n"/>
    </row>
    <row r="103">
      <c r="A103" s="15">
        <f>IF($C103="","",COUNTA($C$4:$C103))</f>
        <v/>
      </c>
      <c r="B103" s="16">
        <f>IF($C103="","","Contrat de production")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  <c r="N103" s="18" t="n"/>
      <c r="O103" s="17" t="n"/>
      <c r="P103" s="18" t="n"/>
      <c r="Q103" s="17" t="n"/>
      <c r="R103" s="18" t="n"/>
      <c r="S103" s="18" t="n"/>
    </row>
    <row r="104">
      <c r="A104" s="15">
        <f>IF($C104="","",COUNTA($C$4:$C104))</f>
        <v/>
      </c>
      <c r="B104" s="16">
        <f>IF($C104="","","Contrat de production")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  <c r="N104" s="18" t="n"/>
      <c r="O104" s="17" t="n"/>
      <c r="P104" s="18" t="n"/>
      <c r="Q104" s="17" t="n"/>
      <c r="R104" s="18" t="n"/>
      <c r="S104" s="18" t="n"/>
    </row>
    <row r="105">
      <c r="A105" s="15">
        <f>IF($C105="","",COUNTA($C$4:$C105))</f>
        <v/>
      </c>
      <c r="B105" s="16">
        <f>IF($C105="","","Contrat de production")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  <c r="N105" s="18" t="n"/>
      <c r="O105" s="17" t="n"/>
      <c r="P105" s="18" t="n"/>
      <c r="Q105" s="17" t="n"/>
      <c r="R105" s="18" t="n"/>
      <c r="S105" s="18" t="n"/>
    </row>
    <row r="106">
      <c r="A106" s="15">
        <f>IF($C106="","",COUNTA($C$4:$C106))</f>
        <v/>
      </c>
      <c r="B106" s="16">
        <f>IF($C106="","","Contrat de production")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  <c r="N106" s="18" t="n"/>
      <c r="O106" s="17" t="n"/>
      <c r="P106" s="18" t="n"/>
      <c r="Q106" s="17" t="n"/>
      <c r="R106" s="18" t="n"/>
      <c r="S106" s="18" t="n"/>
    </row>
    <row r="107">
      <c r="A107" s="15">
        <f>IF($C107="","",COUNTA($C$4:$C107))</f>
        <v/>
      </c>
      <c r="B107" s="16">
        <f>IF($C107="","","Contrat de production")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  <c r="N107" s="18" t="n"/>
      <c r="O107" s="17" t="n"/>
      <c r="P107" s="18" t="n"/>
      <c r="Q107" s="17" t="n"/>
      <c r="R107" s="18" t="n"/>
      <c r="S107" s="18" t="n"/>
    </row>
    <row r="108">
      <c r="A108" s="15">
        <f>IF($C108="","",COUNTA($C$4:$C108))</f>
        <v/>
      </c>
      <c r="B108" s="16">
        <f>IF($C108="","","Contrat de production")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  <c r="N108" s="18" t="n"/>
      <c r="O108" s="17" t="n"/>
      <c r="P108" s="18" t="n"/>
      <c r="Q108" s="17" t="n"/>
      <c r="R108" s="18" t="n"/>
      <c r="S108" s="18" t="n"/>
    </row>
    <row r="109">
      <c r="A109" s="15">
        <f>IF($C109="","",COUNTA($C$4:$C109))</f>
        <v/>
      </c>
      <c r="B109" s="16">
        <f>IF($C109="","","Contrat de production")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  <c r="N109" s="18" t="n"/>
      <c r="O109" s="17" t="n"/>
      <c r="P109" s="18" t="n"/>
      <c r="Q109" s="17" t="n"/>
      <c r="R109" s="18" t="n"/>
      <c r="S109" s="18" t="n"/>
    </row>
    <row r="110">
      <c r="A110" s="15">
        <f>IF($C110="","",COUNTA($C$4:$C110))</f>
        <v/>
      </c>
      <c r="B110" s="16">
        <f>IF($C110="","","Contrat de production")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  <c r="N110" s="18" t="n"/>
      <c r="O110" s="17" t="n"/>
      <c r="P110" s="18" t="n"/>
      <c r="Q110" s="17" t="n"/>
      <c r="R110" s="18" t="n"/>
      <c r="S110" s="18" t="n"/>
    </row>
    <row r="111">
      <c r="A111" s="15">
        <f>IF($C111="","",COUNTA($C$4:$C111))</f>
        <v/>
      </c>
      <c r="B111" s="16">
        <f>IF($C111="","","Contrat de production")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  <c r="N111" s="18" t="n"/>
      <c r="O111" s="17" t="n"/>
      <c r="P111" s="18" t="n"/>
      <c r="Q111" s="17" t="n"/>
      <c r="R111" s="18" t="n"/>
      <c r="S111" s="18" t="n"/>
    </row>
    <row r="112">
      <c r="A112" s="15">
        <f>IF($C112="","",COUNTA($C$4:$C112))</f>
        <v/>
      </c>
      <c r="B112" s="16">
        <f>IF($C112="","","Contrat de production")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  <c r="N112" s="18" t="n"/>
      <c r="O112" s="17" t="n"/>
      <c r="P112" s="18" t="n"/>
      <c r="Q112" s="17" t="n"/>
      <c r="R112" s="18" t="n"/>
      <c r="S112" s="18" t="n"/>
    </row>
    <row r="113">
      <c r="A113" s="15">
        <f>IF($C113="","",COUNTA($C$4:$C113))</f>
        <v/>
      </c>
      <c r="B113" s="16">
        <f>IF($C113="","","Contrat de production")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  <c r="N113" s="18" t="n"/>
      <c r="O113" s="17" t="n"/>
      <c r="P113" s="18" t="n"/>
      <c r="Q113" s="17" t="n"/>
      <c r="R113" s="18" t="n"/>
      <c r="S113" s="18" t="n"/>
    </row>
    <row r="114">
      <c r="A114" s="15">
        <f>IF($C114="","",COUNTA($C$4:$C114))</f>
        <v/>
      </c>
      <c r="B114" s="16">
        <f>IF($C114="","","Contrat de production")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  <c r="N114" s="18" t="n"/>
      <c r="O114" s="17" t="n"/>
      <c r="P114" s="18" t="n"/>
      <c r="Q114" s="17" t="n"/>
      <c r="R114" s="18" t="n"/>
      <c r="S114" s="18" t="n"/>
    </row>
    <row r="115">
      <c r="A115" s="15">
        <f>IF($C115="","",COUNTA($C$4:$C115))</f>
        <v/>
      </c>
      <c r="B115" s="16">
        <f>IF($C115="","","Contrat de production")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  <c r="N115" s="18" t="n"/>
      <c r="O115" s="17" t="n"/>
      <c r="P115" s="18" t="n"/>
      <c r="Q115" s="17" t="n"/>
      <c r="R115" s="18" t="n"/>
      <c r="S115" s="18" t="n"/>
    </row>
    <row r="116">
      <c r="A116" s="15">
        <f>IF($C116="","",COUNTA($C$4:$C116))</f>
        <v/>
      </c>
      <c r="B116" s="16">
        <f>IF($C116="","","Contrat de production")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  <c r="N116" s="18" t="n"/>
      <c r="O116" s="17" t="n"/>
      <c r="P116" s="18" t="n"/>
      <c r="Q116" s="17" t="n"/>
      <c r="R116" s="18" t="n"/>
      <c r="S116" s="18" t="n"/>
    </row>
    <row r="117">
      <c r="A117" s="15">
        <f>IF($C117="","",COUNTA($C$4:$C117))</f>
        <v/>
      </c>
      <c r="B117" s="16">
        <f>IF($C117="","","Contrat de production")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  <c r="N117" s="18" t="n"/>
      <c r="O117" s="17" t="n"/>
      <c r="P117" s="18" t="n"/>
      <c r="Q117" s="17" t="n"/>
      <c r="R117" s="18" t="n"/>
      <c r="S117" s="18" t="n"/>
    </row>
    <row r="118">
      <c r="A118" s="15">
        <f>IF($C118="","",COUNTA($C$4:$C118))</f>
        <v/>
      </c>
      <c r="B118" s="16">
        <f>IF($C118="","","Contrat de production")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  <c r="N118" s="18" t="n"/>
      <c r="O118" s="17" t="n"/>
      <c r="P118" s="18" t="n"/>
      <c r="Q118" s="17" t="n"/>
      <c r="R118" s="18" t="n"/>
      <c r="S118" s="18" t="n"/>
    </row>
    <row r="119">
      <c r="A119" s="15">
        <f>IF($C119="","",COUNTA($C$4:$C119))</f>
        <v/>
      </c>
      <c r="B119" s="16">
        <f>IF($C119="","","Contrat de production")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  <c r="N119" s="18" t="n"/>
      <c r="O119" s="17" t="n"/>
      <c r="P119" s="18" t="n"/>
      <c r="Q119" s="17" t="n"/>
      <c r="R119" s="18" t="n"/>
      <c r="S119" s="18" t="n"/>
    </row>
    <row r="120">
      <c r="A120" s="15">
        <f>IF($C120="","",COUNTA($C$4:$C120))</f>
        <v/>
      </c>
      <c r="B120" s="16">
        <f>IF($C120="","","Contrat de production")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  <c r="N120" s="18" t="n"/>
      <c r="O120" s="17" t="n"/>
      <c r="P120" s="18" t="n"/>
      <c r="Q120" s="17" t="n"/>
      <c r="R120" s="18" t="n"/>
      <c r="S120" s="18" t="n"/>
    </row>
    <row r="121">
      <c r="A121" s="15">
        <f>IF($C121="","",COUNTA($C$4:$C121))</f>
        <v/>
      </c>
      <c r="B121" s="16">
        <f>IF($C121="","","Contrat de production")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  <c r="N121" s="18" t="n"/>
      <c r="O121" s="17" t="n"/>
      <c r="P121" s="18" t="n"/>
      <c r="Q121" s="17" t="n"/>
      <c r="R121" s="18" t="n"/>
      <c r="S121" s="18" t="n"/>
    </row>
    <row r="122">
      <c r="A122" s="15">
        <f>IF($C122="","",COUNTA($C$4:$C122))</f>
        <v/>
      </c>
      <c r="B122" s="16">
        <f>IF($C122="","","Contrat de production")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  <c r="N122" s="18" t="n"/>
      <c r="O122" s="17" t="n"/>
      <c r="P122" s="18" t="n"/>
      <c r="Q122" s="17" t="n"/>
      <c r="R122" s="18" t="n"/>
      <c r="S122" s="18" t="n"/>
    </row>
    <row r="123">
      <c r="A123" s="15">
        <f>IF($C123="","",COUNTA($C$4:$C123))</f>
        <v/>
      </c>
      <c r="B123" s="16">
        <f>IF($C123="","","Contrat de production")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  <c r="N123" s="18" t="n"/>
      <c r="O123" s="17" t="n"/>
      <c r="P123" s="18" t="n"/>
      <c r="Q123" s="17" t="n"/>
      <c r="R123" s="18" t="n"/>
      <c r="S123" s="18" t="n"/>
    </row>
    <row r="124">
      <c r="A124" s="15">
        <f>IF($C124="","",COUNTA($C$4:$C124))</f>
        <v/>
      </c>
      <c r="B124" s="16">
        <f>IF($C124="","","Contrat de production")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  <c r="N124" s="18" t="n"/>
      <c r="O124" s="17" t="n"/>
      <c r="P124" s="18" t="n"/>
      <c r="Q124" s="17" t="n"/>
      <c r="R124" s="18" t="n"/>
      <c r="S124" s="18" t="n"/>
    </row>
    <row r="125">
      <c r="A125" s="15">
        <f>IF($C125="","",COUNTA($C$4:$C125))</f>
        <v/>
      </c>
      <c r="B125" s="16">
        <f>IF($C125="","","Contrat de production")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  <c r="N125" s="18" t="n"/>
      <c r="O125" s="17" t="n"/>
      <c r="P125" s="18" t="n"/>
      <c r="Q125" s="17" t="n"/>
      <c r="R125" s="18" t="n"/>
      <c r="S125" s="18" t="n"/>
    </row>
    <row r="126">
      <c r="A126" s="15">
        <f>IF($C126="","",COUNTA($C$4:$C126))</f>
        <v/>
      </c>
      <c r="B126" s="16">
        <f>IF($C126="","","Contrat de production")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  <c r="N126" s="18" t="n"/>
      <c r="O126" s="17" t="n"/>
      <c r="P126" s="18" t="n"/>
      <c r="Q126" s="17" t="n"/>
      <c r="R126" s="18" t="n"/>
      <c r="S126" s="18" t="n"/>
    </row>
    <row r="127">
      <c r="A127" s="15">
        <f>IF($C127="","",COUNTA($C$4:$C127))</f>
        <v/>
      </c>
      <c r="B127" s="16">
        <f>IF($C127="","","Contrat de production")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  <c r="N127" s="18" t="n"/>
      <c r="O127" s="17" t="n"/>
      <c r="P127" s="18" t="n"/>
      <c r="Q127" s="17" t="n"/>
      <c r="R127" s="18" t="n"/>
      <c r="S127" s="18" t="n"/>
    </row>
    <row r="128">
      <c r="A128" s="15">
        <f>IF($C128="","",COUNTA($C$4:$C128))</f>
        <v/>
      </c>
      <c r="B128" s="16">
        <f>IF($C128="","","Contrat de production")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  <c r="N128" s="18" t="n"/>
      <c r="O128" s="17" t="n"/>
      <c r="P128" s="18" t="n"/>
      <c r="Q128" s="17" t="n"/>
      <c r="R128" s="18" t="n"/>
      <c r="S128" s="18" t="n"/>
    </row>
    <row r="129">
      <c r="A129" s="15">
        <f>IF($C129="","",COUNTA($C$4:$C129))</f>
        <v/>
      </c>
      <c r="B129" s="16">
        <f>IF($C129="","","Contrat de production")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  <c r="N129" s="18" t="n"/>
      <c r="O129" s="17" t="n"/>
      <c r="P129" s="18" t="n"/>
      <c r="Q129" s="17" t="n"/>
      <c r="R129" s="18" t="n"/>
      <c r="S129" s="18" t="n"/>
    </row>
    <row r="130">
      <c r="A130" s="15">
        <f>IF($C130="","",COUNTA($C$4:$C130))</f>
        <v/>
      </c>
      <c r="B130" s="16">
        <f>IF($C130="","","Contrat de production")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  <c r="N130" s="18" t="n"/>
      <c r="O130" s="17" t="n"/>
      <c r="P130" s="18" t="n"/>
      <c r="Q130" s="17" t="n"/>
      <c r="R130" s="18" t="n"/>
      <c r="S130" s="18" t="n"/>
    </row>
    <row r="131">
      <c r="A131" s="15">
        <f>IF($C131="","",COUNTA($C$4:$C131))</f>
        <v/>
      </c>
      <c r="B131" s="16">
        <f>IF($C131="","","Contrat de production")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  <c r="N131" s="18" t="n"/>
      <c r="O131" s="17" t="n"/>
      <c r="P131" s="18" t="n"/>
      <c r="Q131" s="17" t="n"/>
      <c r="R131" s="18" t="n"/>
      <c r="S131" s="18" t="n"/>
    </row>
    <row r="132">
      <c r="A132" s="15">
        <f>IF($C132="","",COUNTA($C$4:$C132))</f>
        <v/>
      </c>
      <c r="B132" s="16">
        <f>IF($C132="","","Contrat de production")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  <c r="N132" s="18" t="n"/>
      <c r="O132" s="17" t="n"/>
      <c r="P132" s="18" t="n"/>
      <c r="Q132" s="17" t="n"/>
      <c r="R132" s="18" t="n"/>
      <c r="S132" s="18" t="n"/>
    </row>
    <row r="133">
      <c r="A133" s="15">
        <f>IF($C133="","",COUNTA($C$4:$C133))</f>
        <v/>
      </c>
      <c r="B133" s="16">
        <f>IF($C133="","","Contrat de production")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  <c r="N133" s="18" t="n"/>
      <c r="O133" s="17" t="n"/>
      <c r="P133" s="18" t="n"/>
      <c r="Q133" s="17" t="n"/>
      <c r="R133" s="18" t="n"/>
      <c r="S133" s="18" t="n"/>
    </row>
    <row r="134">
      <c r="A134" s="15">
        <f>IF($C134="","",COUNTA($C$4:$C134))</f>
        <v/>
      </c>
      <c r="B134" s="16">
        <f>IF($C134="","","Contrat de production")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  <c r="N134" s="18" t="n"/>
      <c r="O134" s="17" t="n"/>
      <c r="P134" s="18" t="n"/>
      <c r="Q134" s="17" t="n"/>
      <c r="R134" s="18" t="n"/>
      <c r="S134" s="18" t="n"/>
    </row>
    <row r="135">
      <c r="A135" s="15">
        <f>IF($C135="","",COUNTA($C$4:$C135))</f>
        <v/>
      </c>
      <c r="B135" s="16">
        <f>IF($C135="","","Contrat de production")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  <c r="N135" s="18" t="n"/>
      <c r="O135" s="17" t="n"/>
      <c r="P135" s="18" t="n"/>
      <c r="Q135" s="17" t="n"/>
      <c r="R135" s="18" t="n"/>
      <c r="S135" s="18" t="n"/>
    </row>
    <row r="136">
      <c r="A136" s="15">
        <f>IF($C136="","",COUNTA($C$4:$C136))</f>
        <v/>
      </c>
      <c r="B136" s="16">
        <f>IF($C136="","","Contrat de production")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  <c r="N136" s="18" t="n"/>
      <c r="O136" s="17" t="n"/>
      <c r="P136" s="18" t="n"/>
      <c r="Q136" s="17" t="n"/>
      <c r="R136" s="18" t="n"/>
      <c r="S136" s="18" t="n"/>
    </row>
    <row r="137">
      <c r="A137" s="15">
        <f>IF($C137="","",COUNTA($C$4:$C137))</f>
        <v/>
      </c>
      <c r="B137" s="16">
        <f>IF($C137="","","Contrat de production")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  <c r="N137" s="18" t="n"/>
      <c r="O137" s="17" t="n"/>
      <c r="P137" s="18" t="n"/>
      <c r="Q137" s="17" t="n"/>
      <c r="R137" s="18" t="n"/>
      <c r="S137" s="18" t="n"/>
    </row>
    <row r="138">
      <c r="A138" s="15">
        <f>IF($C138="","",COUNTA($C$4:$C138))</f>
        <v/>
      </c>
      <c r="B138" s="16">
        <f>IF($C138="","","Contrat de production")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  <c r="N138" s="18" t="n"/>
      <c r="O138" s="17" t="n"/>
      <c r="P138" s="18" t="n"/>
      <c r="Q138" s="17" t="n"/>
      <c r="R138" s="18" t="n"/>
      <c r="S138" s="18" t="n"/>
    </row>
    <row r="139">
      <c r="A139" s="15">
        <f>IF($C139="","",COUNTA($C$4:$C139))</f>
        <v/>
      </c>
      <c r="B139" s="16">
        <f>IF($C139="","","Contrat de production")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  <c r="N139" s="18" t="n"/>
      <c r="O139" s="17" t="n"/>
      <c r="P139" s="18" t="n"/>
      <c r="Q139" s="17" t="n"/>
      <c r="R139" s="18" t="n"/>
      <c r="S139" s="18" t="n"/>
    </row>
    <row r="140">
      <c r="A140" s="15">
        <f>IF($C140="","",COUNTA($C$4:$C140))</f>
        <v/>
      </c>
      <c r="B140" s="16">
        <f>IF($C140="","","Contrat de production")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  <c r="N140" s="18" t="n"/>
      <c r="O140" s="17" t="n"/>
      <c r="P140" s="18" t="n"/>
      <c r="Q140" s="17" t="n"/>
      <c r="R140" s="18" t="n"/>
      <c r="S140" s="18" t="n"/>
    </row>
    <row r="141">
      <c r="A141" s="15">
        <f>IF($C141="","",COUNTA($C$4:$C141))</f>
        <v/>
      </c>
      <c r="B141" s="16">
        <f>IF($C141="","","Contrat de production")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  <c r="N141" s="18" t="n"/>
      <c r="O141" s="17" t="n"/>
      <c r="P141" s="18" t="n"/>
      <c r="Q141" s="17" t="n"/>
      <c r="R141" s="18" t="n"/>
      <c r="S141" s="18" t="n"/>
    </row>
    <row r="142">
      <c r="A142" s="15">
        <f>IF($C142="","",COUNTA($C$4:$C142))</f>
        <v/>
      </c>
      <c r="B142" s="16">
        <f>IF($C142="","","Contrat de production")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  <c r="N142" s="18" t="n"/>
      <c r="O142" s="17" t="n"/>
      <c r="P142" s="18" t="n"/>
      <c r="Q142" s="17" t="n"/>
      <c r="R142" s="18" t="n"/>
      <c r="S142" s="18" t="n"/>
    </row>
    <row r="143">
      <c r="A143" s="15">
        <f>IF($C143="","",COUNTA($C$4:$C143))</f>
        <v/>
      </c>
      <c r="B143" s="16">
        <f>IF($C143="","","Contrat de production")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  <c r="N143" s="18" t="n"/>
      <c r="O143" s="17" t="n"/>
      <c r="P143" s="18" t="n"/>
      <c r="Q143" s="17" t="n"/>
      <c r="R143" s="18" t="n"/>
      <c r="S143" s="18" t="n"/>
    </row>
    <row r="144">
      <c r="A144" s="15">
        <f>IF($C144="","",COUNTA($C$4:$C144))</f>
        <v/>
      </c>
      <c r="B144" s="16">
        <f>IF($C144="","","Contrat de production")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  <c r="N144" s="18" t="n"/>
      <c r="O144" s="17" t="n"/>
      <c r="P144" s="18" t="n"/>
      <c r="Q144" s="17" t="n"/>
      <c r="R144" s="18" t="n"/>
      <c r="S144" s="18" t="n"/>
    </row>
    <row r="145">
      <c r="A145" s="15">
        <f>IF($C145="","",COUNTA($C$4:$C145))</f>
        <v/>
      </c>
      <c r="B145" s="16">
        <f>IF($C145="","","Contrat de production")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  <c r="N145" s="18" t="n"/>
      <c r="O145" s="17" t="n"/>
      <c r="P145" s="18" t="n"/>
      <c r="Q145" s="17" t="n"/>
      <c r="R145" s="18" t="n"/>
      <c r="S145" s="18" t="n"/>
    </row>
    <row r="146">
      <c r="A146" s="15">
        <f>IF($C146="","",COUNTA($C$4:$C146))</f>
        <v/>
      </c>
      <c r="B146" s="16">
        <f>IF($C146="","","Contrat de production")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  <c r="N146" s="18" t="n"/>
      <c r="O146" s="17" t="n"/>
      <c r="P146" s="18" t="n"/>
      <c r="Q146" s="17" t="n"/>
      <c r="R146" s="18" t="n"/>
      <c r="S146" s="18" t="n"/>
    </row>
    <row r="147">
      <c r="A147" s="15">
        <f>IF($C147="","",COUNTA($C$4:$C147))</f>
        <v/>
      </c>
      <c r="B147" s="16">
        <f>IF($C147="","","Contrat de production")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  <c r="N147" s="18" t="n"/>
      <c r="O147" s="17" t="n"/>
      <c r="P147" s="18" t="n"/>
      <c r="Q147" s="17" t="n"/>
      <c r="R147" s="18" t="n"/>
      <c r="S147" s="18" t="n"/>
    </row>
    <row r="148">
      <c r="A148" s="15">
        <f>IF($C148="","",COUNTA($C$4:$C148))</f>
        <v/>
      </c>
      <c r="B148" s="16">
        <f>IF($C148="","","Contrat de production")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  <c r="N148" s="18" t="n"/>
      <c r="O148" s="17" t="n"/>
      <c r="P148" s="18" t="n"/>
      <c r="Q148" s="17" t="n"/>
      <c r="R148" s="18" t="n"/>
      <c r="S148" s="18" t="n"/>
    </row>
    <row r="149">
      <c r="A149" s="15">
        <f>IF($C149="","",COUNTA($C$4:$C149))</f>
        <v/>
      </c>
      <c r="B149" s="16">
        <f>IF($C149="","","Contrat de production")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  <c r="N149" s="18" t="n"/>
      <c r="O149" s="17" t="n"/>
      <c r="P149" s="18" t="n"/>
      <c r="Q149" s="17" t="n"/>
      <c r="R149" s="18" t="n"/>
      <c r="S149" s="18" t="n"/>
    </row>
    <row r="150">
      <c r="A150" s="15">
        <f>IF($C150="","",COUNTA($C$4:$C150))</f>
        <v/>
      </c>
      <c r="B150" s="16">
        <f>IF($C150="","","Contrat de production")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  <c r="N150" s="18" t="n"/>
      <c r="O150" s="17" t="n"/>
      <c r="P150" s="18" t="n"/>
      <c r="Q150" s="17" t="n"/>
      <c r="R150" s="18" t="n"/>
      <c r="S150" s="18" t="n"/>
    </row>
    <row r="151">
      <c r="A151" s="15">
        <f>IF($C151="","",COUNTA($C$4:$C151))</f>
        <v/>
      </c>
      <c r="B151" s="16">
        <f>IF($C151="","","Contrat de production")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  <c r="N151" s="18" t="n"/>
      <c r="O151" s="17" t="n"/>
      <c r="P151" s="18" t="n"/>
      <c r="Q151" s="17" t="n"/>
      <c r="R151" s="18" t="n"/>
      <c r="S151" s="18" t="n"/>
    </row>
    <row r="152">
      <c r="A152" s="15">
        <f>IF($C152="","",COUNTA($C$4:$C152))</f>
        <v/>
      </c>
      <c r="B152" s="16">
        <f>IF($C152="","","Contrat de production")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  <c r="N152" s="18" t="n"/>
      <c r="O152" s="17" t="n"/>
      <c r="P152" s="18" t="n"/>
      <c r="Q152" s="17" t="n"/>
      <c r="R152" s="18" t="n"/>
      <c r="S152" s="18" t="n"/>
    </row>
    <row r="153">
      <c r="A153" s="15">
        <f>IF($C153="","",COUNTA($C$4:$C153))</f>
        <v/>
      </c>
      <c r="B153" s="16">
        <f>IF($C153="","","Contrat de production")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  <c r="N153" s="18" t="n"/>
      <c r="O153" s="17" t="n"/>
      <c r="P153" s="18" t="n"/>
      <c r="Q153" s="17" t="n"/>
      <c r="R153" s="18" t="n"/>
      <c r="S153" s="18" t="n"/>
    </row>
    <row r="154">
      <c r="A154" s="15">
        <f>IF($C154="","",COUNTA($C$4:$C154))</f>
        <v/>
      </c>
      <c r="B154" s="16">
        <f>IF($C154="","","Contrat de production")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  <c r="N154" s="18" t="n"/>
      <c r="O154" s="17" t="n"/>
      <c r="P154" s="18" t="n"/>
      <c r="Q154" s="17" t="n"/>
      <c r="R154" s="18" t="n"/>
      <c r="S154" s="18" t="n"/>
    </row>
    <row r="155">
      <c r="A155" s="15">
        <f>IF($C155="","",COUNTA($C$4:$C155))</f>
        <v/>
      </c>
      <c r="B155" s="16">
        <f>IF($C155="","","Contrat de production")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  <c r="N155" s="18" t="n"/>
      <c r="O155" s="17" t="n"/>
      <c r="P155" s="18" t="n"/>
      <c r="Q155" s="17" t="n"/>
      <c r="R155" s="18" t="n"/>
      <c r="S155" s="18" t="n"/>
    </row>
    <row r="156">
      <c r="A156" s="15">
        <f>IF($C156="","",COUNTA($C$4:$C156))</f>
        <v/>
      </c>
      <c r="B156" s="16">
        <f>IF($C156="","","Contrat de production")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  <c r="N156" s="18" t="n"/>
      <c r="O156" s="17" t="n"/>
      <c r="P156" s="18" t="n"/>
      <c r="Q156" s="17" t="n"/>
      <c r="R156" s="18" t="n"/>
      <c r="S156" s="18" t="n"/>
    </row>
    <row r="157">
      <c r="A157" s="15">
        <f>IF($C157="","",COUNTA($C$4:$C157))</f>
        <v/>
      </c>
      <c r="B157" s="16">
        <f>IF($C157="","","Contrat de production")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  <c r="N157" s="18" t="n"/>
      <c r="O157" s="17" t="n"/>
      <c r="P157" s="18" t="n"/>
      <c r="Q157" s="17" t="n"/>
      <c r="R157" s="18" t="n"/>
      <c r="S157" s="18" t="n"/>
    </row>
    <row r="158">
      <c r="A158" s="15">
        <f>IF($C158="","",COUNTA($C$4:$C158))</f>
        <v/>
      </c>
      <c r="B158" s="16">
        <f>IF($C158="","","Contrat de production")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  <c r="N158" s="18" t="n"/>
      <c r="O158" s="17" t="n"/>
      <c r="P158" s="18" t="n"/>
      <c r="Q158" s="17" t="n"/>
      <c r="R158" s="18" t="n"/>
      <c r="S158" s="18" t="n"/>
    </row>
    <row r="159">
      <c r="A159" s="15">
        <f>IF($C159="","",COUNTA($C$4:$C159))</f>
        <v/>
      </c>
      <c r="B159" s="16">
        <f>IF($C159="","","Contrat de production")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  <c r="N159" s="18" t="n"/>
      <c r="O159" s="17" t="n"/>
      <c r="P159" s="18" t="n"/>
      <c r="Q159" s="17" t="n"/>
      <c r="R159" s="18" t="n"/>
      <c r="S159" s="18" t="n"/>
    </row>
    <row r="160">
      <c r="A160" s="15">
        <f>IF($C160="","",COUNTA($C$4:$C160))</f>
        <v/>
      </c>
      <c r="B160" s="16">
        <f>IF($C160="","","Contrat de production")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  <c r="N160" s="18" t="n"/>
      <c r="O160" s="17" t="n"/>
      <c r="P160" s="18" t="n"/>
      <c r="Q160" s="17" t="n"/>
      <c r="R160" s="18" t="n"/>
      <c r="S160" s="18" t="n"/>
    </row>
    <row r="161">
      <c r="A161" s="15">
        <f>IF($C161="","",COUNTA($C$4:$C161))</f>
        <v/>
      </c>
      <c r="B161" s="16">
        <f>IF($C161="","","Contrat de production")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  <c r="N161" s="18" t="n"/>
      <c r="O161" s="17" t="n"/>
      <c r="P161" s="18" t="n"/>
      <c r="Q161" s="17" t="n"/>
      <c r="R161" s="18" t="n"/>
      <c r="S161" s="18" t="n"/>
    </row>
    <row r="162">
      <c r="A162" s="15">
        <f>IF($C162="","",COUNTA($C$4:$C162))</f>
        <v/>
      </c>
      <c r="B162" s="16">
        <f>IF($C162="","","Contrat de production")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  <c r="N162" s="18" t="n"/>
      <c r="O162" s="17" t="n"/>
      <c r="P162" s="18" t="n"/>
      <c r="Q162" s="17" t="n"/>
      <c r="R162" s="18" t="n"/>
      <c r="S162" s="18" t="n"/>
    </row>
    <row r="163">
      <c r="A163" s="15">
        <f>IF($C163="","",COUNTA($C$4:$C163))</f>
        <v/>
      </c>
      <c r="B163" s="16">
        <f>IF($C163="","","Contrat de production")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  <c r="N163" s="18" t="n"/>
      <c r="O163" s="17" t="n"/>
      <c r="P163" s="18" t="n"/>
      <c r="Q163" s="17" t="n"/>
      <c r="R163" s="18" t="n"/>
      <c r="S163" s="18" t="n"/>
    </row>
    <row r="164">
      <c r="A164" s="15">
        <f>IF($C164="","",COUNTA($C$4:$C164))</f>
        <v/>
      </c>
      <c r="B164" s="16">
        <f>IF($C164="","","Contrat de production")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  <c r="N164" s="18" t="n"/>
      <c r="O164" s="17" t="n"/>
      <c r="P164" s="18" t="n"/>
      <c r="Q164" s="17" t="n"/>
      <c r="R164" s="18" t="n"/>
      <c r="S164" s="18" t="n"/>
    </row>
    <row r="165">
      <c r="A165" s="15">
        <f>IF($C165="","",COUNTA($C$4:$C165))</f>
        <v/>
      </c>
      <c r="B165" s="16">
        <f>IF($C165="","","Contrat de production")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  <c r="N165" s="18" t="n"/>
      <c r="O165" s="17" t="n"/>
      <c r="P165" s="18" t="n"/>
      <c r="Q165" s="17" t="n"/>
      <c r="R165" s="18" t="n"/>
      <c r="S165" s="18" t="n"/>
    </row>
    <row r="166">
      <c r="A166" s="15">
        <f>IF($C166="","",COUNTA($C$4:$C166))</f>
        <v/>
      </c>
      <c r="B166" s="16">
        <f>IF($C166="","","Contrat de production")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  <c r="N166" s="18" t="n"/>
      <c r="O166" s="17" t="n"/>
      <c r="P166" s="18" t="n"/>
      <c r="Q166" s="17" t="n"/>
      <c r="R166" s="18" t="n"/>
      <c r="S166" s="18" t="n"/>
    </row>
    <row r="167">
      <c r="A167" s="15">
        <f>IF($C167="","",COUNTA($C$4:$C167))</f>
        <v/>
      </c>
      <c r="B167" s="16">
        <f>IF($C167="","","Contrat de production")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  <c r="N167" s="18" t="n"/>
      <c r="O167" s="17" t="n"/>
      <c r="P167" s="18" t="n"/>
      <c r="Q167" s="17" t="n"/>
      <c r="R167" s="18" t="n"/>
      <c r="S167" s="18" t="n"/>
    </row>
    <row r="168">
      <c r="A168" s="15">
        <f>IF($C168="","",COUNTA($C$4:$C168))</f>
        <v/>
      </c>
      <c r="B168" s="16">
        <f>IF($C168="","","Contrat de production")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  <c r="N168" s="18" t="n"/>
      <c r="O168" s="17" t="n"/>
      <c r="P168" s="18" t="n"/>
      <c r="Q168" s="17" t="n"/>
      <c r="R168" s="18" t="n"/>
      <c r="S168" s="18" t="n"/>
    </row>
    <row r="169">
      <c r="A169" s="15">
        <f>IF($C169="","",COUNTA($C$4:$C169))</f>
        <v/>
      </c>
      <c r="B169" s="16">
        <f>IF($C169="","","Contrat de production")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  <c r="N169" s="18" t="n"/>
      <c r="O169" s="17" t="n"/>
      <c r="P169" s="18" t="n"/>
      <c r="Q169" s="17" t="n"/>
      <c r="R169" s="18" t="n"/>
      <c r="S169" s="18" t="n"/>
    </row>
    <row r="170">
      <c r="A170" s="15">
        <f>IF($C170="","",COUNTA($C$4:$C170))</f>
        <v/>
      </c>
      <c r="B170" s="16">
        <f>IF($C170="","","Contrat de production")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  <c r="N170" s="18" t="n"/>
      <c r="O170" s="17" t="n"/>
      <c r="P170" s="18" t="n"/>
      <c r="Q170" s="17" t="n"/>
      <c r="R170" s="18" t="n"/>
      <c r="S170" s="18" t="n"/>
    </row>
    <row r="171">
      <c r="A171" s="15">
        <f>IF($C171="","",COUNTA($C$4:$C171))</f>
        <v/>
      </c>
      <c r="B171" s="16">
        <f>IF($C171="","","Contrat de production")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  <c r="N171" s="18" t="n"/>
      <c r="O171" s="17" t="n"/>
      <c r="P171" s="18" t="n"/>
      <c r="Q171" s="17" t="n"/>
      <c r="R171" s="18" t="n"/>
      <c r="S171" s="18" t="n"/>
    </row>
    <row r="172">
      <c r="A172" s="15">
        <f>IF($C172="","",COUNTA($C$4:$C172))</f>
        <v/>
      </c>
      <c r="B172" s="16">
        <f>IF($C172="","","Contrat de production")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  <c r="N172" s="18" t="n"/>
      <c r="O172" s="17" t="n"/>
      <c r="P172" s="18" t="n"/>
      <c r="Q172" s="17" t="n"/>
      <c r="R172" s="18" t="n"/>
      <c r="S172" s="18" t="n"/>
    </row>
    <row r="173">
      <c r="A173" s="15">
        <f>IF($C173="","",COUNTA($C$4:$C173))</f>
        <v/>
      </c>
      <c r="B173" s="16">
        <f>IF($C173="","","Contrat de production")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  <c r="N173" s="18" t="n"/>
      <c r="O173" s="17" t="n"/>
      <c r="P173" s="18" t="n"/>
      <c r="Q173" s="17" t="n"/>
      <c r="R173" s="18" t="n"/>
      <c r="S173" s="18" t="n"/>
    </row>
    <row r="174">
      <c r="A174" s="15">
        <f>IF($C174="","",COUNTA($C$4:$C174))</f>
        <v/>
      </c>
      <c r="B174" s="16">
        <f>IF($C174="","","Contrat de production")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  <c r="N174" s="18" t="n"/>
      <c r="O174" s="17" t="n"/>
      <c r="P174" s="18" t="n"/>
      <c r="Q174" s="17" t="n"/>
      <c r="R174" s="18" t="n"/>
      <c r="S174" s="18" t="n"/>
    </row>
    <row r="175">
      <c r="A175" s="15">
        <f>IF($C175="","",COUNTA($C$4:$C175))</f>
        <v/>
      </c>
      <c r="B175" s="16">
        <f>IF($C175="","","Contrat de production")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  <c r="N175" s="18" t="n"/>
      <c r="O175" s="17" t="n"/>
      <c r="P175" s="18" t="n"/>
      <c r="Q175" s="17" t="n"/>
      <c r="R175" s="18" t="n"/>
      <c r="S175" s="18" t="n"/>
    </row>
    <row r="176">
      <c r="A176" s="15">
        <f>IF($C176="","",COUNTA($C$4:$C176))</f>
        <v/>
      </c>
      <c r="B176" s="16">
        <f>IF($C176="","","Contrat de production")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  <c r="N176" s="18" t="n"/>
      <c r="O176" s="17" t="n"/>
      <c r="P176" s="18" t="n"/>
      <c r="Q176" s="17" t="n"/>
      <c r="R176" s="18" t="n"/>
      <c r="S176" s="18" t="n"/>
    </row>
    <row r="177">
      <c r="A177" s="15">
        <f>IF($C177="","",COUNTA($C$4:$C177))</f>
        <v/>
      </c>
      <c r="B177" s="16">
        <f>IF($C177="","","Contrat de production")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  <c r="N177" s="18" t="n"/>
      <c r="O177" s="17" t="n"/>
      <c r="P177" s="18" t="n"/>
      <c r="Q177" s="17" t="n"/>
      <c r="R177" s="18" t="n"/>
      <c r="S177" s="18" t="n"/>
    </row>
    <row r="178">
      <c r="A178" s="15">
        <f>IF($C178="","",COUNTA($C$4:$C178))</f>
        <v/>
      </c>
      <c r="B178" s="16">
        <f>IF($C178="","","Contrat de production")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  <c r="N178" s="18" t="n"/>
      <c r="O178" s="17" t="n"/>
      <c r="P178" s="18" t="n"/>
      <c r="Q178" s="17" t="n"/>
      <c r="R178" s="18" t="n"/>
      <c r="S178" s="18" t="n"/>
    </row>
    <row r="179">
      <c r="A179" s="15">
        <f>IF($C179="","",COUNTA($C$4:$C179))</f>
        <v/>
      </c>
      <c r="B179" s="16">
        <f>IF($C179="","","Contrat de production")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  <c r="N179" s="18" t="n"/>
      <c r="O179" s="17" t="n"/>
      <c r="P179" s="18" t="n"/>
      <c r="Q179" s="17" t="n"/>
      <c r="R179" s="18" t="n"/>
      <c r="S179" s="18" t="n"/>
    </row>
    <row r="180">
      <c r="A180" s="15">
        <f>IF($C180="","",COUNTA($C$4:$C180))</f>
        <v/>
      </c>
      <c r="B180" s="16">
        <f>IF($C180="","","Contrat de production")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  <c r="N180" s="18" t="n"/>
      <c r="O180" s="17" t="n"/>
      <c r="P180" s="18" t="n"/>
      <c r="Q180" s="17" t="n"/>
      <c r="R180" s="18" t="n"/>
      <c r="S180" s="18" t="n"/>
    </row>
    <row r="181">
      <c r="A181" s="15">
        <f>IF($C181="","",COUNTA($C$4:$C181))</f>
        <v/>
      </c>
      <c r="B181" s="16">
        <f>IF($C181="","","Contrat de production")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  <c r="N181" s="18" t="n"/>
      <c r="O181" s="17" t="n"/>
      <c r="P181" s="18" t="n"/>
      <c r="Q181" s="17" t="n"/>
      <c r="R181" s="18" t="n"/>
      <c r="S181" s="18" t="n"/>
    </row>
    <row r="182">
      <c r="A182" s="15">
        <f>IF($C182="","",COUNTA($C$4:$C182))</f>
        <v/>
      </c>
      <c r="B182" s="16">
        <f>IF($C182="","","Contrat de production")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  <c r="N182" s="18" t="n"/>
      <c r="O182" s="17" t="n"/>
      <c r="P182" s="18" t="n"/>
      <c r="Q182" s="17" t="n"/>
      <c r="R182" s="18" t="n"/>
      <c r="S182" s="18" t="n"/>
    </row>
    <row r="183">
      <c r="A183" s="15">
        <f>IF($C183="","",COUNTA($C$4:$C183))</f>
        <v/>
      </c>
      <c r="B183" s="16">
        <f>IF($C183="","","Contrat de production")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  <c r="N183" s="18" t="n"/>
      <c r="O183" s="17" t="n"/>
      <c r="P183" s="18" t="n"/>
      <c r="Q183" s="17" t="n"/>
      <c r="R183" s="18" t="n"/>
      <c r="S183" s="18" t="n"/>
    </row>
    <row r="184">
      <c r="A184" s="15">
        <f>IF($C184="","",COUNTA($C$4:$C184))</f>
        <v/>
      </c>
      <c r="B184" s="16">
        <f>IF($C184="","","Contrat de production")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  <c r="N184" s="18" t="n"/>
      <c r="O184" s="17" t="n"/>
      <c r="P184" s="18" t="n"/>
      <c r="Q184" s="17" t="n"/>
      <c r="R184" s="18" t="n"/>
      <c r="S184" s="18" t="n"/>
    </row>
    <row r="185">
      <c r="A185" s="15">
        <f>IF($C185="","",COUNTA($C$4:$C185))</f>
        <v/>
      </c>
      <c r="B185" s="16">
        <f>IF($C185="","","Contrat de production")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  <c r="N185" s="18" t="n"/>
      <c r="O185" s="17" t="n"/>
      <c r="P185" s="18" t="n"/>
      <c r="Q185" s="17" t="n"/>
      <c r="R185" s="18" t="n"/>
      <c r="S185" s="18" t="n"/>
    </row>
    <row r="186">
      <c r="A186" s="15">
        <f>IF($C186="","",COUNTA($C$4:$C186))</f>
        <v/>
      </c>
      <c r="B186" s="16">
        <f>IF($C186="","","Contrat de production")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  <c r="N186" s="18" t="n"/>
      <c r="O186" s="17" t="n"/>
      <c r="P186" s="18" t="n"/>
      <c r="Q186" s="17" t="n"/>
      <c r="R186" s="18" t="n"/>
      <c r="S186" s="18" t="n"/>
    </row>
    <row r="187">
      <c r="A187" s="15">
        <f>IF($C187="","",COUNTA($C$4:$C187))</f>
        <v/>
      </c>
      <c r="B187" s="16">
        <f>IF($C187="","","Contrat de production")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  <c r="N187" s="18" t="n"/>
      <c r="O187" s="17" t="n"/>
      <c r="P187" s="18" t="n"/>
      <c r="Q187" s="17" t="n"/>
      <c r="R187" s="18" t="n"/>
      <c r="S187" s="18" t="n"/>
    </row>
    <row r="188">
      <c r="A188" s="15">
        <f>IF($C188="","",COUNTA($C$4:$C188))</f>
        <v/>
      </c>
      <c r="B188" s="16">
        <f>IF($C188="","","Contrat de production")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  <c r="N188" s="18" t="n"/>
      <c r="O188" s="17" t="n"/>
      <c r="P188" s="18" t="n"/>
      <c r="Q188" s="17" t="n"/>
      <c r="R188" s="18" t="n"/>
      <c r="S188" s="18" t="n"/>
    </row>
    <row r="189">
      <c r="A189" s="15">
        <f>IF($C189="","",COUNTA($C$4:$C189))</f>
        <v/>
      </c>
      <c r="B189" s="16">
        <f>IF($C189="","","Contrat de production")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  <c r="N189" s="18" t="n"/>
      <c r="O189" s="17" t="n"/>
      <c r="P189" s="18" t="n"/>
      <c r="Q189" s="17" t="n"/>
      <c r="R189" s="18" t="n"/>
      <c r="S189" s="18" t="n"/>
    </row>
    <row r="190">
      <c r="A190" s="15">
        <f>IF($C190="","",COUNTA($C$4:$C190))</f>
        <v/>
      </c>
      <c r="B190" s="16">
        <f>IF($C190="","","Contrat de production")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  <c r="N190" s="18" t="n"/>
      <c r="O190" s="17" t="n"/>
      <c r="P190" s="18" t="n"/>
      <c r="Q190" s="17" t="n"/>
      <c r="R190" s="18" t="n"/>
      <c r="S190" s="18" t="n"/>
    </row>
    <row r="191">
      <c r="A191" s="15">
        <f>IF($C191="","",COUNTA($C$4:$C191))</f>
        <v/>
      </c>
      <c r="B191" s="16">
        <f>IF($C191="","","Contrat de production")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  <c r="N191" s="18" t="n"/>
      <c r="O191" s="17" t="n"/>
      <c r="P191" s="18" t="n"/>
      <c r="Q191" s="17" t="n"/>
      <c r="R191" s="18" t="n"/>
      <c r="S191" s="18" t="n"/>
    </row>
    <row r="192">
      <c r="A192" s="15">
        <f>IF($C192="","",COUNTA($C$4:$C192))</f>
        <v/>
      </c>
      <c r="B192" s="16">
        <f>IF($C192="","","Contrat de production")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  <c r="N192" s="18" t="n"/>
      <c r="O192" s="17" t="n"/>
      <c r="P192" s="18" t="n"/>
      <c r="Q192" s="17" t="n"/>
      <c r="R192" s="18" t="n"/>
      <c r="S192" s="18" t="n"/>
    </row>
    <row r="193">
      <c r="A193" s="15">
        <f>IF($C193="","",COUNTA($C$4:$C193))</f>
        <v/>
      </c>
      <c r="B193" s="16">
        <f>IF($C193="","","Contrat de production")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  <c r="N193" s="18" t="n"/>
      <c r="O193" s="17" t="n"/>
      <c r="P193" s="18" t="n"/>
      <c r="Q193" s="17" t="n"/>
      <c r="R193" s="18" t="n"/>
      <c r="S193" s="18" t="n"/>
    </row>
    <row r="194">
      <c r="A194" s="15">
        <f>IF($C194="","",COUNTA($C$4:$C194))</f>
        <v/>
      </c>
      <c r="B194" s="16">
        <f>IF($C194="","","Contrat de production")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  <c r="N194" s="18" t="n"/>
      <c r="O194" s="17" t="n"/>
      <c r="P194" s="18" t="n"/>
      <c r="Q194" s="17" t="n"/>
      <c r="R194" s="18" t="n"/>
      <c r="S194" s="18" t="n"/>
    </row>
    <row r="195">
      <c r="A195" s="15">
        <f>IF($C195="","",COUNTA($C$4:$C195))</f>
        <v/>
      </c>
      <c r="B195" s="16">
        <f>IF($C195="","","Contrat de production")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  <c r="N195" s="18" t="n"/>
      <c r="O195" s="17" t="n"/>
      <c r="P195" s="18" t="n"/>
      <c r="Q195" s="17" t="n"/>
      <c r="R195" s="18" t="n"/>
      <c r="S195" s="18" t="n"/>
    </row>
    <row r="196">
      <c r="A196" s="15">
        <f>IF($C196="","",COUNTA($C$4:$C196))</f>
        <v/>
      </c>
      <c r="B196" s="16">
        <f>IF($C196="","","Contrat de production")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  <c r="N196" s="18" t="n"/>
      <c r="O196" s="17" t="n"/>
      <c r="P196" s="18" t="n"/>
      <c r="Q196" s="17" t="n"/>
      <c r="R196" s="18" t="n"/>
      <c r="S196" s="18" t="n"/>
    </row>
    <row r="197">
      <c r="A197" s="15">
        <f>IF($C197="","",COUNTA($C$4:$C197))</f>
        <v/>
      </c>
      <c r="B197" s="16">
        <f>IF($C197="","","Contrat de production")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  <c r="N197" s="18" t="n"/>
      <c r="O197" s="17" t="n"/>
      <c r="P197" s="18" t="n"/>
      <c r="Q197" s="17" t="n"/>
      <c r="R197" s="18" t="n"/>
      <c r="S197" s="18" t="n"/>
    </row>
    <row r="198">
      <c r="A198" s="15">
        <f>IF($C198="","",COUNTA($C$4:$C198))</f>
        <v/>
      </c>
      <c r="B198" s="16">
        <f>IF($C198="","","Contrat de production")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  <c r="N198" s="18" t="n"/>
      <c r="O198" s="17" t="n"/>
      <c r="P198" s="18" t="n"/>
      <c r="Q198" s="17" t="n"/>
      <c r="R198" s="18" t="n"/>
      <c r="S198" s="18" t="n"/>
    </row>
    <row r="199">
      <c r="A199" s="15">
        <f>IF($C199="","",COUNTA($C$4:$C199))</f>
        <v/>
      </c>
      <c r="B199" s="16">
        <f>IF($C199="","","Contrat de production")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  <c r="N199" s="18" t="n"/>
      <c r="O199" s="17" t="n"/>
      <c r="P199" s="18" t="n"/>
      <c r="Q199" s="17" t="n"/>
      <c r="R199" s="18" t="n"/>
      <c r="S199" s="18" t="n"/>
    </row>
    <row r="200">
      <c r="A200" s="15">
        <f>IF($C200="","",COUNTA($C$4:$C200))</f>
        <v/>
      </c>
      <c r="B200" s="16">
        <f>IF($C200="","","Contrat de production")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  <c r="N200" s="18" t="n"/>
      <c r="O200" s="17" t="n"/>
      <c r="P200" s="18" t="n"/>
      <c r="Q200" s="17" t="n"/>
      <c r="R200" s="18" t="n"/>
      <c r="S200" s="18" t="n"/>
    </row>
    <row r="201">
      <c r="A201" s="15">
        <f>IF($C201="","",COUNTA($C$4:$C201))</f>
        <v/>
      </c>
      <c r="B201" s="16">
        <f>IF($C201="","","Contrat de production")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  <c r="N201" s="18" t="n"/>
      <c r="O201" s="17" t="n"/>
      <c r="P201" s="18" t="n"/>
      <c r="Q201" s="17" t="n"/>
      <c r="R201" s="18" t="n"/>
      <c r="S201" s="18" t="n"/>
    </row>
    <row r="202">
      <c r="A202" s="15">
        <f>IF($C202="","",COUNTA($C$4:$C202))</f>
        <v/>
      </c>
      <c r="B202" s="16">
        <f>IF($C202="","","Contrat de production")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  <c r="N202" s="18" t="n"/>
      <c r="O202" s="17" t="n"/>
      <c r="P202" s="18" t="n"/>
      <c r="Q202" s="17" t="n"/>
      <c r="R202" s="18" t="n"/>
      <c r="S202" s="18" t="n"/>
    </row>
    <row r="203">
      <c r="A203" s="15">
        <f>IF($C203="","",COUNTA($C$4:$C203))</f>
        <v/>
      </c>
      <c r="B203" s="16">
        <f>IF($C203="","","Contrat de production")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  <c r="N203" s="18" t="n"/>
      <c r="O203" s="17" t="n"/>
      <c r="P203" s="18" t="n"/>
      <c r="Q203" s="17" t="n"/>
      <c r="R203" s="18" t="n"/>
      <c r="S203" s="18" t="n"/>
    </row>
    <row r="204">
      <c r="A204" s="15">
        <f>IF($C204="","",COUNTA($C$4:$C204))</f>
        <v/>
      </c>
      <c r="B204" s="16">
        <f>IF($C204="","","Contrat de production")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  <c r="N204" s="18" t="n"/>
      <c r="O204" s="17" t="n"/>
      <c r="P204" s="18" t="n"/>
      <c r="Q204" s="17" t="n"/>
      <c r="R204" s="18" t="n"/>
      <c r="S204" s="18" t="n"/>
    </row>
    <row r="205">
      <c r="A205" s="15">
        <f>IF($C205="","",COUNTA($C$4:$C205))</f>
        <v/>
      </c>
      <c r="B205" s="16">
        <f>IF($C205="","","Contrat de production")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  <c r="N205" s="18" t="n"/>
      <c r="O205" s="17" t="n"/>
      <c r="P205" s="18" t="n"/>
      <c r="Q205" s="17" t="n"/>
      <c r="R205" s="18" t="n"/>
      <c r="S205" s="18" t="n"/>
    </row>
    <row r="206">
      <c r="A206" s="15">
        <f>IF($C206="","",COUNTA($C$4:$C206))</f>
        <v/>
      </c>
      <c r="B206" s="16">
        <f>IF($C206="","","Contrat de production")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  <c r="N206" s="18" t="n"/>
      <c r="O206" s="17" t="n"/>
      <c r="P206" s="18" t="n"/>
      <c r="Q206" s="17" t="n"/>
      <c r="R206" s="18" t="n"/>
      <c r="S206" s="18" t="n"/>
    </row>
    <row r="207">
      <c r="A207" s="15">
        <f>IF($C207="","",COUNTA($C$4:$C207))</f>
        <v/>
      </c>
      <c r="B207" s="16">
        <f>IF($C207="","","Contrat de production")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  <c r="N207" s="18" t="n"/>
      <c r="O207" s="17" t="n"/>
      <c r="P207" s="18" t="n"/>
      <c r="Q207" s="17" t="n"/>
      <c r="R207" s="18" t="n"/>
      <c r="S207" s="18" t="n"/>
    </row>
    <row r="208">
      <c r="A208" s="15">
        <f>IF($C208="","",COUNTA($C$4:$C208))</f>
        <v/>
      </c>
      <c r="B208" s="16">
        <f>IF($C208="","","Contrat de production")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  <c r="N208" s="18" t="n"/>
      <c r="O208" s="17" t="n"/>
      <c r="P208" s="18" t="n"/>
      <c r="Q208" s="17" t="n"/>
      <c r="R208" s="18" t="n"/>
      <c r="S208" s="18" t="n"/>
    </row>
    <row r="209">
      <c r="A209" s="15">
        <f>IF($C209="","",COUNTA($C$4:$C209))</f>
        <v/>
      </c>
      <c r="B209" s="16">
        <f>IF($C209="","","Contrat de production")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  <c r="N209" s="18" t="n"/>
      <c r="O209" s="17" t="n"/>
      <c r="P209" s="18" t="n"/>
      <c r="Q209" s="17" t="n"/>
      <c r="R209" s="18" t="n"/>
      <c r="S209" s="18" t="n"/>
    </row>
    <row r="210">
      <c r="A210" s="15">
        <f>IF($C210="","",COUNTA($C$4:$C210))</f>
        <v/>
      </c>
      <c r="B210" s="16">
        <f>IF($C210="","","Contrat de production")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  <c r="N210" s="18" t="n"/>
      <c r="O210" s="17" t="n"/>
      <c r="P210" s="18" t="n"/>
      <c r="Q210" s="17" t="n"/>
      <c r="R210" s="18" t="n"/>
      <c r="S210" s="18" t="n"/>
    </row>
    <row r="211">
      <c r="A211" s="15">
        <f>IF($C211="","",COUNTA($C$4:$C211))</f>
        <v/>
      </c>
      <c r="B211" s="16">
        <f>IF($C211="","","Contrat de production")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  <c r="N211" s="18" t="n"/>
      <c r="O211" s="17" t="n"/>
      <c r="P211" s="18" t="n"/>
      <c r="Q211" s="17" t="n"/>
      <c r="R211" s="18" t="n"/>
      <c r="S211" s="18" t="n"/>
    </row>
    <row r="212">
      <c r="A212" s="15">
        <f>IF($C212="","",COUNTA($C$4:$C212))</f>
        <v/>
      </c>
      <c r="B212" s="16">
        <f>IF($C212="","","Contrat de production")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  <c r="N212" s="18" t="n"/>
      <c r="O212" s="17" t="n"/>
      <c r="P212" s="18" t="n"/>
      <c r="Q212" s="17" t="n"/>
      <c r="R212" s="18" t="n"/>
      <c r="S212" s="18" t="n"/>
    </row>
    <row r="213">
      <c r="A213" s="15">
        <f>IF($C213="","",COUNTA($C$4:$C213))</f>
        <v/>
      </c>
      <c r="B213" s="16">
        <f>IF($C213="","","Contrat de production")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  <c r="N213" s="18" t="n"/>
      <c r="O213" s="17" t="n"/>
      <c r="P213" s="18" t="n"/>
      <c r="Q213" s="17" t="n"/>
      <c r="R213" s="18" t="n"/>
      <c r="S213" s="18" t="n"/>
    </row>
    <row r="214">
      <c r="A214" s="15">
        <f>IF($C214="","",COUNTA($C$4:$C214))</f>
        <v/>
      </c>
      <c r="B214" s="16">
        <f>IF($C214="","","Contrat de production")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  <c r="N214" s="18" t="n"/>
      <c r="O214" s="17" t="n"/>
      <c r="P214" s="18" t="n"/>
      <c r="Q214" s="17" t="n"/>
      <c r="R214" s="18" t="n"/>
      <c r="S214" s="18" t="n"/>
    </row>
    <row r="215">
      <c r="A215" s="15">
        <f>IF($C215="","",COUNTA($C$4:$C215))</f>
        <v/>
      </c>
      <c r="B215" s="16">
        <f>IF($C215="","","Contrat de production")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  <c r="N215" s="18" t="n"/>
      <c r="O215" s="17" t="n"/>
      <c r="P215" s="18" t="n"/>
      <c r="Q215" s="17" t="n"/>
      <c r="R215" s="18" t="n"/>
      <c r="S215" s="18" t="n"/>
    </row>
    <row r="216">
      <c r="A216" s="15">
        <f>IF($C216="","",COUNTA($C$4:$C216))</f>
        <v/>
      </c>
      <c r="B216" s="16">
        <f>IF($C216="","","Contrat de production")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  <c r="N216" s="18" t="n"/>
      <c r="O216" s="17" t="n"/>
      <c r="P216" s="18" t="n"/>
      <c r="Q216" s="17" t="n"/>
      <c r="R216" s="18" t="n"/>
      <c r="S216" s="18" t="n"/>
    </row>
    <row r="217">
      <c r="A217" s="15">
        <f>IF($C217="","",COUNTA($C$4:$C217))</f>
        <v/>
      </c>
      <c r="B217" s="16">
        <f>IF($C217="","","Contrat de production")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  <c r="N217" s="18" t="n"/>
      <c r="O217" s="17" t="n"/>
      <c r="P217" s="18" t="n"/>
      <c r="Q217" s="17" t="n"/>
      <c r="R217" s="18" t="n"/>
      <c r="S217" s="18" t="n"/>
    </row>
    <row r="218">
      <c r="A218" s="15">
        <f>IF($C218="","",COUNTA($C$4:$C218))</f>
        <v/>
      </c>
      <c r="B218" s="16">
        <f>IF($C218="","","Contrat de production")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  <c r="N218" s="18" t="n"/>
      <c r="O218" s="17" t="n"/>
      <c r="P218" s="18" t="n"/>
      <c r="Q218" s="17" t="n"/>
      <c r="R218" s="18" t="n"/>
      <c r="S218" s="18" t="n"/>
    </row>
    <row r="219">
      <c r="A219" s="15">
        <f>IF($C219="","",COUNTA($C$4:$C219))</f>
        <v/>
      </c>
      <c r="B219" s="16">
        <f>IF($C219="","","Contrat de production")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  <c r="N219" s="18" t="n"/>
      <c r="O219" s="17" t="n"/>
      <c r="P219" s="18" t="n"/>
      <c r="Q219" s="17" t="n"/>
      <c r="R219" s="18" t="n"/>
      <c r="S219" s="18" t="n"/>
    </row>
    <row r="220">
      <c r="A220" s="15">
        <f>IF($C220="","",COUNTA($C$4:$C220))</f>
        <v/>
      </c>
      <c r="B220" s="16">
        <f>IF($C220="","","Contrat de production")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  <c r="N220" s="18" t="n"/>
      <c r="O220" s="17" t="n"/>
      <c r="P220" s="18" t="n"/>
      <c r="Q220" s="17" t="n"/>
      <c r="R220" s="18" t="n"/>
      <c r="S220" s="18" t="n"/>
    </row>
    <row r="221">
      <c r="A221" s="15">
        <f>IF($C221="","",COUNTA($C$4:$C221))</f>
        <v/>
      </c>
      <c r="B221" s="16">
        <f>IF($C221="","","Contrat de production")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  <c r="N221" s="18" t="n"/>
      <c r="O221" s="17" t="n"/>
      <c r="P221" s="18" t="n"/>
      <c r="Q221" s="17" t="n"/>
      <c r="R221" s="18" t="n"/>
      <c r="S221" s="18" t="n"/>
    </row>
    <row r="222">
      <c r="A222" s="15">
        <f>IF($C222="","",COUNTA($C$4:$C222))</f>
        <v/>
      </c>
      <c r="B222" s="16">
        <f>IF($C222="","","Contrat de production")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  <c r="N222" s="18" t="n"/>
      <c r="O222" s="17" t="n"/>
      <c r="P222" s="18" t="n"/>
      <c r="Q222" s="17" t="n"/>
      <c r="R222" s="18" t="n"/>
      <c r="S222" s="18" t="n"/>
    </row>
    <row r="223">
      <c r="A223" s="15">
        <f>IF($C223="","",COUNTA($C$4:$C223))</f>
        <v/>
      </c>
      <c r="B223" s="16">
        <f>IF($C223="","","Contrat de production")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  <c r="N223" s="18" t="n"/>
      <c r="O223" s="17" t="n"/>
      <c r="P223" s="18" t="n"/>
      <c r="Q223" s="17" t="n"/>
      <c r="R223" s="18" t="n"/>
      <c r="S223" s="18" t="n"/>
    </row>
    <row r="224">
      <c r="A224" s="15">
        <f>IF($C224="","",COUNTA($C$4:$C224))</f>
        <v/>
      </c>
      <c r="B224" s="16">
        <f>IF($C224="","","Contrat de production")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  <c r="N224" s="18" t="n"/>
      <c r="O224" s="17" t="n"/>
      <c r="P224" s="18" t="n"/>
      <c r="Q224" s="17" t="n"/>
      <c r="R224" s="18" t="n"/>
      <c r="S224" s="18" t="n"/>
    </row>
    <row r="225">
      <c r="A225" s="15">
        <f>IF($C225="","",COUNTA($C$4:$C225))</f>
        <v/>
      </c>
      <c r="B225" s="16">
        <f>IF($C225="","","Contrat de production")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  <c r="N225" s="18" t="n"/>
      <c r="O225" s="17" t="n"/>
      <c r="P225" s="18" t="n"/>
      <c r="Q225" s="17" t="n"/>
      <c r="R225" s="18" t="n"/>
      <c r="S225" s="18" t="n"/>
    </row>
    <row r="226">
      <c r="A226" s="15">
        <f>IF($C226="","",COUNTA($C$4:$C226))</f>
        <v/>
      </c>
      <c r="B226" s="16">
        <f>IF($C226="","","Contrat de production")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  <c r="N226" s="18" t="n"/>
      <c r="O226" s="17" t="n"/>
      <c r="P226" s="18" t="n"/>
      <c r="Q226" s="17" t="n"/>
      <c r="R226" s="18" t="n"/>
      <c r="S226" s="18" t="n"/>
    </row>
    <row r="227">
      <c r="A227" s="15">
        <f>IF($C227="","",COUNTA($C$4:$C227))</f>
        <v/>
      </c>
      <c r="B227" s="16">
        <f>IF($C227="","","Contrat de production")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  <c r="N227" s="18" t="n"/>
      <c r="O227" s="17" t="n"/>
      <c r="P227" s="18" t="n"/>
      <c r="Q227" s="17" t="n"/>
      <c r="R227" s="18" t="n"/>
      <c r="S227" s="18" t="n"/>
    </row>
    <row r="228">
      <c r="A228" s="15">
        <f>IF($C228="","",COUNTA($C$4:$C228))</f>
        <v/>
      </c>
      <c r="B228" s="16">
        <f>IF($C228="","","Contrat de production")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  <c r="N228" s="18" t="n"/>
      <c r="O228" s="17" t="n"/>
      <c r="P228" s="18" t="n"/>
      <c r="Q228" s="17" t="n"/>
      <c r="R228" s="18" t="n"/>
      <c r="S228" s="18" t="n"/>
    </row>
    <row r="229">
      <c r="A229" s="15">
        <f>IF($C229="","",COUNTA($C$4:$C229))</f>
        <v/>
      </c>
      <c r="B229" s="16">
        <f>IF($C229="","","Contrat de production")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  <c r="N229" s="18" t="n"/>
      <c r="O229" s="17" t="n"/>
      <c r="P229" s="18" t="n"/>
      <c r="Q229" s="17" t="n"/>
      <c r="R229" s="18" t="n"/>
      <c r="S229" s="18" t="n"/>
    </row>
    <row r="230">
      <c r="A230" s="15">
        <f>IF($C230="","",COUNTA($C$4:$C230))</f>
        <v/>
      </c>
      <c r="B230" s="16">
        <f>IF($C230="","","Contrat de production")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  <c r="N230" s="18" t="n"/>
      <c r="O230" s="17" t="n"/>
      <c r="P230" s="18" t="n"/>
      <c r="Q230" s="17" t="n"/>
      <c r="R230" s="18" t="n"/>
      <c r="S230" s="18" t="n"/>
    </row>
    <row r="231">
      <c r="A231" s="15">
        <f>IF($C231="","",COUNTA($C$4:$C231))</f>
        <v/>
      </c>
      <c r="B231" s="16">
        <f>IF($C231="","","Contrat de production")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  <c r="N231" s="18" t="n"/>
      <c r="O231" s="17" t="n"/>
      <c r="P231" s="18" t="n"/>
      <c r="Q231" s="17" t="n"/>
      <c r="R231" s="18" t="n"/>
      <c r="S231" s="18" t="n"/>
    </row>
    <row r="232">
      <c r="A232" s="15">
        <f>IF($C232="","",COUNTA($C$4:$C232))</f>
        <v/>
      </c>
      <c r="B232" s="16">
        <f>IF($C232="","","Contrat de production")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  <c r="N232" s="18" t="n"/>
      <c r="O232" s="17" t="n"/>
      <c r="P232" s="18" t="n"/>
      <c r="Q232" s="17" t="n"/>
      <c r="R232" s="18" t="n"/>
      <c r="S232" s="18" t="n"/>
    </row>
    <row r="233">
      <c r="A233" s="15">
        <f>IF($C233="","",COUNTA($C$4:$C233))</f>
        <v/>
      </c>
      <c r="B233" s="16">
        <f>IF($C233="","","Contrat de production")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  <c r="N233" s="18" t="n"/>
      <c r="O233" s="17" t="n"/>
      <c r="P233" s="18" t="n"/>
      <c r="Q233" s="17" t="n"/>
      <c r="R233" s="18" t="n"/>
      <c r="S233" s="18" t="n"/>
    </row>
    <row r="234">
      <c r="A234" s="15">
        <f>IF($C234="","",COUNTA($C$4:$C234))</f>
        <v/>
      </c>
      <c r="B234" s="16">
        <f>IF($C234="","","Contrat de production")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  <c r="N234" s="18" t="n"/>
      <c r="O234" s="17" t="n"/>
      <c r="P234" s="18" t="n"/>
      <c r="Q234" s="17" t="n"/>
      <c r="R234" s="18" t="n"/>
      <c r="S234" s="18" t="n"/>
    </row>
    <row r="235">
      <c r="A235" s="15">
        <f>IF($C235="","",COUNTA($C$4:$C235))</f>
        <v/>
      </c>
      <c r="B235" s="16">
        <f>IF($C235="","","Contrat de production")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  <c r="N235" s="18" t="n"/>
      <c r="O235" s="17" t="n"/>
      <c r="P235" s="18" t="n"/>
      <c r="Q235" s="17" t="n"/>
      <c r="R235" s="18" t="n"/>
      <c r="S235" s="18" t="n"/>
    </row>
    <row r="236">
      <c r="A236" s="15">
        <f>IF($C236="","",COUNTA($C$4:$C236))</f>
        <v/>
      </c>
      <c r="B236" s="16">
        <f>IF($C236="","","Contrat de production")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  <c r="N236" s="18" t="n"/>
      <c r="O236" s="17" t="n"/>
      <c r="P236" s="18" t="n"/>
      <c r="Q236" s="17" t="n"/>
      <c r="R236" s="18" t="n"/>
      <c r="S236" s="18" t="n"/>
    </row>
    <row r="237">
      <c r="A237" s="15">
        <f>IF($C237="","",COUNTA($C$4:$C237))</f>
        <v/>
      </c>
      <c r="B237" s="16">
        <f>IF($C237="","","Contrat de production")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  <c r="N237" s="18" t="n"/>
      <c r="O237" s="17" t="n"/>
      <c r="P237" s="18" t="n"/>
      <c r="Q237" s="17" t="n"/>
      <c r="R237" s="18" t="n"/>
      <c r="S237" s="18" t="n"/>
    </row>
    <row r="238">
      <c r="A238" s="15">
        <f>IF($C238="","",COUNTA($C$4:$C238))</f>
        <v/>
      </c>
      <c r="B238" s="16">
        <f>IF($C238="","","Contrat de production")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  <c r="N238" s="18" t="n"/>
      <c r="O238" s="17" t="n"/>
      <c r="P238" s="18" t="n"/>
      <c r="Q238" s="17" t="n"/>
      <c r="R238" s="18" t="n"/>
      <c r="S238" s="18" t="n"/>
    </row>
    <row r="239">
      <c r="A239" s="15">
        <f>IF($C239="","",COUNTA($C$4:$C239))</f>
        <v/>
      </c>
      <c r="B239" s="16">
        <f>IF($C239="","","Contrat de production")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  <c r="N239" s="18" t="n"/>
      <c r="O239" s="17" t="n"/>
      <c r="P239" s="18" t="n"/>
      <c r="Q239" s="17" t="n"/>
      <c r="R239" s="18" t="n"/>
      <c r="S239" s="18" t="n"/>
    </row>
    <row r="240">
      <c r="A240" s="15">
        <f>IF($C240="","",COUNTA($C$4:$C240))</f>
        <v/>
      </c>
      <c r="B240" s="16">
        <f>IF($C240="","","Contrat de production")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  <c r="N240" s="18" t="n"/>
      <c r="O240" s="17" t="n"/>
      <c r="P240" s="18" t="n"/>
      <c r="Q240" s="17" t="n"/>
      <c r="R240" s="18" t="n"/>
      <c r="S240" s="18" t="n"/>
    </row>
    <row r="241">
      <c r="A241" s="15">
        <f>IF($C241="","",COUNTA($C$4:$C241))</f>
        <v/>
      </c>
      <c r="B241" s="16">
        <f>IF($C241="","","Contrat de production")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  <c r="N241" s="18" t="n"/>
      <c r="O241" s="17" t="n"/>
      <c r="P241" s="18" t="n"/>
      <c r="Q241" s="17" t="n"/>
      <c r="R241" s="18" t="n"/>
      <c r="S241" s="18" t="n"/>
    </row>
    <row r="242">
      <c r="A242" s="15">
        <f>IF($C242="","",COUNTA($C$4:$C242))</f>
        <v/>
      </c>
      <c r="B242" s="16">
        <f>IF($C242="","","Contrat de production")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  <c r="N242" s="18" t="n"/>
      <c r="O242" s="17" t="n"/>
      <c r="P242" s="18" t="n"/>
      <c r="Q242" s="17" t="n"/>
      <c r="R242" s="18" t="n"/>
      <c r="S242" s="18" t="n"/>
    </row>
    <row r="243">
      <c r="A243" s="15">
        <f>IF($C243="","",COUNTA($C$4:$C243))</f>
        <v/>
      </c>
      <c r="B243" s="16">
        <f>IF($C243="","","Contrat de production")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  <c r="N243" s="18" t="n"/>
      <c r="O243" s="17" t="n"/>
      <c r="P243" s="18" t="n"/>
      <c r="Q243" s="17" t="n"/>
      <c r="R243" s="18" t="n"/>
      <c r="S243" s="18" t="n"/>
    </row>
    <row r="244">
      <c r="A244" s="15">
        <f>IF($C244="","",COUNTA($C$4:$C244))</f>
        <v/>
      </c>
      <c r="B244" s="16">
        <f>IF($C244="","","Contrat de production")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  <c r="N244" s="18" t="n"/>
      <c r="O244" s="17" t="n"/>
      <c r="P244" s="18" t="n"/>
      <c r="Q244" s="17" t="n"/>
      <c r="R244" s="18" t="n"/>
      <c r="S244" s="18" t="n"/>
    </row>
    <row r="245">
      <c r="A245" s="15">
        <f>IF($C245="","",COUNTA($C$4:$C245))</f>
        <v/>
      </c>
      <c r="B245" s="16">
        <f>IF($C245="","","Contrat de production")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  <c r="N245" s="18" t="n"/>
      <c r="O245" s="17" t="n"/>
      <c r="P245" s="18" t="n"/>
      <c r="Q245" s="17" t="n"/>
      <c r="R245" s="18" t="n"/>
      <c r="S245" s="18" t="n"/>
    </row>
    <row r="246">
      <c r="A246" s="15">
        <f>IF($C246="","",COUNTA($C$4:$C246))</f>
        <v/>
      </c>
      <c r="B246" s="16">
        <f>IF($C246="","","Contrat de production")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  <c r="N246" s="18" t="n"/>
      <c r="O246" s="17" t="n"/>
      <c r="P246" s="18" t="n"/>
      <c r="Q246" s="17" t="n"/>
      <c r="R246" s="18" t="n"/>
      <c r="S246" s="18" t="n"/>
    </row>
    <row r="247">
      <c r="A247" s="15">
        <f>IF($C247="","",COUNTA($C$4:$C247))</f>
        <v/>
      </c>
      <c r="B247" s="16">
        <f>IF($C247="","","Contrat de production")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  <c r="N247" s="18" t="n"/>
      <c r="O247" s="17" t="n"/>
      <c r="P247" s="18" t="n"/>
      <c r="Q247" s="17" t="n"/>
      <c r="R247" s="18" t="n"/>
      <c r="S247" s="18" t="n"/>
    </row>
    <row r="248">
      <c r="A248" s="15">
        <f>IF($C248="","",COUNTA($C$4:$C248))</f>
        <v/>
      </c>
      <c r="B248" s="16">
        <f>IF($C248="","","Contrat de production")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  <c r="N248" s="18" t="n"/>
      <c r="O248" s="17" t="n"/>
      <c r="P248" s="18" t="n"/>
      <c r="Q248" s="17" t="n"/>
      <c r="R248" s="18" t="n"/>
      <c r="S248" s="18" t="n"/>
    </row>
    <row r="249">
      <c r="A249" s="15">
        <f>IF($C249="","",COUNTA($C$4:$C249))</f>
        <v/>
      </c>
      <c r="B249" s="16">
        <f>IF($C249="","","Contrat de production")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  <c r="N249" s="18" t="n"/>
      <c r="O249" s="17" t="n"/>
      <c r="P249" s="18" t="n"/>
      <c r="Q249" s="17" t="n"/>
      <c r="R249" s="18" t="n"/>
      <c r="S249" s="18" t="n"/>
    </row>
    <row r="250">
      <c r="A250" s="15">
        <f>IF($C250="","",COUNTA($C$4:$C250))</f>
        <v/>
      </c>
      <c r="B250" s="16">
        <f>IF($C250="","","Contrat de production")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  <c r="N250" s="18" t="n"/>
      <c r="O250" s="17" t="n"/>
      <c r="P250" s="18" t="n"/>
      <c r="Q250" s="17" t="n"/>
      <c r="R250" s="18" t="n"/>
      <c r="S250" s="18" t="n"/>
    </row>
    <row r="251">
      <c r="A251" s="15">
        <f>IF($C251="","",COUNTA($C$4:$C251))</f>
        <v/>
      </c>
      <c r="B251" s="16">
        <f>IF($C251="","","Contrat de production")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  <c r="N251" s="18" t="n"/>
      <c r="O251" s="17" t="n"/>
      <c r="P251" s="18" t="n"/>
      <c r="Q251" s="17" t="n"/>
      <c r="R251" s="18" t="n"/>
      <c r="S251" s="18" t="n"/>
    </row>
    <row r="252">
      <c r="A252" s="15">
        <f>IF($C252="","",COUNTA($C$4:$C252))</f>
        <v/>
      </c>
      <c r="B252" s="16">
        <f>IF($C252="","","Contrat de production")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  <c r="N252" s="18" t="n"/>
      <c r="O252" s="17" t="n"/>
      <c r="P252" s="18" t="n"/>
      <c r="Q252" s="17" t="n"/>
      <c r="R252" s="18" t="n"/>
      <c r="S252" s="18" t="n"/>
    </row>
    <row r="253">
      <c r="A253" s="15">
        <f>IF($C253="","",COUNTA($C$4:$C253))</f>
        <v/>
      </c>
      <c r="B253" s="16">
        <f>IF($C253="","","Contrat de production")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  <c r="N253" s="18" t="n"/>
      <c r="O253" s="17" t="n"/>
      <c r="P253" s="18" t="n"/>
      <c r="Q253" s="17" t="n"/>
      <c r="R253" s="18" t="n"/>
      <c r="S253" s="1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S253"/>
  <mergeCells count="1">
    <mergeCell ref="A1:Q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13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LST_ModeProd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J4:J253" showDropDown="0" showInputMessage="0" showErrorMessage="1" allowBlank="1" errorTitle="Saisie invalide" error="Valeur non autorisée : choisir dans la liste déroulante." type="list">
      <formula1>LST_Duree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  <dataValidation sqref="N4:N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O4:O253" showDropDown="0" showInputMessage="0" showErrorMessage="1" allowBlank="1" errorTitle="Saisie invalide" error="Valeur non autorisée : choisir dans la liste déroulante." type="list">
      <formula1>LST_Freq</formula1>
    </dataValidation>
    <dataValidation sqref="P4:P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Q4:Q253" showDropDown="0" showInputMessage="0" showErrorMessage="1" allowBlank="1" errorTitle="Saisie invalide" error="Valeur non autorisée : choisir dans la liste déroulante." type="list">
      <formula1>LST_TypeProd</formula1>
    </dataValidation>
    <dataValidation sqref="R4:R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S4:S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4 onglets : Marches / Bons de commande / Contrats-Conventions / Contrats prod.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LST_Duree</t>
        </is>
      </c>
      <c r="G1" s="6" t="inlineStr">
        <is>
          <t>LST_PME</t>
        </is>
      </c>
      <c r="H1" s="6" t="inlineStr">
        <is>
          <t>LST_Freq</t>
        </is>
      </c>
      <c r="I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Moins d'un an</t>
        </is>
      </c>
      <c r="G2" t="inlineStr">
        <is>
          <t>Oui</t>
        </is>
      </c>
      <c r="H2" t="inlineStr">
        <is>
          <t>Quotidienne</t>
        </is>
      </c>
      <c r="I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Un an</t>
        </is>
      </c>
      <c r="G3" t="inlineStr">
        <is>
          <t>Non</t>
        </is>
      </c>
      <c r="H3" t="inlineStr">
        <is>
          <t>Hebdomadaire</t>
        </is>
      </c>
      <c r="I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F4" t="inlineStr">
        <is>
          <t>Pluriannuel</t>
        </is>
      </c>
      <c r="H4" t="inlineStr">
        <is>
          <t>Bimensuelle</t>
        </is>
      </c>
      <c r="I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F5" t="inlineStr">
        <is>
          <t>Marché-cadre</t>
        </is>
      </c>
      <c r="H5" t="inlineStr">
        <is>
          <t>Mensuelle</t>
        </is>
      </c>
      <c r="I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H6" t="inlineStr">
        <is>
          <t>Ponctuelle</t>
        </is>
      </c>
    </row>
    <row r="7">
      <c r="C7" t="inlineStr">
        <is>
          <t>Marché-cadre / reconductible</t>
        </is>
      </c>
      <c r="H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2026-09-02T10:12:57Z</dcterms:created>
  <dcterms:modified xsi:type="dcterms:W3CDTF">2026-09-02T10:12:58Z</dcterms:modified>
</cp:coreProperties>
</file>