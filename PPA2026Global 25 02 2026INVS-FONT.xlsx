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defaultThemeVersion="124226"/>
  <xr:revisionPtr revIDLastSave="0" documentId="13_ncr:1_{F3837F0A-CAD8-427E-8131-0ED374927BB9}" xr6:coauthVersionLast="36" xr6:coauthVersionMax="36" xr10:uidLastSave="{00000000-0000-0000-0000-000000000000}"/>
  <bookViews>
    <workbookView xWindow="0" yWindow="0" windowWidth="19200" windowHeight="6810" xr2:uid="{00000000-000D-0000-FFFF-FFFF00000000}"/>
  </bookViews>
  <sheets>
    <sheet name="Feuil1" sheetId="1" r:id="rId1"/>
  </sheets>
  <externalReferences>
    <externalReference r:id="rId2"/>
  </externalReferences>
  <definedNames>
    <definedName name="_xlnm._FilterDatabase" localSheetId="0" hidden="1">Feuil1!$A$1:$AL$172</definedName>
    <definedName name="ANN">[1]Parametres!$A$116</definedName>
    <definedName name="INF">[1]Parametres!$A$115</definedName>
    <definedName name="NA">[1]Parametres!$A$113</definedName>
  </definedNames>
  <calcPr calcId="191029"/>
</workbook>
</file>

<file path=xl/calcChain.xml><?xml version="1.0" encoding="utf-8"?>
<calcChain xmlns="http://schemas.openxmlformats.org/spreadsheetml/2006/main">
  <c r="F105" i="1" l="1"/>
  <c r="F103" i="1"/>
</calcChain>
</file>

<file path=xl/sharedStrings.xml><?xml version="1.0" encoding="utf-8"?>
<sst xmlns="http://schemas.openxmlformats.org/spreadsheetml/2006/main" count="1550" uniqueCount="422">
  <si>
    <t>Budget Prévisionnel (TTC)</t>
  </si>
  <si>
    <t>Mode de passation</t>
  </si>
  <si>
    <t>Période d'exécution</t>
  </si>
  <si>
    <t>Lieu d'execution</t>
  </si>
  <si>
    <t>Justification du besoin</t>
  </si>
  <si>
    <t>Fourniture des  modules  de  traitement audio et RDS  pour les émetteurs FM</t>
  </si>
  <si>
    <t>Fournitures</t>
  </si>
  <si>
    <t>10 mois</t>
  </si>
  <si>
    <t>Magasin Temara</t>
  </si>
  <si>
    <t>Non</t>
  </si>
  <si>
    <t>Investissement</t>
  </si>
  <si>
    <t xml:space="preserve">Affichage du nom de la station radio écoutée et permettre la continuité d'écoute de celle-ci le long des trajets. </t>
  </si>
  <si>
    <t>Fourniture, installation et mise en service de systèmes de supervision des antennes de diffusion FM et TV</t>
  </si>
  <si>
    <t>centres de diffusion de la SNRT</t>
  </si>
  <si>
    <t>Contrôle des systèmes d'antennes FM et TV ( localisation des dégradations dans le feeder et détection des défauts dans le système d'antennes)</t>
  </si>
  <si>
    <t>Fourniture et installation des équipements de contrôle audio et vidéo pour les petits centres de diffusion TV/FM</t>
  </si>
  <si>
    <t>Contrôle des programmes TV et radio diffusés par les émetteurs.</t>
  </si>
  <si>
    <t>Fourniture, installation et mise en service des climatiseurs aux centres de diffusion de la SNRT</t>
  </si>
  <si>
    <t>14 mois</t>
  </si>
  <si>
    <t>Oui</t>
  </si>
  <si>
    <t>Assurer un bon environnement de fonctionnement des équipements de diffusion des chaines radio et TV</t>
  </si>
  <si>
    <t>Fourniture des analyseurs de réseaux électrique et les appareils de mesure électrique</t>
  </si>
  <si>
    <t>8 mois</t>
  </si>
  <si>
    <t>Acquisition des appareils de maintenance pour les centres de diffusion</t>
  </si>
  <si>
    <t>Fourniture,installation et mise en service des commutateurs et distributeurs des signaux ASI et IP pour les centres de diffusion TNT et FM</t>
  </si>
  <si>
    <t>Assurer la continuité des signaux des programmes TV et radio aux entrées des émetteurs</t>
  </si>
  <si>
    <t>Fourniture et installation des sondes FM et TNT pour le contrôle des signaux audios et vidéo des chaines radio et télevision de la SNRT</t>
  </si>
  <si>
    <t>Contrôle en temps réel de la RF diffusée par les émetteurs TNT et FM avec l'envoi des messages de notification en cas d'absence de signal</t>
  </si>
  <si>
    <t>Fourniture des modules et pièces de rechanges des émetteurs TNT de  des centres de la SNRT</t>
  </si>
  <si>
    <t>Fonctionnement</t>
  </si>
  <si>
    <t>Assurer la continuité de la diffusion de service  TNT</t>
  </si>
  <si>
    <t>Fourniture des modules et pièces de rechanges des émetteurs FM  des centres de la SNRT</t>
  </si>
  <si>
    <t>Assurer la continuité de la diffusion de service  FM</t>
  </si>
  <si>
    <t>Fourniture des duplexeurs, filtres, patchs panel , commutateurs RF et adaptateurs</t>
  </si>
  <si>
    <t>Assurer la continuité de service de diffusion radio FM et TV/TNT.</t>
  </si>
  <si>
    <t>Fourniture des distributeurs de puissance UHF et  FM, combiners, feeders et antennes</t>
  </si>
  <si>
    <t>Assurer la continuité de la diffusion des émissions TNT et FM</t>
  </si>
  <si>
    <t>Fourniture des modules et pièces de rechanges hydrauliques et électriques  pour les émetteurs de diffusion TNT et FM</t>
  </si>
  <si>
    <t>Assurer la continuité de service de diffusion radio FM et TV/TNT</t>
  </si>
  <si>
    <t>L'entretien et la remise en état des systèmes de balisage aux pylônes des centres de diffusion TV/FM</t>
  </si>
  <si>
    <t>Assurer la visibilité nocturne et durne des pylônes.</t>
  </si>
  <si>
    <t>Entretien et maintenance du syteme d'antennes du centre radio AM d'Ait Melloul</t>
  </si>
  <si>
    <t>12 mois</t>
  </si>
  <si>
    <t>Ait Melloul</t>
  </si>
  <si>
    <t>Continuité de service</t>
  </si>
  <si>
    <t>Entretien et remise en état  du système de verouillage et de protection des cabines d'antennes de  centres AM</t>
  </si>
  <si>
    <t xml:space="preserve">Assurer la continuité de service et la protection des émetteurs </t>
  </si>
  <si>
    <t>Entretien des  systèmes de la télésurveillance des centres radio AM.</t>
  </si>
  <si>
    <t>Centre de diffusion AM</t>
  </si>
  <si>
    <t xml:space="preserve">Assurer la continuité de service de diffusion </t>
  </si>
  <si>
    <t>Entretien et maintenance des équipements électriques, électroniques des climatiseurs aux centres de diffusion, y compris la fourniture des pièces de rechange.</t>
  </si>
  <si>
    <t>Centres de diffusion TV/FM</t>
  </si>
  <si>
    <t>Assurer un bon environement de fonctionnement des équipements de diffusion des chaines radio et TV</t>
  </si>
  <si>
    <t>DIRECTION D'EXPLOITATION ET DE LA MAINTENANCE</t>
  </si>
  <si>
    <t xml:space="preserve">Fourniture, installation et mise en service des émetteurs DVB-T/T2 avec combiners pour quelques sites de diffusion </t>
  </si>
  <si>
    <t xml:space="preserve">Fourniture, installation et mise en service des émetteurs FM avec combiners et systèmes d'antennes FM pour quelques sites de diffusion </t>
  </si>
  <si>
    <t>Fourniture, installation et mise en service de nouvelles liaisons de faisceaux hertzien pour un Trafic MPEG-TS/IP et IP.</t>
  </si>
  <si>
    <t>Reconduction Marché 47/2023 LS Telecom</t>
  </si>
  <si>
    <t>Fourniture, installation et mise en service de nouveaux onduleurs dans quelques sites de diffusion.</t>
  </si>
  <si>
    <t>Fourniture, installation et mise en service des groupes électrogènes dans quelques sites de diffusion.</t>
  </si>
  <si>
    <t>Electricafication/augmentation MT/BT 2éme reseau de quelques sites de diffusion SNRT.</t>
  </si>
  <si>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</si>
  <si>
    <t>Acquisition de climatiseurs</t>
  </si>
  <si>
    <t>Construction et achèvement d'installation des pylônes auto-stable aux sites SNRT TANAKOUBE ( P.CHEFCHAOUEN) et TAOURIRT</t>
  </si>
  <si>
    <t>Elaboration des études technique et le suivi des travaux  pour la construction et achèvement d'installation des pylônes auto-stable aux sites SNRT TANAKOUBE ( P.CHEFCHAOUEN) et TAOURIRT</t>
  </si>
  <si>
    <t>Etudes architecturales et le suivi des travaux pour la construction des nouveau sites de diffusion de la SNRT à RICH et MSISSI</t>
  </si>
  <si>
    <t>Elaboration des études technique et le suivi des travaux  pour la construction des nouveau sites de diffusion  à RICH et MSISSI</t>
  </si>
  <si>
    <t>Travaux de construction de nouveaux sites à RICH et MSISSI</t>
  </si>
  <si>
    <t>Travaux d'aménagement des sites de diffusion.</t>
  </si>
  <si>
    <t xml:space="preserve">Entretien des pylônes et tours dessites de diffusion </t>
  </si>
  <si>
    <t>Fourniture, installation et mise en service de plateformes d'encodage et de multiplexage/Mise à niveau des platformes existantes.</t>
  </si>
  <si>
    <t>Fourniture des équipements de transmission pour les réseaux FH, satellite, contribution, tête réseau et NMS des stations terriennes.</t>
  </si>
  <si>
    <t>Formation dans les réseaux informatiques et réseaux de transmission.</t>
  </si>
  <si>
    <t>Reconduction Marché 31/2022 PHF COM</t>
  </si>
  <si>
    <t>Reconduction Marché 91/2023 Intratel</t>
  </si>
  <si>
    <t>Reconduction marché 82M/SNRT/2023 LPEE</t>
  </si>
  <si>
    <t>Entretien, réparation et maintenance des équipements de transmission.</t>
  </si>
  <si>
    <t>Services</t>
  </si>
  <si>
    <t>Travaux</t>
  </si>
  <si>
    <t>15 jours</t>
  </si>
  <si>
    <t>3 ans</t>
  </si>
  <si>
    <t>T1</t>
  </si>
  <si>
    <t>T2</t>
  </si>
  <si>
    <t>T3</t>
  </si>
  <si>
    <t>T4</t>
  </si>
  <si>
    <t>T2, T3 et T4</t>
  </si>
  <si>
    <t>Laayoune, Palomas, Tazerkount</t>
  </si>
  <si>
    <t>Azougar, Bouarfa,  Figuig, Palomas,  Tizi Azza</t>
  </si>
  <si>
    <t>Zerhoun - Azougar - Tiguelmamine - Takka Tissoufra - Izeft - Errachidia - Rich
Rabat - Zaers - Témara.</t>
  </si>
  <si>
    <t>Rabat</t>
  </si>
  <si>
    <t>JBEL LAHDID (ESSAOUIRA) - ZERHOUNE - OUKEIMEDEN</t>
  </si>
  <si>
    <t>TARFAYA - AKHFENNIR - ABTIH - SIDI IFNI - SIDI BOUNOUARA</t>
  </si>
  <si>
    <t>FOGO (GUELMIM) - AKKA IGHAN (TATA) - ARFOUD (ERRACHIDIA)</t>
  </si>
  <si>
    <t>MAGASIN TEMARA</t>
  </si>
  <si>
    <t>AKKA IGHAN + tout besoin ponctuel</t>
  </si>
  <si>
    <t>TANAKOUBE ( P,CHEFCHAOUEN) et TAOURIRT</t>
  </si>
  <si>
    <t>RICH  et MSISSI</t>
  </si>
  <si>
    <t>HAFA SAFA, ZERHOUNE,  FIGUIG, IZEFT, SAFI</t>
  </si>
  <si>
    <t>CAP SPARTEL, HAFA SAFA, ZERHOUNE, SAFI, AIN CHOCK, MIRCHICH et LAKHIAR</t>
  </si>
  <si>
    <t>RABAT - CASA</t>
  </si>
  <si>
    <t>RABAT - CASA - TEMARA</t>
  </si>
  <si>
    <t>RABAT</t>
  </si>
  <si>
    <t>SITES DE TRANSMISSION</t>
  </si>
  <si>
    <t>INVESTISSEMENT</t>
  </si>
  <si>
    <t>Renouvellement des équipements TNT</t>
  </si>
  <si>
    <t>Renouvellement des équipements FM et extension du réseau entre al Hoceima et Nador par la création  du site de Tizi Azza,</t>
  </si>
  <si>
    <t>Extension du réseau souverain de distribution terrestre par la numérisation des liaison de faisceaux hertzien suivantes:
Zerhoun - Azougar - Tiguelmamine - Takka Tissoufra - Izeft - Errachidia - Rich
Rabat - Zaers - Témara.</t>
  </si>
  <si>
    <t>EXPLOITATION</t>
  </si>
  <si>
    <t>Assurer la continuité de service par une alimentation électrique sans intérruption.</t>
  </si>
  <si>
    <t>Assurer la continuité de service par une alimentation électrique secourrues.</t>
  </si>
  <si>
    <t>Renouvellement du poste de JBEL FOGO 
Electrification du nouveau site (AKKA IGHAN)
Augmentation de la puissance électrique ARFOUD</t>
  </si>
  <si>
    <t>Pour le besoin en réparation et maintenance électrique</t>
  </si>
  <si>
    <t>Nouveau site AKKA IGHAN et sites de transmission</t>
  </si>
  <si>
    <t>Sites existants nécessitant des nouveaux pylônes. CHEFCHAOUEN site existant dont le pylône n'a pas été achevé suite à la résiliation du marché initial  2014. Taourirt c'est un nouveau site dont le shelter et le mur de clôture sont déjà construit.</t>
  </si>
  <si>
    <t>Assurer une optimisation maximale au niveau du dimensionnement des structures en béton armé et les éléments porteurs pour minimiser les budgets alloué à la construction des pylônes ainsi que L’accompagnement du maitre d’ouvrage au niveau du contrôle et le suivi des travaux. Sites existants nécessitant des nouveaux pylônes. CHEFCHAOUEN site existant dont le pylône n'a pas été achevé suite à la résiliation du marché initial  2014. Taourirt c'est un nouveau site dont le shelter et le mur de clôture sont déjà construire.</t>
  </si>
  <si>
    <t xml:space="preserve">Nouveaux sites de diffusion pour améliorer la couverture TNT et FM dans les environs des sites concernés. Sachant que les pylônes sont en phase de la construction. Assurer une optimisation maximale au niveau de volume des ouvrages pour minimiser les budgets alloué à la construction  ainsi que L’accompagnement du maitre d’ouvrage au niveau du contrôle et le suivi des travaux. </t>
  </si>
  <si>
    <t>Nouveaux sites de diffusion pour améliorer la couverture TNT et FM dans les environs des sites concernés. Sachant que les pylônes sont en phase de la construction. Assurer une optimisation maximale au niveau du dimensionnement des structures en béton armé et les éléments porteurs pour minimiser les budgets alloué à la construction des nouveau sites ainsi que L’accompagnement du maitre d’ouvrage au niveau du contrôle et le suivi des travaux.</t>
  </si>
  <si>
    <t>Nouveaux sites de diffusion pour améliorer la couverture TNT et FM dans les environs des sites concernés. Sachant que les pylônes sont en phase de la construction.</t>
  </si>
  <si>
    <t>Assurer la protection des équipements qui assurent la couverture permanente TV/Radio contre les infiltrations des eaux pluviales et toutes les conditions climatiques  défavorables, ainsi que l’augmentation de la durée de vie des ouvrages et leurs protections contre la dégradation et les effondrements. La SNRT dispose de plus de 230 sites de diffusion et de transmission nécessitant des entretiens annuels.</t>
  </si>
  <si>
    <t>Assurer la protection des pylônes et les tours qui supportent les antennes et les équipements, qui assurent la couverture permanente TV/Radio contre la dégradation et les vieillissement qui peuvent provoquer le risque des effondrements de sec ouvrages.</t>
  </si>
  <si>
    <t>Renouvellement des plateformes existantes</t>
  </si>
  <si>
    <t>Renouvellement des équipements des chaines de transmission</t>
  </si>
  <si>
    <t>Pour le suivi de la technologie</t>
  </si>
  <si>
    <t>Assurer le fonctionnement et la disponibilité de la plateforme existante info trafic</t>
  </si>
  <si>
    <t>Assurer le fonctionnement et la disponibilité de la plateforme existante harmonic</t>
  </si>
  <si>
    <t>Marché reconduit</t>
  </si>
  <si>
    <t>Assurer le fonctionnement et la disponibilité des réseaux de transmission</t>
  </si>
  <si>
    <t>DIRECTION DES SITES</t>
  </si>
  <si>
    <t>Remarques</t>
  </si>
  <si>
    <t>PME oui ou non ?</t>
  </si>
  <si>
    <t xml:space="preserve">Préciser la periode de lancement </t>
  </si>
  <si>
    <t>La reconduction ne doit pas figurer dans le PPM à publier</t>
  </si>
  <si>
    <t>Commissarit aux apports - Expertise d'évaluation du foncier transféré par l'Etat à la SNRT (maître d'ouvrage : la DF et la DPMG)</t>
  </si>
  <si>
    <t>Marché</t>
  </si>
  <si>
    <t>Siège SNRT - DF/DPMG</t>
  </si>
  <si>
    <t>NON</t>
  </si>
  <si>
    <t>HONORAIRES</t>
  </si>
  <si>
    <t>SUIVI DES RECOMMANDATIONS DU COMMISSAIRE AUX COMPTES</t>
  </si>
  <si>
    <t>Audit fiscal de la SNRT au titre des exercices non prescrits (2022 - 2025) (maître d'ouvrage : la DACG et la DF)</t>
  </si>
  <si>
    <t>Siège SNRT - DF/DACG</t>
  </si>
  <si>
    <t>REALISATION D'UN DIAGNOSTIC DES RISQUES FISCAUX AU TITRE DE LA PERIODE CONSIDEREE</t>
  </si>
  <si>
    <t>Accompagnement du Groupe SNRT dans la production des comptes en IFRS (trois prix distincts : la production des comptes individuels de la SNRT, la production des comptes individuels des filiales, la production des comptes consolidés du groupe)</t>
  </si>
  <si>
    <t>SNRT &amp; Filiales</t>
  </si>
  <si>
    <t>Répondre aux exigences de l'Etat - actionnaire (ANGSPE) et de la réglementation en vigueur en matière de tenue des comptes consolidés</t>
  </si>
  <si>
    <t>DIRECTION FINANCIERE</t>
  </si>
  <si>
    <t>Réalisation d'études qualitatives et quantitatives marketing pour la SNRT</t>
  </si>
  <si>
    <t>Maintenance du portail de la SNRT</t>
  </si>
  <si>
    <t>Production de flags et bonnettes pour les micros des chaînes TV et radios de 
la SNRT</t>
  </si>
  <si>
    <t xml:space="preserve">Stratégie Marketing, conseil en communication, exécution et production des campagnes </t>
  </si>
  <si>
    <t>Location de supports d'affichage urbain 4x3 pour la promotion des produits et 
services de la SNRT</t>
  </si>
  <si>
    <t>Production de spots / films publicitaires pour la promotion des produits et 
services de la SNRT</t>
  </si>
  <si>
    <t>Décor  JT Al Aoula , Laayoune, Tamazight
Habillage chaînes SNRT</t>
  </si>
  <si>
    <t xml:space="preserve">Décors virtuels des chaînes de la SNRT </t>
  </si>
  <si>
    <t>Royaume du 
Maroc</t>
  </si>
  <si>
    <t>Maroc</t>
  </si>
  <si>
    <t>Rabat/Casablanca</t>
  </si>
  <si>
    <t>DIRECTION CENTRALE MARKETING ET PROGRAMMATION TV</t>
  </si>
  <si>
    <t xml:space="preserve"> Sécurité  et gardiennage Siège &amp; centres régionaux</t>
  </si>
  <si>
    <t>fonctionnement</t>
  </si>
  <si>
    <t>Reconduction</t>
  </si>
  <si>
    <t>Anexes SNRT</t>
  </si>
  <si>
    <t>Assuré la sécurité des locaux SNRT</t>
  </si>
  <si>
    <t>Acquisition et installation des caméras dans les locaux de la SNRT y compris serveurs et baie de stockage</t>
  </si>
  <si>
    <t>OUI</t>
  </si>
  <si>
    <t>SURVEILLANCE DES LOCAUX snrt</t>
  </si>
  <si>
    <t>Travaux d'aménagement des locaux d'archive TV de la SNRT  à Témara.</t>
  </si>
  <si>
    <t xml:space="preserve">Rabat </t>
  </si>
  <si>
    <t xml:space="preserve">mise à niveau des conditions d'archivage </t>
  </si>
  <si>
    <t>Travaux d'aménagement des  locaux de la SNRT  à Rabat.</t>
  </si>
  <si>
    <t>Amélioration des conditions de travail</t>
  </si>
  <si>
    <t>Travaux d'aménagement de la station régionale Radio de Marrakech</t>
  </si>
  <si>
    <t>Marrakech</t>
  </si>
  <si>
    <t>Travaux d'aménagement de la station régionale Radio d'AL HOUCEIMA</t>
  </si>
  <si>
    <t>AL HOUCEIMA</t>
  </si>
  <si>
    <t>Travaux d'aménagement de la station régionale Radio de TETOUANE.</t>
  </si>
  <si>
    <t>Travaux d'installation électrique au batiment administratif de la SNRT à Rabat</t>
  </si>
  <si>
    <t xml:space="preserve">Pour remedier aux anomalies électriques </t>
  </si>
  <si>
    <t>Travaux de plomberie au niveau des locaux de la SNRT Rabat</t>
  </si>
  <si>
    <t>Pour remedier aux anomalies sanitaires</t>
  </si>
  <si>
    <t xml:space="preserve">Peinture extérieure pour les façades des bâtiments de la SNRT à Rabat. </t>
  </si>
  <si>
    <t>Embelissement des façades à l'occasion des fetes nationales</t>
  </si>
  <si>
    <t>Aménagement des locaux Techniques (salles machines) des stations régionales radion de la SNRT.</t>
  </si>
  <si>
    <t>Stations régionales Radio.</t>
  </si>
  <si>
    <t>allignement aux normes techniques</t>
  </si>
  <si>
    <t xml:space="preserve">Acquisition et installation de climatiseurs au niveau des locaux techniques des stations regionales radio.
</t>
  </si>
  <si>
    <t>Etanchéité des terrasses des locaux de la SNRT à Rabat et Casablanca.</t>
  </si>
  <si>
    <t>Rabat et Casablanca</t>
  </si>
  <si>
    <t>Pour protéger les terrasses du bâtiment TV Ain Chock abritant les studios et les hangards de production.</t>
  </si>
  <si>
    <t>Aménagement du studio virtuel de la station TV Laayoune.</t>
  </si>
  <si>
    <t>laayoune</t>
  </si>
  <si>
    <t>création de studio virtuel pour les besoins TV laayoune</t>
  </si>
  <si>
    <t xml:space="preserve">Travaux de désherbage. </t>
  </si>
  <si>
    <t>rabat temara casa</t>
  </si>
  <si>
    <t>Maintenance des ascenseurs.</t>
  </si>
  <si>
    <t>rabat casa</t>
  </si>
  <si>
    <t>Maintenance des extincteurs.</t>
  </si>
  <si>
    <t>Maintenance des onduleurs.</t>
  </si>
  <si>
    <t xml:space="preserve">Maintenance des installations de détection et d'extinctions automatiques d'incendie .
</t>
  </si>
  <si>
    <t xml:space="preserve">Maintenance des installations de climatisation 
: Rabat Casablanca </t>
  </si>
  <si>
    <t>Maintenance des installations de climatisation 
: Laayoune, Dakhla, Smara et Guelmim</t>
  </si>
  <si>
    <t>laayoune dakhla</t>
  </si>
  <si>
    <t>Mise à jour de la solution de pointage et de contrôle d'accés</t>
  </si>
  <si>
    <t>Rabat, Casablanca et Laayoune</t>
  </si>
  <si>
    <t xml:space="preserve">Control d'accéset pointage </t>
  </si>
  <si>
    <t>Fourniture Matériel Electrique Siége et Annexes</t>
  </si>
  <si>
    <t>Installation extracteurs et detection incendie locaux Archives Finances et Achats</t>
  </si>
  <si>
    <t>Alignement aux normes d'archives</t>
  </si>
  <si>
    <t xml:space="preserve">Acquisition de climatiseurs </t>
  </si>
  <si>
    <t xml:space="preserve">Travaux d'aménagement de la régie et du Studio N°5 de la  Radio </t>
  </si>
  <si>
    <t xml:space="preserve"> Suite à ,la lettre de Mr le Directeur central de l'anténe et de la Production du 16 /01/2025 </t>
  </si>
  <si>
    <t>rabat</t>
  </si>
  <si>
    <t xml:space="preserve"> Suite résiliation du marché 108M/SNRT/2023 le 31/12/2024 </t>
  </si>
  <si>
    <t>Location Longue Durée (LLD)  de véhicules neufs sans option d'achat ainsi que les prestations qui lui sont accessoires  et complémentaires.  Marché N° 32M/SNRT/2022</t>
  </si>
  <si>
    <t>La location de longue durée à la SNRT de véhicules neufs sans option d'achat  ainsi que les prestations qui lui sont accessoires et complémentaire Marché N° 11M/SNRT/2021</t>
  </si>
  <si>
    <t>Reconductible jusqu'au 10/06/2026</t>
  </si>
  <si>
    <t>En cours de lancement</t>
  </si>
  <si>
    <t xml:space="preserve">La location en  longue durée des véhicules neufs sans option d'achat ainsi que les prestations qui lui sont accessoires et complémentaires pour la SNRT Marché N° 40M/SNRT/2024 </t>
  </si>
  <si>
    <t>La location en  longue durée des véhicules neufs sans option d'achat ainsi que les prestations qui lui sont accessoires et complémentaires pour la SNRT Marché N° 97M/SNRT/2023</t>
  </si>
  <si>
    <t>Travaux de nettoyage, prestation complète y compris les produits de nettoyage et d’entretien des locaux administratifs et techniques des services centraux et régionaux de la SNRT                                                                        Marché N° 02M/SNRT/2023</t>
  </si>
  <si>
    <t>En cours d'approbation</t>
  </si>
  <si>
    <t xml:space="preserve">Acquisition  de mobilier de bureau </t>
  </si>
  <si>
    <t>Amélioré les conditions de travail du personnel</t>
  </si>
  <si>
    <t>Location de véhicules neufs avec chauffeurs pour 60 mois Transport permanent et régulier du personnel de la SNRT à Rabat  marché N° 19M/SNRT/2023</t>
  </si>
  <si>
    <t>Location de véhicules neufs avec chauffeurs pour 60 mois Transport permanent et régulier du personnel de la SNRT à Casablanca  marché N° 20M/SNRT/2023</t>
  </si>
  <si>
    <t xml:space="preserve">Acquisition de Matériel de Bureau (photocopieurs, Fax, Destructeur Tonners et drums ) </t>
  </si>
  <si>
    <t xml:space="preserve">Achat Fournitures de Bureau </t>
  </si>
  <si>
    <t>Satisfaction des besoins des différentes entités de la SNRT.</t>
  </si>
  <si>
    <t>Tous les sites de la SNRT</t>
  </si>
  <si>
    <t>Le projet vise à répondre à l’obligation légale et fiscale de disposer d’un fichier fiable des immobilisations, à travers l’inventaire physique, la réconciliation physico-comptable et la reconstitution du registre comptable. Il intègre également le déploiement d’une solution informatique en concertation avec la DACISI, afin de renforcer la conformité, la traçabilité et la modernisation de la gestion patrimoniale de la SNRT.</t>
  </si>
  <si>
    <t>DIRECTION DU PARTIMOINE ET MOYENS GENERAUX</t>
  </si>
  <si>
    <t>4 mois</t>
  </si>
  <si>
    <t>5 mois</t>
  </si>
  <si>
    <t>2 mois</t>
  </si>
  <si>
    <t>6 mois</t>
  </si>
  <si>
    <t>3 mois</t>
  </si>
  <si>
    <t>1  mois</t>
  </si>
  <si>
    <t>36 mois</t>
  </si>
  <si>
    <t>Décors Emissions Internes Al Aoula</t>
  </si>
  <si>
    <t>Casablanca / Rabat</t>
  </si>
  <si>
    <t>Production Al Aoula</t>
  </si>
  <si>
    <t>Location Ecrans &amp; Barres à Led</t>
  </si>
  <si>
    <t>Exploitation</t>
  </si>
  <si>
    <t>Location Matériel pour les productions internes Al Aoula</t>
  </si>
  <si>
    <t>oui</t>
  </si>
  <si>
    <t>DIRECTION CENTRALE DE LA PRODUCTION ET DE L'ANTENNE</t>
  </si>
  <si>
    <t>BESOIN JT</t>
  </si>
  <si>
    <t>Décor Virtuel Live News</t>
  </si>
  <si>
    <t>Prestation de blanchisserie du linge et services associés au profit des journalistes présentateurs du journal Télévisés (JT)</t>
  </si>
  <si>
    <t>DIRECTION AL MAGHRIBIA</t>
  </si>
  <si>
    <t>Elaboration d'une cartographie des risques couvrant les processus de la SNRT</t>
  </si>
  <si>
    <t>Siège</t>
  </si>
  <si>
    <t>Recommandations du commissaire aux comptes</t>
  </si>
  <si>
    <t>DIRECTION AUDI ET CONTRÔLE ET DE GESTION</t>
  </si>
  <si>
    <t>DIRECTION CHARGEE DES PROGRAMMES AMAZIGH RADIO ET TV</t>
  </si>
  <si>
    <t xml:space="preserve">Habillage général de la chaîne </t>
  </si>
  <si>
    <t>Nouveau besoin</t>
  </si>
  <si>
    <t>Conception et fabrication d'un ensemble de décors comprenant une table et cinq chaises dédiées aux émissions de débat télévisé diffusées sur la chaîne TV8.</t>
  </si>
  <si>
    <t>Habillage général de Radio Amazigh</t>
  </si>
  <si>
    <t>DIRECTION DES RESSOURCES HUMAINES</t>
  </si>
  <si>
    <t>Plan d'action 2026 portant sur le volet Formation</t>
  </si>
  <si>
    <t>Programmes de formation  au profit du personnel de la SNRT</t>
  </si>
  <si>
    <t>Prestation de blanchisserie du linge et services assiciés au profit des journalistes présentateurs du journal Télévisés (JT) ,</t>
  </si>
  <si>
    <t>ACHAT D’HABILLEMENTS AU PROFIT DES JOURNALISTES PRESENTATEURS  DES EVENEMENTS SPORTIFS  (pour la couverture de la CAN 2025)</t>
  </si>
  <si>
    <t>exploitation</t>
  </si>
  <si>
    <t>ACHAT D’HABILLEMENTS AU PROFIT DES JOURNALISTES PRESENTATEURS DES JT,</t>
  </si>
  <si>
    <t>Conception et réalisation d'un décor plateau de télévision professionnel aux standards internationaux pour la couverture de la CAN 2026 (femmes)</t>
  </si>
  <si>
    <t>réalisation d'un décor plateau de télévision professionnel aux standards internationaux pour l'emission نقطة الى الشطر »</t>
  </si>
  <si>
    <t>Decor pour émission grand débat  politiques 2026 (2 décors différents )</t>
  </si>
  <si>
    <t xml:space="preserve">Maquillage  </t>
  </si>
  <si>
    <t>DIRECTION DE L'INFORMATION TV</t>
  </si>
  <si>
    <t>Travaux d'installation d'un nouveau ascenseur Batiment Radio et TV coranique</t>
  </si>
  <si>
    <t>Extension de l'abri des cars régies à Temara</t>
  </si>
  <si>
    <t>Exceptionnel</t>
  </si>
  <si>
    <t>Protection des cars régies moyens mobiles</t>
  </si>
  <si>
    <t>Acquisition et travaux d'installation d'un ascenseur  dans le bâtiment de la Radio SNRT-Rabat</t>
  </si>
  <si>
    <t>Travaux de démolition et de reconstruction d'un mur de cloture de la station Régionale Radio à Oujda</t>
  </si>
  <si>
    <t>Acquisition de mobilier de bureau pour la SNRT</t>
  </si>
  <si>
    <t>Travaux d'aménagement et d'agencement de la régie publicitaire et des solutions digitales</t>
  </si>
  <si>
    <t>Fourniture et installation du matériel de bureau : Photocopieurs, Fax, Toners, Drums et Fours</t>
  </si>
  <si>
    <t>Acquisition et installation de caméras dans les locaux de la SNRT y compris serveurs et baie de stockage</t>
  </si>
  <si>
    <t>Travaux d'aménagement des locaux techniques à RABAT lot: AMENAGEMENT ET AGENCEMENT</t>
  </si>
  <si>
    <t>Travaux d'aménagement des locaux techniques à RABAT lot: ELECTRICITE-LUSTRERIES-CLIMATISATION</t>
  </si>
  <si>
    <t>Fourniture et installation des Panneaux de signatlisation Batiments SNRT</t>
  </si>
  <si>
    <t>Report</t>
  </si>
  <si>
    <t>Agencements et aménagement constructions</t>
  </si>
  <si>
    <t>Moblier de bureau</t>
  </si>
  <si>
    <t>Matériel de bureau</t>
  </si>
  <si>
    <t>Installations techniques</t>
  </si>
  <si>
    <t>Acquisition de systèmes de caméras aériennes sur câbles pour répondre aux besoins de production de la SNRT.</t>
  </si>
  <si>
    <t>Renforcer les moyens de captation de la SNRT par l'acquisition de systèmes ds prise de vues aériennes,</t>
  </si>
  <si>
    <t>Acquisition de matériel audio/vidéo pour le renouvellement des dispositifs des unités mobiles de la SNRT.</t>
  </si>
  <si>
    <t>Mise à niveau et renouvellement des équipements audiovisuels des unités mobiles afin de répondre aux besoins de production des événements sportifs de la SNRT.</t>
  </si>
  <si>
    <t>Acquisition de véhicules « Support Trucks » pour répondre aux besoins des unités mobiles de la SNRT.</t>
  </si>
  <si>
    <t xml:space="preserve">Mise à niveau des unités mobiles pour répondre aux besoins de la production des évènements sportifs de la SNRT. </t>
  </si>
  <si>
    <t>Acquisition des équipements de machinerie et d'éclairage pour répondre aux besoins de production de la SNRT.</t>
  </si>
  <si>
    <t>Mise à niveau des équipements de machinerie et d'éclairage afin de répondre aux besoins de production de la SNRT.</t>
  </si>
  <si>
    <t>Acquisition de véhicules utilitaires aménagés pour abriter les équipements d'éclairage et de machinerie pour répondre aux besoins de production de la SNRT.</t>
  </si>
  <si>
    <t>Mise à niveau des moyens logistiques pour le transport des équipements de machinerie et d'éclairage afin de répondre aux besoins de production de la SNRT.</t>
  </si>
  <si>
    <t>Renouvellement et mise à niveau des équipements d'enregistrement, de lecture  et de traitement pour les besoins du système News Room de la SNRT.</t>
  </si>
  <si>
    <t>Renouvèlement des équipements  et mise à niveau pour assurer la continuité de service.</t>
  </si>
  <si>
    <t>Contrat de support logiciel du système News Room (PAM et NRCS) pour les besoins des chaines TV de la SNRT.</t>
  </si>
  <si>
    <t>Assurer la maintenance corrective et évolutive du système News Room et bénéficier de l’assistance technique de l’éditeur.</t>
  </si>
  <si>
    <t>Renouvellement des licences logicielles pour les stations d’habillage et de graphisme pour les besoins des chaines TV de la SNRT.</t>
  </si>
  <si>
    <t>Renouveler les licences logicielles pour les stations d’habillage et de graphisme pour l'habillage graphique des productions des chaînes TV de la SNRT.</t>
  </si>
  <si>
    <t>Renouvellement des équipements audio/vidéo et des châssis de traitement de signaux pour répondre aux besoins des installations techniques de la SNRT.</t>
  </si>
  <si>
    <t>Mise à jour des installations et équipements techniques,</t>
  </si>
  <si>
    <t>Mise en place d'un système d'automation TV pour répondre aux besoins de la diffusion des chaines TV de la SNRT.</t>
  </si>
  <si>
    <t>Automatisation de la  diffusion des programmes , continuité du service des chaînes TV de la SNRT.</t>
  </si>
  <si>
    <t>Renouvellement des équipements Audio/Vidéo pour répondre aux besoins des chaines TV de la SNRT.</t>
  </si>
  <si>
    <t>Répondre aux besoins annuels des chaînes TV de la SNRT.</t>
  </si>
  <si>
    <t>Acquisition et mise à niveau des équipements Audio/vidéo de la régie multidiffusion pour répondre aux besoins de la chaine Arryadia de la SNRT.</t>
  </si>
  <si>
    <t>Renouvellement des équipements de la régie multidiffusion afin d’assurer la continuité et la qualité de diffusion des chaînes Arryadia de la SNRT.</t>
  </si>
  <si>
    <t>Renouvellement des équipements Audio/Vidéo du plateau JT pour répondre aux besoins de la chaine Al Aoula de la SNRT.</t>
  </si>
  <si>
    <t>Modernisation de l’infrastructure technique et intégration des nouvelles technologies IP ,</t>
  </si>
  <si>
    <t>Renouvellement des équipements de captation Audio/Vidéo pour répondre aux besoins de la chaine Al Aoula de la SNRT.</t>
  </si>
  <si>
    <t>Acquisition des équipements de reportage (caméras, micros, accessoires) pour répondre aux besoins de production d’Al aoula.</t>
  </si>
  <si>
    <t>Renouvellement et mise à niveau des équipements Audio/Vidéo de la régie JT pour répondre aux besoins de la chaine TV Laayoune de la SNRT.</t>
  </si>
  <si>
    <t>Assurer la continuité, la fiabilité et la qualité des productions du journal télévisé de la chaîne TV Laayoune en renouvelant les équipements audio/vidéo de la régie.</t>
  </si>
  <si>
    <t>Acquisition et mise à niveau des équipements Audio/Vidéo du studio virtuel pour répondre aux besoins de production de la chaine TV Laayoune de la SNRT.</t>
  </si>
  <si>
    <t>installation d'un studio virtuel pour la chaîne TV Laayoune pour répondre aux exigences techniques et améliorer la qualité des productions audiovisuelles</t>
  </si>
  <si>
    <t>Acquisition des équipements audio pour les besoins des chaines radios de la SNRT.</t>
  </si>
  <si>
    <t>renouvèlement  des équipements audio des chaines Radio de la SNRT</t>
  </si>
  <si>
    <t>Renouvellement et mise à niveau du Centre de Diffusion et de Monitoring (CDM) pour les besoins des chaines Radio de la SNRT. afin d’assurer la supervision centralisée, la redondance et la continuité de service des diffusions.</t>
  </si>
  <si>
    <t>La modernisation de l’infrastructure Radio pour renforcer la supervision, la redondance et la continuité des diffusions.</t>
  </si>
  <si>
    <t>Renouvellement des systèmes d’automation radio des chaînes radios régionales de la SNRT.</t>
  </si>
  <si>
    <t>Mise à jour software des systèmes d'automation Radio au niveau des stations régionales a pour objectif  de mettre à niveau les systèmes d’automation,  intégration de nouvelles technologies broadcast et sécurité du système.</t>
  </si>
  <si>
    <t>Acquisition des équipements informatiques Broadcast pour les besoins des chaines radios régionales de la SNRT.</t>
  </si>
  <si>
    <t>Mise à niveau de l’infrastructure hardware d’automation radio  des stations régionales radios.
Exécution du plan de maintenance d’amélioration d’équipement de d’enregistrement et de diffusion.</t>
  </si>
  <si>
    <t>Acquisition des supports d’enregistrement et de lecture pour les besoins des chaines TV de la SNRT.</t>
  </si>
  <si>
    <t>Réponse aux besoins d'archivage des chaines de télévision de la SNRT.</t>
  </si>
  <si>
    <t>Acquisition de lecteurs LTO destinés aux besoins d’archivage de la SNRT.</t>
  </si>
  <si>
    <t>Numérisation des anciennes archives télévisuelles stockées sur des supports analogiques de type U-MATIC, pour les besoins des archives TV de la SNRT.</t>
  </si>
  <si>
    <t>Préserver et valoriser le patrimoine audiovisuel de la SNRT en numérisant les anciennes archives télévisuelles stockées sur supports analogiques U-MATIC devenus obsolètes.</t>
  </si>
  <si>
    <t>Renouvellement et mise à niveau des systèmes et solutions logicielles de l'infrastructure IT de la SNRT.</t>
  </si>
  <si>
    <t>Mise en place d'un schéma directeur SI pour la SNRT.
Mise à niveau de l'ERP de la SNRT.
Acquisition des licences de l'IA et de l'IT pour les besoins de la SNRT.</t>
  </si>
  <si>
    <t>Souscription à un abonnement annuel de licences logiciels pour les besoins de la SNRT.</t>
  </si>
  <si>
    <t>Assurer la continuité des services des logiciels utilisés au sein de la SNRT par la souscription à des licences annuelles.</t>
  </si>
  <si>
    <t>Acquisition des consommables, accessoires, pièces de rechange et outillage informatiques pour les besoins de la SNRT.</t>
  </si>
  <si>
    <t>Acquisition de consommables et pièces de rechange (toners, disques, accessoires) pour assurer la continuité du parc informatique.</t>
  </si>
  <si>
    <t>Acquisition des serveurs et des équipements Informatiques pour les besoins de la SNRT.</t>
  </si>
  <si>
    <t>Renouvellement du parc informatique par l’acquisition de périphériques de nouvelle génération (PC, laptops, imprimantes, accessoires).
Acquisition de nouveaux serveurs pour déployer les solutions IA internes de la SNRT.</t>
  </si>
  <si>
    <t>Acquisition des équipements pour la mise à niveau de l'infrastructure réseau de la SNRT.</t>
  </si>
  <si>
    <t>Mise à niveau du réseau Wi-Fi au siège et dans les sites régionaux de la SNRT via l’acquisition de nouveaux contrôleurs, points d’accès et périphériques.
Renouvellement des câbles cuivre et fibres pour les besoins de l'infrastructure réseau de la SNRT.</t>
  </si>
  <si>
    <t>Acquisition d’équipements informatiques  pour les besoins de SNRT NEWS.</t>
  </si>
  <si>
    <t>-</t>
  </si>
  <si>
    <t>Acquisition d’équipements informatiques et audiovisuels pour la mise à niveau du matériel de SNRT NEWS.</t>
  </si>
  <si>
    <t>Acquisition de licences et de logiciels pour  les besoins de SNRT NEWS.</t>
  </si>
  <si>
    <t>PPA imcomplet :
Periode lancement
PME 
Lieu d'execution</t>
  </si>
  <si>
    <t>Direction Centrale Technique</t>
  </si>
  <si>
    <t>DIRECTION CENTRALE DE LA REGIE 
PUBLICITAIRE ET DES SOLUTIONS DIGITALES</t>
  </si>
  <si>
    <t>Audit de suivi N° 2 selon la norme ISO 9001 V 2015</t>
  </si>
  <si>
    <t>Prestation de maintenance corrective, maintenance évolutive, d'assistance utilisateur, d'assistance technique et des mises à jour de Media Pilot, Logiciel de gestion de la commercialisation de l'espace publicitaire des supports TV Radio de la SNRT</t>
  </si>
  <si>
    <t>"Solution Multifonction visant la gestion de projets, la mise en place de la chaine Devops et l’acquisition des Outils de développement : éditeur de code".</t>
  </si>
  <si>
    <t>DMP: Mise en place d’une plateforme de gestion de données (DMP) pour la collecte et l’analyse de données sociodémographiques et comportementales, afin d'optimiser les campagnes publicitaires sur les plateformes digitales de la régie.</t>
  </si>
  <si>
    <t>Efficacité publicitaire TV (linéaire + BVOD): Analyse de l'impact de l'engagement et de l'attention des téléspectateurs sur les programmes TV : De la mémorisation à l’attractivité pour les marques.</t>
  </si>
  <si>
    <t xml:space="preserve">Etude ROI </t>
  </si>
  <si>
    <t>Maintenance de la messagerie de la DRPSD</t>
  </si>
  <si>
    <t xml:space="preserve">JAM Allocator </t>
  </si>
  <si>
    <t xml:space="preserve">Media service </t>
  </si>
  <si>
    <t>Refonte de la Solution de publicité digitale pour l'ensemble des plateformes digitales de la SNRT</t>
  </si>
  <si>
    <t xml:space="preserve">Réferencement de la plate forme SNRTNEWS et Mise en place de la stratégie digitale </t>
  </si>
  <si>
    <t xml:space="preserve">Accompagnement et Sponsoring des plateformes digitales </t>
  </si>
  <si>
    <t>Conception de Capsules Tech &amp; Game</t>
  </si>
  <si>
    <t>Solutions relatives au projet d'homologation RSSI</t>
  </si>
  <si>
    <t xml:space="preserve">Développement de projets digitaux </t>
  </si>
  <si>
    <t>DRPSD</t>
  </si>
  <si>
    <t>Maintenir la conformité, démontrer l'engagement envers la qualité, améliorer la performance, réduire les risques, satisfaire les exigences du marché, optmisier la gestion des processus ,,,</t>
  </si>
  <si>
    <t>L'objectif principal de la maintenance est de garantir que le système de Business Intelligence est toujours disponible pour les utilisateurs. Cela implique la surveillance constante du système pour détecter et résoudre les problèmes qui pourraient entraîner des temps d'arrêt.
Assurer que le système fonctionne avec des performances optimales. Cela signifie surveiller les temps de réponse, les requêtes, la vitesse de génération de rapports, etc., et intervenir si des problèmes de performance sont détectés.
Assurer que la solution de BI est mise à jour avec les dernières versions de logiciels et de bases de données. Cela peut également inclure l'ajout de nouvelles fonctionnalités ou l'amélioration des fonctionnalités existantes pour répondre aux besoins changeants de l'entreprise.</t>
  </si>
  <si>
    <t xml:space="preserve">Le besoin a pour objet d'assurer à la Régie Publicitaire des prestations de maintenance corrective, évolutive et d’assistance utilisateur. De même, le prestataire doit assurer à la Régie Publicitaire le maintien de compétences au sein de sa société pour faire évoluer le LOGICIEL utilisé dans des conditions normales d'exploitation. La maintenance de Media Pilot vise à garantir que le SI reste performant, opérationnel et assurer des réponses rapides face aux problémes éventuels </t>
  </si>
  <si>
    <t xml:space="preserve"> Dans le cadre du fonctionnement au quotidien de l’entité des Solutions Digitales dont la mission principale est l’accompagnement de la stratégie Digitale de la SNRT et le développement de plateformes digitales. Le présent besoin a pour objet de mettre à la disposition de l'équipe développement d'outils et de solution Multifoncionle leur permettant de gérer la maintenance curative et évolutive des plateformes digitales de la SNRT.</t>
  </si>
  <si>
    <t>La DMP permettra également de booster l’achat premium en offrant aux annonceurs des segments d’audiences plus qualifiés à partir des données collectées.</t>
  </si>
  <si>
    <t>Démontrer l'impact publictaire des campagnes TV (linéaire et BVOD) vs VOL selon le postulat: « plus d’engagement, c’est plus d’attention, plus d’émergence, plus de mémorisation et donc plus de conversion pour les maques»</t>
  </si>
  <si>
    <t>Evaluer le retour sur investissements des campagnes TV+BVOD vs autres médias.
A travers des modélisations (économétriques):
-Isoler parmi les différents leviers activés, la contribution totale des médias aux ventes.
- Déterminer la contribution et le R.O.I. de chacun des médias mis en œuvre.</t>
  </si>
  <si>
    <t xml:space="preserve">Le prestataire doit garantir la maintenance de la plateforme, pour garantir un bon niveau de performance et une haute disponibilité du service. Suivant les points listés ci-dessous:
1. En cas de besoin, migration des serveurs Lotus Domino vers la nouvelle version en assurant le minimum de coupure des flux de messages entrants et sortants. Le titulaire devra effectuer une montée en version des serveurs et s'assurer du bon fonctionnement de toutes les fonctions actuellement exploitées par la DRPSD
• Optimisation de la configuration actuelle 
• Revues des politiques 
• Intégration des nouvelles fonctionnalités des dernières versions
2. Pilote de migration des clients
• Choix de la ou des versions du client Lotus Notes en fonction du contexte de la DRPSD. Lourd client 
• Choix de la méthodologie de migration 
• Élaboration d'une procédure et d'un plan de migration des clients Lotus Notes
• Assistance à la migration des postes de travail 
3. Accompagnement au changement
• Production d'un mémento 
• Formation sur les nouvelles fonctionnalités 
• Soutien au support de la Régie Publicitaire de la SNRT et des Solutions Digitales
• Transfert des compétences sur la nouvelle plateforme 
4. La maintenance, objet du présent appel d'offre ouvert, vise à la réalisation des prestations de maintenance de l'infrastructure Lotus Notes/Domino. 
</t>
  </si>
  <si>
    <t>Les campagnes publicitaires seront gérées depuis Ad manager ce qui permettra
d’unifier la gestion des campagnes publicitaires digitales sur les supports à savoir:
snrtnews, application botola et site Arryadia depuis une seule et unique plateforme.</t>
  </si>
  <si>
    <t xml:space="preserve">Sponsoring des plateformes digitales </t>
  </si>
  <si>
    <t>Capsules Tech &amp; Game</t>
  </si>
  <si>
    <t>Nature Buget</t>
  </si>
  <si>
    <t>Objet à detailler
Nature Buget</t>
  </si>
  <si>
    <t>Acquisition, installation, mise en service et exploitation d'un système de gestion des informations et des événements de Cybersécurité, dans le cadre de la mise en place du centre opérationnel de cybersécurité interne (CyberSOC &amp; CyberCERT) de la SNRT.</t>
  </si>
  <si>
    <t>2E T
(sous réserve de la finalisation du recrutement)</t>
  </si>
  <si>
    <t>Conformité à la loi n° 05-20 relative à la cybersécurité et ses textes d'application.</t>
  </si>
  <si>
    <t>Souscription au service de "Cyber Threat Intelligence (CTI)" pour les besoins des équipes CyberSOC et CyberCERT, dans le cadre de la mise en place du centre opérationnel de cybersécurité interne (CyberSOC &amp; CyberCERT) de la SNRT.</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</si>
  <si>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</si>
  <si>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Réalisation de prestations d’audit de sécurité des systèmes d’information de la SNRT, relevant des classes « A », « B », « C » et « D ».
Audit organisationnel et physique
Audit d’architecture
Audit de configuration
Audit de code source
Test d’intrusion
Audit des systèmes industriels</t>
  </si>
  <si>
    <t>4E T</t>
  </si>
  <si>
    <t>Accompagnement à la transition vers la nouvelle version ISO/IEC 27001:2022 et extension du domaine d'application du SMSI pour couvrir l'ensemble des systèmes d'information de la SNRT.</t>
  </si>
  <si>
    <t>4E T
(sous réserve de la finalisation du recrutement)</t>
  </si>
  <si>
    <t>La nouvelle version 2022 d'ISO/IEC 27001 a été publiée le 25 octobre 2022.
Le délai de transition est fixé à 3 ans.
Le SMSI de la SNRT doit être conforme et certifié avec la nouvelle version de la norme ISO/IEC 27001:2022 avant octobre 2025.</t>
  </si>
  <si>
    <t>Réalisation de prestations d'audits de certification et de surveillance annuels du Système de Management de la Sécurité de l'Information (SMSI) selon la norme ISO/IEC 27001:2022</t>
  </si>
  <si>
    <t>Conformité aux articles 3 et 4 de la loi n° 05-20 relative à la Cybersécurité et ses textes d'application.</t>
  </si>
  <si>
    <t>Responsable de la Sécurité des Systèmes d’Information (RSSI)</t>
  </si>
  <si>
    <t>fournitures</t>
  </si>
  <si>
    <t>SOUS DIRECTION</t>
  </si>
  <si>
    <t>DIRECTION DE LA TELEDIFFUSION</t>
  </si>
  <si>
    <t>Appel d'offres ouvert</t>
  </si>
  <si>
    <r>
      <t xml:space="preserve">Achat Papier Fort A4
</t>
    </r>
    <r>
      <rPr>
        <b/>
        <i/>
        <sz val="10"/>
        <color indexed="8"/>
        <rFont val="Cambria"/>
        <family val="1"/>
        <scheme val="major"/>
      </rPr>
      <t>•Technologie d'impression :  LASER, JET D'ENCRE, COPIEUR.
•Nombre de feuilles par ramette :  500.
•Indice blancheur minimum : 169 CIE.
•Opacité minimum : 95 %.
•Finition :  Mate 
•Luminosité minimum : 112
•Marque : NAVIGATOR ou Similaire</t>
    </r>
  </si>
  <si>
    <r>
      <t>Directio</t>
    </r>
    <r>
      <rPr>
        <sz val="10"/>
        <color theme="1"/>
        <rFont val="Cambria"/>
        <family val="1"/>
        <scheme val="major"/>
      </rPr>
      <t>n Centrale Techniqu</t>
    </r>
    <r>
      <rPr>
        <sz val="11"/>
        <color theme="1"/>
        <rFont val="Cambria"/>
        <family val="1"/>
        <scheme val="major"/>
      </rPr>
      <t>e</t>
    </r>
  </si>
  <si>
    <t>Assistance et Maintenance de la Solution BI et Location de licences</t>
  </si>
  <si>
    <t xml:space="preserve"> la location de longue durée à la SNRT de véhicules neufs sans option d'achat  ainsi que les prestations qui lui sont accessoires et complémentaire</t>
  </si>
  <si>
    <t xml:space="preserve">Renouvellement Marché N° 11M/SNRT/2021 </t>
  </si>
  <si>
    <t>DIRECTION (A publier)</t>
  </si>
  <si>
    <t>OBJET
 (A publier)</t>
  </si>
  <si>
    <t>Nature de la prestation  (A publier)</t>
  </si>
  <si>
    <t>Période prévue 
pour le lancement
 (A publier)</t>
  </si>
  <si>
    <t>AO reservé aux PME  (A publier)</t>
  </si>
  <si>
    <r>
      <rPr>
        <b/>
        <sz val="10"/>
        <color rgb="FFC00000"/>
        <rFont val="Cambria"/>
        <family val="1"/>
        <scheme val="major"/>
      </rPr>
      <t>Marché cadre?? :</t>
    </r>
    <r>
      <rPr>
        <sz val="10"/>
        <color theme="1"/>
        <rFont val="Cambria"/>
        <family val="1"/>
        <scheme val="major"/>
      </rPr>
      <t xml:space="preserve"> Inventaire physique et fiabilisation du fichier comptable des immobilisations de la SNRT ;
</t>
    </r>
    <r>
      <rPr>
        <b/>
        <i/>
        <sz val="10"/>
        <rFont val="Cambria"/>
        <family val="1"/>
        <scheme val="major"/>
      </rPr>
      <t>•Recensement physique et reconciliation physico-comptable des sites de la SNRT ;
•Actualisation et reconstitution du fichier comptable des immobilisation de la SNRT ;
•Le développement et l’intégration d’une solution informatique de gestion des immobilisations, en concertation avec la Direction Adjointe Chargée des  Infrastructures et des Systèmes d'information.</t>
    </r>
  </si>
  <si>
    <t>En double (trimestre à préciser)</t>
  </si>
  <si>
    <t>Report  (trimestre à préciser)</t>
  </si>
  <si>
    <t xml:space="preserve">Reconductible jusqu'au 10/06/2026 11M/SNRT/2021 </t>
  </si>
  <si>
    <t>est ce qu il s'agit d'un nouveau besoin?</t>
  </si>
  <si>
    <t>Report (trimestre à préciser)</t>
  </si>
  <si>
    <t xml:space="preserve">PPA imcomplet :
Periode lancement
PME 
</t>
  </si>
  <si>
    <t xml:space="preserve">PPA imcomplet :
Periode lancement
PME 
Nature budget
</t>
  </si>
  <si>
    <t>TEMARA</t>
  </si>
  <si>
    <t>Oujda</t>
  </si>
  <si>
    <t xml:space="preserve">Casablanca </t>
  </si>
  <si>
    <t>sites SNRT</t>
  </si>
  <si>
    <t>PME  et périodes à compléter pour quelques projets</t>
  </si>
  <si>
    <t>PME et nature de budget à compléter</t>
  </si>
  <si>
    <t>PME à compléter</t>
  </si>
  <si>
    <t xml:space="preserve">Nature Budget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</si>
</sst>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 _€_-;\-* #,##0.00\ _€_-;_-* &quot;-&quot;??\ _€_-;_-@_-"/>
    <numFmt numFmtId="164" formatCode="_-* #,##0.00\ _D_H_-;\-* #,##0.00\ _D_H_-;_-* &quot;-&quot;??\ _D_H_-;_-@_-"/>
  </numFmts>
  <fonts count="19" x14ac:knownFonts="1">
    <font>
      <sz val="11"/>
      <color theme="1"/>
      <name val="Calibri"/>
      <family val="2"/>
      <scheme val="minor"/>
    </font>
    <font>
      <sz val="11"/>
      <color theme="1"/>
      <name val="Calibri"/>
      <family val="2"/>
      <scheme val="minor"/>
    </font>
    <font>
      <sz val="10"/>
      <color theme="1"/>
      <name val="Cambria"/>
      <family val="2"/>
      <scheme val="major"/>
    </font>
    <font>
      <sz val="9"/>
      <color theme="1"/>
      <name val="Cambria"/>
      <family val="2"/>
      <scheme val="major"/>
    </font>
    <font>
      <sz val="10"/>
      <color theme="1"/>
      <name val="Calibri"/>
      <family val="2"/>
      <scheme val="minor"/>
    </font>
    <font>
      <sz val="10"/>
      <color theme="3"/>
      <name val="Calibri"/>
      <family val="2"/>
      <scheme val="minor"/>
    </font>
    <font>
      <sz val="10"/>
      <name val="Arial"/>
      <family val="2"/>
    </font>
    <font>
      <b/>
      <sz val="10"/>
      <color theme="1"/>
      <name val="Cambria"/>
      <family val="1"/>
      <scheme val="major"/>
    </font>
    <font>
      <sz val="10"/>
      <color theme="1"/>
      <name val="Cambria"/>
      <family val="1"/>
      <scheme val="major"/>
    </font>
    <font>
      <b/>
      <sz val="10"/>
      <color theme="0"/>
      <name val="Cambria"/>
      <family val="1"/>
      <scheme val="major"/>
    </font>
    <font>
      <sz val="10"/>
      <color rgb="FF333333"/>
      <name val="Cambria"/>
      <family val="1"/>
      <scheme val="major"/>
    </font>
    <font>
      <sz val="10"/>
      <name val="Cambria"/>
      <family val="1"/>
      <scheme val="major"/>
    </font>
    <font>
      <sz val="11"/>
      <color theme="1"/>
      <name val="Cambria"/>
      <family val="1"/>
      <scheme val="major"/>
    </font>
    <font>
      <sz val="12"/>
      <color theme="1"/>
      <name val="Cambria"/>
      <family val="1"/>
      <scheme val="major"/>
    </font>
    <font>
      <b/>
      <i/>
      <sz val="10"/>
      <color indexed="8"/>
      <name val="Cambria"/>
      <family val="1"/>
      <scheme val="major"/>
    </font>
    <font>
      <b/>
      <i/>
      <sz val="10"/>
      <name val="Cambria"/>
      <family val="1"/>
      <scheme val="major"/>
    </font>
    <font>
      <sz val="11"/>
      <name val="Cambria"/>
      <family val="1"/>
      <scheme val="major"/>
    </font>
    <font>
      <sz val="11"/>
      <color rgb="FF000000"/>
      <name val="Cambria"/>
      <family val="1"/>
      <scheme val="major"/>
    </font>
    <font>
      <b/>
      <sz val="10"/>
      <color rgb="FFC00000"/>
      <name val="Cambria"/>
      <family val="1"/>
      <scheme val="major"/>
    </font>
  </fonts>
  <fills count="10">
    <fill>
      <patternFill patternType="none"/>
    </fill>
    <fill>
      <patternFill patternType="gray125"/>
    </fill>
    <fill>
      <patternFill patternType="solid">
        <fgColor theme="3" tint="0.39997558519241921"/>
        <bgColor indexed="64"/>
      </patternFill>
    </fill>
    <fill>
      <patternFill patternType="solid">
        <fgColor theme="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3CEEB"/>
        <bgColor indexed="64"/>
      </patternFill>
    </fill>
    <fill>
      <patternFill patternType="solid">
        <fgColor rgb="FFFF0000"/>
        <bgColor indexed="64"/>
      </patternFill>
    </fill>
    <fill>
      <patternFill patternType="solid">
        <fgColor theme="7" tint="0.39997558519241921"/>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top style="thin">
        <color indexed="64"/>
      </top>
      <bottom style="thin">
        <color indexed="64"/>
      </bottom>
      <diagonal/>
    </border>
    <border>
      <left style="thin">
        <color auto="1"/>
      </left>
      <right/>
      <top/>
      <bottom/>
      <diagonal/>
    </border>
    <border>
      <left style="thin">
        <color auto="1"/>
      </left>
      <right/>
      <top style="thin">
        <color auto="1"/>
      </top>
      <bottom style="thin">
        <color auto="1"/>
      </bottom>
      <diagonal/>
    </border>
    <border>
      <left style="thin">
        <color auto="1"/>
      </left>
      <right/>
      <top style="thin">
        <color auto="1"/>
      </top>
      <bottom/>
      <diagonal/>
    </border>
  </borders>
  <cellStyleXfs count="8">
    <xf numFmtId="0" fontId="0"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5" fillId="0" borderId="0" applyNumberFormat="0" applyFill="0">
      <alignment horizontal="center" vertical="center" wrapText="1"/>
    </xf>
    <xf numFmtId="164" fontId="6" fillId="0" borderId="0" applyFont="0" applyFill="0" applyBorder="0" applyAlignment="0" applyProtection="0"/>
    <xf numFmtId="0" fontId="5" fillId="0" borderId="0" applyNumberFormat="0" applyFill="0">
      <alignment horizontal="center" vertical="center" wrapText="1"/>
    </xf>
    <xf numFmtId="43" fontId="1" fillId="0" borderId="0" applyFont="0" applyFill="0" applyBorder="0" applyAlignment="0" applyProtection="0"/>
  </cellStyleXfs>
  <cellXfs count="113">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left" vertical="center" wrapText="1"/>
    </xf>
    <xf numFmtId="0" fontId="2" fillId="0" borderId="0" xfId="0" applyFont="1" applyBorder="1" applyAlignment="1">
      <alignment horizontal="left" vertical="center" wrapText="1"/>
    </xf>
    <xf numFmtId="0" fontId="3" fillId="3" borderId="3" xfId="0" applyFont="1" applyFill="1" applyBorder="1" applyAlignment="1">
      <alignment horizontal="left" vertical="center" wrapText="1"/>
    </xf>
    <xf numFmtId="0" fontId="3" fillId="4" borderId="3" xfId="0" applyFont="1" applyFill="1" applyBorder="1" applyAlignment="1">
      <alignment horizontal="left" vertical="center" wrapText="1"/>
    </xf>
    <xf numFmtId="0" fontId="4" fillId="0" borderId="0" xfId="0" applyFont="1"/>
    <xf numFmtId="0" fontId="8" fillId="3" borderId="1" xfId="0" applyFont="1" applyFill="1" applyBorder="1" applyAlignment="1">
      <alignment horizontal="left" vertical="top" wrapText="1"/>
    </xf>
    <xf numFmtId="0" fontId="8" fillId="0" borderId="3" xfId="0" applyFont="1" applyBorder="1" applyAlignment="1">
      <alignment horizontal="left" vertical="top"/>
    </xf>
    <xf numFmtId="0" fontId="8" fillId="3" borderId="3" xfId="0" applyFont="1" applyFill="1" applyBorder="1" applyAlignment="1">
      <alignment horizontal="left" vertical="top"/>
    </xf>
    <xf numFmtId="4" fontId="8" fillId="0" borderId="3" xfId="0" applyNumberFormat="1" applyFont="1" applyBorder="1" applyAlignment="1">
      <alignment horizontal="left" vertical="top" wrapText="1"/>
    </xf>
    <xf numFmtId="4" fontId="8" fillId="0" borderId="1" xfId="0" applyNumberFormat="1" applyFont="1" applyBorder="1" applyAlignment="1">
      <alignment horizontal="left" vertical="top" wrapText="1"/>
    </xf>
    <xf numFmtId="0" fontId="8" fillId="0" borderId="1" xfId="0" applyFont="1" applyBorder="1" applyAlignment="1">
      <alignment horizontal="left" vertical="top" wrapText="1"/>
    </xf>
    <xf numFmtId="0" fontId="10" fillId="0" borderId="3" xfId="0" applyFont="1" applyBorder="1" applyAlignment="1">
      <alignment horizontal="left" vertical="top" wrapText="1"/>
    </xf>
    <xf numFmtId="4" fontId="8" fillId="0" borderId="3" xfId="1" applyNumberFormat="1" applyFont="1" applyFill="1" applyBorder="1" applyAlignment="1">
      <alignment horizontal="left" vertical="top" wrapText="1"/>
    </xf>
    <xf numFmtId="0" fontId="8" fillId="0" borderId="3" xfId="0" applyFont="1" applyBorder="1" applyAlignment="1">
      <alignment horizontal="left" vertical="top" wrapText="1"/>
    </xf>
    <xf numFmtId="14" fontId="11" fillId="0" borderId="3" xfId="2" applyNumberFormat="1" applyFont="1" applyFill="1" applyBorder="1" applyAlignment="1">
      <alignment horizontal="left" vertical="top" wrapText="1"/>
    </xf>
    <xf numFmtId="0" fontId="11" fillId="0" borderId="2" xfId="0" applyFont="1" applyFill="1" applyBorder="1" applyAlignment="1">
      <alignment horizontal="left" vertical="top" wrapText="1"/>
    </xf>
    <xf numFmtId="0" fontId="10" fillId="3" borderId="3" xfId="0" applyFont="1" applyFill="1" applyBorder="1" applyAlignment="1">
      <alignment horizontal="left" vertical="top" wrapText="1"/>
    </xf>
    <xf numFmtId="4" fontId="8" fillId="3" borderId="3" xfId="1" applyNumberFormat="1" applyFont="1" applyFill="1" applyBorder="1" applyAlignment="1">
      <alignment horizontal="left" vertical="top" wrapText="1"/>
    </xf>
    <xf numFmtId="0" fontId="8" fillId="0" borderId="3" xfId="0" applyFont="1" applyFill="1" applyBorder="1" applyAlignment="1">
      <alignment horizontal="left" vertical="top" wrapText="1"/>
    </xf>
    <xf numFmtId="0" fontId="8" fillId="3" borderId="3"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1" xfId="0" applyFont="1" applyFill="1" applyBorder="1" applyAlignment="1">
      <alignment horizontal="left" vertical="top" wrapText="1"/>
    </xf>
    <xf numFmtId="0" fontId="4" fillId="0" borderId="0" xfId="0" applyFont="1" applyAlignment="1">
      <alignment vertical="center"/>
    </xf>
    <xf numFmtId="0" fontId="0" fillId="3" borderId="0" xfId="0" applyFill="1"/>
    <xf numFmtId="4" fontId="8" fillId="3" borderId="3" xfId="0" applyNumberFormat="1" applyFont="1" applyFill="1" applyBorder="1" applyAlignment="1">
      <alignment horizontal="left" vertical="top" wrapText="1"/>
    </xf>
    <xf numFmtId="0" fontId="0" fillId="0" borderId="3" xfId="0" applyBorder="1"/>
    <xf numFmtId="0" fontId="8" fillId="5" borderId="3" xfId="0" applyFont="1" applyFill="1" applyBorder="1" applyAlignment="1">
      <alignment horizontal="left" vertical="top" wrapText="1"/>
    </xf>
    <xf numFmtId="0" fontId="8" fillId="5" borderId="3" xfId="0" applyFont="1" applyFill="1" applyBorder="1" applyAlignment="1">
      <alignment horizontal="left" vertical="top"/>
    </xf>
    <xf numFmtId="0" fontId="8" fillId="5" borderId="1" xfId="0" applyFont="1" applyFill="1" applyBorder="1" applyAlignment="1">
      <alignment horizontal="left" vertical="top" wrapText="1"/>
    </xf>
    <xf numFmtId="0" fontId="8" fillId="5" borderId="5" xfId="0" applyFont="1" applyFill="1" applyBorder="1" applyAlignment="1">
      <alignment horizontal="left" vertical="top" wrapText="1"/>
    </xf>
    <xf numFmtId="4" fontId="9" fillId="2" borderId="1" xfId="0" applyNumberFormat="1" applyFont="1" applyFill="1" applyBorder="1" applyAlignment="1">
      <alignment horizontal="left" vertical="top" wrapText="1"/>
    </xf>
    <xf numFmtId="4" fontId="4" fillId="0" borderId="0" xfId="0" applyNumberFormat="1" applyFont="1" applyAlignment="1"/>
    <xf numFmtId="0" fontId="7" fillId="5" borderId="3" xfId="0" applyFont="1" applyFill="1" applyBorder="1" applyAlignment="1">
      <alignment horizontal="left" vertical="top" wrapText="1"/>
    </xf>
    <xf numFmtId="0" fontId="9" fillId="2" borderId="3" xfId="0" applyFont="1" applyFill="1" applyBorder="1" applyAlignment="1">
      <alignment horizontal="left" vertical="top" wrapText="1"/>
    </xf>
    <xf numFmtId="4" fontId="8" fillId="5" borderId="3" xfId="1" applyNumberFormat="1" applyFont="1" applyFill="1" applyBorder="1" applyAlignment="1">
      <alignment horizontal="left" vertical="top" wrapText="1"/>
    </xf>
    <xf numFmtId="0" fontId="10" fillId="5" borderId="3" xfId="0" applyFont="1" applyFill="1" applyBorder="1" applyAlignment="1">
      <alignment horizontal="left" vertical="top" wrapText="1"/>
    </xf>
    <xf numFmtId="0" fontId="11" fillId="5" borderId="2" xfId="0" applyFont="1" applyFill="1" applyBorder="1" applyAlignment="1">
      <alignment horizontal="left" vertical="top" wrapText="1"/>
    </xf>
    <xf numFmtId="0" fontId="7" fillId="8" borderId="3" xfId="0" applyFont="1" applyFill="1" applyBorder="1" applyAlignment="1">
      <alignment horizontal="left" vertical="top" wrapText="1"/>
    </xf>
    <xf numFmtId="0" fontId="8" fillId="8" borderId="3" xfId="0" applyFont="1" applyFill="1" applyBorder="1" applyAlignment="1">
      <alignment horizontal="left" vertical="top" wrapText="1"/>
    </xf>
    <xf numFmtId="4" fontId="8" fillId="5" borderId="3" xfId="0" applyNumberFormat="1" applyFont="1" applyFill="1" applyBorder="1" applyAlignment="1">
      <alignment horizontal="left" vertical="top" wrapText="1"/>
    </xf>
    <xf numFmtId="0" fontId="8" fillId="8" borderId="3" xfId="0" applyFont="1" applyFill="1" applyBorder="1" applyAlignment="1">
      <alignment horizontal="left" vertical="top"/>
    </xf>
    <xf numFmtId="0" fontId="9" fillId="9" borderId="1" xfId="0" applyFont="1" applyFill="1" applyBorder="1" applyAlignment="1">
      <alignment horizontal="left" vertical="top" wrapText="1"/>
    </xf>
    <xf numFmtId="0" fontId="8" fillId="5" borderId="9" xfId="0" applyFont="1" applyFill="1" applyBorder="1" applyAlignment="1">
      <alignment horizontal="left" vertical="top" wrapText="1"/>
    </xf>
    <xf numFmtId="0" fontId="8" fillId="3" borderId="9" xfId="0" applyFont="1" applyFill="1" applyBorder="1" applyAlignment="1">
      <alignment horizontal="left" vertical="top" wrapText="1"/>
    </xf>
    <xf numFmtId="0" fontId="8" fillId="0" borderId="9" xfId="0" applyFont="1" applyFill="1" applyBorder="1" applyAlignment="1">
      <alignment horizontal="left" vertical="top" wrapText="1"/>
    </xf>
    <xf numFmtId="0" fontId="8" fillId="3" borderId="10" xfId="0" applyFont="1" applyFill="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0" fillId="0" borderId="0" xfId="0" applyFill="1" applyBorder="1" applyAlignment="1">
      <alignment horizontal="center" vertical="center" wrapText="1"/>
    </xf>
    <xf numFmtId="0" fontId="0" fillId="0" borderId="0" xfId="0" applyBorder="1"/>
    <xf numFmtId="0" fontId="0" fillId="0" borderId="0" xfId="0" applyFill="1" applyBorder="1" applyAlignment="1">
      <alignment horizontal="left" vertical="center" wrapText="1"/>
    </xf>
    <xf numFmtId="0" fontId="2"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0" fillId="0" borderId="0" xfId="0" applyFill="1" applyBorder="1"/>
    <xf numFmtId="0" fontId="9" fillId="9" borderId="10" xfId="0" applyFont="1" applyFill="1" applyBorder="1" applyAlignment="1">
      <alignment horizontal="left" vertical="top" wrapText="1"/>
    </xf>
    <xf numFmtId="0" fontId="8" fillId="3" borderId="9" xfId="0" applyFont="1" applyFill="1" applyBorder="1" applyAlignment="1">
      <alignment horizontal="left" vertical="top"/>
    </xf>
    <xf numFmtId="0" fontId="0" fillId="0" borderId="8" xfId="0" applyBorder="1"/>
    <xf numFmtId="0" fontId="12" fillId="5" borderId="3" xfId="0" applyFont="1" applyFill="1" applyBorder="1" applyAlignment="1">
      <alignment vertical="top"/>
    </xf>
    <xf numFmtId="0" fontId="12" fillId="0" borderId="3" xfId="0" applyFont="1" applyBorder="1" applyAlignment="1">
      <alignment vertical="top"/>
    </xf>
    <xf numFmtId="0" fontId="8" fillId="5" borderId="3" xfId="0" applyFont="1" applyFill="1" applyBorder="1" applyAlignment="1">
      <alignment vertical="top"/>
    </xf>
    <xf numFmtId="0" fontId="8" fillId="0" borderId="3" xfId="0" applyFont="1" applyBorder="1" applyAlignment="1">
      <alignment vertical="top"/>
    </xf>
    <xf numFmtId="0" fontId="11" fillId="5" borderId="4" xfId="0" applyFont="1" applyFill="1" applyBorder="1" applyAlignment="1">
      <alignment horizontal="left" vertical="top" wrapText="1"/>
    </xf>
    <xf numFmtId="0" fontId="11" fillId="6" borderId="4" xfId="0" applyFont="1" applyFill="1" applyBorder="1" applyAlignment="1">
      <alignment horizontal="left" vertical="top" wrapText="1"/>
    </xf>
    <xf numFmtId="4" fontId="11" fillId="6" borderId="6" xfId="0" applyNumberFormat="1" applyFont="1" applyFill="1" applyBorder="1" applyAlignment="1">
      <alignment horizontal="center" vertical="top" wrapText="1"/>
    </xf>
    <xf numFmtId="0" fontId="11" fillId="3" borderId="4" xfId="0" applyFont="1" applyFill="1" applyBorder="1" applyAlignment="1">
      <alignment horizontal="left" vertical="top" wrapText="1"/>
    </xf>
    <xf numFmtId="4" fontId="11" fillId="3" borderId="6" xfId="0" applyNumberFormat="1" applyFont="1" applyFill="1" applyBorder="1" applyAlignment="1">
      <alignment horizontal="center" vertical="top" wrapText="1"/>
    </xf>
    <xf numFmtId="0" fontId="11" fillId="3" borderId="7" xfId="0" applyFont="1" applyFill="1" applyBorder="1" applyAlignment="1">
      <alignment horizontal="left" vertical="top" wrapText="1"/>
    </xf>
    <xf numFmtId="0" fontId="11" fillId="3" borderId="3" xfId="0" applyFont="1" applyFill="1" applyBorder="1" applyAlignment="1">
      <alignment horizontal="left" vertical="top" wrapText="1"/>
    </xf>
    <xf numFmtId="0" fontId="11" fillId="6" borderId="3" xfId="0" applyFont="1" applyFill="1" applyBorder="1" applyAlignment="1">
      <alignment horizontal="left" vertical="top" wrapText="1"/>
    </xf>
    <xf numFmtId="0" fontId="8" fillId="6" borderId="3" xfId="0" applyFont="1" applyFill="1" applyBorder="1" applyAlignment="1">
      <alignment horizontal="center" vertical="top" wrapText="1"/>
    </xf>
    <xf numFmtId="0" fontId="8" fillId="5" borderId="3" xfId="0" applyFont="1" applyFill="1" applyBorder="1" applyAlignment="1">
      <alignment vertical="top" wrapText="1"/>
    </xf>
    <xf numFmtId="43" fontId="8" fillId="5" borderId="3" xfId="1" applyFont="1" applyFill="1" applyBorder="1" applyAlignment="1">
      <alignment horizontal="center" vertical="top" wrapText="1"/>
    </xf>
    <xf numFmtId="17" fontId="16" fillId="5" borderId="3" xfId="0" applyNumberFormat="1" applyFont="1" applyFill="1" applyBorder="1" applyAlignment="1">
      <alignment horizontal="center" vertical="top"/>
    </xf>
    <xf numFmtId="0" fontId="12" fillId="5" borderId="3" xfId="0" applyFont="1" applyFill="1" applyBorder="1" applyAlignment="1">
      <alignment horizontal="center" vertical="top"/>
    </xf>
    <xf numFmtId="0" fontId="8" fillId="0" borderId="3" xfId="0" applyFont="1" applyBorder="1" applyAlignment="1">
      <alignment vertical="top" wrapText="1"/>
    </xf>
    <xf numFmtId="0" fontId="8" fillId="0" borderId="3" xfId="0" applyFont="1" applyFill="1" applyBorder="1" applyAlignment="1">
      <alignment vertical="top" wrapText="1"/>
    </xf>
    <xf numFmtId="43" fontId="8" fillId="0" borderId="3" xfId="1" applyFont="1" applyFill="1" applyBorder="1" applyAlignment="1">
      <alignment horizontal="center" vertical="top" wrapText="1"/>
    </xf>
    <xf numFmtId="17" fontId="16" fillId="0" borderId="3" xfId="0" applyNumberFormat="1" applyFont="1" applyBorder="1" applyAlignment="1">
      <alignment horizontal="center" vertical="top"/>
    </xf>
    <xf numFmtId="0" fontId="13" fillId="0" borderId="3" xfId="0" applyFont="1" applyBorder="1" applyAlignment="1">
      <alignment horizontal="center" vertical="top" wrapText="1"/>
    </xf>
    <xf numFmtId="0" fontId="17" fillId="0" borderId="3" xfId="0" applyFont="1" applyBorder="1" applyAlignment="1">
      <alignment horizontal="center" vertical="top"/>
    </xf>
    <xf numFmtId="0" fontId="12" fillId="0" borderId="3" xfId="0" applyFont="1" applyBorder="1" applyAlignment="1">
      <alignment horizontal="center" vertical="top"/>
    </xf>
    <xf numFmtId="17" fontId="12" fillId="0" borderId="3" xfId="0" applyNumberFormat="1" applyFont="1" applyBorder="1" applyAlignment="1">
      <alignment horizontal="center" vertical="top"/>
    </xf>
    <xf numFmtId="43" fontId="8" fillId="3" borderId="3" xfId="1" applyFont="1" applyFill="1" applyBorder="1" applyAlignment="1">
      <alignment horizontal="center" vertical="top" wrapText="1"/>
    </xf>
    <xf numFmtId="0" fontId="8" fillId="0" borderId="3" xfId="0" applyFont="1" applyFill="1" applyBorder="1" applyAlignment="1">
      <alignment vertical="top"/>
    </xf>
    <xf numFmtId="17" fontId="16" fillId="7" borderId="3" xfId="0" applyNumberFormat="1" applyFont="1" applyFill="1" applyBorder="1" applyAlignment="1">
      <alignment horizontal="center" vertical="top"/>
    </xf>
    <xf numFmtId="0" fontId="12" fillId="7" borderId="3" xfId="0" applyFont="1" applyFill="1" applyBorder="1" applyAlignment="1">
      <alignment horizontal="center" vertical="top"/>
    </xf>
    <xf numFmtId="43" fontId="8" fillId="0" borderId="3" xfId="1" applyFont="1" applyFill="1" applyBorder="1" applyAlignment="1">
      <alignment horizontal="left" vertical="top" wrapText="1"/>
    </xf>
    <xf numFmtId="43" fontId="8" fillId="3" borderId="3" xfId="1" applyNumberFormat="1" applyFont="1" applyFill="1" applyBorder="1" applyAlignment="1">
      <alignment horizontal="left"/>
    </xf>
    <xf numFmtId="4" fontId="11" fillId="5" borderId="6" xfId="0" applyNumberFormat="1" applyFont="1" applyFill="1" applyBorder="1" applyAlignment="1">
      <alignment horizontal="center" wrapText="1"/>
    </xf>
    <xf numFmtId="0" fontId="8" fillId="5" borderId="3" xfId="0" applyFont="1" applyFill="1" applyBorder="1" applyAlignment="1">
      <alignment horizontal="center" vertical="top" wrapText="1"/>
    </xf>
    <xf numFmtId="0" fontId="8" fillId="0" borderId="3" xfId="0" applyFont="1" applyBorder="1" applyAlignment="1">
      <alignment horizontal="center" vertical="top" wrapText="1"/>
    </xf>
    <xf numFmtId="0" fontId="8" fillId="7" borderId="3"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5" borderId="9" xfId="0" applyFont="1" applyFill="1" applyBorder="1" applyAlignment="1">
      <alignment vertical="top"/>
    </xf>
    <xf numFmtId="0" fontId="8" fillId="0" borderId="10" xfId="0" applyFont="1" applyBorder="1" applyAlignment="1">
      <alignment vertical="top"/>
    </xf>
    <xf numFmtId="0" fontId="8" fillId="0" borderId="9" xfId="0" applyFont="1" applyBorder="1" applyAlignment="1">
      <alignment vertical="top"/>
    </xf>
    <xf numFmtId="0" fontId="8" fillId="7" borderId="3" xfId="0" applyFont="1" applyFill="1" applyBorder="1" applyAlignment="1">
      <alignment horizontal="left" vertical="top" wrapText="1"/>
    </xf>
    <xf numFmtId="4" fontId="11" fillId="5" borderId="9" xfId="0" applyNumberFormat="1" applyFont="1" applyFill="1" applyBorder="1" applyAlignment="1">
      <alignment horizontal="center" vertical="top" wrapText="1"/>
    </xf>
    <xf numFmtId="4" fontId="11" fillId="5" borderId="3" xfId="0" applyNumberFormat="1" applyFont="1" applyFill="1" applyBorder="1" applyAlignment="1">
      <alignment horizontal="left" vertical="top" wrapText="1"/>
    </xf>
    <xf numFmtId="4" fontId="11" fillId="6" borderId="9" xfId="0" applyNumberFormat="1" applyFont="1" applyFill="1" applyBorder="1" applyAlignment="1">
      <alignment horizontal="center" vertical="top" wrapText="1"/>
    </xf>
    <xf numFmtId="4" fontId="11" fillId="6" borderId="3" xfId="0" applyNumberFormat="1" applyFont="1" applyFill="1" applyBorder="1" applyAlignment="1">
      <alignment horizontal="left" vertical="top" wrapText="1"/>
    </xf>
    <xf numFmtId="4" fontId="11" fillId="3" borderId="9" xfId="0" applyNumberFormat="1" applyFont="1" applyFill="1" applyBorder="1" applyAlignment="1">
      <alignment horizontal="center" vertical="top" wrapText="1"/>
    </xf>
    <xf numFmtId="4" fontId="11" fillId="3" borderId="3" xfId="0" applyNumberFormat="1" applyFont="1" applyFill="1" applyBorder="1" applyAlignment="1">
      <alignment horizontal="left" vertical="top" wrapText="1"/>
    </xf>
    <xf numFmtId="4" fontId="11" fillId="3" borderId="10" xfId="0" applyNumberFormat="1" applyFont="1" applyFill="1" applyBorder="1" applyAlignment="1">
      <alignment horizontal="center" vertical="top" wrapText="1"/>
    </xf>
    <xf numFmtId="4" fontId="11" fillId="3" borderId="1" xfId="0" applyNumberFormat="1" applyFont="1" applyFill="1" applyBorder="1" applyAlignment="1">
      <alignment horizontal="left" vertical="top" wrapText="1"/>
    </xf>
    <xf numFmtId="0" fontId="8" fillId="6" borderId="3" xfId="0" applyFont="1" applyFill="1" applyBorder="1" applyAlignment="1">
      <alignment horizontal="left" vertical="top" wrapText="1"/>
    </xf>
    <xf numFmtId="4" fontId="11" fillId="3" borderId="3" xfId="0" applyNumberFormat="1" applyFont="1" applyFill="1" applyBorder="1" applyAlignment="1">
      <alignment horizontal="center" vertical="top" wrapText="1"/>
    </xf>
    <xf numFmtId="0" fontId="12" fillId="8" borderId="3" xfId="0" applyFont="1" applyFill="1" applyBorder="1" applyAlignment="1">
      <alignment vertical="top" wrapText="1"/>
    </xf>
    <xf numFmtId="0" fontId="12" fillId="0" borderId="3" xfId="0" applyFont="1" applyFill="1" applyBorder="1" applyAlignment="1">
      <alignment vertical="top" wrapText="1"/>
    </xf>
    <xf numFmtId="0" fontId="12" fillId="8" borderId="3" xfId="0" applyFont="1" applyFill="1" applyBorder="1" applyAlignment="1">
      <alignment vertical="top"/>
    </xf>
  </cellXfs>
  <cellStyles count="8">
    <cellStyle name="Milliers" xfId="1" builtinId="3"/>
    <cellStyle name="Milliers 10" xfId="7" xr:uid="{00000000-0005-0000-0000-000001000000}"/>
    <cellStyle name="Milliers 2" xfId="3" xr:uid="{00000000-0005-0000-0000-000002000000}"/>
    <cellStyle name="Milliers 7" xfId="5" xr:uid="{00000000-0005-0000-0000-000003000000}"/>
    <cellStyle name="Normal" xfId="0" builtinId="0"/>
    <cellStyle name="Normal 13" xfId="4" xr:uid="{00000000-0005-0000-0000-000005000000}"/>
    <cellStyle name="Normal 5" xfId="2" xr:uid="{00000000-0005-0000-0000-000006000000}"/>
    <cellStyle name="Normal 8" xfId="6" xr:uid="{00000000-0005-0000-0000-000007000000}"/>
  </cellStyles>
  <dxfs count="12">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
      <fill>
        <patternFill patternType="lightUp">
          <fgColor rgb="FFFF0000"/>
        </patternFill>
      </fill>
    </dxf>
    <dxf>
      <fill>
        <patternFill patternType="lightUp">
          <fgColor theme="9"/>
        </patternFill>
      </fill>
    </dxf>
    <dxf>
      <fill>
        <patternFill patternType="lightUp">
          <fgColor theme="9"/>
        </patternFill>
      </fill>
    </dxf>
    <dxf>
      <fill>
        <patternFill patternType="lightUp">
          <fgColor theme="9"/>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taleb/Desktop/MENU%20PROFESSIONNEL/BUDGET%20AOO/SUIVI%20BUDGETAIRE%202025/BUDGET%20ENGAGEMENTS%20AOO-M-BC-CT%2017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ENGAGEMENTS 2025"/>
      <sheetName val="Archive 2023"/>
      <sheetName val="Archive 2022"/>
      <sheetName val="Archive 2021-2022"/>
      <sheetName val="BUDGET 2024"/>
      <sheetName val="Fiche FONC"/>
      <sheetName val="Fiche INV"/>
      <sheetName val="Fiche INV-DTSI"/>
    </sheetNames>
    <sheetDataSet>
      <sheetData sheetId="0">
        <row r="7">
          <cell r="A7" t="str">
            <v>FONCTIONNEMENT</v>
          </cell>
        </row>
        <row r="113">
          <cell r="A113" t="str">
            <v>NON ATTRIBUE</v>
          </cell>
        </row>
        <row r="115">
          <cell r="A115" t="str">
            <v>INFRUCTUEUX</v>
          </cell>
        </row>
        <row r="116">
          <cell r="A116" t="str">
            <v>ANNULE</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69"/>
  <sheetViews>
    <sheetView tabSelected="1" workbookViewId="0">
      <selection activeCell="L2" sqref="L2"/>
    </sheetView>
  </sheetViews>
  <sheetFormatPr baseColWidth="10" defaultColWidth="9.1796875" defaultRowHeight="14.5" x14ac:dyDescent="0.35"/>
  <cols>
    <col min="1" max="2" width="26.54296875" customWidth="1"/>
    <col min="3" max="3" width="36.1796875" customWidth="1"/>
    <col min="4" max="4" width="47.453125" style="7" customWidth="1"/>
    <col min="5" max="5" width="13.7265625" style="25" customWidth="1"/>
    <col min="6" max="6" width="18.453125" style="34" customWidth="1"/>
    <col min="7" max="7" width="15.453125" bestFit="1" customWidth="1"/>
    <col min="8" max="8" width="14.81640625" customWidth="1"/>
    <col min="9" max="9" width="16.7265625" style="7" customWidth="1"/>
    <col min="10" max="10" width="13" customWidth="1"/>
    <col min="11" max="11" width="14.1796875" customWidth="1"/>
    <col min="12" max="12" width="16.26953125" customWidth="1"/>
    <col min="13" max="13" width="35" style="59" customWidth="1"/>
    <col min="14" max="18" width="9.1796875" style="56" customWidth="1"/>
    <col min="19" max="38" width="9.1796875" style="56"/>
  </cols>
  <sheetData>
    <row r="1" spans="1:38" s="1" customFormat="1" ht="37.5" x14ac:dyDescent="0.35">
      <c r="A1" s="36" t="s">
        <v>128</v>
      </c>
      <c r="B1" s="44" t="s">
        <v>401</v>
      </c>
      <c r="C1" s="24" t="s">
        <v>393</v>
      </c>
      <c r="D1" s="44" t="s">
        <v>402</v>
      </c>
      <c r="E1" s="44" t="s">
        <v>403</v>
      </c>
      <c r="F1" s="33" t="s">
        <v>0</v>
      </c>
      <c r="G1" s="24" t="s">
        <v>1</v>
      </c>
      <c r="H1" s="23" t="s">
        <v>2</v>
      </c>
      <c r="I1" s="44" t="s">
        <v>404</v>
      </c>
      <c r="J1" s="24" t="s">
        <v>3</v>
      </c>
      <c r="K1" s="44" t="s">
        <v>405</v>
      </c>
      <c r="L1" s="57" t="s">
        <v>421</v>
      </c>
      <c r="M1" s="23" t="s">
        <v>4</v>
      </c>
      <c r="N1" s="51"/>
      <c r="O1" s="51"/>
      <c r="P1" s="51"/>
      <c r="Q1" s="51"/>
      <c r="R1" s="51"/>
      <c r="S1" s="51"/>
      <c r="T1" s="51"/>
      <c r="U1" s="51"/>
      <c r="V1" s="51"/>
      <c r="W1" s="51"/>
      <c r="X1" s="51"/>
      <c r="Y1" s="51"/>
      <c r="Z1" s="51"/>
      <c r="AA1" s="51"/>
      <c r="AB1" s="51"/>
      <c r="AC1" s="51"/>
      <c r="AD1" s="51"/>
      <c r="AE1" s="51"/>
      <c r="AF1" s="51"/>
      <c r="AG1" s="51"/>
      <c r="AH1" s="51"/>
      <c r="AI1" s="51"/>
      <c r="AJ1" s="51"/>
      <c r="AK1" s="51"/>
      <c r="AL1" s="51"/>
    </row>
    <row r="2" spans="1:38" s="2" customFormat="1" ht="43.5" customHeight="1" x14ac:dyDescent="0.35">
      <c r="A2" s="29"/>
      <c r="B2" s="29" t="s">
        <v>394</v>
      </c>
      <c r="C2" s="29" t="s">
        <v>53</v>
      </c>
      <c r="D2" s="29" t="s">
        <v>5</v>
      </c>
      <c r="E2" s="29" t="s">
        <v>6</v>
      </c>
      <c r="F2" s="37">
        <v>1800000</v>
      </c>
      <c r="G2" s="38" t="s">
        <v>395</v>
      </c>
      <c r="H2" s="39" t="s">
        <v>7</v>
      </c>
      <c r="I2" s="29" t="s">
        <v>83</v>
      </c>
      <c r="J2" s="29" t="s">
        <v>8</v>
      </c>
      <c r="K2" s="29" t="s">
        <v>9</v>
      </c>
      <c r="L2" s="45" t="s">
        <v>10</v>
      </c>
      <c r="M2" s="29" t="s">
        <v>11</v>
      </c>
      <c r="N2" s="51"/>
      <c r="O2" s="51"/>
      <c r="P2" s="51"/>
      <c r="Q2" s="51"/>
      <c r="R2" s="51"/>
      <c r="S2" s="51"/>
      <c r="T2" s="51"/>
      <c r="U2" s="51"/>
      <c r="V2" s="51"/>
      <c r="W2" s="51"/>
      <c r="X2" s="51"/>
      <c r="Y2" s="51"/>
      <c r="Z2" s="51"/>
      <c r="AA2" s="51"/>
      <c r="AB2" s="51"/>
      <c r="AC2" s="51"/>
      <c r="AD2" s="51"/>
      <c r="AE2" s="51"/>
      <c r="AF2" s="51"/>
      <c r="AG2" s="51"/>
      <c r="AH2" s="51"/>
      <c r="AI2" s="51"/>
      <c r="AJ2" s="51"/>
      <c r="AK2" s="51"/>
      <c r="AL2" s="51"/>
    </row>
    <row r="3" spans="1:38" s="3" customFormat="1" ht="56.25" customHeight="1" x14ac:dyDescent="0.35">
      <c r="A3" s="22"/>
      <c r="B3" s="22" t="s">
        <v>394</v>
      </c>
      <c r="C3" s="22" t="s">
        <v>53</v>
      </c>
      <c r="D3" s="22" t="s">
        <v>12</v>
      </c>
      <c r="E3" s="22" t="s">
        <v>6</v>
      </c>
      <c r="F3" s="20">
        <v>2755000</v>
      </c>
      <c r="G3" s="19" t="s">
        <v>395</v>
      </c>
      <c r="H3" s="22" t="s">
        <v>7</v>
      </c>
      <c r="I3" s="22" t="s">
        <v>82</v>
      </c>
      <c r="J3" s="22" t="s">
        <v>13</v>
      </c>
      <c r="K3" s="22" t="s">
        <v>9</v>
      </c>
      <c r="L3" s="46" t="s">
        <v>10</v>
      </c>
      <c r="M3" s="22" t="s">
        <v>14</v>
      </c>
      <c r="N3" s="53"/>
      <c r="O3" s="53"/>
      <c r="P3" s="53"/>
      <c r="Q3" s="53"/>
      <c r="R3" s="53"/>
      <c r="S3" s="53"/>
      <c r="T3" s="53"/>
      <c r="U3" s="53"/>
      <c r="V3" s="53"/>
      <c r="W3" s="53"/>
      <c r="X3" s="53"/>
      <c r="Y3" s="53"/>
      <c r="Z3" s="53"/>
      <c r="AA3" s="53"/>
      <c r="AB3" s="53"/>
      <c r="AC3" s="53"/>
      <c r="AD3" s="53"/>
      <c r="AE3" s="53"/>
      <c r="AF3" s="53"/>
      <c r="AG3" s="53"/>
      <c r="AH3" s="53"/>
      <c r="AI3" s="53"/>
      <c r="AJ3" s="53"/>
      <c r="AK3" s="53"/>
      <c r="AL3" s="53"/>
    </row>
    <row r="4" spans="1:38" s="3" customFormat="1" ht="41.25" customHeight="1" x14ac:dyDescent="0.35">
      <c r="A4" s="22"/>
      <c r="B4" s="22" t="s">
        <v>394</v>
      </c>
      <c r="C4" s="22" t="s">
        <v>53</v>
      </c>
      <c r="D4" s="22" t="s">
        <v>15</v>
      </c>
      <c r="E4" s="22" t="s">
        <v>6</v>
      </c>
      <c r="F4" s="20">
        <v>1000000</v>
      </c>
      <c r="G4" s="19" t="s">
        <v>395</v>
      </c>
      <c r="H4" s="22" t="s">
        <v>7</v>
      </c>
      <c r="I4" s="22" t="s">
        <v>82</v>
      </c>
      <c r="J4" s="22" t="s">
        <v>13</v>
      </c>
      <c r="K4" s="22" t="s">
        <v>9</v>
      </c>
      <c r="L4" s="46" t="s">
        <v>10</v>
      </c>
      <c r="M4" s="21" t="s">
        <v>16</v>
      </c>
      <c r="N4" s="53"/>
      <c r="O4" s="53"/>
      <c r="P4" s="53"/>
      <c r="Q4" s="53"/>
      <c r="R4" s="53"/>
      <c r="S4" s="53"/>
      <c r="T4" s="53"/>
      <c r="U4" s="53"/>
      <c r="V4" s="53"/>
      <c r="W4" s="53"/>
      <c r="X4" s="53"/>
      <c r="Y4" s="53"/>
      <c r="Z4" s="53"/>
      <c r="AA4" s="53"/>
      <c r="AB4" s="53"/>
      <c r="AC4" s="53"/>
      <c r="AD4" s="53"/>
      <c r="AE4" s="53"/>
      <c r="AF4" s="53"/>
      <c r="AG4" s="53"/>
      <c r="AH4" s="53"/>
      <c r="AI4" s="53"/>
      <c r="AJ4" s="53"/>
      <c r="AK4" s="53"/>
      <c r="AL4" s="53"/>
    </row>
    <row r="5" spans="1:38" s="2" customFormat="1" ht="45.75" customHeight="1" x14ac:dyDescent="0.35">
      <c r="A5" s="22"/>
      <c r="B5" s="22" t="s">
        <v>394</v>
      </c>
      <c r="C5" s="22" t="s">
        <v>53</v>
      </c>
      <c r="D5" s="17" t="s">
        <v>17</v>
      </c>
      <c r="E5" s="22" t="s">
        <v>6</v>
      </c>
      <c r="F5" s="20">
        <v>3500000</v>
      </c>
      <c r="G5" s="19" t="s">
        <v>395</v>
      </c>
      <c r="H5" s="22" t="s">
        <v>18</v>
      </c>
      <c r="I5" s="22" t="s">
        <v>83</v>
      </c>
      <c r="J5" s="22" t="s">
        <v>13</v>
      </c>
      <c r="K5" s="22" t="s">
        <v>19</v>
      </c>
      <c r="L5" s="46" t="s">
        <v>10</v>
      </c>
      <c r="M5" s="18" t="s">
        <v>20</v>
      </c>
      <c r="N5" s="51"/>
      <c r="O5" s="51"/>
      <c r="P5" s="51"/>
      <c r="Q5" s="51"/>
      <c r="R5" s="51"/>
      <c r="S5" s="51"/>
      <c r="T5" s="51"/>
      <c r="U5" s="51"/>
      <c r="V5" s="51"/>
      <c r="W5" s="51"/>
      <c r="X5" s="51"/>
      <c r="Y5" s="51"/>
      <c r="Z5" s="51"/>
      <c r="AA5" s="51"/>
      <c r="AB5" s="51"/>
      <c r="AC5" s="51"/>
      <c r="AD5" s="51"/>
      <c r="AE5" s="51"/>
      <c r="AF5" s="51"/>
      <c r="AG5" s="51"/>
      <c r="AH5" s="51"/>
      <c r="AI5" s="51"/>
      <c r="AJ5" s="51"/>
      <c r="AK5" s="51"/>
      <c r="AL5" s="51"/>
    </row>
    <row r="6" spans="1:38" s="3" customFormat="1" ht="41.25" customHeight="1" x14ac:dyDescent="0.35">
      <c r="A6" s="22"/>
      <c r="B6" s="22" t="s">
        <v>394</v>
      </c>
      <c r="C6" s="22" t="s">
        <v>53</v>
      </c>
      <c r="D6" s="21" t="s">
        <v>21</v>
      </c>
      <c r="E6" s="16" t="s">
        <v>6</v>
      </c>
      <c r="F6" s="15">
        <v>800000</v>
      </c>
      <c r="G6" s="19" t="s">
        <v>395</v>
      </c>
      <c r="H6" s="21" t="s">
        <v>22</v>
      </c>
      <c r="I6" s="16" t="s">
        <v>82</v>
      </c>
      <c r="J6" s="16" t="s">
        <v>8</v>
      </c>
      <c r="K6" s="16" t="s">
        <v>9</v>
      </c>
      <c r="L6" s="47" t="s">
        <v>10</v>
      </c>
      <c r="M6" s="21" t="s">
        <v>23</v>
      </c>
      <c r="N6" s="53"/>
      <c r="O6" s="53"/>
      <c r="P6" s="53"/>
      <c r="Q6" s="53"/>
      <c r="R6" s="53"/>
      <c r="S6" s="53"/>
      <c r="T6" s="53"/>
      <c r="U6" s="53"/>
      <c r="V6" s="53"/>
      <c r="W6" s="53"/>
      <c r="X6" s="53"/>
      <c r="Y6" s="53"/>
      <c r="Z6" s="53"/>
      <c r="AA6" s="53"/>
      <c r="AB6" s="53"/>
      <c r="AC6" s="53"/>
      <c r="AD6" s="53"/>
      <c r="AE6" s="53"/>
      <c r="AF6" s="53"/>
      <c r="AG6" s="53"/>
      <c r="AH6" s="53"/>
      <c r="AI6" s="53"/>
      <c r="AJ6" s="53"/>
      <c r="AK6" s="53"/>
      <c r="AL6" s="53"/>
    </row>
    <row r="7" spans="1:38" s="3" customFormat="1" ht="48.75" customHeight="1" x14ac:dyDescent="0.35">
      <c r="A7" s="22"/>
      <c r="B7" s="22" t="s">
        <v>394</v>
      </c>
      <c r="C7" s="22" t="s">
        <v>53</v>
      </c>
      <c r="D7" s="22" t="s">
        <v>24</v>
      </c>
      <c r="E7" s="22" t="s">
        <v>6</v>
      </c>
      <c r="F7" s="20">
        <v>1000000</v>
      </c>
      <c r="G7" s="19" t="s">
        <v>395</v>
      </c>
      <c r="H7" s="22" t="s">
        <v>7</v>
      </c>
      <c r="I7" s="22" t="s">
        <v>83</v>
      </c>
      <c r="J7" s="22" t="s">
        <v>13</v>
      </c>
      <c r="K7" s="22" t="s">
        <v>9</v>
      </c>
      <c r="L7" s="46" t="s">
        <v>10</v>
      </c>
      <c r="M7" s="22" t="s">
        <v>25</v>
      </c>
      <c r="N7" s="53"/>
      <c r="O7" s="53"/>
      <c r="P7" s="53"/>
      <c r="Q7" s="53"/>
      <c r="R7" s="53"/>
      <c r="S7" s="53"/>
      <c r="T7" s="53"/>
      <c r="U7" s="53"/>
      <c r="V7" s="53"/>
      <c r="W7" s="53"/>
      <c r="X7" s="53"/>
      <c r="Y7" s="53"/>
      <c r="Z7" s="53"/>
      <c r="AA7" s="53"/>
      <c r="AB7" s="53"/>
      <c r="AC7" s="53"/>
      <c r="AD7" s="53"/>
      <c r="AE7" s="53"/>
      <c r="AF7" s="53"/>
      <c r="AG7" s="53"/>
      <c r="AH7" s="53"/>
      <c r="AI7" s="53"/>
      <c r="AJ7" s="53"/>
      <c r="AK7" s="53"/>
      <c r="AL7" s="53"/>
    </row>
    <row r="8" spans="1:38" s="3" customFormat="1" ht="40.5" customHeight="1" x14ac:dyDescent="0.35">
      <c r="A8" s="22"/>
      <c r="B8" s="22" t="s">
        <v>394</v>
      </c>
      <c r="C8" s="22" t="s">
        <v>53</v>
      </c>
      <c r="D8" s="16" t="s">
        <v>26</v>
      </c>
      <c r="E8" s="13" t="s">
        <v>6</v>
      </c>
      <c r="F8" s="12">
        <v>1200000</v>
      </c>
      <c r="G8" s="19" t="s">
        <v>395</v>
      </c>
      <c r="H8" s="13" t="s">
        <v>7</v>
      </c>
      <c r="I8" s="13" t="s">
        <v>83</v>
      </c>
      <c r="J8" s="13" t="s">
        <v>8</v>
      </c>
      <c r="K8" s="13" t="s">
        <v>9</v>
      </c>
      <c r="L8" s="50" t="s">
        <v>10</v>
      </c>
      <c r="M8" s="14" t="s">
        <v>27</v>
      </c>
      <c r="N8" s="53"/>
      <c r="O8" s="53"/>
      <c r="P8" s="53"/>
      <c r="Q8" s="53"/>
      <c r="R8" s="53"/>
      <c r="S8" s="53"/>
      <c r="T8" s="53"/>
      <c r="U8" s="53"/>
      <c r="V8" s="53"/>
      <c r="W8" s="53"/>
      <c r="X8" s="53"/>
      <c r="Y8" s="53"/>
      <c r="Z8" s="53"/>
      <c r="AA8" s="53"/>
      <c r="AB8" s="53"/>
      <c r="AC8" s="53"/>
      <c r="AD8" s="53"/>
      <c r="AE8" s="53"/>
      <c r="AF8" s="53"/>
      <c r="AG8" s="53"/>
      <c r="AH8" s="53"/>
      <c r="AI8" s="53"/>
      <c r="AJ8" s="53"/>
      <c r="AK8" s="53"/>
      <c r="AL8" s="53"/>
    </row>
    <row r="9" spans="1:38" s="3" customFormat="1" ht="25" x14ac:dyDescent="0.35">
      <c r="A9" s="22"/>
      <c r="B9" s="22" t="s">
        <v>394</v>
      </c>
      <c r="C9" s="22" t="s">
        <v>53</v>
      </c>
      <c r="D9" s="22" t="s">
        <v>28</v>
      </c>
      <c r="E9" s="22" t="s">
        <v>6</v>
      </c>
      <c r="F9" s="20">
        <v>6500000</v>
      </c>
      <c r="G9" s="19" t="s">
        <v>395</v>
      </c>
      <c r="H9" s="22" t="s">
        <v>7</v>
      </c>
      <c r="I9" s="22" t="s">
        <v>82</v>
      </c>
      <c r="J9" s="22" t="s">
        <v>8</v>
      </c>
      <c r="K9" s="22" t="s">
        <v>9</v>
      </c>
      <c r="L9" s="46" t="s">
        <v>29</v>
      </c>
      <c r="M9" s="22" t="s">
        <v>30</v>
      </c>
      <c r="N9" s="53"/>
      <c r="O9" s="53"/>
      <c r="P9" s="53"/>
      <c r="Q9" s="53"/>
      <c r="R9" s="53"/>
      <c r="S9" s="53"/>
      <c r="T9" s="53"/>
      <c r="U9" s="53"/>
      <c r="V9" s="53"/>
      <c r="W9" s="53"/>
      <c r="X9" s="53"/>
      <c r="Y9" s="53"/>
      <c r="Z9" s="53"/>
      <c r="AA9" s="53"/>
      <c r="AB9" s="53"/>
      <c r="AC9" s="53"/>
      <c r="AD9" s="53"/>
      <c r="AE9" s="53"/>
      <c r="AF9" s="53"/>
      <c r="AG9" s="53"/>
      <c r="AH9" s="53"/>
      <c r="AI9" s="53"/>
      <c r="AJ9" s="53"/>
      <c r="AK9" s="53"/>
      <c r="AL9" s="53"/>
    </row>
    <row r="10" spans="1:38" s="3" customFormat="1" ht="25" x14ac:dyDescent="0.35">
      <c r="A10" s="22"/>
      <c r="B10" s="22" t="s">
        <v>394</v>
      </c>
      <c r="C10" s="22" t="s">
        <v>53</v>
      </c>
      <c r="D10" s="22" t="s">
        <v>31</v>
      </c>
      <c r="E10" s="22" t="s">
        <v>6</v>
      </c>
      <c r="F10" s="20">
        <v>6500000</v>
      </c>
      <c r="G10" s="19" t="s">
        <v>395</v>
      </c>
      <c r="H10" s="22" t="s">
        <v>7</v>
      </c>
      <c r="I10" s="22" t="s">
        <v>82</v>
      </c>
      <c r="J10" s="22" t="s">
        <v>8</v>
      </c>
      <c r="K10" s="22" t="s">
        <v>9</v>
      </c>
      <c r="L10" s="46" t="s">
        <v>29</v>
      </c>
      <c r="M10" s="22" t="s">
        <v>32</v>
      </c>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row>
    <row r="11" spans="1:38" s="3" customFormat="1" ht="25" x14ac:dyDescent="0.35">
      <c r="A11" s="22"/>
      <c r="B11" s="22" t="s">
        <v>394</v>
      </c>
      <c r="C11" s="22" t="s">
        <v>53</v>
      </c>
      <c r="D11" s="22" t="s">
        <v>33</v>
      </c>
      <c r="E11" s="22" t="s">
        <v>6</v>
      </c>
      <c r="F11" s="20">
        <v>1600000</v>
      </c>
      <c r="G11" s="19" t="s">
        <v>395</v>
      </c>
      <c r="H11" s="22" t="s">
        <v>22</v>
      </c>
      <c r="I11" s="22" t="s">
        <v>83</v>
      </c>
      <c r="J11" s="22" t="s">
        <v>8</v>
      </c>
      <c r="K11" s="22" t="s">
        <v>9</v>
      </c>
      <c r="L11" s="46" t="s">
        <v>29</v>
      </c>
      <c r="M11" s="22" t="s">
        <v>34</v>
      </c>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row>
    <row r="12" spans="1:38" s="3" customFormat="1" ht="25" x14ac:dyDescent="0.35">
      <c r="A12" s="22"/>
      <c r="B12" s="22" t="s">
        <v>394</v>
      </c>
      <c r="C12" s="22" t="s">
        <v>53</v>
      </c>
      <c r="D12" s="16" t="s">
        <v>35</v>
      </c>
      <c r="E12" s="16" t="s">
        <v>6</v>
      </c>
      <c r="F12" s="11">
        <v>3500000</v>
      </c>
      <c r="G12" s="19" t="s">
        <v>395</v>
      </c>
      <c r="H12" s="16" t="s">
        <v>7</v>
      </c>
      <c r="I12" s="16" t="s">
        <v>83</v>
      </c>
      <c r="J12" s="16" t="s">
        <v>8</v>
      </c>
      <c r="K12" s="16" t="s">
        <v>9</v>
      </c>
      <c r="L12" s="49" t="s">
        <v>29</v>
      </c>
      <c r="M12" s="14" t="s">
        <v>36</v>
      </c>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row>
    <row r="13" spans="1:38" s="3" customFormat="1" ht="37.5" x14ac:dyDescent="0.35">
      <c r="A13" s="22"/>
      <c r="B13" s="22" t="s">
        <v>394</v>
      </c>
      <c r="C13" s="22" t="s">
        <v>53</v>
      </c>
      <c r="D13" s="22" t="s">
        <v>37</v>
      </c>
      <c r="E13" s="22" t="s">
        <v>6</v>
      </c>
      <c r="F13" s="20">
        <v>1100000</v>
      </c>
      <c r="G13" s="19" t="s">
        <v>395</v>
      </c>
      <c r="H13" s="22" t="s">
        <v>22</v>
      </c>
      <c r="I13" s="22" t="s">
        <v>82</v>
      </c>
      <c r="J13" s="22" t="s">
        <v>8</v>
      </c>
      <c r="K13" s="22" t="s">
        <v>9</v>
      </c>
      <c r="L13" s="46" t="s">
        <v>29</v>
      </c>
      <c r="M13" s="22" t="s">
        <v>38</v>
      </c>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row>
    <row r="14" spans="1:38" s="3" customFormat="1" ht="31.5" customHeight="1" x14ac:dyDescent="0.35">
      <c r="A14" s="22"/>
      <c r="B14" s="22" t="s">
        <v>394</v>
      </c>
      <c r="C14" s="22" t="s">
        <v>53</v>
      </c>
      <c r="D14" s="22" t="s">
        <v>39</v>
      </c>
      <c r="E14" s="22" t="s">
        <v>77</v>
      </c>
      <c r="F14" s="20">
        <v>500000</v>
      </c>
      <c r="G14" s="19" t="s">
        <v>395</v>
      </c>
      <c r="H14" s="22" t="s">
        <v>7</v>
      </c>
      <c r="I14" s="22" t="s">
        <v>82</v>
      </c>
      <c r="J14" s="22" t="s">
        <v>13</v>
      </c>
      <c r="K14" s="22" t="s">
        <v>19</v>
      </c>
      <c r="L14" s="46" t="s">
        <v>29</v>
      </c>
      <c r="M14" s="22" t="s">
        <v>40</v>
      </c>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row>
    <row r="15" spans="1:38" s="4" customFormat="1" ht="40.5" customHeight="1" x14ac:dyDescent="0.35">
      <c r="A15" s="22"/>
      <c r="B15" s="22" t="s">
        <v>394</v>
      </c>
      <c r="C15" s="22" t="s">
        <v>53</v>
      </c>
      <c r="D15" s="16" t="s">
        <v>41</v>
      </c>
      <c r="E15" s="16" t="s">
        <v>77</v>
      </c>
      <c r="F15" s="11">
        <v>2600000</v>
      </c>
      <c r="G15" s="19" t="s">
        <v>395</v>
      </c>
      <c r="H15" s="16" t="s">
        <v>42</v>
      </c>
      <c r="I15" s="22" t="s">
        <v>82</v>
      </c>
      <c r="J15" s="16" t="s">
        <v>43</v>
      </c>
      <c r="K15" s="22" t="s">
        <v>19</v>
      </c>
      <c r="L15" s="46" t="s">
        <v>29</v>
      </c>
      <c r="M15" s="14" t="s">
        <v>44</v>
      </c>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row>
    <row r="16" spans="1:38" s="3" customFormat="1" ht="43.5" customHeight="1" x14ac:dyDescent="0.35">
      <c r="A16" s="22"/>
      <c r="B16" s="22" t="s">
        <v>394</v>
      </c>
      <c r="C16" s="22" t="s">
        <v>53</v>
      </c>
      <c r="D16" s="16" t="s">
        <v>45</v>
      </c>
      <c r="E16" s="16" t="s">
        <v>77</v>
      </c>
      <c r="F16" s="11">
        <v>1800000</v>
      </c>
      <c r="G16" s="19" t="s">
        <v>395</v>
      </c>
      <c r="H16" s="16" t="s">
        <v>22</v>
      </c>
      <c r="I16" s="16" t="s">
        <v>83</v>
      </c>
      <c r="J16" s="22" t="s">
        <v>13</v>
      </c>
      <c r="K16" s="22" t="s">
        <v>19</v>
      </c>
      <c r="L16" s="46" t="s">
        <v>29</v>
      </c>
      <c r="M16" s="14" t="s">
        <v>46</v>
      </c>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row>
    <row r="17" spans="1:38" s="3" customFormat="1" ht="25" x14ac:dyDescent="0.35">
      <c r="A17" s="22"/>
      <c r="B17" s="22" t="s">
        <v>394</v>
      </c>
      <c r="C17" s="22" t="s">
        <v>53</v>
      </c>
      <c r="D17" s="22" t="s">
        <v>47</v>
      </c>
      <c r="E17" s="16" t="s">
        <v>77</v>
      </c>
      <c r="F17" s="11">
        <v>180000</v>
      </c>
      <c r="G17" s="19" t="s">
        <v>395</v>
      </c>
      <c r="H17" s="16" t="s">
        <v>42</v>
      </c>
      <c r="I17" s="16" t="s">
        <v>82</v>
      </c>
      <c r="J17" s="22" t="s">
        <v>48</v>
      </c>
      <c r="K17" s="22" t="s">
        <v>19</v>
      </c>
      <c r="L17" s="46" t="s">
        <v>29</v>
      </c>
      <c r="M17" s="21" t="s">
        <v>49</v>
      </c>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row>
    <row r="18" spans="1:38" s="3" customFormat="1" ht="37.5" x14ac:dyDescent="0.25">
      <c r="A18" s="22"/>
      <c r="B18" s="22" t="s">
        <v>394</v>
      </c>
      <c r="C18" s="22" t="s">
        <v>53</v>
      </c>
      <c r="D18" s="22" t="s">
        <v>50</v>
      </c>
      <c r="E18" s="10" t="s">
        <v>77</v>
      </c>
      <c r="F18" s="90">
        <v>4500000</v>
      </c>
      <c r="G18" s="19" t="s">
        <v>395</v>
      </c>
      <c r="H18" s="22" t="s">
        <v>42</v>
      </c>
      <c r="I18" s="10" t="s">
        <v>82</v>
      </c>
      <c r="J18" s="22" t="s">
        <v>51</v>
      </c>
      <c r="K18" s="10" t="s">
        <v>19</v>
      </c>
      <c r="L18" s="58" t="s">
        <v>29</v>
      </c>
      <c r="M18" s="22" t="s">
        <v>52</v>
      </c>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row>
    <row r="19" spans="1:38" s="5" customFormat="1" ht="37.5" x14ac:dyDescent="0.35">
      <c r="A19" s="22"/>
      <c r="B19" s="22" t="s">
        <v>394</v>
      </c>
      <c r="C19" s="22" t="s">
        <v>127</v>
      </c>
      <c r="D19" s="22" t="s">
        <v>54</v>
      </c>
      <c r="E19" s="22" t="s">
        <v>6</v>
      </c>
      <c r="F19" s="11">
        <v>4000000</v>
      </c>
      <c r="G19" s="19" t="s">
        <v>395</v>
      </c>
      <c r="H19" s="22" t="s">
        <v>42</v>
      </c>
      <c r="I19" s="22" t="s">
        <v>81</v>
      </c>
      <c r="J19" s="22" t="s">
        <v>86</v>
      </c>
      <c r="K19" s="22" t="s">
        <v>9</v>
      </c>
      <c r="L19" s="46" t="s">
        <v>103</v>
      </c>
      <c r="M19" s="22" t="s">
        <v>104</v>
      </c>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row>
    <row r="20" spans="1:38" s="5" customFormat="1" ht="62.5" x14ac:dyDescent="0.35">
      <c r="A20" s="22"/>
      <c r="B20" s="22" t="s">
        <v>394</v>
      </c>
      <c r="C20" s="22" t="s">
        <v>127</v>
      </c>
      <c r="D20" s="22" t="s">
        <v>55</v>
      </c>
      <c r="E20" s="22" t="s">
        <v>6</v>
      </c>
      <c r="F20" s="11">
        <v>4400000</v>
      </c>
      <c r="G20" s="19" t="s">
        <v>395</v>
      </c>
      <c r="H20" s="22" t="s">
        <v>42</v>
      </c>
      <c r="I20" s="22" t="s">
        <v>82</v>
      </c>
      <c r="J20" s="22" t="s">
        <v>87</v>
      </c>
      <c r="K20" s="22" t="s">
        <v>9</v>
      </c>
      <c r="L20" s="46" t="s">
        <v>103</v>
      </c>
      <c r="M20" s="22" t="s">
        <v>105</v>
      </c>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row>
    <row r="21" spans="1:38" s="5" customFormat="1" ht="125" x14ac:dyDescent="0.35">
      <c r="A21" s="22"/>
      <c r="B21" s="22" t="s">
        <v>394</v>
      </c>
      <c r="C21" s="22" t="s">
        <v>127</v>
      </c>
      <c r="D21" s="22" t="s">
        <v>56</v>
      </c>
      <c r="E21" s="22" t="s">
        <v>6</v>
      </c>
      <c r="F21" s="11">
        <v>8000000</v>
      </c>
      <c r="G21" s="19" t="s">
        <v>395</v>
      </c>
      <c r="H21" s="22" t="s">
        <v>42</v>
      </c>
      <c r="I21" s="22" t="s">
        <v>83</v>
      </c>
      <c r="J21" s="22" t="s">
        <v>88</v>
      </c>
      <c r="K21" s="22" t="s">
        <v>9</v>
      </c>
      <c r="L21" s="46" t="s">
        <v>103</v>
      </c>
      <c r="M21" s="22" t="s">
        <v>106</v>
      </c>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row>
    <row r="22" spans="1:38" s="6" customFormat="1" ht="25" x14ac:dyDescent="0.35">
      <c r="A22" s="40" t="s">
        <v>131</v>
      </c>
      <c r="B22" s="22" t="s">
        <v>394</v>
      </c>
      <c r="C22" s="22" t="s">
        <v>127</v>
      </c>
      <c r="D22" s="22" t="s">
        <v>57</v>
      </c>
      <c r="E22" s="22" t="s">
        <v>77</v>
      </c>
      <c r="F22" s="27">
        <v>216000</v>
      </c>
      <c r="G22" s="19" t="s">
        <v>395</v>
      </c>
      <c r="H22" s="22"/>
      <c r="I22" s="22"/>
      <c r="J22" s="22" t="s">
        <v>89</v>
      </c>
      <c r="K22" s="22" t="s">
        <v>9</v>
      </c>
      <c r="L22" s="46" t="s">
        <v>107</v>
      </c>
      <c r="M22" s="22"/>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row>
    <row r="23" spans="1:38" s="5" customFormat="1" ht="50" x14ac:dyDescent="0.35">
      <c r="A23" s="22"/>
      <c r="B23" s="22" t="s">
        <v>394</v>
      </c>
      <c r="C23" s="22" t="s">
        <v>127</v>
      </c>
      <c r="D23" s="22" t="s">
        <v>58</v>
      </c>
      <c r="E23" s="22" t="s">
        <v>6</v>
      </c>
      <c r="F23" s="11">
        <v>4000000</v>
      </c>
      <c r="G23" s="19" t="s">
        <v>395</v>
      </c>
      <c r="H23" s="22" t="s">
        <v>7</v>
      </c>
      <c r="I23" s="22" t="s">
        <v>82</v>
      </c>
      <c r="J23" s="22" t="s">
        <v>90</v>
      </c>
      <c r="K23" s="22" t="s">
        <v>19</v>
      </c>
      <c r="L23" s="46" t="s">
        <v>103</v>
      </c>
      <c r="M23" s="22" t="s">
        <v>108</v>
      </c>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row>
    <row r="24" spans="1:38" s="5" customFormat="1" ht="62.5" x14ac:dyDescent="0.35">
      <c r="A24" s="22"/>
      <c r="B24" s="22" t="s">
        <v>394</v>
      </c>
      <c r="C24" s="22" t="s">
        <v>127</v>
      </c>
      <c r="D24" s="22" t="s">
        <v>59</v>
      </c>
      <c r="E24" s="22" t="s">
        <v>78</v>
      </c>
      <c r="F24" s="11">
        <v>3000000</v>
      </c>
      <c r="G24" s="19" t="s">
        <v>395</v>
      </c>
      <c r="H24" s="22" t="s">
        <v>7</v>
      </c>
      <c r="I24" s="22" t="s">
        <v>82</v>
      </c>
      <c r="J24" s="22" t="s">
        <v>91</v>
      </c>
      <c r="K24" s="22" t="s">
        <v>19</v>
      </c>
      <c r="L24" s="46" t="s">
        <v>103</v>
      </c>
      <c r="M24" s="22" t="s">
        <v>109</v>
      </c>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row>
    <row r="25" spans="1:38" s="5" customFormat="1" ht="75" x14ac:dyDescent="0.35">
      <c r="A25" s="22"/>
      <c r="B25" s="22" t="s">
        <v>394</v>
      </c>
      <c r="C25" s="22" t="s">
        <v>127</v>
      </c>
      <c r="D25" s="22" t="s">
        <v>60</v>
      </c>
      <c r="E25" s="22" t="s">
        <v>78</v>
      </c>
      <c r="F25" s="11">
        <v>4000000</v>
      </c>
      <c r="G25" s="19" t="s">
        <v>395</v>
      </c>
      <c r="H25" s="22" t="s">
        <v>42</v>
      </c>
      <c r="I25" s="22" t="s">
        <v>83</v>
      </c>
      <c r="J25" s="22" t="s">
        <v>92</v>
      </c>
      <c r="K25" s="22" t="s">
        <v>19</v>
      </c>
      <c r="L25" s="46" t="s">
        <v>103</v>
      </c>
      <c r="M25" s="22" t="s">
        <v>110</v>
      </c>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row>
    <row r="26" spans="1:38" s="5" customFormat="1" ht="75" x14ac:dyDescent="0.35">
      <c r="A26" s="22"/>
      <c r="B26" s="22" t="s">
        <v>394</v>
      </c>
      <c r="C26" s="22" t="s">
        <v>127</v>
      </c>
      <c r="D26" s="22" t="s">
        <v>61</v>
      </c>
      <c r="E26" s="22" t="s">
        <v>6</v>
      </c>
      <c r="F26" s="11">
        <v>900000</v>
      </c>
      <c r="G26" s="19" t="s">
        <v>395</v>
      </c>
      <c r="H26" s="22" t="s">
        <v>22</v>
      </c>
      <c r="I26" s="22" t="s">
        <v>81</v>
      </c>
      <c r="J26" s="22" t="s">
        <v>93</v>
      </c>
      <c r="K26" s="22" t="s">
        <v>19</v>
      </c>
      <c r="L26" s="46" t="s">
        <v>107</v>
      </c>
      <c r="M26" s="22" t="s">
        <v>111</v>
      </c>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row>
    <row r="27" spans="1:38" s="5" customFormat="1" ht="37.5" x14ac:dyDescent="0.35">
      <c r="A27" s="22"/>
      <c r="B27" s="22" t="s">
        <v>394</v>
      </c>
      <c r="C27" s="22" t="s">
        <v>127</v>
      </c>
      <c r="D27" s="22" t="s">
        <v>62</v>
      </c>
      <c r="E27" s="22" t="s">
        <v>6</v>
      </c>
      <c r="F27" s="11">
        <v>200000</v>
      </c>
      <c r="G27" s="19" t="s">
        <v>395</v>
      </c>
      <c r="H27" s="22" t="s">
        <v>22</v>
      </c>
      <c r="I27" s="22" t="s">
        <v>84</v>
      </c>
      <c r="J27" s="22" t="s">
        <v>94</v>
      </c>
      <c r="K27" s="22" t="s">
        <v>19</v>
      </c>
      <c r="L27" s="46" t="s">
        <v>103</v>
      </c>
      <c r="M27" s="22" t="s">
        <v>112</v>
      </c>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row>
    <row r="28" spans="1:38" s="5" customFormat="1" ht="87.5" x14ac:dyDescent="0.35">
      <c r="A28" s="22"/>
      <c r="B28" s="22" t="s">
        <v>394</v>
      </c>
      <c r="C28" s="22" t="s">
        <v>127</v>
      </c>
      <c r="D28" s="22" t="s">
        <v>63</v>
      </c>
      <c r="E28" s="22" t="s">
        <v>78</v>
      </c>
      <c r="F28" s="11">
        <v>2000000</v>
      </c>
      <c r="G28" s="19" t="s">
        <v>395</v>
      </c>
      <c r="H28" s="22" t="s">
        <v>7</v>
      </c>
      <c r="I28" s="22" t="s">
        <v>83</v>
      </c>
      <c r="J28" s="22" t="s">
        <v>95</v>
      </c>
      <c r="K28" s="22" t="s">
        <v>19</v>
      </c>
      <c r="L28" s="46" t="s">
        <v>103</v>
      </c>
      <c r="M28" s="22" t="s">
        <v>113</v>
      </c>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row>
    <row r="29" spans="1:38" s="6" customFormat="1" ht="75.75" customHeight="1" x14ac:dyDescent="0.35">
      <c r="A29" s="40" t="s">
        <v>129</v>
      </c>
      <c r="B29" s="22" t="s">
        <v>394</v>
      </c>
      <c r="C29" s="22" t="s">
        <v>127</v>
      </c>
      <c r="D29" s="22" t="s">
        <v>64</v>
      </c>
      <c r="E29" s="22" t="s">
        <v>77</v>
      </c>
      <c r="F29" s="27">
        <v>120000</v>
      </c>
      <c r="G29" s="19" t="s">
        <v>395</v>
      </c>
      <c r="H29" s="22" t="s">
        <v>7</v>
      </c>
      <c r="I29" s="22" t="s">
        <v>81</v>
      </c>
      <c r="J29" s="22" t="s">
        <v>95</v>
      </c>
      <c r="K29" s="22"/>
      <c r="L29" s="46" t="s">
        <v>103</v>
      </c>
      <c r="M29" s="22" t="s">
        <v>114</v>
      </c>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row>
    <row r="30" spans="1:38" s="6" customFormat="1" ht="51.75" customHeight="1" x14ac:dyDescent="0.35">
      <c r="A30" s="40" t="s">
        <v>129</v>
      </c>
      <c r="B30" s="22" t="s">
        <v>394</v>
      </c>
      <c r="C30" s="22" t="s">
        <v>127</v>
      </c>
      <c r="D30" s="22" t="s">
        <v>65</v>
      </c>
      <c r="E30" s="22" t="s">
        <v>77</v>
      </c>
      <c r="F30" s="27">
        <v>180000</v>
      </c>
      <c r="G30" s="19" t="s">
        <v>395</v>
      </c>
      <c r="H30" s="22" t="s">
        <v>7</v>
      </c>
      <c r="I30" s="22" t="s">
        <v>81</v>
      </c>
      <c r="J30" s="22" t="s">
        <v>96</v>
      </c>
      <c r="K30" s="22"/>
      <c r="L30" s="46" t="s">
        <v>103</v>
      </c>
      <c r="M30" s="22" t="s">
        <v>115</v>
      </c>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row>
    <row r="31" spans="1:38" s="6" customFormat="1" ht="58.5" customHeight="1" x14ac:dyDescent="0.35">
      <c r="A31" s="40" t="s">
        <v>129</v>
      </c>
      <c r="B31" s="22" t="s">
        <v>394</v>
      </c>
      <c r="C31" s="22" t="s">
        <v>127</v>
      </c>
      <c r="D31" s="22" t="s">
        <v>66</v>
      </c>
      <c r="E31" s="22" t="s">
        <v>77</v>
      </c>
      <c r="F31" s="27">
        <v>150000</v>
      </c>
      <c r="G31" s="19" t="s">
        <v>395</v>
      </c>
      <c r="H31" s="22" t="s">
        <v>7</v>
      </c>
      <c r="I31" s="22" t="s">
        <v>81</v>
      </c>
      <c r="J31" s="22" t="s">
        <v>96</v>
      </c>
      <c r="K31" s="22"/>
      <c r="L31" s="46" t="s">
        <v>103</v>
      </c>
      <c r="M31" s="22" t="s">
        <v>116</v>
      </c>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row>
    <row r="32" spans="1:38" s="5" customFormat="1" ht="62.5" x14ac:dyDescent="0.35">
      <c r="A32" s="22"/>
      <c r="B32" s="22" t="s">
        <v>394</v>
      </c>
      <c r="C32" s="22" t="s">
        <v>127</v>
      </c>
      <c r="D32" s="22" t="s">
        <v>67</v>
      </c>
      <c r="E32" s="22" t="s">
        <v>78</v>
      </c>
      <c r="F32" s="11">
        <v>3000000</v>
      </c>
      <c r="G32" s="19" t="s">
        <v>395</v>
      </c>
      <c r="H32" s="22" t="s">
        <v>7</v>
      </c>
      <c r="I32" s="22" t="s">
        <v>83</v>
      </c>
      <c r="J32" s="22" t="s">
        <v>96</v>
      </c>
      <c r="K32" s="22" t="s">
        <v>19</v>
      </c>
      <c r="L32" s="46" t="s">
        <v>103</v>
      </c>
      <c r="M32" s="22" t="s">
        <v>117</v>
      </c>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row>
    <row r="33" spans="1:38" s="6" customFormat="1" ht="55.5" customHeight="1" x14ac:dyDescent="0.35">
      <c r="A33" s="40" t="s">
        <v>130</v>
      </c>
      <c r="B33" s="22" t="s">
        <v>394</v>
      </c>
      <c r="C33" s="22" t="s">
        <v>127</v>
      </c>
      <c r="D33" s="22" t="s">
        <v>68</v>
      </c>
      <c r="E33" s="22" t="s">
        <v>78</v>
      </c>
      <c r="F33" s="27">
        <v>4800000</v>
      </c>
      <c r="G33" s="19" t="s">
        <v>395</v>
      </c>
      <c r="H33" s="22" t="s">
        <v>7</v>
      </c>
      <c r="I33" s="22" t="s">
        <v>85</v>
      </c>
      <c r="J33" s="22" t="s">
        <v>97</v>
      </c>
      <c r="K33" s="22" t="s">
        <v>19</v>
      </c>
      <c r="L33" s="46" t="s">
        <v>103</v>
      </c>
      <c r="M33" s="22" t="s">
        <v>118</v>
      </c>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row>
    <row r="34" spans="1:38" s="5" customFormat="1" ht="87.5" x14ac:dyDescent="0.35">
      <c r="A34" s="22"/>
      <c r="B34" s="22" t="s">
        <v>394</v>
      </c>
      <c r="C34" s="22" t="s">
        <v>127</v>
      </c>
      <c r="D34" s="22" t="s">
        <v>69</v>
      </c>
      <c r="E34" s="22" t="s">
        <v>78</v>
      </c>
      <c r="F34" s="11">
        <v>2000000</v>
      </c>
      <c r="G34" s="19" t="s">
        <v>395</v>
      </c>
      <c r="H34" s="22" t="s">
        <v>7</v>
      </c>
      <c r="I34" s="22" t="s">
        <v>83</v>
      </c>
      <c r="J34" s="22" t="s">
        <v>98</v>
      </c>
      <c r="K34" s="22" t="s">
        <v>19</v>
      </c>
      <c r="L34" s="46" t="s">
        <v>103</v>
      </c>
      <c r="M34" s="22" t="s">
        <v>119</v>
      </c>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row>
    <row r="35" spans="1:38" s="5" customFormat="1" ht="37.5" x14ac:dyDescent="0.35">
      <c r="A35" s="22"/>
      <c r="B35" s="22" t="s">
        <v>394</v>
      </c>
      <c r="C35" s="22" t="s">
        <v>127</v>
      </c>
      <c r="D35" s="22" t="s">
        <v>70</v>
      </c>
      <c r="E35" s="22" t="s">
        <v>6</v>
      </c>
      <c r="F35" s="11">
        <v>5000000</v>
      </c>
      <c r="G35" s="19" t="s">
        <v>395</v>
      </c>
      <c r="H35" s="22" t="s">
        <v>22</v>
      </c>
      <c r="I35" s="22" t="s">
        <v>82</v>
      </c>
      <c r="J35" s="22" t="s">
        <v>99</v>
      </c>
      <c r="K35" s="22" t="s">
        <v>9</v>
      </c>
      <c r="L35" s="46" t="s">
        <v>103</v>
      </c>
      <c r="M35" s="22" t="s">
        <v>120</v>
      </c>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row>
    <row r="36" spans="1:38" s="5" customFormat="1" ht="37.5" x14ac:dyDescent="0.35">
      <c r="A36" s="22"/>
      <c r="B36" s="22" t="s">
        <v>394</v>
      </c>
      <c r="C36" s="22" t="s">
        <v>127</v>
      </c>
      <c r="D36" s="22" t="s">
        <v>71</v>
      </c>
      <c r="E36" s="22" t="s">
        <v>6</v>
      </c>
      <c r="F36" s="11">
        <v>8000000</v>
      </c>
      <c r="G36" s="19" t="s">
        <v>395</v>
      </c>
      <c r="H36" s="22" t="s">
        <v>22</v>
      </c>
      <c r="I36" s="22" t="s">
        <v>82</v>
      </c>
      <c r="J36" s="22" t="s">
        <v>100</v>
      </c>
      <c r="K36" s="22" t="s">
        <v>9</v>
      </c>
      <c r="L36" s="46" t="s">
        <v>103</v>
      </c>
      <c r="M36" s="22" t="s">
        <v>121</v>
      </c>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row>
    <row r="37" spans="1:38" s="5" customFormat="1" ht="25" x14ac:dyDescent="0.35">
      <c r="A37" s="22"/>
      <c r="B37" s="22" t="s">
        <v>394</v>
      </c>
      <c r="C37" s="22" t="s">
        <v>127</v>
      </c>
      <c r="D37" s="22" t="s">
        <v>72</v>
      </c>
      <c r="E37" s="22" t="s">
        <v>77</v>
      </c>
      <c r="F37" s="27">
        <v>500000</v>
      </c>
      <c r="G37" s="19" t="s">
        <v>395</v>
      </c>
      <c r="H37" s="22" t="s">
        <v>79</v>
      </c>
      <c r="I37" s="22" t="s">
        <v>84</v>
      </c>
      <c r="J37" s="22" t="s">
        <v>101</v>
      </c>
      <c r="K37" s="22" t="s">
        <v>9</v>
      </c>
      <c r="L37" s="46" t="s">
        <v>107</v>
      </c>
      <c r="M37" s="22" t="s">
        <v>122</v>
      </c>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row>
    <row r="38" spans="1:38" s="6" customFormat="1" ht="37.5" x14ac:dyDescent="0.35">
      <c r="A38" s="40" t="s">
        <v>131</v>
      </c>
      <c r="B38" s="22" t="s">
        <v>394</v>
      </c>
      <c r="C38" s="22" t="s">
        <v>127</v>
      </c>
      <c r="D38" s="22" t="s">
        <v>73</v>
      </c>
      <c r="E38" s="22" t="s">
        <v>77</v>
      </c>
      <c r="F38" s="27">
        <v>318960</v>
      </c>
      <c r="G38" s="19" t="s">
        <v>395</v>
      </c>
      <c r="H38" s="22" t="s">
        <v>80</v>
      </c>
      <c r="I38" s="22" t="s">
        <v>82</v>
      </c>
      <c r="J38" s="22" t="s">
        <v>101</v>
      </c>
      <c r="K38" s="22" t="s">
        <v>9</v>
      </c>
      <c r="L38" s="46" t="s">
        <v>107</v>
      </c>
      <c r="M38" s="22" t="s">
        <v>123</v>
      </c>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row>
    <row r="39" spans="1:38" s="6" customFormat="1" ht="37.5" x14ac:dyDescent="0.35">
      <c r="A39" s="40" t="s">
        <v>131</v>
      </c>
      <c r="B39" s="22" t="s">
        <v>394</v>
      </c>
      <c r="C39" s="22" t="s">
        <v>127</v>
      </c>
      <c r="D39" s="22" t="s">
        <v>74</v>
      </c>
      <c r="E39" s="22" t="s">
        <v>77</v>
      </c>
      <c r="F39" s="27">
        <v>838800</v>
      </c>
      <c r="G39" s="19" t="s">
        <v>395</v>
      </c>
      <c r="H39" s="22" t="s">
        <v>80</v>
      </c>
      <c r="I39" s="22" t="s">
        <v>83</v>
      </c>
      <c r="J39" s="22" t="s">
        <v>99</v>
      </c>
      <c r="K39" s="22" t="s">
        <v>9</v>
      </c>
      <c r="L39" s="46" t="s">
        <v>107</v>
      </c>
      <c r="M39" s="22" t="s">
        <v>124</v>
      </c>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row>
    <row r="40" spans="1:38" s="6" customFormat="1" ht="25" x14ac:dyDescent="0.35">
      <c r="A40" s="40" t="s">
        <v>131</v>
      </c>
      <c r="B40" s="22" t="s">
        <v>394</v>
      </c>
      <c r="C40" s="22" t="s">
        <v>127</v>
      </c>
      <c r="D40" s="22" t="s">
        <v>75</v>
      </c>
      <c r="E40" s="22" t="s">
        <v>77</v>
      </c>
      <c r="F40" s="27">
        <v>984600</v>
      </c>
      <c r="G40" s="19" t="s">
        <v>395</v>
      </c>
      <c r="H40" s="22"/>
      <c r="I40" s="22"/>
      <c r="J40" s="22"/>
      <c r="K40" s="22"/>
      <c r="L40" s="46" t="s">
        <v>107</v>
      </c>
      <c r="M40" s="22" t="s">
        <v>125</v>
      </c>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row>
    <row r="41" spans="1:38" s="5" customFormat="1" ht="37.5" x14ac:dyDescent="0.35">
      <c r="A41" s="22"/>
      <c r="B41" s="22" t="s">
        <v>394</v>
      </c>
      <c r="C41" s="22" t="s">
        <v>127</v>
      </c>
      <c r="D41" s="22" t="s">
        <v>76</v>
      </c>
      <c r="E41" s="22" t="s">
        <v>77</v>
      </c>
      <c r="F41" s="27">
        <v>934000</v>
      </c>
      <c r="G41" s="19" t="s">
        <v>395</v>
      </c>
      <c r="H41" s="22" t="s">
        <v>22</v>
      </c>
      <c r="I41" s="22" t="s">
        <v>82</v>
      </c>
      <c r="J41" s="22" t="s">
        <v>102</v>
      </c>
      <c r="K41" s="22" t="s">
        <v>9</v>
      </c>
      <c r="L41" s="46" t="s">
        <v>107</v>
      </c>
      <c r="M41" s="22" t="s">
        <v>126</v>
      </c>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row>
    <row r="42" spans="1:38" ht="37.5" x14ac:dyDescent="0.35">
      <c r="A42" s="43" t="s">
        <v>420</v>
      </c>
      <c r="B42" s="29" t="s">
        <v>144</v>
      </c>
      <c r="C42" s="29"/>
      <c r="D42" s="29" t="s">
        <v>132</v>
      </c>
      <c r="E42" s="29" t="s">
        <v>77</v>
      </c>
      <c r="F42" s="29">
        <v>360000</v>
      </c>
      <c r="G42" s="38" t="s">
        <v>395</v>
      </c>
      <c r="H42" s="29"/>
      <c r="I42" s="29" t="s">
        <v>82</v>
      </c>
      <c r="J42" s="29" t="s">
        <v>134</v>
      </c>
      <c r="K42" s="29" t="s">
        <v>135</v>
      </c>
      <c r="L42" s="45" t="s">
        <v>136</v>
      </c>
      <c r="M42" s="29" t="s">
        <v>137</v>
      </c>
    </row>
    <row r="43" spans="1:38" ht="37.5" x14ac:dyDescent="0.35">
      <c r="A43" s="9"/>
      <c r="B43" s="22" t="s">
        <v>144</v>
      </c>
      <c r="C43" s="22"/>
      <c r="D43" s="22" t="s">
        <v>138</v>
      </c>
      <c r="E43" s="22" t="s">
        <v>77</v>
      </c>
      <c r="F43" s="22">
        <v>600000</v>
      </c>
      <c r="G43" s="19" t="s">
        <v>395</v>
      </c>
      <c r="H43" s="22"/>
      <c r="I43" s="22" t="s">
        <v>82</v>
      </c>
      <c r="J43" s="22" t="s">
        <v>139</v>
      </c>
      <c r="K43" s="22" t="s">
        <v>135</v>
      </c>
      <c r="L43" s="46" t="s">
        <v>136</v>
      </c>
      <c r="M43" s="22" t="s">
        <v>140</v>
      </c>
    </row>
    <row r="44" spans="1:38" ht="62.5" x14ac:dyDescent="0.35">
      <c r="A44" s="9"/>
      <c r="B44" s="22" t="s">
        <v>144</v>
      </c>
      <c r="C44" s="22"/>
      <c r="D44" s="8" t="s">
        <v>141</v>
      </c>
      <c r="E44" s="8" t="s">
        <v>77</v>
      </c>
      <c r="F44" s="8">
        <v>2600000</v>
      </c>
      <c r="G44" s="19" t="s">
        <v>395</v>
      </c>
      <c r="H44" s="8"/>
      <c r="I44" s="22" t="s">
        <v>81</v>
      </c>
      <c r="J44" s="8" t="s">
        <v>142</v>
      </c>
      <c r="K44" s="8" t="s">
        <v>135</v>
      </c>
      <c r="L44" s="48" t="s">
        <v>136</v>
      </c>
      <c r="M44" s="8" t="s">
        <v>143</v>
      </c>
    </row>
    <row r="45" spans="1:38" ht="37.5" x14ac:dyDescent="0.35">
      <c r="A45" s="95" t="s">
        <v>419</v>
      </c>
      <c r="B45" s="29" t="s">
        <v>156</v>
      </c>
      <c r="C45" s="29"/>
      <c r="D45" s="29" t="s">
        <v>145</v>
      </c>
      <c r="E45" s="31" t="s">
        <v>77</v>
      </c>
      <c r="F45" s="29">
        <v>800000</v>
      </c>
      <c r="G45" s="38" t="s">
        <v>395</v>
      </c>
      <c r="H45" s="29"/>
      <c r="I45" s="29" t="s">
        <v>84</v>
      </c>
      <c r="J45" s="29" t="s">
        <v>153</v>
      </c>
      <c r="K45" s="29" t="s">
        <v>9</v>
      </c>
      <c r="L45" s="45"/>
      <c r="M45" s="29"/>
    </row>
    <row r="46" spans="1:38" ht="37.5" x14ac:dyDescent="0.35">
      <c r="A46" s="8"/>
      <c r="B46" s="22" t="s">
        <v>156</v>
      </c>
      <c r="C46" s="22"/>
      <c r="D46" s="22" t="s">
        <v>146</v>
      </c>
      <c r="E46" s="8" t="s">
        <v>77</v>
      </c>
      <c r="F46" s="22">
        <v>730000</v>
      </c>
      <c r="G46" s="19" t="s">
        <v>395</v>
      </c>
      <c r="H46" s="16"/>
      <c r="I46" s="22" t="s">
        <v>82</v>
      </c>
      <c r="J46" s="16" t="s">
        <v>89</v>
      </c>
      <c r="K46" s="16" t="s">
        <v>9</v>
      </c>
      <c r="L46" s="46"/>
      <c r="M46" s="22"/>
    </row>
    <row r="47" spans="1:38" ht="37.5" x14ac:dyDescent="0.35">
      <c r="A47" s="8"/>
      <c r="B47" s="22" t="s">
        <v>156</v>
      </c>
      <c r="C47" s="22"/>
      <c r="D47" s="22" t="s">
        <v>147</v>
      </c>
      <c r="E47" s="8" t="s">
        <v>6</v>
      </c>
      <c r="F47" s="22">
        <v>500000</v>
      </c>
      <c r="G47" s="19" t="s">
        <v>395</v>
      </c>
      <c r="H47" s="16"/>
      <c r="I47" s="22" t="s">
        <v>82</v>
      </c>
      <c r="J47" s="16" t="s">
        <v>89</v>
      </c>
      <c r="K47" s="16" t="s">
        <v>9</v>
      </c>
      <c r="L47" s="46"/>
      <c r="M47" s="22"/>
    </row>
    <row r="48" spans="1:38" ht="37.5" x14ac:dyDescent="0.35">
      <c r="A48" s="8"/>
      <c r="B48" s="22" t="s">
        <v>156</v>
      </c>
      <c r="C48" s="22"/>
      <c r="D48" s="22" t="s">
        <v>148</v>
      </c>
      <c r="E48" s="8" t="s">
        <v>77</v>
      </c>
      <c r="F48" s="22">
        <v>4000000</v>
      </c>
      <c r="G48" s="19" t="s">
        <v>395</v>
      </c>
      <c r="H48" s="16"/>
      <c r="I48" s="22" t="s">
        <v>84</v>
      </c>
      <c r="J48" s="16" t="s">
        <v>89</v>
      </c>
      <c r="K48" s="16" t="s">
        <v>9</v>
      </c>
      <c r="L48" s="49"/>
      <c r="M48" s="16"/>
    </row>
    <row r="49" spans="1:38" ht="37.5" x14ac:dyDescent="0.35">
      <c r="A49" s="8"/>
      <c r="B49" s="22" t="s">
        <v>156</v>
      </c>
      <c r="C49" s="22"/>
      <c r="D49" s="22" t="s">
        <v>149</v>
      </c>
      <c r="E49" s="8" t="s">
        <v>77</v>
      </c>
      <c r="F49" s="22">
        <v>11700000</v>
      </c>
      <c r="G49" s="19" t="s">
        <v>395</v>
      </c>
      <c r="H49" s="16"/>
      <c r="I49" s="22" t="s">
        <v>82</v>
      </c>
      <c r="J49" s="16" t="s">
        <v>89</v>
      </c>
      <c r="K49" s="16" t="s">
        <v>9</v>
      </c>
      <c r="L49" s="49"/>
      <c r="M49" s="16"/>
    </row>
    <row r="50" spans="1:38" ht="37.5" x14ac:dyDescent="0.35">
      <c r="A50" s="8"/>
      <c r="B50" s="22" t="s">
        <v>156</v>
      </c>
      <c r="C50" s="22"/>
      <c r="D50" s="22" t="s">
        <v>150</v>
      </c>
      <c r="E50" s="8" t="s">
        <v>77</v>
      </c>
      <c r="F50" s="22">
        <v>2750000</v>
      </c>
      <c r="G50" s="19" t="s">
        <v>395</v>
      </c>
      <c r="H50" s="16"/>
      <c r="I50" s="22" t="s">
        <v>82</v>
      </c>
      <c r="J50" s="16" t="s">
        <v>153</v>
      </c>
      <c r="K50" s="16" t="s">
        <v>9</v>
      </c>
      <c r="L50" s="49"/>
      <c r="M50" s="16"/>
    </row>
    <row r="51" spans="1:38" ht="37.5" x14ac:dyDescent="0.35">
      <c r="A51" s="8"/>
      <c r="B51" s="22" t="s">
        <v>156</v>
      </c>
      <c r="C51" s="22"/>
      <c r="D51" s="22" t="s">
        <v>151</v>
      </c>
      <c r="E51" s="8" t="s">
        <v>6</v>
      </c>
      <c r="F51" s="22">
        <v>5500000</v>
      </c>
      <c r="G51" s="19" t="s">
        <v>395</v>
      </c>
      <c r="H51" s="16"/>
      <c r="I51" s="22" t="s">
        <v>82</v>
      </c>
      <c r="J51" s="16" t="s">
        <v>154</v>
      </c>
      <c r="K51" s="16" t="s">
        <v>9</v>
      </c>
      <c r="L51" s="49"/>
      <c r="M51" s="16"/>
    </row>
    <row r="52" spans="1:38" ht="37.5" x14ac:dyDescent="0.35">
      <c r="A52" s="8"/>
      <c r="B52" s="8" t="s">
        <v>156</v>
      </c>
      <c r="C52" s="8"/>
      <c r="D52" s="8" t="s">
        <v>152</v>
      </c>
      <c r="E52" s="8" t="s">
        <v>77</v>
      </c>
      <c r="F52" s="8">
        <v>2000000</v>
      </c>
      <c r="G52" s="19" t="s">
        <v>395</v>
      </c>
      <c r="H52" s="13"/>
      <c r="I52" s="8" t="s">
        <v>82</v>
      </c>
      <c r="J52" s="13" t="s">
        <v>155</v>
      </c>
      <c r="K52" s="13" t="s">
        <v>9</v>
      </c>
      <c r="L52" s="50"/>
      <c r="M52" s="13"/>
    </row>
    <row r="53" spans="1:38" s="26" customFormat="1" ht="25" x14ac:dyDescent="0.35">
      <c r="A53" s="95" t="s">
        <v>418</v>
      </c>
      <c r="B53" s="29" t="s">
        <v>229</v>
      </c>
      <c r="C53" s="29"/>
      <c r="D53" s="29" t="s">
        <v>157</v>
      </c>
      <c r="E53" s="30" t="s">
        <v>77</v>
      </c>
      <c r="F53" s="42">
        <v>41205482</v>
      </c>
      <c r="G53" s="38" t="s">
        <v>395</v>
      </c>
      <c r="H53" s="29" t="s">
        <v>42</v>
      </c>
      <c r="I53" s="29" t="s">
        <v>159</v>
      </c>
      <c r="J53" s="29" t="s">
        <v>160</v>
      </c>
      <c r="K53" s="29" t="s">
        <v>135</v>
      </c>
      <c r="L53" s="45" t="s">
        <v>158</v>
      </c>
      <c r="M53" s="29" t="s">
        <v>161</v>
      </c>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row>
    <row r="54" spans="1:38" ht="25" x14ac:dyDescent="0.35">
      <c r="A54" s="95" t="s">
        <v>407</v>
      </c>
      <c r="B54" s="22" t="s">
        <v>229</v>
      </c>
      <c r="C54" s="22"/>
      <c r="D54" s="22" t="s">
        <v>162</v>
      </c>
      <c r="E54" s="9" t="s">
        <v>6</v>
      </c>
      <c r="F54" s="27">
        <v>2800000</v>
      </c>
      <c r="G54" s="19" t="s">
        <v>395</v>
      </c>
      <c r="H54" s="22" t="s">
        <v>230</v>
      </c>
      <c r="I54" s="22" t="s">
        <v>81</v>
      </c>
      <c r="J54" s="22" t="s">
        <v>160</v>
      </c>
      <c r="K54" s="22" t="s">
        <v>163</v>
      </c>
      <c r="L54" s="46" t="s">
        <v>10</v>
      </c>
      <c r="M54" s="22" t="s">
        <v>164</v>
      </c>
    </row>
    <row r="55" spans="1:38" ht="25" x14ac:dyDescent="0.35">
      <c r="A55" s="22"/>
      <c r="B55" s="22" t="s">
        <v>229</v>
      </c>
      <c r="C55" s="22"/>
      <c r="D55" s="22" t="s">
        <v>165</v>
      </c>
      <c r="E55" s="9" t="s">
        <v>78</v>
      </c>
      <c r="F55" s="27">
        <v>600000</v>
      </c>
      <c r="G55" s="19" t="s">
        <v>395</v>
      </c>
      <c r="H55" s="22" t="s">
        <v>230</v>
      </c>
      <c r="I55" s="22" t="s">
        <v>82</v>
      </c>
      <c r="J55" s="22" t="s">
        <v>166</v>
      </c>
      <c r="K55" s="22" t="s">
        <v>163</v>
      </c>
      <c r="L55" s="46" t="s">
        <v>10</v>
      </c>
      <c r="M55" s="22" t="s">
        <v>167</v>
      </c>
    </row>
    <row r="56" spans="1:38" ht="25" x14ac:dyDescent="0.35">
      <c r="A56" s="22"/>
      <c r="B56" s="22" t="s">
        <v>229</v>
      </c>
      <c r="C56" s="22"/>
      <c r="D56" s="22" t="s">
        <v>168</v>
      </c>
      <c r="E56" s="9" t="s">
        <v>78</v>
      </c>
      <c r="F56" s="27">
        <v>3000000</v>
      </c>
      <c r="G56" s="19" t="s">
        <v>395</v>
      </c>
      <c r="H56" s="22" t="s">
        <v>22</v>
      </c>
      <c r="I56" s="22" t="s">
        <v>83</v>
      </c>
      <c r="J56" s="22" t="s">
        <v>166</v>
      </c>
      <c r="K56" s="22" t="s">
        <v>163</v>
      </c>
      <c r="L56" s="46" t="s">
        <v>10</v>
      </c>
      <c r="M56" s="22" t="s">
        <v>169</v>
      </c>
    </row>
    <row r="57" spans="1:38" ht="25" x14ac:dyDescent="0.35">
      <c r="A57" s="9"/>
      <c r="B57" s="22" t="s">
        <v>229</v>
      </c>
      <c r="C57" s="22"/>
      <c r="D57" s="22" t="s">
        <v>170</v>
      </c>
      <c r="E57" s="9" t="s">
        <v>78</v>
      </c>
      <c r="F57" s="27">
        <v>1400000</v>
      </c>
      <c r="G57" s="19" t="s">
        <v>395</v>
      </c>
      <c r="H57" s="22" t="s">
        <v>22</v>
      </c>
      <c r="I57" s="22" t="s">
        <v>82</v>
      </c>
      <c r="J57" s="22" t="s">
        <v>171</v>
      </c>
      <c r="K57" s="22" t="s">
        <v>163</v>
      </c>
      <c r="L57" s="46" t="s">
        <v>10</v>
      </c>
      <c r="M57" s="22" t="s">
        <v>169</v>
      </c>
    </row>
    <row r="58" spans="1:38" ht="25" x14ac:dyDescent="0.35">
      <c r="A58" s="9"/>
      <c r="B58" s="22" t="s">
        <v>229</v>
      </c>
      <c r="C58" s="22"/>
      <c r="D58" s="22" t="s">
        <v>172</v>
      </c>
      <c r="E58" s="9" t="s">
        <v>78</v>
      </c>
      <c r="F58" s="27">
        <v>800000</v>
      </c>
      <c r="G58" s="19" t="s">
        <v>395</v>
      </c>
      <c r="H58" s="22" t="s">
        <v>230</v>
      </c>
      <c r="I58" s="22" t="s">
        <v>83</v>
      </c>
      <c r="J58" s="22" t="s">
        <v>173</v>
      </c>
      <c r="K58" s="22" t="s">
        <v>163</v>
      </c>
      <c r="L58" s="46" t="s">
        <v>10</v>
      </c>
      <c r="M58" s="22" t="s">
        <v>169</v>
      </c>
    </row>
    <row r="59" spans="1:38" ht="25" x14ac:dyDescent="0.35">
      <c r="A59" s="9"/>
      <c r="B59" s="22" t="s">
        <v>229</v>
      </c>
      <c r="C59" s="22"/>
      <c r="D59" s="22" t="s">
        <v>174</v>
      </c>
      <c r="E59" s="9" t="s">
        <v>78</v>
      </c>
      <c r="F59" s="27">
        <v>1000000</v>
      </c>
      <c r="G59" s="19" t="s">
        <v>395</v>
      </c>
      <c r="H59" s="22" t="s">
        <v>230</v>
      </c>
      <c r="I59" s="22" t="s">
        <v>82</v>
      </c>
      <c r="J59" s="22" t="s">
        <v>173</v>
      </c>
      <c r="K59" s="22" t="s">
        <v>163</v>
      </c>
      <c r="L59" s="46" t="s">
        <v>10</v>
      </c>
      <c r="M59" s="22" t="s">
        <v>169</v>
      </c>
    </row>
    <row r="60" spans="1:38" ht="25" x14ac:dyDescent="0.35">
      <c r="A60" s="9"/>
      <c r="B60" s="22" t="s">
        <v>229</v>
      </c>
      <c r="C60" s="22"/>
      <c r="D60" s="22" t="s">
        <v>175</v>
      </c>
      <c r="E60" s="9" t="s">
        <v>78</v>
      </c>
      <c r="F60" s="27">
        <v>450000</v>
      </c>
      <c r="G60" s="19" t="s">
        <v>395</v>
      </c>
      <c r="H60" s="22" t="s">
        <v>231</v>
      </c>
      <c r="I60" s="22" t="s">
        <v>82</v>
      </c>
      <c r="J60" s="22" t="s">
        <v>166</v>
      </c>
      <c r="K60" s="22" t="s">
        <v>135</v>
      </c>
      <c r="L60" s="46" t="s">
        <v>10</v>
      </c>
      <c r="M60" s="22" t="s">
        <v>176</v>
      </c>
    </row>
    <row r="61" spans="1:38" ht="25" x14ac:dyDescent="0.35">
      <c r="A61" s="9"/>
      <c r="B61" s="22" t="s">
        <v>229</v>
      </c>
      <c r="C61" s="22"/>
      <c r="D61" s="22" t="s">
        <v>177</v>
      </c>
      <c r="E61" s="9" t="s">
        <v>78</v>
      </c>
      <c r="F61" s="27">
        <v>600000</v>
      </c>
      <c r="G61" s="19" t="s">
        <v>395</v>
      </c>
      <c r="H61" s="22" t="s">
        <v>230</v>
      </c>
      <c r="I61" s="22" t="s">
        <v>83</v>
      </c>
      <c r="J61" s="22" t="s">
        <v>166</v>
      </c>
      <c r="K61" s="22" t="s">
        <v>163</v>
      </c>
      <c r="L61" s="46" t="s">
        <v>10</v>
      </c>
      <c r="M61" s="22" t="s">
        <v>178</v>
      </c>
    </row>
    <row r="62" spans="1:38" ht="25" x14ac:dyDescent="0.35">
      <c r="A62" s="9"/>
      <c r="B62" s="22" t="s">
        <v>229</v>
      </c>
      <c r="C62" s="22"/>
      <c r="D62" s="22" t="s">
        <v>179</v>
      </c>
      <c r="E62" s="9" t="s">
        <v>78</v>
      </c>
      <c r="F62" s="27">
        <v>650000</v>
      </c>
      <c r="G62" s="19" t="s">
        <v>395</v>
      </c>
      <c r="H62" s="22" t="s">
        <v>232</v>
      </c>
      <c r="I62" s="22" t="s">
        <v>82</v>
      </c>
      <c r="J62" s="22" t="s">
        <v>166</v>
      </c>
      <c r="K62" s="22" t="s">
        <v>163</v>
      </c>
      <c r="L62" s="46" t="s">
        <v>10</v>
      </c>
      <c r="M62" s="22" t="s">
        <v>180</v>
      </c>
    </row>
    <row r="63" spans="1:38" ht="37.5" x14ac:dyDescent="0.35">
      <c r="A63" s="9"/>
      <c r="B63" s="22" t="s">
        <v>229</v>
      </c>
      <c r="C63" s="22"/>
      <c r="D63" s="22" t="s">
        <v>181</v>
      </c>
      <c r="E63" s="9" t="s">
        <v>78</v>
      </c>
      <c r="F63" s="27">
        <v>1000000</v>
      </c>
      <c r="G63" s="19" t="s">
        <v>395</v>
      </c>
      <c r="H63" s="22" t="s">
        <v>233</v>
      </c>
      <c r="I63" s="22" t="s">
        <v>82</v>
      </c>
      <c r="J63" s="22" t="s">
        <v>182</v>
      </c>
      <c r="K63" s="22" t="s">
        <v>135</v>
      </c>
      <c r="L63" s="46" t="s">
        <v>10</v>
      </c>
      <c r="M63" s="22" t="s">
        <v>183</v>
      </c>
    </row>
    <row r="64" spans="1:38" ht="37.5" x14ac:dyDescent="0.35">
      <c r="A64" s="9"/>
      <c r="B64" s="22" t="s">
        <v>229</v>
      </c>
      <c r="C64" s="22"/>
      <c r="D64" s="22" t="s">
        <v>184</v>
      </c>
      <c r="E64" s="9" t="s">
        <v>78</v>
      </c>
      <c r="F64" s="27">
        <v>2420000</v>
      </c>
      <c r="G64" s="19" t="s">
        <v>395</v>
      </c>
      <c r="H64" s="22" t="s">
        <v>233</v>
      </c>
      <c r="I64" s="22" t="s">
        <v>82</v>
      </c>
      <c r="J64" s="22" t="s">
        <v>182</v>
      </c>
      <c r="K64" s="22" t="s">
        <v>135</v>
      </c>
      <c r="L64" s="46" t="s">
        <v>10</v>
      </c>
      <c r="M64" s="22" t="s">
        <v>183</v>
      </c>
    </row>
    <row r="65" spans="1:13" ht="37.5" x14ac:dyDescent="0.35">
      <c r="A65" s="9"/>
      <c r="B65" s="22" t="s">
        <v>229</v>
      </c>
      <c r="C65" s="22"/>
      <c r="D65" s="22" t="s">
        <v>185</v>
      </c>
      <c r="E65" s="9" t="s">
        <v>78</v>
      </c>
      <c r="F65" s="27">
        <v>400000</v>
      </c>
      <c r="G65" s="19" t="s">
        <v>395</v>
      </c>
      <c r="H65" s="22" t="s">
        <v>230</v>
      </c>
      <c r="I65" s="22" t="s">
        <v>82</v>
      </c>
      <c r="J65" s="22" t="s">
        <v>186</v>
      </c>
      <c r="K65" s="22" t="s">
        <v>163</v>
      </c>
      <c r="L65" s="46" t="s">
        <v>10</v>
      </c>
      <c r="M65" s="22" t="s">
        <v>187</v>
      </c>
    </row>
    <row r="66" spans="1:13" ht="25" x14ac:dyDescent="0.35">
      <c r="A66" s="9"/>
      <c r="B66" s="22" t="s">
        <v>229</v>
      </c>
      <c r="C66" s="22"/>
      <c r="D66" s="22" t="s">
        <v>188</v>
      </c>
      <c r="E66" s="9" t="s">
        <v>78</v>
      </c>
      <c r="F66" s="27">
        <v>1000000</v>
      </c>
      <c r="G66" s="19" t="s">
        <v>395</v>
      </c>
      <c r="H66" s="22" t="s">
        <v>231</v>
      </c>
      <c r="I66" s="22" t="s">
        <v>83</v>
      </c>
      <c r="J66" s="22" t="s">
        <v>189</v>
      </c>
      <c r="K66" s="22" t="s">
        <v>135</v>
      </c>
      <c r="L66" s="46" t="s">
        <v>10</v>
      </c>
      <c r="M66" s="22" t="s">
        <v>190</v>
      </c>
    </row>
    <row r="67" spans="1:13" ht="25" x14ac:dyDescent="0.35">
      <c r="A67" s="9"/>
      <c r="B67" s="22" t="s">
        <v>229</v>
      </c>
      <c r="C67" s="22"/>
      <c r="D67" s="22" t="s">
        <v>191</v>
      </c>
      <c r="E67" s="9" t="s">
        <v>77</v>
      </c>
      <c r="F67" s="27">
        <v>400000</v>
      </c>
      <c r="G67" s="19" t="s">
        <v>395</v>
      </c>
      <c r="H67" s="22" t="s">
        <v>232</v>
      </c>
      <c r="I67" s="22" t="s">
        <v>82</v>
      </c>
      <c r="J67" s="22" t="s">
        <v>192</v>
      </c>
      <c r="K67" s="22" t="s">
        <v>163</v>
      </c>
      <c r="L67" s="46" t="s">
        <v>158</v>
      </c>
      <c r="M67" s="22" t="s">
        <v>169</v>
      </c>
    </row>
    <row r="68" spans="1:13" ht="25" x14ac:dyDescent="0.35">
      <c r="A68" s="9"/>
      <c r="B68" s="22" t="s">
        <v>229</v>
      </c>
      <c r="C68" s="22"/>
      <c r="D68" s="22" t="s">
        <v>193</v>
      </c>
      <c r="E68" s="9" t="s">
        <v>77</v>
      </c>
      <c r="F68" s="27">
        <v>200000</v>
      </c>
      <c r="G68" s="19" t="s">
        <v>395</v>
      </c>
      <c r="H68" s="22" t="s">
        <v>42</v>
      </c>
      <c r="I68" s="22" t="s">
        <v>84</v>
      </c>
      <c r="J68" s="22" t="s">
        <v>194</v>
      </c>
      <c r="K68" s="22" t="s">
        <v>135</v>
      </c>
      <c r="L68" s="46" t="s">
        <v>158</v>
      </c>
      <c r="M68" s="22" t="s">
        <v>169</v>
      </c>
    </row>
    <row r="69" spans="1:13" ht="25" x14ac:dyDescent="0.35">
      <c r="A69" s="9"/>
      <c r="B69" s="22" t="s">
        <v>229</v>
      </c>
      <c r="C69" s="22"/>
      <c r="D69" s="22" t="s">
        <v>195</v>
      </c>
      <c r="E69" s="9" t="s">
        <v>77</v>
      </c>
      <c r="F69" s="27">
        <v>150000</v>
      </c>
      <c r="G69" s="19" t="s">
        <v>395</v>
      </c>
      <c r="H69" s="22" t="s">
        <v>232</v>
      </c>
      <c r="I69" s="22" t="s">
        <v>84</v>
      </c>
      <c r="J69" s="22" t="s">
        <v>160</v>
      </c>
      <c r="K69" s="22" t="s">
        <v>163</v>
      </c>
      <c r="L69" s="46" t="s">
        <v>158</v>
      </c>
      <c r="M69" s="22" t="s">
        <v>169</v>
      </c>
    </row>
    <row r="70" spans="1:13" ht="25" x14ac:dyDescent="0.35">
      <c r="A70" s="9"/>
      <c r="B70" s="22" t="s">
        <v>229</v>
      </c>
      <c r="C70" s="22"/>
      <c r="D70" s="22" t="s">
        <v>196</v>
      </c>
      <c r="E70" s="9" t="s">
        <v>77</v>
      </c>
      <c r="F70" s="27">
        <v>600000</v>
      </c>
      <c r="G70" s="19" t="s">
        <v>395</v>
      </c>
      <c r="H70" s="22" t="s">
        <v>42</v>
      </c>
      <c r="I70" s="22" t="s">
        <v>81</v>
      </c>
      <c r="J70" s="22" t="s">
        <v>186</v>
      </c>
      <c r="K70" s="22" t="s">
        <v>135</v>
      </c>
      <c r="L70" s="46" t="s">
        <v>158</v>
      </c>
      <c r="M70" s="22" t="s">
        <v>169</v>
      </c>
    </row>
    <row r="71" spans="1:13" ht="37.5" x14ac:dyDescent="0.35">
      <c r="A71" s="9"/>
      <c r="B71" s="22" t="s">
        <v>229</v>
      </c>
      <c r="C71" s="22"/>
      <c r="D71" s="22" t="s">
        <v>197</v>
      </c>
      <c r="E71" s="9" t="s">
        <v>77</v>
      </c>
      <c r="F71" s="27">
        <v>650000</v>
      </c>
      <c r="G71" s="19" t="s">
        <v>395</v>
      </c>
      <c r="H71" s="22" t="s">
        <v>42</v>
      </c>
      <c r="I71" s="22" t="s">
        <v>81</v>
      </c>
      <c r="J71" s="22" t="s">
        <v>186</v>
      </c>
      <c r="K71" s="22" t="s">
        <v>163</v>
      </c>
      <c r="L71" s="46" t="s">
        <v>29</v>
      </c>
      <c r="M71" s="22" t="s">
        <v>169</v>
      </c>
    </row>
    <row r="72" spans="1:13" ht="25" x14ac:dyDescent="0.35">
      <c r="A72" s="9"/>
      <c r="B72" s="22" t="s">
        <v>229</v>
      </c>
      <c r="C72" s="22"/>
      <c r="D72" s="22" t="s">
        <v>198</v>
      </c>
      <c r="E72" s="9" t="s">
        <v>77</v>
      </c>
      <c r="F72" s="27">
        <v>360000</v>
      </c>
      <c r="G72" s="19" t="s">
        <v>395</v>
      </c>
      <c r="H72" s="22" t="s">
        <v>42</v>
      </c>
      <c r="I72" s="22" t="s">
        <v>81</v>
      </c>
      <c r="J72" s="22" t="s">
        <v>160</v>
      </c>
      <c r="K72" s="22" t="s">
        <v>135</v>
      </c>
      <c r="L72" s="46" t="s">
        <v>158</v>
      </c>
      <c r="M72" s="22" t="s">
        <v>169</v>
      </c>
    </row>
    <row r="73" spans="1:13" ht="25" x14ac:dyDescent="0.35">
      <c r="A73" s="9"/>
      <c r="B73" s="22" t="s">
        <v>229</v>
      </c>
      <c r="C73" s="22"/>
      <c r="D73" s="22" t="s">
        <v>199</v>
      </c>
      <c r="E73" s="9" t="s">
        <v>77</v>
      </c>
      <c r="F73" s="27">
        <v>210000</v>
      </c>
      <c r="G73" s="19" t="s">
        <v>395</v>
      </c>
      <c r="H73" s="22" t="s">
        <v>42</v>
      </c>
      <c r="I73" s="22" t="s">
        <v>81</v>
      </c>
      <c r="J73" s="22" t="s">
        <v>200</v>
      </c>
      <c r="K73" s="22" t="s">
        <v>135</v>
      </c>
      <c r="L73" s="46" t="s">
        <v>158</v>
      </c>
      <c r="M73" s="22" t="s">
        <v>169</v>
      </c>
    </row>
    <row r="74" spans="1:13" ht="37.5" x14ac:dyDescent="0.35">
      <c r="A74" s="9"/>
      <c r="B74" s="22" t="s">
        <v>229</v>
      </c>
      <c r="C74" s="22"/>
      <c r="D74" s="22" t="s">
        <v>201</v>
      </c>
      <c r="E74" s="9" t="s">
        <v>77</v>
      </c>
      <c r="F74" s="27">
        <v>500000</v>
      </c>
      <c r="G74" s="19" t="s">
        <v>395</v>
      </c>
      <c r="H74" s="22" t="s">
        <v>234</v>
      </c>
      <c r="I74" s="22" t="s">
        <v>83</v>
      </c>
      <c r="J74" s="22" t="s">
        <v>202</v>
      </c>
      <c r="K74" s="22" t="s">
        <v>135</v>
      </c>
      <c r="L74" s="46" t="s">
        <v>158</v>
      </c>
      <c r="M74" s="22" t="s">
        <v>203</v>
      </c>
    </row>
    <row r="75" spans="1:13" ht="25" x14ac:dyDescent="0.35">
      <c r="A75" s="9"/>
      <c r="B75" s="22" t="s">
        <v>229</v>
      </c>
      <c r="C75" s="22"/>
      <c r="D75" s="22" t="s">
        <v>204</v>
      </c>
      <c r="E75" s="9" t="s">
        <v>6</v>
      </c>
      <c r="F75" s="27">
        <v>200000</v>
      </c>
      <c r="G75" s="19" t="s">
        <v>395</v>
      </c>
      <c r="H75" s="22" t="s">
        <v>232</v>
      </c>
      <c r="I75" s="22" t="s">
        <v>83</v>
      </c>
      <c r="J75" s="22" t="s">
        <v>160</v>
      </c>
      <c r="K75" s="22" t="s">
        <v>163</v>
      </c>
      <c r="L75" s="46" t="s">
        <v>158</v>
      </c>
      <c r="M75" s="22" t="s">
        <v>158</v>
      </c>
    </row>
    <row r="76" spans="1:13" ht="25" x14ac:dyDescent="0.35">
      <c r="A76" s="9"/>
      <c r="B76" s="22" t="s">
        <v>229</v>
      </c>
      <c r="C76" s="22"/>
      <c r="D76" s="22" t="s">
        <v>205</v>
      </c>
      <c r="E76" s="9" t="s">
        <v>6</v>
      </c>
      <c r="F76" s="27">
        <v>800000</v>
      </c>
      <c r="G76" s="19" t="s">
        <v>395</v>
      </c>
      <c r="H76" s="22" t="s">
        <v>234</v>
      </c>
      <c r="I76" s="22" t="s">
        <v>82</v>
      </c>
      <c r="J76" s="22" t="s">
        <v>89</v>
      </c>
      <c r="K76" s="22"/>
      <c r="L76" s="46" t="s">
        <v>10</v>
      </c>
      <c r="M76" s="22" t="s">
        <v>206</v>
      </c>
    </row>
    <row r="77" spans="1:13" ht="25" x14ac:dyDescent="0.35">
      <c r="A77" s="9"/>
      <c r="B77" s="22" t="s">
        <v>229</v>
      </c>
      <c r="C77" s="22"/>
      <c r="D77" s="22" t="s">
        <v>207</v>
      </c>
      <c r="E77" s="9" t="s">
        <v>6</v>
      </c>
      <c r="F77" s="27">
        <v>1500000</v>
      </c>
      <c r="G77" s="19" t="s">
        <v>395</v>
      </c>
      <c r="H77" s="22" t="s">
        <v>234</v>
      </c>
      <c r="I77" s="22" t="s">
        <v>83</v>
      </c>
      <c r="J77" s="22" t="s">
        <v>160</v>
      </c>
      <c r="K77" s="22"/>
      <c r="L77" s="46" t="s">
        <v>10</v>
      </c>
      <c r="M77" s="22" t="s">
        <v>169</v>
      </c>
    </row>
    <row r="78" spans="1:13" ht="37.5" x14ac:dyDescent="0.35">
      <c r="A78" s="9"/>
      <c r="B78" s="22" t="s">
        <v>229</v>
      </c>
      <c r="C78" s="22"/>
      <c r="D78" s="22" t="s">
        <v>208</v>
      </c>
      <c r="E78" s="9" t="s">
        <v>78</v>
      </c>
      <c r="F78" s="27">
        <v>800000</v>
      </c>
      <c r="G78" s="19" t="s">
        <v>395</v>
      </c>
      <c r="H78" s="22" t="s">
        <v>234</v>
      </c>
      <c r="I78" s="22" t="s">
        <v>83</v>
      </c>
      <c r="J78" s="22" t="s">
        <v>89</v>
      </c>
      <c r="K78" s="22" t="s">
        <v>135</v>
      </c>
      <c r="L78" s="46" t="s">
        <v>10</v>
      </c>
      <c r="M78" s="22" t="s">
        <v>209</v>
      </c>
    </row>
    <row r="79" spans="1:13" ht="25" x14ac:dyDescent="0.35">
      <c r="A79" s="9"/>
      <c r="B79" s="22" t="s">
        <v>229</v>
      </c>
      <c r="C79" s="22"/>
      <c r="D79" s="22" t="s">
        <v>270</v>
      </c>
      <c r="E79" s="9" t="s">
        <v>78</v>
      </c>
      <c r="F79" s="27">
        <v>500000</v>
      </c>
      <c r="G79" s="19" t="s">
        <v>395</v>
      </c>
      <c r="H79" s="22" t="s">
        <v>230</v>
      </c>
      <c r="I79" s="22" t="s">
        <v>81</v>
      </c>
      <c r="J79" s="22" t="s">
        <v>210</v>
      </c>
      <c r="K79" s="22" t="s">
        <v>135</v>
      </c>
      <c r="L79" s="46" t="s">
        <v>10</v>
      </c>
      <c r="M79" s="22" t="s">
        <v>211</v>
      </c>
    </row>
    <row r="80" spans="1:13" ht="50" x14ac:dyDescent="0.35">
      <c r="A80" s="43" t="s">
        <v>159</v>
      </c>
      <c r="B80" s="22" t="s">
        <v>229</v>
      </c>
      <c r="C80" s="22"/>
      <c r="D80" s="22" t="s">
        <v>212</v>
      </c>
      <c r="E80" s="9" t="s">
        <v>77</v>
      </c>
      <c r="F80" s="27">
        <v>7343586</v>
      </c>
      <c r="G80" s="19" t="s">
        <v>395</v>
      </c>
      <c r="H80" s="22"/>
      <c r="I80" s="22" t="s">
        <v>159</v>
      </c>
      <c r="J80" s="22" t="s">
        <v>89</v>
      </c>
      <c r="K80" s="22" t="s">
        <v>135</v>
      </c>
      <c r="L80" s="46" t="s">
        <v>158</v>
      </c>
      <c r="M80" s="22" t="s">
        <v>29</v>
      </c>
    </row>
    <row r="81" spans="1:13" ht="51" customHeight="1" x14ac:dyDescent="0.35">
      <c r="A81" s="41" t="s">
        <v>409</v>
      </c>
      <c r="B81" s="22" t="s">
        <v>229</v>
      </c>
      <c r="C81" s="22"/>
      <c r="D81" s="22" t="s">
        <v>213</v>
      </c>
      <c r="E81" s="9" t="s">
        <v>77</v>
      </c>
      <c r="F81" s="27">
        <v>2940732</v>
      </c>
      <c r="G81" s="19" t="s">
        <v>395</v>
      </c>
      <c r="H81" s="22" t="s">
        <v>214</v>
      </c>
      <c r="I81" s="22" t="s">
        <v>214</v>
      </c>
      <c r="J81" s="22" t="s">
        <v>89</v>
      </c>
      <c r="K81" s="22" t="s">
        <v>135</v>
      </c>
      <c r="L81" s="46" t="s">
        <v>158</v>
      </c>
      <c r="M81" s="22" t="s">
        <v>29</v>
      </c>
    </row>
    <row r="82" spans="1:13" ht="37.5" x14ac:dyDescent="0.35">
      <c r="A82" s="41" t="s">
        <v>400</v>
      </c>
      <c r="B82" s="22" t="s">
        <v>229</v>
      </c>
      <c r="C82" s="22"/>
      <c r="D82" s="22" t="s">
        <v>399</v>
      </c>
      <c r="E82" s="9" t="s">
        <v>77</v>
      </c>
      <c r="F82" s="27">
        <v>8234049.5999999996</v>
      </c>
      <c r="G82" s="19" t="s">
        <v>395</v>
      </c>
      <c r="H82" s="22" t="s">
        <v>215</v>
      </c>
      <c r="I82" s="22" t="s">
        <v>81</v>
      </c>
      <c r="J82" s="22" t="s">
        <v>89</v>
      </c>
      <c r="K82" s="22" t="s">
        <v>135</v>
      </c>
      <c r="L82" s="46" t="s">
        <v>158</v>
      </c>
      <c r="M82" s="22" t="s">
        <v>29</v>
      </c>
    </row>
    <row r="83" spans="1:13" ht="50" x14ac:dyDescent="0.35">
      <c r="A83" s="43" t="s">
        <v>159</v>
      </c>
      <c r="B83" s="22" t="s">
        <v>229</v>
      </c>
      <c r="C83" s="22"/>
      <c r="D83" s="22" t="s">
        <v>216</v>
      </c>
      <c r="E83" s="9" t="s">
        <v>77</v>
      </c>
      <c r="F83" s="27">
        <v>3470365.98</v>
      </c>
      <c r="G83" s="19" t="s">
        <v>395</v>
      </c>
      <c r="H83" s="22" t="s">
        <v>159</v>
      </c>
      <c r="I83" s="22" t="s">
        <v>159</v>
      </c>
      <c r="J83" s="22" t="s">
        <v>89</v>
      </c>
      <c r="K83" s="22" t="s">
        <v>135</v>
      </c>
      <c r="L83" s="46" t="s">
        <v>158</v>
      </c>
      <c r="M83" s="22" t="s">
        <v>29</v>
      </c>
    </row>
    <row r="84" spans="1:13" ht="50" x14ac:dyDescent="0.35">
      <c r="A84" s="43" t="s">
        <v>159</v>
      </c>
      <c r="B84" s="22" t="s">
        <v>229</v>
      </c>
      <c r="C84" s="22"/>
      <c r="D84" s="22" t="s">
        <v>217</v>
      </c>
      <c r="E84" s="9" t="s">
        <v>77</v>
      </c>
      <c r="F84" s="27">
        <v>399672</v>
      </c>
      <c r="G84" s="19" t="s">
        <v>395</v>
      </c>
      <c r="H84" s="22" t="s">
        <v>159</v>
      </c>
      <c r="I84" s="22" t="s">
        <v>159</v>
      </c>
      <c r="J84" s="22" t="s">
        <v>89</v>
      </c>
      <c r="K84" s="22" t="s">
        <v>135</v>
      </c>
      <c r="L84" s="46" t="s">
        <v>158</v>
      </c>
      <c r="M84" s="22" t="s">
        <v>29</v>
      </c>
    </row>
    <row r="85" spans="1:13" ht="62.5" x14ac:dyDescent="0.35">
      <c r="A85" s="43" t="s">
        <v>133</v>
      </c>
      <c r="B85" s="22" t="s">
        <v>229</v>
      </c>
      <c r="C85" s="22"/>
      <c r="D85" s="22" t="s">
        <v>218</v>
      </c>
      <c r="E85" s="9" t="s">
        <v>77</v>
      </c>
      <c r="F85" s="27">
        <v>12460542</v>
      </c>
      <c r="G85" s="19" t="s">
        <v>395</v>
      </c>
      <c r="H85" s="22" t="s">
        <v>219</v>
      </c>
      <c r="I85" s="22" t="s">
        <v>219</v>
      </c>
      <c r="J85" s="22" t="s">
        <v>89</v>
      </c>
      <c r="K85" s="22" t="s">
        <v>135</v>
      </c>
      <c r="L85" s="46" t="s">
        <v>158</v>
      </c>
      <c r="M85" s="22" t="s">
        <v>29</v>
      </c>
    </row>
    <row r="86" spans="1:13" ht="25" x14ac:dyDescent="0.35">
      <c r="A86" s="43" t="s">
        <v>407</v>
      </c>
      <c r="B86" s="22" t="s">
        <v>229</v>
      </c>
      <c r="C86" s="22"/>
      <c r="D86" s="22" t="s">
        <v>220</v>
      </c>
      <c r="E86" s="9" t="s">
        <v>6</v>
      </c>
      <c r="F86" s="27">
        <v>2000000</v>
      </c>
      <c r="G86" s="19" t="s">
        <v>395</v>
      </c>
      <c r="H86" s="22"/>
      <c r="I86" s="22" t="s">
        <v>82</v>
      </c>
      <c r="J86" s="22" t="s">
        <v>89</v>
      </c>
      <c r="K86" s="22" t="s">
        <v>135</v>
      </c>
      <c r="L86" s="46" t="s">
        <v>10</v>
      </c>
      <c r="M86" s="22" t="s">
        <v>221</v>
      </c>
    </row>
    <row r="87" spans="1:13" ht="37.5" x14ac:dyDescent="0.35">
      <c r="A87" s="43" t="s">
        <v>159</v>
      </c>
      <c r="B87" s="22" t="s">
        <v>229</v>
      </c>
      <c r="C87" s="22"/>
      <c r="D87" s="22" t="s">
        <v>222</v>
      </c>
      <c r="E87" s="9" t="s">
        <v>77</v>
      </c>
      <c r="F87" s="27">
        <v>1449692</v>
      </c>
      <c r="G87" s="19" t="s">
        <v>395</v>
      </c>
      <c r="H87" s="22" t="s">
        <v>159</v>
      </c>
      <c r="I87" s="22" t="s">
        <v>159</v>
      </c>
      <c r="J87" s="22" t="s">
        <v>89</v>
      </c>
      <c r="K87" s="22" t="s">
        <v>135</v>
      </c>
      <c r="L87" s="46" t="s">
        <v>158</v>
      </c>
      <c r="M87" s="22" t="s">
        <v>29</v>
      </c>
    </row>
    <row r="88" spans="1:13" ht="37.5" x14ac:dyDescent="0.35">
      <c r="A88" s="43" t="s">
        <v>159</v>
      </c>
      <c r="B88" s="22" t="s">
        <v>229</v>
      </c>
      <c r="C88" s="22"/>
      <c r="D88" s="22" t="s">
        <v>223</v>
      </c>
      <c r="E88" s="9" t="s">
        <v>77</v>
      </c>
      <c r="F88" s="27">
        <v>686565</v>
      </c>
      <c r="G88" s="19" t="s">
        <v>395</v>
      </c>
      <c r="H88" s="22" t="s">
        <v>159</v>
      </c>
      <c r="I88" s="22" t="s">
        <v>159</v>
      </c>
      <c r="J88" s="22" t="s">
        <v>89</v>
      </c>
      <c r="K88" s="22" t="s">
        <v>135</v>
      </c>
      <c r="L88" s="46" t="s">
        <v>158</v>
      </c>
      <c r="M88" s="22" t="s">
        <v>29</v>
      </c>
    </row>
    <row r="89" spans="1:13" ht="25" x14ac:dyDescent="0.35">
      <c r="A89" s="43" t="s">
        <v>407</v>
      </c>
      <c r="B89" s="22" t="s">
        <v>229</v>
      </c>
      <c r="C89" s="22"/>
      <c r="D89" s="22" t="s">
        <v>224</v>
      </c>
      <c r="E89" s="9" t="s">
        <v>6</v>
      </c>
      <c r="F89" s="27">
        <v>1000000</v>
      </c>
      <c r="G89" s="19" t="s">
        <v>395</v>
      </c>
      <c r="H89" s="22" t="s">
        <v>215</v>
      </c>
      <c r="I89" s="22" t="s">
        <v>81</v>
      </c>
      <c r="J89" s="22" t="s">
        <v>89</v>
      </c>
      <c r="K89" s="22" t="s">
        <v>135</v>
      </c>
      <c r="L89" s="46" t="s">
        <v>10</v>
      </c>
      <c r="M89" s="22" t="s">
        <v>29</v>
      </c>
    </row>
    <row r="90" spans="1:13" ht="25" x14ac:dyDescent="0.35">
      <c r="A90" s="9"/>
      <c r="B90" s="22" t="s">
        <v>229</v>
      </c>
      <c r="C90" s="22"/>
      <c r="D90" s="22" t="s">
        <v>225</v>
      </c>
      <c r="E90" s="9" t="s">
        <v>6</v>
      </c>
      <c r="F90" s="27">
        <v>500000</v>
      </c>
      <c r="G90" s="19" t="s">
        <v>395</v>
      </c>
      <c r="H90" s="22" t="s">
        <v>235</v>
      </c>
      <c r="I90" s="22" t="s">
        <v>83</v>
      </c>
      <c r="J90" s="22" t="s">
        <v>89</v>
      </c>
      <c r="K90" s="22"/>
      <c r="L90" s="46" t="s">
        <v>158</v>
      </c>
      <c r="M90" s="22" t="s">
        <v>29</v>
      </c>
    </row>
    <row r="91" spans="1:13" ht="112.5" x14ac:dyDescent="0.35">
      <c r="A91" s="9"/>
      <c r="B91" s="22" t="s">
        <v>229</v>
      </c>
      <c r="C91" s="22"/>
      <c r="D91" s="22" t="s">
        <v>396</v>
      </c>
      <c r="E91" s="9" t="s">
        <v>6</v>
      </c>
      <c r="F91" s="27">
        <v>300000</v>
      </c>
      <c r="G91" s="19" t="s">
        <v>395</v>
      </c>
      <c r="H91" s="22" t="s">
        <v>231</v>
      </c>
      <c r="I91" s="22" t="s">
        <v>81</v>
      </c>
      <c r="J91" s="22" t="s">
        <v>89</v>
      </c>
      <c r="K91" s="22"/>
      <c r="L91" s="46" t="s">
        <v>158</v>
      </c>
      <c r="M91" s="22" t="s">
        <v>226</v>
      </c>
    </row>
    <row r="92" spans="1:13" ht="93.75" customHeight="1" x14ac:dyDescent="0.35">
      <c r="A92" s="41" t="s">
        <v>410</v>
      </c>
      <c r="B92" s="22" t="s">
        <v>229</v>
      </c>
      <c r="C92" s="22"/>
      <c r="D92" s="22" t="s">
        <v>406</v>
      </c>
      <c r="E92" s="9" t="s">
        <v>77</v>
      </c>
      <c r="F92" s="27">
        <v>3000000</v>
      </c>
      <c r="G92" s="19" t="s">
        <v>395</v>
      </c>
      <c r="H92" s="22" t="s">
        <v>236</v>
      </c>
      <c r="I92" s="22" t="s">
        <v>82</v>
      </c>
      <c r="J92" s="22" t="s">
        <v>227</v>
      </c>
      <c r="K92" s="22"/>
      <c r="L92" s="46" t="s">
        <v>158</v>
      </c>
      <c r="M92" s="22" t="s">
        <v>228</v>
      </c>
    </row>
    <row r="93" spans="1:13" ht="25" x14ac:dyDescent="0.35">
      <c r="A93" s="43" t="s">
        <v>272</v>
      </c>
      <c r="B93" s="22" t="s">
        <v>229</v>
      </c>
      <c r="C93" s="22"/>
      <c r="D93" s="22" t="s">
        <v>271</v>
      </c>
      <c r="E93" s="9" t="s">
        <v>78</v>
      </c>
      <c r="F93" s="27">
        <v>7792000</v>
      </c>
      <c r="G93" s="19" t="s">
        <v>395</v>
      </c>
      <c r="H93" s="22"/>
      <c r="I93" s="22"/>
      <c r="J93" s="22" t="s">
        <v>414</v>
      </c>
      <c r="K93" s="22"/>
      <c r="L93" s="46" t="s">
        <v>10</v>
      </c>
      <c r="M93" s="22" t="s">
        <v>273</v>
      </c>
    </row>
    <row r="94" spans="1:13" ht="25" x14ac:dyDescent="0.35">
      <c r="A94" s="43" t="s">
        <v>283</v>
      </c>
      <c r="B94" s="22" t="s">
        <v>229</v>
      </c>
      <c r="C94" s="22"/>
      <c r="D94" s="22" t="s">
        <v>274</v>
      </c>
      <c r="E94" s="9" t="s">
        <v>78</v>
      </c>
      <c r="F94" s="27">
        <v>576000</v>
      </c>
      <c r="G94" s="19" t="s">
        <v>395</v>
      </c>
      <c r="H94" s="22"/>
      <c r="I94" s="22"/>
      <c r="J94" s="22" t="s">
        <v>89</v>
      </c>
      <c r="K94" s="22"/>
      <c r="L94" s="46" t="s">
        <v>10</v>
      </c>
      <c r="M94" s="16" t="s">
        <v>284</v>
      </c>
    </row>
    <row r="95" spans="1:13" ht="25" x14ac:dyDescent="0.35">
      <c r="A95" s="43" t="s">
        <v>283</v>
      </c>
      <c r="B95" s="22" t="s">
        <v>229</v>
      </c>
      <c r="C95" s="22"/>
      <c r="D95" s="22" t="s">
        <v>275</v>
      </c>
      <c r="E95" s="9" t="s">
        <v>78</v>
      </c>
      <c r="F95" s="27">
        <v>1050000</v>
      </c>
      <c r="G95" s="19" t="s">
        <v>395</v>
      </c>
      <c r="H95" s="22"/>
      <c r="I95" s="22" t="s">
        <v>81</v>
      </c>
      <c r="J95" s="22" t="s">
        <v>415</v>
      </c>
      <c r="K95" s="22"/>
      <c r="L95" s="46" t="s">
        <v>10</v>
      </c>
      <c r="M95" s="16" t="s">
        <v>284</v>
      </c>
    </row>
    <row r="96" spans="1:13" ht="25" x14ac:dyDescent="0.35">
      <c r="A96" s="43" t="s">
        <v>411</v>
      </c>
      <c r="B96" s="22" t="s">
        <v>229</v>
      </c>
      <c r="C96" s="22"/>
      <c r="D96" s="22" t="s">
        <v>276</v>
      </c>
      <c r="E96" s="9" t="s">
        <v>6</v>
      </c>
      <c r="F96" s="27">
        <v>1569228</v>
      </c>
      <c r="G96" s="19" t="s">
        <v>395</v>
      </c>
      <c r="H96" s="22"/>
      <c r="I96" s="22"/>
      <c r="J96" s="22" t="s">
        <v>89</v>
      </c>
      <c r="K96" s="22"/>
      <c r="L96" s="46" t="s">
        <v>10</v>
      </c>
      <c r="M96" s="16" t="s">
        <v>285</v>
      </c>
    </row>
    <row r="97" spans="1:13" ht="25" x14ac:dyDescent="0.35">
      <c r="A97" s="43" t="s">
        <v>283</v>
      </c>
      <c r="B97" s="22" t="s">
        <v>229</v>
      </c>
      <c r="C97" s="22"/>
      <c r="D97" s="22" t="s">
        <v>277</v>
      </c>
      <c r="E97" s="9" t="s">
        <v>78</v>
      </c>
      <c r="F97" s="27">
        <v>2551240.7999999998</v>
      </c>
      <c r="G97" s="19" t="s">
        <v>395</v>
      </c>
      <c r="H97" s="22"/>
      <c r="I97" s="22"/>
      <c r="J97" s="22" t="s">
        <v>416</v>
      </c>
      <c r="K97" s="22"/>
      <c r="L97" s="46" t="s">
        <v>10</v>
      </c>
      <c r="M97" s="16" t="s">
        <v>284</v>
      </c>
    </row>
    <row r="98" spans="1:13" ht="25" x14ac:dyDescent="0.35">
      <c r="A98" s="43" t="s">
        <v>283</v>
      </c>
      <c r="B98" s="22" t="s">
        <v>229</v>
      </c>
      <c r="C98" s="22"/>
      <c r="D98" s="22" t="s">
        <v>278</v>
      </c>
      <c r="E98" s="9" t="s">
        <v>6</v>
      </c>
      <c r="F98" s="27">
        <v>1028592</v>
      </c>
      <c r="G98" s="19" t="s">
        <v>395</v>
      </c>
      <c r="H98" s="22"/>
      <c r="I98" s="22"/>
      <c r="J98" s="22" t="s">
        <v>89</v>
      </c>
      <c r="K98" s="22"/>
      <c r="L98" s="46" t="s">
        <v>10</v>
      </c>
      <c r="M98" s="16" t="s">
        <v>286</v>
      </c>
    </row>
    <row r="99" spans="1:13" ht="25" x14ac:dyDescent="0.35">
      <c r="A99" s="43" t="s">
        <v>408</v>
      </c>
      <c r="B99" s="22" t="s">
        <v>229</v>
      </c>
      <c r="C99" s="22"/>
      <c r="D99" s="22" t="s">
        <v>279</v>
      </c>
      <c r="E99" s="9" t="s">
        <v>6</v>
      </c>
      <c r="F99" s="27">
        <v>4038480</v>
      </c>
      <c r="G99" s="19" t="s">
        <v>395</v>
      </c>
      <c r="H99" s="22"/>
      <c r="I99" s="22"/>
      <c r="J99" s="22" t="s">
        <v>417</v>
      </c>
      <c r="K99" s="22"/>
      <c r="L99" s="46" t="s">
        <v>10</v>
      </c>
      <c r="M99" s="16" t="s">
        <v>287</v>
      </c>
    </row>
    <row r="100" spans="1:13" ht="25" x14ac:dyDescent="0.35">
      <c r="A100" s="43" t="s">
        <v>283</v>
      </c>
      <c r="B100" s="22" t="s">
        <v>229</v>
      </c>
      <c r="C100" s="22"/>
      <c r="D100" s="22" t="s">
        <v>280</v>
      </c>
      <c r="E100" s="9" t="s">
        <v>78</v>
      </c>
      <c r="F100" s="27">
        <v>3248928</v>
      </c>
      <c r="G100" s="19" t="s">
        <v>395</v>
      </c>
      <c r="H100" s="22"/>
      <c r="I100" s="22"/>
      <c r="J100" s="22" t="s">
        <v>89</v>
      </c>
      <c r="K100" s="22"/>
      <c r="L100" s="46" t="s">
        <v>10</v>
      </c>
      <c r="M100" s="16" t="s">
        <v>284</v>
      </c>
    </row>
    <row r="101" spans="1:13" ht="25" x14ac:dyDescent="0.35">
      <c r="A101" s="43" t="s">
        <v>283</v>
      </c>
      <c r="B101" s="22" t="s">
        <v>229</v>
      </c>
      <c r="C101" s="22"/>
      <c r="D101" s="22" t="s">
        <v>281</v>
      </c>
      <c r="E101" s="9" t="s">
        <v>78</v>
      </c>
      <c r="F101" s="27">
        <v>587419.19999999995</v>
      </c>
      <c r="G101" s="19" t="s">
        <v>395</v>
      </c>
      <c r="H101" s="22"/>
      <c r="I101" s="22"/>
      <c r="J101" s="22" t="s">
        <v>89</v>
      </c>
      <c r="K101" s="22"/>
      <c r="L101" s="46" t="s">
        <v>10</v>
      </c>
      <c r="M101" s="16" t="s">
        <v>284</v>
      </c>
    </row>
    <row r="102" spans="1:13" ht="25" x14ac:dyDescent="0.35">
      <c r="A102" s="43" t="s">
        <v>283</v>
      </c>
      <c r="B102" s="22" t="s">
        <v>229</v>
      </c>
      <c r="C102" s="22"/>
      <c r="D102" s="22" t="s">
        <v>282</v>
      </c>
      <c r="E102" s="9" t="s">
        <v>6</v>
      </c>
      <c r="F102" s="27">
        <v>300000</v>
      </c>
      <c r="G102" s="19" t="s">
        <v>395</v>
      </c>
      <c r="H102" s="22"/>
      <c r="I102" s="22"/>
      <c r="J102" s="22" t="s">
        <v>417</v>
      </c>
      <c r="K102" s="22"/>
      <c r="L102" s="46" t="s">
        <v>10</v>
      </c>
      <c r="M102" s="16" t="s">
        <v>284</v>
      </c>
    </row>
    <row r="103" spans="1:13" ht="37.5" x14ac:dyDescent="0.35">
      <c r="A103" s="60"/>
      <c r="B103" s="29" t="s">
        <v>244</v>
      </c>
      <c r="C103" s="29"/>
      <c r="D103" s="29" t="s">
        <v>237</v>
      </c>
      <c r="E103" s="29" t="s">
        <v>77</v>
      </c>
      <c r="F103" s="29">
        <f>60000+500000+60000+1000000</f>
        <v>1620000</v>
      </c>
      <c r="G103" s="38" t="s">
        <v>395</v>
      </c>
      <c r="H103" s="29" t="s">
        <v>231</v>
      </c>
      <c r="I103" s="29" t="s">
        <v>82</v>
      </c>
      <c r="J103" s="29" t="s">
        <v>238</v>
      </c>
      <c r="K103" s="29" t="s">
        <v>243</v>
      </c>
      <c r="L103" s="45" t="s">
        <v>10</v>
      </c>
      <c r="M103" s="29" t="s">
        <v>239</v>
      </c>
    </row>
    <row r="104" spans="1:13" ht="37.5" x14ac:dyDescent="0.35">
      <c r="A104" s="61"/>
      <c r="B104" s="22" t="s">
        <v>244</v>
      </c>
      <c r="C104" s="22"/>
      <c r="D104" s="22" t="s">
        <v>240</v>
      </c>
      <c r="E104" s="22" t="s">
        <v>77</v>
      </c>
      <c r="F104" s="22">
        <v>360000</v>
      </c>
      <c r="G104" s="19" t="s">
        <v>395</v>
      </c>
      <c r="H104" s="22" t="s">
        <v>42</v>
      </c>
      <c r="I104" s="22" t="s">
        <v>82</v>
      </c>
      <c r="J104" s="22" t="s">
        <v>238</v>
      </c>
      <c r="K104" s="22" t="s">
        <v>243</v>
      </c>
      <c r="L104" s="46" t="s">
        <v>241</v>
      </c>
      <c r="M104" s="22" t="s">
        <v>239</v>
      </c>
    </row>
    <row r="105" spans="1:13" ht="37.5" x14ac:dyDescent="0.35">
      <c r="A105" s="61"/>
      <c r="B105" s="8" t="s">
        <v>244</v>
      </c>
      <c r="C105" s="8"/>
      <c r="D105" s="22" t="s">
        <v>242</v>
      </c>
      <c r="E105" s="22" t="s">
        <v>77</v>
      </c>
      <c r="F105" s="22">
        <f>660000+572000</f>
        <v>1232000</v>
      </c>
      <c r="G105" s="19" t="s">
        <v>395</v>
      </c>
      <c r="H105" s="22" t="s">
        <v>42</v>
      </c>
      <c r="I105" s="22" t="s">
        <v>81</v>
      </c>
      <c r="J105" s="22" t="s">
        <v>238</v>
      </c>
      <c r="K105" s="22" t="s">
        <v>243</v>
      </c>
      <c r="L105" s="46" t="s">
        <v>241</v>
      </c>
      <c r="M105" s="22" t="s">
        <v>239</v>
      </c>
    </row>
    <row r="106" spans="1:13" ht="37.5" x14ac:dyDescent="0.35">
      <c r="A106" s="60"/>
      <c r="B106" s="29" t="s">
        <v>248</v>
      </c>
      <c r="C106" s="29"/>
      <c r="D106" s="29" t="s">
        <v>247</v>
      </c>
      <c r="E106" s="29" t="s">
        <v>77</v>
      </c>
      <c r="F106" s="29">
        <v>60000</v>
      </c>
      <c r="G106" s="38" t="s">
        <v>395</v>
      </c>
      <c r="H106" s="29"/>
      <c r="I106" s="29" t="s">
        <v>81</v>
      </c>
      <c r="J106" s="29" t="s">
        <v>89</v>
      </c>
      <c r="K106" s="29" t="s">
        <v>243</v>
      </c>
      <c r="L106" s="45" t="s">
        <v>241</v>
      </c>
      <c r="M106" s="29" t="s">
        <v>245</v>
      </c>
    </row>
    <row r="107" spans="1:13" ht="25" x14ac:dyDescent="0.35">
      <c r="A107" s="61"/>
      <c r="B107" s="22" t="s">
        <v>248</v>
      </c>
      <c r="C107" s="22"/>
      <c r="D107" s="22" t="s">
        <v>246</v>
      </c>
      <c r="E107" s="22" t="s">
        <v>77</v>
      </c>
      <c r="F107" s="27">
        <v>150000</v>
      </c>
      <c r="G107" s="19" t="s">
        <v>395</v>
      </c>
      <c r="H107" s="22"/>
      <c r="I107" s="22" t="s">
        <v>81</v>
      </c>
      <c r="J107" s="22" t="s">
        <v>89</v>
      </c>
      <c r="K107" s="22" t="s">
        <v>243</v>
      </c>
      <c r="L107" s="46" t="s">
        <v>10</v>
      </c>
      <c r="M107" s="22" t="s">
        <v>245</v>
      </c>
    </row>
    <row r="108" spans="1:13" ht="25" x14ac:dyDescent="0.35">
      <c r="A108" s="112" t="s">
        <v>129</v>
      </c>
      <c r="B108" s="29" t="s">
        <v>252</v>
      </c>
      <c r="C108" s="29"/>
      <c r="D108" s="29" t="s">
        <v>249</v>
      </c>
      <c r="E108" s="29" t="s">
        <v>77</v>
      </c>
      <c r="F108" s="29">
        <v>840000</v>
      </c>
      <c r="G108" s="38" t="s">
        <v>395</v>
      </c>
      <c r="H108" s="29"/>
      <c r="I108" s="29" t="s">
        <v>81</v>
      </c>
      <c r="J108" s="29" t="s">
        <v>250</v>
      </c>
      <c r="K108" s="29" t="s">
        <v>135</v>
      </c>
      <c r="L108" s="45" t="s">
        <v>241</v>
      </c>
      <c r="M108" s="29" t="s">
        <v>251</v>
      </c>
    </row>
    <row r="109" spans="1:13" ht="56" x14ac:dyDescent="0.35">
      <c r="A109" s="110" t="s">
        <v>347</v>
      </c>
      <c r="B109" s="29" t="s">
        <v>253</v>
      </c>
      <c r="C109" s="29"/>
      <c r="D109" s="29" t="s">
        <v>254</v>
      </c>
      <c r="E109" s="29" t="s">
        <v>77</v>
      </c>
      <c r="F109" s="29">
        <v>1500000</v>
      </c>
      <c r="G109" s="38" t="s">
        <v>395</v>
      </c>
      <c r="H109" s="29" t="s">
        <v>230</v>
      </c>
      <c r="I109" s="29"/>
      <c r="J109" s="29" t="s">
        <v>89</v>
      </c>
      <c r="K109" s="29"/>
      <c r="L109" s="45" t="s">
        <v>10</v>
      </c>
      <c r="M109" s="29" t="s">
        <v>255</v>
      </c>
    </row>
    <row r="110" spans="1:13" ht="37.5" x14ac:dyDescent="0.35">
      <c r="A110" s="61"/>
      <c r="B110" s="22" t="s">
        <v>253</v>
      </c>
      <c r="C110" s="22"/>
      <c r="D110" s="22" t="s">
        <v>256</v>
      </c>
      <c r="E110" s="22" t="s">
        <v>77</v>
      </c>
      <c r="F110" s="22">
        <v>600000</v>
      </c>
      <c r="G110" s="19" t="s">
        <v>395</v>
      </c>
      <c r="H110" s="22" t="s">
        <v>230</v>
      </c>
      <c r="I110" s="22"/>
      <c r="J110" s="22" t="s">
        <v>89</v>
      </c>
      <c r="K110" s="22"/>
      <c r="L110" s="46" t="s">
        <v>10</v>
      </c>
      <c r="M110" s="22" t="s">
        <v>255</v>
      </c>
    </row>
    <row r="111" spans="1:13" ht="37.5" x14ac:dyDescent="0.35">
      <c r="A111" s="61"/>
      <c r="B111" s="22" t="s">
        <v>253</v>
      </c>
      <c r="C111" s="22"/>
      <c r="D111" s="22" t="s">
        <v>257</v>
      </c>
      <c r="E111" s="22" t="s">
        <v>77</v>
      </c>
      <c r="F111" s="22">
        <v>500000</v>
      </c>
      <c r="G111" s="19" t="s">
        <v>395</v>
      </c>
      <c r="H111" s="22" t="s">
        <v>230</v>
      </c>
      <c r="I111" s="22"/>
      <c r="J111" s="22" t="s">
        <v>89</v>
      </c>
      <c r="K111" s="22"/>
      <c r="L111" s="46" t="s">
        <v>10</v>
      </c>
      <c r="M111" s="22" t="s">
        <v>255</v>
      </c>
    </row>
    <row r="112" spans="1:13" ht="42" x14ac:dyDescent="0.35">
      <c r="A112" s="110" t="s">
        <v>412</v>
      </c>
      <c r="B112" s="29" t="s">
        <v>258</v>
      </c>
      <c r="C112" s="29"/>
      <c r="D112" s="29" t="s">
        <v>260</v>
      </c>
      <c r="E112" s="29" t="s">
        <v>77</v>
      </c>
      <c r="F112" s="29">
        <v>1208041.3999999999</v>
      </c>
      <c r="G112" s="38" t="s">
        <v>395</v>
      </c>
      <c r="H112" s="60"/>
      <c r="I112" s="62"/>
      <c r="J112" s="29" t="s">
        <v>89</v>
      </c>
      <c r="K112" s="60"/>
      <c r="L112" s="45" t="s">
        <v>29</v>
      </c>
      <c r="M112" s="92" t="s">
        <v>259</v>
      </c>
    </row>
    <row r="113" spans="1:38" ht="70" x14ac:dyDescent="0.35">
      <c r="A113" s="110" t="s">
        <v>413</v>
      </c>
      <c r="B113" s="32" t="s">
        <v>269</v>
      </c>
      <c r="C113" s="32"/>
      <c r="D113" s="29" t="s">
        <v>261</v>
      </c>
      <c r="E113" s="29" t="s">
        <v>77</v>
      </c>
      <c r="F113" s="29">
        <v>100000</v>
      </c>
      <c r="G113" s="38" t="s">
        <v>395</v>
      </c>
      <c r="H113" s="60"/>
      <c r="I113" s="62"/>
      <c r="J113" s="29" t="s">
        <v>89</v>
      </c>
      <c r="K113" s="60"/>
      <c r="L113" s="96"/>
      <c r="M113" s="62"/>
    </row>
    <row r="114" spans="1:38" ht="37.5" x14ac:dyDescent="0.35">
      <c r="A114" s="111"/>
      <c r="B114" s="22" t="s">
        <v>269</v>
      </c>
      <c r="C114" s="22"/>
      <c r="D114" s="22" t="s">
        <v>262</v>
      </c>
      <c r="E114" s="63" t="s">
        <v>6</v>
      </c>
      <c r="F114" s="22">
        <v>300000</v>
      </c>
      <c r="G114" s="19" t="s">
        <v>395</v>
      </c>
      <c r="H114" s="61"/>
      <c r="I114" s="63"/>
      <c r="J114" s="22" t="s">
        <v>89</v>
      </c>
      <c r="K114" s="61"/>
      <c r="L114" s="97" t="s">
        <v>263</v>
      </c>
      <c r="M114" s="63"/>
    </row>
    <row r="115" spans="1:38" ht="25" x14ac:dyDescent="0.35">
      <c r="A115" s="61"/>
      <c r="B115" s="22" t="s">
        <v>269</v>
      </c>
      <c r="C115" s="22"/>
      <c r="D115" s="22" t="s">
        <v>264</v>
      </c>
      <c r="E115" s="63" t="s">
        <v>6</v>
      </c>
      <c r="F115" s="22">
        <v>700000</v>
      </c>
      <c r="G115" s="19" t="s">
        <v>395</v>
      </c>
      <c r="H115" s="61"/>
      <c r="I115" s="63"/>
      <c r="J115" s="22" t="s">
        <v>89</v>
      </c>
      <c r="K115" s="61"/>
      <c r="L115" s="97" t="s">
        <v>263</v>
      </c>
      <c r="M115" s="63"/>
    </row>
    <row r="116" spans="1:38" ht="37.5" x14ac:dyDescent="0.35">
      <c r="A116" s="61"/>
      <c r="B116" s="22" t="s">
        <v>269</v>
      </c>
      <c r="C116" s="22"/>
      <c r="D116" s="22" t="s">
        <v>265</v>
      </c>
      <c r="E116" s="63" t="s">
        <v>6</v>
      </c>
      <c r="F116" s="22">
        <v>400000</v>
      </c>
      <c r="G116" s="19" t="s">
        <v>395</v>
      </c>
      <c r="H116" s="61"/>
      <c r="I116" s="63"/>
      <c r="J116" s="22" t="s">
        <v>89</v>
      </c>
      <c r="K116" s="61"/>
      <c r="L116" s="98"/>
      <c r="M116" s="63"/>
    </row>
    <row r="117" spans="1:38" ht="37.5" x14ac:dyDescent="0.35">
      <c r="A117" s="61"/>
      <c r="B117" s="22" t="s">
        <v>269</v>
      </c>
      <c r="C117" s="22"/>
      <c r="D117" s="22" t="s">
        <v>266</v>
      </c>
      <c r="E117" s="63" t="s">
        <v>77</v>
      </c>
      <c r="F117" s="22">
        <v>500000</v>
      </c>
      <c r="G117" s="19" t="s">
        <v>395</v>
      </c>
      <c r="H117" s="61"/>
      <c r="I117" s="63"/>
      <c r="J117" s="22" t="s">
        <v>89</v>
      </c>
      <c r="K117" s="61"/>
      <c r="L117" s="98"/>
      <c r="M117" s="63"/>
    </row>
    <row r="118" spans="1:38" ht="25" x14ac:dyDescent="0.35">
      <c r="A118" s="61"/>
      <c r="B118" s="22" t="s">
        <v>269</v>
      </c>
      <c r="C118" s="22"/>
      <c r="D118" s="22" t="s">
        <v>267</v>
      </c>
      <c r="E118" s="63" t="s">
        <v>6</v>
      </c>
      <c r="F118" s="22">
        <v>400000</v>
      </c>
      <c r="G118" s="19" t="s">
        <v>395</v>
      </c>
      <c r="H118" s="61"/>
      <c r="I118" s="63"/>
      <c r="J118" s="22" t="s">
        <v>89</v>
      </c>
      <c r="K118" s="61"/>
      <c r="L118" s="98"/>
      <c r="M118" s="63"/>
    </row>
    <row r="119" spans="1:38" ht="25" x14ac:dyDescent="0.35">
      <c r="A119" s="61"/>
      <c r="B119" s="22" t="s">
        <v>269</v>
      </c>
      <c r="C119" s="22"/>
      <c r="D119" s="22" t="s">
        <v>268</v>
      </c>
      <c r="E119" s="63" t="s">
        <v>6</v>
      </c>
      <c r="F119" s="22">
        <v>300000</v>
      </c>
      <c r="G119" s="19" t="s">
        <v>395</v>
      </c>
      <c r="H119" s="61"/>
      <c r="I119" s="63"/>
      <c r="J119" s="22" t="s">
        <v>89</v>
      </c>
      <c r="K119" s="61"/>
      <c r="L119" s="98"/>
      <c r="M119" s="63"/>
    </row>
    <row r="120" spans="1:38" s="28" customFormat="1" ht="67.5" customHeight="1" x14ac:dyDescent="0.35">
      <c r="A120" s="35"/>
      <c r="B120" s="60" t="s">
        <v>397</v>
      </c>
      <c r="C120" s="60"/>
      <c r="D120" s="64" t="s">
        <v>288</v>
      </c>
      <c r="E120" s="62" t="s">
        <v>6</v>
      </c>
      <c r="F120" s="91">
        <v>13200000</v>
      </c>
      <c r="G120" s="38" t="s">
        <v>395</v>
      </c>
      <c r="H120" s="60"/>
      <c r="I120" s="60"/>
      <c r="J120" s="60"/>
      <c r="K120" s="60"/>
      <c r="L120" s="100" t="s">
        <v>10</v>
      </c>
      <c r="M120" s="101" t="s">
        <v>289</v>
      </c>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row>
    <row r="121" spans="1:38" s="28" customFormat="1" ht="58.5" customHeight="1" x14ac:dyDescent="0.35">
      <c r="A121" s="40" t="s">
        <v>347</v>
      </c>
      <c r="B121" s="63" t="s">
        <v>348</v>
      </c>
      <c r="C121" s="63"/>
      <c r="D121" s="65" t="s">
        <v>290</v>
      </c>
      <c r="E121" s="63" t="s">
        <v>6</v>
      </c>
      <c r="F121" s="66">
        <v>6000000</v>
      </c>
      <c r="G121" s="19" t="s">
        <v>395</v>
      </c>
      <c r="H121" s="61"/>
      <c r="I121" s="61"/>
      <c r="J121" s="61"/>
      <c r="K121" s="61"/>
      <c r="L121" s="102" t="s">
        <v>10</v>
      </c>
      <c r="M121" s="103" t="s">
        <v>291</v>
      </c>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row>
    <row r="122" spans="1:38" s="28" customFormat="1" ht="39.75" customHeight="1" x14ac:dyDescent="0.35">
      <c r="A122" s="40" t="s">
        <v>347</v>
      </c>
      <c r="B122" s="63" t="s">
        <v>348</v>
      </c>
      <c r="C122" s="63"/>
      <c r="D122" s="67" t="s">
        <v>292</v>
      </c>
      <c r="E122" s="63" t="s">
        <v>6</v>
      </c>
      <c r="F122" s="68">
        <v>7200000</v>
      </c>
      <c r="G122" s="19" t="s">
        <v>395</v>
      </c>
      <c r="H122" s="61"/>
      <c r="I122" s="61"/>
      <c r="J122" s="61"/>
      <c r="K122" s="61"/>
      <c r="L122" s="104" t="s">
        <v>10</v>
      </c>
      <c r="M122" s="105" t="s">
        <v>293</v>
      </c>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row>
    <row r="123" spans="1:38" s="28" customFormat="1" ht="62.25" customHeight="1" x14ac:dyDescent="0.35">
      <c r="A123" s="40" t="s">
        <v>347</v>
      </c>
      <c r="B123" s="63" t="s">
        <v>348</v>
      </c>
      <c r="C123" s="63"/>
      <c r="D123" s="65" t="s">
        <v>294</v>
      </c>
      <c r="E123" s="63" t="s">
        <v>6</v>
      </c>
      <c r="F123" s="66">
        <v>2400000</v>
      </c>
      <c r="G123" s="19" t="s">
        <v>395</v>
      </c>
      <c r="H123" s="61"/>
      <c r="I123" s="61"/>
      <c r="J123" s="61"/>
      <c r="K123" s="61"/>
      <c r="L123" s="102" t="s">
        <v>10</v>
      </c>
      <c r="M123" s="103" t="s">
        <v>295</v>
      </c>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row>
    <row r="124" spans="1:38" s="28" customFormat="1" ht="60.75" customHeight="1" x14ac:dyDescent="0.35">
      <c r="A124" s="40" t="s">
        <v>347</v>
      </c>
      <c r="B124" s="63" t="s">
        <v>348</v>
      </c>
      <c r="C124" s="63"/>
      <c r="D124" s="69" t="s">
        <v>296</v>
      </c>
      <c r="E124" s="63" t="s">
        <v>6</v>
      </c>
      <c r="F124" s="68">
        <v>4800000</v>
      </c>
      <c r="G124" s="19" t="s">
        <v>395</v>
      </c>
      <c r="H124" s="61"/>
      <c r="I124" s="61"/>
      <c r="J124" s="61"/>
      <c r="K124" s="61"/>
      <c r="L124" s="104" t="s">
        <v>10</v>
      </c>
      <c r="M124" s="105" t="s">
        <v>297</v>
      </c>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row>
    <row r="125" spans="1:38" s="28" customFormat="1" ht="53.25" customHeight="1" x14ac:dyDescent="0.35">
      <c r="A125" s="40" t="s">
        <v>347</v>
      </c>
      <c r="B125" s="63" t="s">
        <v>348</v>
      </c>
      <c r="C125" s="63"/>
      <c r="D125" s="67" t="s">
        <v>298</v>
      </c>
      <c r="E125" s="63" t="s">
        <v>392</v>
      </c>
      <c r="F125" s="68">
        <v>7200000</v>
      </c>
      <c r="G125" s="19" t="s">
        <v>395</v>
      </c>
      <c r="H125" s="61"/>
      <c r="I125" s="61"/>
      <c r="J125" s="61"/>
      <c r="K125" s="61"/>
      <c r="L125" s="104" t="s">
        <v>10</v>
      </c>
      <c r="M125" s="105" t="s">
        <v>299</v>
      </c>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row>
    <row r="126" spans="1:38" s="28" customFormat="1" ht="55.5" customHeight="1" x14ac:dyDescent="0.35">
      <c r="A126" s="40" t="s">
        <v>347</v>
      </c>
      <c r="B126" s="63" t="s">
        <v>348</v>
      </c>
      <c r="C126" s="63"/>
      <c r="D126" s="65" t="s">
        <v>300</v>
      </c>
      <c r="E126" s="63" t="s">
        <v>77</v>
      </c>
      <c r="F126" s="66">
        <v>600000</v>
      </c>
      <c r="G126" s="19" t="s">
        <v>395</v>
      </c>
      <c r="H126" s="61"/>
      <c r="I126" s="61"/>
      <c r="J126" s="61"/>
      <c r="K126" s="61"/>
      <c r="L126" s="102" t="s">
        <v>29</v>
      </c>
      <c r="M126" s="103" t="s">
        <v>301</v>
      </c>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row>
    <row r="127" spans="1:38" s="28" customFormat="1" ht="45" customHeight="1" x14ac:dyDescent="0.35">
      <c r="A127" s="40" t="s">
        <v>347</v>
      </c>
      <c r="B127" s="63" t="s">
        <v>348</v>
      </c>
      <c r="C127" s="63"/>
      <c r="D127" s="67" t="s">
        <v>302</v>
      </c>
      <c r="E127" s="63" t="s">
        <v>77</v>
      </c>
      <c r="F127" s="68">
        <v>480000</v>
      </c>
      <c r="G127" s="19" t="s">
        <v>395</v>
      </c>
      <c r="H127" s="61"/>
      <c r="I127" s="61"/>
      <c r="J127" s="61"/>
      <c r="K127" s="61"/>
      <c r="L127" s="104" t="s">
        <v>29</v>
      </c>
      <c r="M127" s="105" t="s">
        <v>303</v>
      </c>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row>
    <row r="128" spans="1:38" s="28" customFormat="1" ht="54" customHeight="1" x14ac:dyDescent="0.35">
      <c r="A128" s="40" t="s">
        <v>347</v>
      </c>
      <c r="B128" s="63" t="s">
        <v>348</v>
      </c>
      <c r="C128" s="63"/>
      <c r="D128" s="65" t="s">
        <v>304</v>
      </c>
      <c r="E128" s="63" t="s">
        <v>6</v>
      </c>
      <c r="F128" s="66">
        <v>2400000</v>
      </c>
      <c r="G128" s="19" t="s">
        <v>395</v>
      </c>
      <c r="H128" s="61"/>
      <c r="I128" s="61"/>
      <c r="J128" s="61"/>
      <c r="K128" s="61"/>
      <c r="L128" s="102" t="s">
        <v>10</v>
      </c>
      <c r="M128" s="103" t="s">
        <v>305</v>
      </c>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row>
    <row r="129" spans="1:38" s="28" customFormat="1" ht="55.5" customHeight="1" x14ac:dyDescent="0.35">
      <c r="A129" s="40" t="s">
        <v>347</v>
      </c>
      <c r="B129" s="63" t="s">
        <v>348</v>
      </c>
      <c r="C129" s="63"/>
      <c r="D129" s="67" t="s">
        <v>306</v>
      </c>
      <c r="E129" s="63" t="s">
        <v>6</v>
      </c>
      <c r="F129" s="68">
        <v>6000000</v>
      </c>
      <c r="G129" s="19" t="s">
        <v>395</v>
      </c>
      <c r="H129" s="61"/>
      <c r="I129" s="61"/>
      <c r="J129" s="61"/>
      <c r="K129" s="61"/>
      <c r="L129" s="104" t="s">
        <v>10</v>
      </c>
      <c r="M129" s="105" t="s">
        <v>307</v>
      </c>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row>
    <row r="130" spans="1:38" s="28" customFormat="1" ht="54" customHeight="1" x14ac:dyDescent="0.35">
      <c r="A130" s="40" t="s">
        <v>347</v>
      </c>
      <c r="B130" s="63" t="s">
        <v>348</v>
      </c>
      <c r="C130" s="63"/>
      <c r="D130" s="65" t="s">
        <v>308</v>
      </c>
      <c r="E130" s="63" t="s">
        <v>6</v>
      </c>
      <c r="F130" s="68">
        <v>2400000</v>
      </c>
      <c r="G130" s="19" t="s">
        <v>395</v>
      </c>
      <c r="H130" s="61"/>
      <c r="I130" s="61"/>
      <c r="J130" s="61"/>
      <c r="K130" s="61"/>
      <c r="L130" s="102" t="s">
        <v>10</v>
      </c>
      <c r="M130" s="103" t="s">
        <v>309</v>
      </c>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row>
    <row r="131" spans="1:38" s="28" customFormat="1" ht="54" customHeight="1" x14ac:dyDescent="0.35">
      <c r="A131" s="40" t="s">
        <v>347</v>
      </c>
      <c r="B131" s="63" t="s">
        <v>348</v>
      </c>
      <c r="C131" s="63"/>
      <c r="D131" s="70" t="s">
        <v>310</v>
      </c>
      <c r="E131" s="63" t="s">
        <v>6</v>
      </c>
      <c r="F131" s="66">
        <v>6000000</v>
      </c>
      <c r="G131" s="19" t="s">
        <v>395</v>
      </c>
      <c r="H131" s="61"/>
      <c r="I131" s="61"/>
      <c r="J131" s="61"/>
      <c r="K131" s="61"/>
      <c r="L131" s="104" t="s">
        <v>10</v>
      </c>
      <c r="M131" s="105" t="s">
        <v>311</v>
      </c>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row>
    <row r="132" spans="1:38" s="28" customFormat="1" ht="54.75" customHeight="1" x14ac:dyDescent="0.35">
      <c r="A132" s="40" t="s">
        <v>347</v>
      </c>
      <c r="B132" s="63" t="s">
        <v>348</v>
      </c>
      <c r="C132" s="63"/>
      <c r="D132" s="65" t="s">
        <v>312</v>
      </c>
      <c r="E132" s="63" t="s">
        <v>6</v>
      </c>
      <c r="F132" s="68">
        <v>9600000</v>
      </c>
      <c r="G132" s="19" t="s">
        <v>395</v>
      </c>
      <c r="H132" s="61"/>
      <c r="I132" s="61"/>
      <c r="J132" s="61"/>
      <c r="K132" s="61"/>
      <c r="L132" s="102" t="s">
        <v>10</v>
      </c>
      <c r="M132" s="103" t="s">
        <v>313</v>
      </c>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row>
    <row r="133" spans="1:38" s="28" customFormat="1" ht="44.25" customHeight="1" x14ac:dyDescent="0.35">
      <c r="A133" s="40" t="s">
        <v>347</v>
      </c>
      <c r="B133" s="63" t="s">
        <v>348</v>
      </c>
      <c r="C133" s="63"/>
      <c r="D133" s="70" t="s">
        <v>314</v>
      </c>
      <c r="E133" s="63" t="s">
        <v>6</v>
      </c>
      <c r="F133" s="66">
        <v>2400000</v>
      </c>
      <c r="G133" s="19" t="s">
        <v>395</v>
      </c>
      <c r="H133" s="61"/>
      <c r="I133" s="61"/>
      <c r="J133" s="61"/>
      <c r="K133" s="61"/>
      <c r="L133" s="104" t="s">
        <v>10</v>
      </c>
      <c r="M133" s="105" t="s">
        <v>315</v>
      </c>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row>
    <row r="134" spans="1:38" s="28" customFormat="1" ht="54.75" customHeight="1" x14ac:dyDescent="0.35">
      <c r="A134" s="40" t="s">
        <v>347</v>
      </c>
      <c r="B134" s="63" t="s">
        <v>348</v>
      </c>
      <c r="C134" s="63"/>
      <c r="D134" s="65" t="s">
        <v>316</v>
      </c>
      <c r="E134" s="63" t="s">
        <v>6</v>
      </c>
      <c r="F134" s="68">
        <v>2400000</v>
      </c>
      <c r="G134" s="19" t="s">
        <v>395</v>
      </c>
      <c r="H134" s="61"/>
      <c r="I134" s="61"/>
      <c r="J134" s="61"/>
      <c r="K134" s="61"/>
      <c r="L134" s="102" t="s">
        <v>10</v>
      </c>
      <c r="M134" s="103" t="s">
        <v>317</v>
      </c>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row>
    <row r="135" spans="1:38" s="28" customFormat="1" ht="40.5" customHeight="1" x14ac:dyDescent="0.35">
      <c r="A135" s="40" t="s">
        <v>347</v>
      </c>
      <c r="B135" s="63" t="s">
        <v>348</v>
      </c>
      <c r="C135" s="63"/>
      <c r="D135" s="70" t="s">
        <v>318</v>
      </c>
      <c r="E135" s="63" t="s">
        <v>6</v>
      </c>
      <c r="F135" s="68">
        <v>4200000</v>
      </c>
      <c r="G135" s="19" t="s">
        <v>395</v>
      </c>
      <c r="H135" s="61"/>
      <c r="I135" s="61"/>
      <c r="J135" s="61"/>
      <c r="K135" s="61"/>
      <c r="L135" s="104" t="s">
        <v>10</v>
      </c>
      <c r="M135" s="105" t="s">
        <v>319</v>
      </c>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row>
    <row r="136" spans="1:38" s="28" customFormat="1" ht="50" x14ac:dyDescent="0.35">
      <c r="A136" s="40" t="s">
        <v>347</v>
      </c>
      <c r="B136" s="63" t="s">
        <v>348</v>
      </c>
      <c r="C136" s="63"/>
      <c r="D136" s="65" t="s">
        <v>320</v>
      </c>
      <c r="E136" s="63" t="s">
        <v>6</v>
      </c>
      <c r="F136" s="66">
        <v>2400000</v>
      </c>
      <c r="G136" s="19" t="s">
        <v>395</v>
      </c>
      <c r="H136" s="61"/>
      <c r="I136" s="61"/>
      <c r="J136" s="61"/>
      <c r="K136" s="61"/>
      <c r="L136" s="102" t="s">
        <v>10</v>
      </c>
      <c r="M136" s="103" t="s">
        <v>321</v>
      </c>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row>
    <row r="137" spans="1:38" s="28" customFormat="1" ht="62.25" customHeight="1" x14ac:dyDescent="0.35">
      <c r="A137" s="40" t="s">
        <v>347</v>
      </c>
      <c r="B137" s="63" t="s">
        <v>348</v>
      </c>
      <c r="C137" s="63"/>
      <c r="D137" s="67" t="s">
        <v>322</v>
      </c>
      <c r="E137" s="63" t="s">
        <v>6</v>
      </c>
      <c r="F137" s="68">
        <v>3600000</v>
      </c>
      <c r="G137" s="19" t="s">
        <v>395</v>
      </c>
      <c r="H137" s="61"/>
      <c r="I137" s="61"/>
      <c r="J137" s="61"/>
      <c r="K137" s="61"/>
      <c r="L137" s="106" t="s">
        <v>10</v>
      </c>
      <c r="M137" s="107" t="s">
        <v>323</v>
      </c>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row>
    <row r="138" spans="1:38" s="28" customFormat="1" ht="62.25" customHeight="1" x14ac:dyDescent="0.35">
      <c r="A138" s="40" t="s">
        <v>347</v>
      </c>
      <c r="B138" s="63" t="s">
        <v>348</v>
      </c>
      <c r="C138" s="63"/>
      <c r="D138" s="65" t="s">
        <v>324</v>
      </c>
      <c r="E138" s="63" t="s">
        <v>6</v>
      </c>
      <c r="F138" s="66">
        <v>4800000</v>
      </c>
      <c r="G138" s="19" t="s">
        <v>395</v>
      </c>
      <c r="H138" s="61"/>
      <c r="I138" s="61"/>
      <c r="J138" s="61"/>
      <c r="K138" s="61"/>
      <c r="L138" s="102" t="s">
        <v>10</v>
      </c>
      <c r="M138" s="103" t="s">
        <v>325</v>
      </c>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row>
    <row r="139" spans="1:38" s="28" customFormat="1" ht="56.25" customHeight="1" x14ac:dyDescent="0.35">
      <c r="A139" s="40" t="s">
        <v>347</v>
      </c>
      <c r="B139" s="63" t="s">
        <v>348</v>
      </c>
      <c r="C139" s="63"/>
      <c r="D139" s="70" t="s">
        <v>326</v>
      </c>
      <c r="E139" s="63" t="s">
        <v>6</v>
      </c>
      <c r="F139" s="68">
        <v>3000000</v>
      </c>
      <c r="G139" s="19" t="s">
        <v>395</v>
      </c>
      <c r="H139" s="61"/>
      <c r="I139" s="61"/>
      <c r="J139" s="61"/>
      <c r="K139" s="61"/>
      <c r="L139" s="106" t="s">
        <v>10</v>
      </c>
      <c r="M139" s="107" t="s">
        <v>327</v>
      </c>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row>
    <row r="140" spans="1:38" s="28" customFormat="1" ht="50" x14ac:dyDescent="0.35">
      <c r="A140" s="40" t="s">
        <v>347</v>
      </c>
      <c r="B140" s="63" t="s">
        <v>348</v>
      </c>
      <c r="C140" s="63"/>
      <c r="D140" s="65" t="s">
        <v>328</v>
      </c>
      <c r="E140" s="63" t="s">
        <v>6</v>
      </c>
      <c r="F140" s="68">
        <v>480000</v>
      </c>
      <c r="G140" s="19" t="s">
        <v>395</v>
      </c>
      <c r="H140" s="61"/>
      <c r="I140" s="61"/>
      <c r="J140" s="61"/>
      <c r="K140" s="61"/>
      <c r="L140" s="102" t="s">
        <v>29</v>
      </c>
      <c r="M140" s="103" t="s">
        <v>329</v>
      </c>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row>
    <row r="141" spans="1:38" s="28" customFormat="1" ht="37.5" customHeight="1" x14ac:dyDescent="0.35">
      <c r="A141" s="40" t="s">
        <v>347</v>
      </c>
      <c r="B141" s="63" t="s">
        <v>348</v>
      </c>
      <c r="C141" s="63"/>
      <c r="D141" s="67" t="s">
        <v>330</v>
      </c>
      <c r="E141" s="63" t="s">
        <v>6</v>
      </c>
      <c r="F141" s="66">
        <v>1200000</v>
      </c>
      <c r="G141" s="19" t="s">
        <v>395</v>
      </c>
      <c r="H141" s="61"/>
      <c r="I141" s="61"/>
      <c r="J141" s="61"/>
      <c r="K141" s="61"/>
      <c r="L141" s="104" t="s">
        <v>10</v>
      </c>
      <c r="M141" s="105" t="s">
        <v>329</v>
      </c>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row>
    <row r="142" spans="1:38" s="28" customFormat="1" ht="51.75" customHeight="1" x14ac:dyDescent="0.35">
      <c r="A142" s="40" t="s">
        <v>347</v>
      </c>
      <c r="B142" s="63" t="s">
        <v>348</v>
      </c>
      <c r="C142" s="63"/>
      <c r="D142" s="65" t="s">
        <v>331</v>
      </c>
      <c r="E142" s="63" t="s">
        <v>77</v>
      </c>
      <c r="F142" s="68">
        <v>1200000</v>
      </c>
      <c r="G142" s="19" t="s">
        <v>395</v>
      </c>
      <c r="H142" s="61"/>
      <c r="I142" s="61"/>
      <c r="J142" s="61"/>
      <c r="K142" s="61"/>
      <c r="L142" s="102" t="s">
        <v>29</v>
      </c>
      <c r="M142" s="103" t="s">
        <v>332</v>
      </c>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row>
    <row r="143" spans="1:38" s="28" customFormat="1" ht="36.75" customHeight="1" x14ac:dyDescent="0.35">
      <c r="A143" s="40" t="s">
        <v>347</v>
      </c>
      <c r="B143" s="63" t="s">
        <v>348</v>
      </c>
      <c r="C143" s="63"/>
      <c r="D143" s="65" t="s">
        <v>333</v>
      </c>
      <c r="E143" s="63" t="s">
        <v>6</v>
      </c>
      <c r="F143" s="66">
        <v>10200000</v>
      </c>
      <c r="G143" s="19" t="s">
        <v>395</v>
      </c>
      <c r="H143" s="61"/>
      <c r="I143" s="61"/>
      <c r="J143" s="61"/>
      <c r="K143" s="61"/>
      <c r="L143" s="102" t="s">
        <v>10</v>
      </c>
      <c r="M143" s="103" t="s">
        <v>334</v>
      </c>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row>
    <row r="144" spans="1:38" s="28" customFormat="1" ht="26.25" customHeight="1" x14ac:dyDescent="0.35">
      <c r="A144" s="40" t="s">
        <v>347</v>
      </c>
      <c r="B144" s="63" t="s">
        <v>348</v>
      </c>
      <c r="C144" s="63"/>
      <c r="D144" s="67" t="s">
        <v>335</v>
      </c>
      <c r="E144" s="63" t="s">
        <v>77</v>
      </c>
      <c r="F144" s="68">
        <v>1800000</v>
      </c>
      <c r="G144" s="19" t="s">
        <v>395</v>
      </c>
      <c r="H144" s="61"/>
      <c r="I144" s="61"/>
      <c r="J144" s="61"/>
      <c r="K144" s="61"/>
      <c r="L144" s="104" t="s">
        <v>29</v>
      </c>
      <c r="M144" s="105" t="s">
        <v>336</v>
      </c>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row>
    <row r="145" spans="1:38" s="28" customFormat="1" ht="42.75" customHeight="1" x14ac:dyDescent="0.35">
      <c r="A145" s="40" t="s">
        <v>347</v>
      </c>
      <c r="B145" s="63" t="s">
        <v>348</v>
      </c>
      <c r="C145" s="63"/>
      <c r="D145" s="71" t="s">
        <v>337</v>
      </c>
      <c r="E145" s="63" t="s">
        <v>6</v>
      </c>
      <c r="F145" s="68">
        <v>2400000</v>
      </c>
      <c r="G145" s="19" t="s">
        <v>395</v>
      </c>
      <c r="H145" s="61"/>
      <c r="I145" s="61"/>
      <c r="J145" s="61"/>
      <c r="K145" s="61"/>
      <c r="L145" s="102" t="s">
        <v>10</v>
      </c>
      <c r="M145" s="108" t="s">
        <v>338</v>
      </c>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row>
    <row r="146" spans="1:38" s="28" customFormat="1" ht="42.75" customHeight="1" x14ac:dyDescent="0.35">
      <c r="A146" s="40" t="s">
        <v>347</v>
      </c>
      <c r="B146" s="63" t="s">
        <v>348</v>
      </c>
      <c r="C146" s="63"/>
      <c r="D146" s="67" t="s">
        <v>339</v>
      </c>
      <c r="E146" s="63" t="s">
        <v>6</v>
      </c>
      <c r="F146" s="66">
        <v>4800000</v>
      </c>
      <c r="G146" s="19" t="s">
        <v>395</v>
      </c>
      <c r="H146" s="61"/>
      <c r="I146" s="61"/>
      <c r="J146" s="61"/>
      <c r="K146" s="61"/>
      <c r="L146" s="104" t="s">
        <v>10</v>
      </c>
      <c r="M146" s="105" t="s">
        <v>340</v>
      </c>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row>
    <row r="147" spans="1:38" s="28" customFormat="1" ht="48" customHeight="1" x14ac:dyDescent="0.35">
      <c r="A147" s="40" t="s">
        <v>347</v>
      </c>
      <c r="B147" s="63" t="s">
        <v>348</v>
      </c>
      <c r="C147" s="63"/>
      <c r="D147" s="71" t="s">
        <v>341</v>
      </c>
      <c r="E147" s="63" t="s">
        <v>6</v>
      </c>
      <c r="F147" s="68">
        <v>5400000</v>
      </c>
      <c r="G147" s="19" t="s">
        <v>395</v>
      </c>
      <c r="H147" s="61"/>
      <c r="I147" s="61"/>
      <c r="J147" s="61"/>
      <c r="K147" s="61"/>
      <c r="L147" s="102" t="s">
        <v>10</v>
      </c>
      <c r="M147" s="108" t="s">
        <v>342</v>
      </c>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row>
    <row r="148" spans="1:38" s="28" customFormat="1" ht="33" customHeight="1" x14ac:dyDescent="0.35">
      <c r="A148" s="40" t="s">
        <v>347</v>
      </c>
      <c r="B148" s="63" t="s">
        <v>348</v>
      </c>
      <c r="C148" s="63"/>
      <c r="D148" s="67" t="s">
        <v>343</v>
      </c>
      <c r="E148" s="63" t="s">
        <v>6</v>
      </c>
      <c r="F148" s="66">
        <v>3600000</v>
      </c>
      <c r="G148" s="19" t="s">
        <v>395</v>
      </c>
      <c r="H148" s="61"/>
      <c r="I148" s="61"/>
      <c r="J148" s="61"/>
      <c r="K148" s="61"/>
      <c r="L148" s="104" t="s">
        <v>10</v>
      </c>
      <c r="M148" s="109" t="s">
        <v>344</v>
      </c>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row>
    <row r="149" spans="1:38" s="28" customFormat="1" ht="57" customHeight="1" x14ac:dyDescent="0.35">
      <c r="A149" s="40" t="s">
        <v>347</v>
      </c>
      <c r="B149" s="63" t="s">
        <v>348</v>
      </c>
      <c r="C149" s="63"/>
      <c r="D149" s="71" t="s">
        <v>345</v>
      </c>
      <c r="E149" s="63" t="s">
        <v>6</v>
      </c>
      <c r="F149" s="68">
        <v>1400000</v>
      </c>
      <c r="G149" s="19" t="s">
        <v>395</v>
      </c>
      <c r="H149" s="61"/>
      <c r="I149" s="61"/>
      <c r="J149" s="61"/>
      <c r="K149" s="61"/>
      <c r="L149" s="102" t="s">
        <v>10</v>
      </c>
      <c r="M149" s="72" t="s">
        <v>344</v>
      </c>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row>
    <row r="150" spans="1:38" s="28" customFormat="1" ht="65.25" customHeight="1" x14ac:dyDescent="0.35">
      <c r="A150" s="40" t="s">
        <v>347</v>
      </c>
      <c r="B150" s="63" t="s">
        <v>348</v>
      </c>
      <c r="C150" s="63"/>
      <c r="D150" s="67" t="s">
        <v>346</v>
      </c>
      <c r="E150" s="63" t="s">
        <v>6</v>
      </c>
      <c r="F150" s="68">
        <v>210000</v>
      </c>
      <c r="G150" s="19" t="s">
        <v>395</v>
      </c>
      <c r="H150" s="61"/>
      <c r="I150" s="61"/>
      <c r="J150" s="61"/>
      <c r="K150" s="61"/>
      <c r="L150" s="104" t="s">
        <v>29</v>
      </c>
      <c r="M150" s="109" t="s">
        <v>344</v>
      </c>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row>
    <row r="151" spans="1:38" s="28" customFormat="1" ht="57.75" customHeight="1" x14ac:dyDescent="0.35">
      <c r="A151" s="35" t="s">
        <v>377</v>
      </c>
      <c r="B151" s="73" t="s">
        <v>349</v>
      </c>
      <c r="C151" s="73"/>
      <c r="D151" s="29" t="s">
        <v>350</v>
      </c>
      <c r="E151" s="62" t="s">
        <v>77</v>
      </c>
      <c r="F151" s="74">
        <v>12000</v>
      </c>
      <c r="G151" s="38" t="s">
        <v>395</v>
      </c>
      <c r="H151" s="60"/>
      <c r="I151" s="75" t="s">
        <v>344</v>
      </c>
      <c r="J151" s="92" t="s">
        <v>365</v>
      </c>
      <c r="K151" s="76" t="s">
        <v>19</v>
      </c>
      <c r="L151" s="96"/>
      <c r="M151" s="29" t="s">
        <v>366</v>
      </c>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row>
    <row r="152" spans="1:38" s="28" customFormat="1" ht="54" customHeight="1" x14ac:dyDescent="0.35">
      <c r="A152" s="40" t="s">
        <v>377</v>
      </c>
      <c r="B152" s="77" t="s">
        <v>349</v>
      </c>
      <c r="C152" s="78"/>
      <c r="D152" s="16" t="s">
        <v>398</v>
      </c>
      <c r="E152" s="63" t="s">
        <v>77</v>
      </c>
      <c r="F152" s="79">
        <v>250000</v>
      </c>
      <c r="G152" s="19" t="s">
        <v>395</v>
      </c>
      <c r="H152" s="61"/>
      <c r="I152" s="80" t="s">
        <v>81</v>
      </c>
      <c r="J152" s="93" t="s">
        <v>365</v>
      </c>
      <c r="K152" s="82" t="s">
        <v>19</v>
      </c>
      <c r="L152" s="98"/>
      <c r="M152" s="16" t="s">
        <v>367</v>
      </c>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row>
    <row r="153" spans="1:38" s="28" customFormat="1" ht="78" customHeight="1" x14ac:dyDescent="0.35">
      <c r="A153" s="40" t="s">
        <v>377</v>
      </c>
      <c r="B153" s="77" t="s">
        <v>349</v>
      </c>
      <c r="C153" s="78"/>
      <c r="D153" s="16" t="s">
        <v>351</v>
      </c>
      <c r="E153" s="63" t="s">
        <v>77</v>
      </c>
      <c r="F153" s="79">
        <v>753940</v>
      </c>
      <c r="G153" s="19" t="s">
        <v>395</v>
      </c>
      <c r="H153" s="61"/>
      <c r="I153" s="80" t="s">
        <v>81</v>
      </c>
      <c r="J153" s="93" t="s">
        <v>365</v>
      </c>
      <c r="K153" s="82" t="s">
        <v>344</v>
      </c>
      <c r="L153" s="98"/>
      <c r="M153" s="16" t="s">
        <v>368</v>
      </c>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row>
    <row r="154" spans="1:38" s="28" customFormat="1" ht="63" customHeight="1" x14ac:dyDescent="0.35">
      <c r="A154" s="40" t="s">
        <v>377</v>
      </c>
      <c r="B154" s="77" t="s">
        <v>349</v>
      </c>
      <c r="C154" s="78"/>
      <c r="D154" s="16" t="s">
        <v>352</v>
      </c>
      <c r="E154" s="63" t="s">
        <v>77</v>
      </c>
      <c r="F154" s="79">
        <v>250000</v>
      </c>
      <c r="G154" s="19" t="s">
        <v>395</v>
      </c>
      <c r="H154" s="61"/>
      <c r="I154" s="80" t="s">
        <v>82</v>
      </c>
      <c r="J154" s="93" t="s">
        <v>365</v>
      </c>
      <c r="K154" s="83" t="s">
        <v>243</v>
      </c>
      <c r="L154" s="98"/>
      <c r="M154" s="16" t="s">
        <v>369</v>
      </c>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row>
    <row r="155" spans="1:38" s="28" customFormat="1" ht="62.5" x14ac:dyDescent="0.35">
      <c r="A155" s="40" t="s">
        <v>377</v>
      </c>
      <c r="B155" s="77" t="s">
        <v>349</v>
      </c>
      <c r="C155" s="78"/>
      <c r="D155" s="16" t="s">
        <v>353</v>
      </c>
      <c r="E155" s="63" t="s">
        <v>77</v>
      </c>
      <c r="F155" s="79">
        <v>600000</v>
      </c>
      <c r="G155" s="19" t="s">
        <v>395</v>
      </c>
      <c r="H155" s="61"/>
      <c r="I155" s="80" t="s">
        <v>82</v>
      </c>
      <c r="J155" s="93" t="s">
        <v>365</v>
      </c>
      <c r="K155" s="83" t="s">
        <v>19</v>
      </c>
      <c r="L155" s="98"/>
      <c r="M155" s="16" t="s">
        <v>370</v>
      </c>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row>
    <row r="156" spans="1:38" s="28" customFormat="1" ht="62.25" customHeight="1" x14ac:dyDescent="0.35">
      <c r="A156" s="40" t="s">
        <v>377</v>
      </c>
      <c r="B156" s="77" t="s">
        <v>349</v>
      </c>
      <c r="C156" s="78"/>
      <c r="D156" s="21" t="s">
        <v>354</v>
      </c>
      <c r="E156" s="63" t="s">
        <v>77</v>
      </c>
      <c r="F156" s="79">
        <v>600000</v>
      </c>
      <c r="G156" s="19" t="s">
        <v>395</v>
      </c>
      <c r="H156" s="61"/>
      <c r="I156" s="80" t="s">
        <v>82</v>
      </c>
      <c r="J156" s="93" t="s">
        <v>365</v>
      </c>
      <c r="K156" s="83" t="s">
        <v>19</v>
      </c>
      <c r="L156" s="98"/>
      <c r="M156" s="16" t="s">
        <v>371</v>
      </c>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row>
    <row r="157" spans="1:38" s="28" customFormat="1" ht="54" customHeight="1" x14ac:dyDescent="0.35">
      <c r="A157" s="40" t="s">
        <v>378</v>
      </c>
      <c r="B157" s="77" t="s">
        <v>349</v>
      </c>
      <c r="C157" s="78"/>
      <c r="D157" s="21" t="s">
        <v>355</v>
      </c>
      <c r="E157" s="63" t="s">
        <v>77</v>
      </c>
      <c r="F157" s="79">
        <v>600000</v>
      </c>
      <c r="G157" s="19" t="s">
        <v>395</v>
      </c>
      <c r="H157" s="61"/>
      <c r="I157" s="80" t="s">
        <v>82</v>
      </c>
      <c r="J157" s="93" t="s">
        <v>365</v>
      </c>
      <c r="K157" s="83" t="s">
        <v>19</v>
      </c>
      <c r="L157" s="98"/>
      <c r="M157" s="16" t="s">
        <v>372</v>
      </c>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row>
    <row r="158" spans="1:38" s="28" customFormat="1" ht="57" customHeight="1" x14ac:dyDescent="0.35">
      <c r="A158" s="40" t="s">
        <v>377</v>
      </c>
      <c r="B158" s="77" t="s">
        <v>349</v>
      </c>
      <c r="C158" s="78"/>
      <c r="D158" s="21" t="s">
        <v>356</v>
      </c>
      <c r="E158" s="63" t="s">
        <v>77</v>
      </c>
      <c r="F158" s="79">
        <v>51000</v>
      </c>
      <c r="G158" s="19" t="s">
        <v>395</v>
      </c>
      <c r="H158" s="61"/>
      <c r="I158" s="84" t="s">
        <v>84</v>
      </c>
      <c r="J158" s="93" t="s">
        <v>365</v>
      </c>
      <c r="K158" s="83" t="s">
        <v>243</v>
      </c>
      <c r="L158" s="98"/>
      <c r="M158" s="16" t="s">
        <v>373</v>
      </c>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row>
    <row r="159" spans="1:38" s="28" customFormat="1" ht="50" x14ac:dyDescent="0.35">
      <c r="A159" s="40" t="s">
        <v>378</v>
      </c>
      <c r="B159" s="77" t="s">
        <v>349</v>
      </c>
      <c r="C159" s="78"/>
      <c r="D159" s="21" t="s">
        <v>357</v>
      </c>
      <c r="E159" s="63" t="s">
        <v>77</v>
      </c>
      <c r="F159" s="79">
        <v>150000</v>
      </c>
      <c r="G159" s="19" t="s">
        <v>395</v>
      </c>
      <c r="H159" s="61"/>
      <c r="I159" s="84"/>
      <c r="J159" s="81"/>
      <c r="K159" s="83"/>
      <c r="L159" s="98"/>
      <c r="M159" s="1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row>
    <row r="160" spans="1:38" s="28" customFormat="1" ht="50" x14ac:dyDescent="0.35">
      <c r="A160" s="40" t="s">
        <v>378</v>
      </c>
      <c r="B160" s="77" t="s">
        <v>349</v>
      </c>
      <c r="C160" s="78"/>
      <c r="D160" s="21" t="s">
        <v>358</v>
      </c>
      <c r="E160" s="63" t="s">
        <v>77</v>
      </c>
      <c r="F160" s="79">
        <v>200000</v>
      </c>
      <c r="G160" s="19" t="s">
        <v>395</v>
      </c>
      <c r="H160" s="61"/>
      <c r="I160" s="84"/>
      <c r="J160" s="81"/>
      <c r="K160" s="83"/>
      <c r="L160" s="98"/>
      <c r="M160" s="1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row>
    <row r="161" spans="1:38" s="28" customFormat="1" ht="57" customHeight="1" x14ac:dyDescent="0.35">
      <c r="A161" s="61"/>
      <c r="B161" s="77" t="s">
        <v>349</v>
      </c>
      <c r="C161" s="78"/>
      <c r="D161" s="21" t="s">
        <v>359</v>
      </c>
      <c r="E161" s="63" t="s">
        <v>77</v>
      </c>
      <c r="F161" s="85">
        <v>400000</v>
      </c>
      <c r="G161" s="19" t="s">
        <v>395</v>
      </c>
      <c r="H161" s="61"/>
      <c r="I161" s="83"/>
      <c r="J161" s="81" t="s">
        <v>365</v>
      </c>
      <c r="K161" s="83" t="s">
        <v>243</v>
      </c>
      <c r="L161" s="98"/>
      <c r="M161" s="16" t="s">
        <v>374</v>
      </c>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row>
    <row r="162" spans="1:38" s="28" customFormat="1" ht="50" x14ac:dyDescent="0.35">
      <c r="A162" s="61"/>
      <c r="B162" s="77" t="s">
        <v>349</v>
      </c>
      <c r="C162" s="78"/>
      <c r="D162" s="21" t="s">
        <v>360</v>
      </c>
      <c r="E162" s="63" t="s">
        <v>77</v>
      </c>
      <c r="F162" s="79">
        <v>350000</v>
      </c>
      <c r="G162" s="19" t="s">
        <v>395</v>
      </c>
      <c r="H162" s="61"/>
      <c r="I162" s="84" t="s">
        <v>82</v>
      </c>
      <c r="J162" s="93" t="s">
        <v>365</v>
      </c>
      <c r="K162" s="83" t="s">
        <v>243</v>
      </c>
      <c r="L162" s="98"/>
      <c r="M162" s="16" t="s">
        <v>360</v>
      </c>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row>
    <row r="163" spans="1:38" s="28" customFormat="1" ht="50" x14ac:dyDescent="0.35">
      <c r="A163" s="61"/>
      <c r="B163" s="77" t="s">
        <v>349</v>
      </c>
      <c r="C163" s="78"/>
      <c r="D163" s="21" t="s">
        <v>361</v>
      </c>
      <c r="E163" s="86" t="s">
        <v>77</v>
      </c>
      <c r="F163" s="79">
        <v>500000</v>
      </c>
      <c r="G163" s="19" t="s">
        <v>395</v>
      </c>
      <c r="H163" s="61"/>
      <c r="I163" s="87" t="s">
        <v>81</v>
      </c>
      <c r="J163" s="94" t="s">
        <v>365</v>
      </c>
      <c r="K163" s="88" t="s">
        <v>344</v>
      </c>
      <c r="L163" s="98"/>
      <c r="M163" s="99" t="s">
        <v>375</v>
      </c>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row>
    <row r="164" spans="1:38" s="28" customFormat="1" ht="50" x14ac:dyDescent="0.35">
      <c r="A164" s="61"/>
      <c r="B164" s="77" t="s">
        <v>349</v>
      </c>
      <c r="C164" s="78"/>
      <c r="D164" s="21" t="s">
        <v>362</v>
      </c>
      <c r="E164" s="86" t="s">
        <v>77</v>
      </c>
      <c r="F164" s="79">
        <v>200000</v>
      </c>
      <c r="G164" s="19" t="s">
        <v>395</v>
      </c>
      <c r="H164" s="61"/>
      <c r="I164" s="87" t="s">
        <v>81</v>
      </c>
      <c r="J164" s="94" t="s">
        <v>365</v>
      </c>
      <c r="K164" s="88" t="s">
        <v>344</v>
      </c>
      <c r="L164" s="98"/>
      <c r="M164" s="99" t="s">
        <v>376</v>
      </c>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row>
    <row r="165" spans="1:38" s="28" customFormat="1" ht="50" x14ac:dyDescent="0.35">
      <c r="A165" s="61"/>
      <c r="B165" s="77" t="s">
        <v>349</v>
      </c>
      <c r="C165" s="78"/>
      <c r="D165" s="21" t="s">
        <v>363</v>
      </c>
      <c r="E165" s="86" t="s">
        <v>77</v>
      </c>
      <c r="F165" s="79">
        <v>300000</v>
      </c>
      <c r="G165" s="19" t="s">
        <v>395</v>
      </c>
      <c r="H165" s="61"/>
      <c r="I165" s="87" t="s">
        <v>81</v>
      </c>
      <c r="J165" s="94" t="s">
        <v>365</v>
      </c>
      <c r="K165" s="88" t="s">
        <v>344</v>
      </c>
      <c r="L165" s="98"/>
      <c r="M165" s="99" t="s">
        <v>363</v>
      </c>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row>
    <row r="166" spans="1:38" s="28" customFormat="1" ht="50" x14ac:dyDescent="0.35">
      <c r="A166" s="61"/>
      <c r="B166" s="77" t="s">
        <v>349</v>
      </c>
      <c r="C166" s="78"/>
      <c r="D166" s="21" t="s">
        <v>364</v>
      </c>
      <c r="E166" s="86" t="s">
        <v>77</v>
      </c>
      <c r="F166" s="89">
        <v>450000</v>
      </c>
      <c r="G166" s="19" t="s">
        <v>395</v>
      </c>
      <c r="H166" s="61"/>
      <c r="I166" s="87" t="s">
        <v>81</v>
      </c>
      <c r="J166" s="94" t="s">
        <v>365</v>
      </c>
      <c r="K166" s="88"/>
      <c r="L166" s="98"/>
      <c r="M166" s="99" t="s">
        <v>364</v>
      </c>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row>
    <row r="167" spans="1:38" ht="62.5" x14ac:dyDescent="0.35">
      <c r="A167" s="60"/>
      <c r="B167" s="29" t="s">
        <v>391</v>
      </c>
      <c r="C167" s="29"/>
      <c r="D167" s="29" t="s">
        <v>379</v>
      </c>
      <c r="E167" s="29" t="s">
        <v>77</v>
      </c>
      <c r="F167" s="29">
        <v>1800000</v>
      </c>
      <c r="G167" s="38" t="s">
        <v>395</v>
      </c>
      <c r="H167" s="29" t="s">
        <v>380</v>
      </c>
      <c r="I167" s="29" t="s">
        <v>82</v>
      </c>
      <c r="J167" s="29" t="s">
        <v>101</v>
      </c>
      <c r="K167" s="29"/>
      <c r="L167" s="45" t="s">
        <v>10</v>
      </c>
      <c r="M167" s="29" t="s">
        <v>381</v>
      </c>
    </row>
    <row r="168" spans="1:38" ht="62.5" x14ac:dyDescent="0.35">
      <c r="A168" s="61"/>
      <c r="B168" s="22" t="s">
        <v>391</v>
      </c>
      <c r="C168" s="22"/>
      <c r="D168" s="22" t="s">
        <v>382</v>
      </c>
      <c r="E168" s="22" t="s">
        <v>77</v>
      </c>
      <c r="F168" s="22">
        <v>750000</v>
      </c>
      <c r="G168" s="19" t="s">
        <v>395</v>
      </c>
      <c r="H168" s="22" t="s">
        <v>380</v>
      </c>
      <c r="I168" s="22" t="s">
        <v>82</v>
      </c>
      <c r="J168" s="22" t="s">
        <v>101</v>
      </c>
      <c r="K168" s="22"/>
      <c r="L168" s="46" t="s">
        <v>241</v>
      </c>
      <c r="M168" s="22" t="s">
        <v>381</v>
      </c>
    </row>
    <row r="169" spans="1:38" ht="100" x14ac:dyDescent="0.35">
      <c r="A169" s="61"/>
      <c r="B169" s="22" t="s">
        <v>391</v>
      </c>
      <c r="C169" s="22"/>
      <c r="D169" s="22" t="s">
        <v>383</v>
      </c>
      <c r="E169" s="22" t="s">
        <v>77</v>
      </c>
      <c r="F169" s="22">
        <v>850000</v>
      </c>
      <c r="G169" s="19" t="s">
        <v>395</v>
      </c>
      <c r="H169" s="22" t="s">
        <v>380</v>
      </c>
      <c r="I169" s="22" t="s">
        <v>82</v>
      </c>
      <c r="J169" s="22" t="s">
        <v>101</v>
      </c>
      <c r="K169" s="22"/>
      <c r="L169" s="46" t="s">
        <v>10</v>
      </c>
      <c r="M169" s="22" t="s">
        <v>381</v>
      </c>
    </row>
    <row r="170" spans="1:38" ht="112.5" x14ac:dyDescent="0.35">
      <c r="A170" s="61"/>
      <c r="B170" s="22" t="s">
        <v>391</v>
      </c>
      <c r="C170" s="22"/>
      <c r="D170" s="22" t="s">
        <v>384</v>
      </c>
      <c r="E170" s="22" t="s">
        <v>77</v>
      </c>
      <c r="F170" s="22">
        <v>800000</v>
      </c>
      <c r="G170" s="19" t="s">
        <v>395</v>
      </c>
      <c r="H170" s="22" t="s">
        <v>385</v>
      </c>
      <c r="I170" s="22" t="s">
        <v>84</v>
      </c>
      <c r="J170" s="22" t="s">
        <v>101</v>
      </c>
      <c r="K170" s="22"/>
      <c r="L170" s="46" t="s">
        <v>241</v>
      </c>
      <c r="M170" s="22" t="s">
        <v>381</v>
      </c>
    </row>
    <row r="171" spans="1:38" ht="87.5" x14ac:dyDescent="0.35">
      <c r="A171" s="61"/>
      <c r="B171" s="22" t="s">
        <v>391</v>
      </c>
      <c r="C171" s="22"/>
      <c r="D171" s="22" t="s">
        <v>386</v>
      </c>
      <c r="E171" s="22" t="s">
        <v>77</v>
      </c>
      <c r="F171" s="22">
        <v>450000</v>
      </c>
      <c r="G171" s="19" t="s">
        <v>395</v>
      </c>
      <c r="H171" s="22" t="s">
        <v>387</v>
      </c>
      <c r="I171" s="22" t="s">
        <v>84</v>
      </c>
      <c r="J171" s="22" t="s">
        <v>101</v>
      </c>
      <c r="K171" s="22"/>
      <c r="L171" s="22" t="s">
        <v>241</v>
      </c>
      <c r="M171" s="22" t="s">
        <v>388</v>
      </c>
    </row>
    <row r="172" spans="1:38" ht="51.75" customHeight="1" x14ac:dyDescent="0.35">
      <c r="A172" s="61"/>
      <c r="B172" s="22" t="s">
        <v>391</v>
      </c>
      <c r="C172" s="22"/>
      <c r="D172" s="22" t="s">
        <v>389</v>
      </c>
      <c r="E172" s="22" t="s">
        <v>77</v>
      </c>
      <c r="F172" s="22">
        <v>200000</v>
      </c>
      <c r="G172" s="19" t="s">
        <v>395</v>
      </c>
      <c r="H172" s="22" t="s">
        <v>387</v>
      </c>
      <c r="I172" s="22" t="s">
        <v>84</v>
      </c>
      <c r="J172" s="22" t="s">
        <v>101</v>
      </c>
      <c r="K172" s="22"/>
      <c r="L172" s="22" t="s">
        <v>241</v>
      </c>
      <c r="M172" s="22" t="s">
        <v>390</v>
      </c>
    </row>
    <row r="173" spans="1:38" x14ac:dyDescent="0.35">
      <c r="J173" s="52"/>
      <c r="K173" s="52"/>
      <c r="L173" s="52"/>
      <c r="M173" s="52"/>
    </row>
    <row r="174" spans="1:38" x14ac:dyDescent="0.35">
      <c r="J174" s="52"/>
      <c r="K174" s="52"/>
      <c r="L174" s="52"/>
      <c r="M174" s="52"/>
    </row>
    <row r="175" spans="1:38" x14ac:dyDescent="0.35">
      <c r="J175" s="52"/>
      <c r="K175" s="52"/>
      <c r="L175" s="52"/>
      <c r="M175" s="52"/>
    </row>
    <row r="176" spans="1:38" x14ac:dyDescent="0.35">
      <c r="J176" s="52"/>
      <c r="K176" s="52"/>
      <c r="L176" s="52"/>
      <c r="M176" s="52"/>
    </row>
    <row r="177" spans="10:13" x14ac:dyDescent="0.35">
      <c r="J177" s="52"/>
      <c r="K177" s="52"/>
      <c r="L177" s="52"/>
      <c r="M177" s="52"/>
    </row>
    <row r="178" spans="10:13" x14ac:dyDescent="0.35">
      <c r="J178" s="52"/>
      <c r="K178" s="52"/>
      <c r="L178" s="52"/>
      <c r="M178" s="52"/>
    </row>
    <row r="179" spans="10:13" x14ac:dyDescent="0.35">
      <c r="J179" s="52"/>
      <c r="K179" s="52"/>
      <c r="L179" s="52"/>
      <c r="M179" s="52"/>
    </row>
    <row r="180" spans="10:13" x14ac:dyDescent="0.35">
      <c r="J180" s="52"/>
      <c r="K180" s="52"/>
      <c r="L180" s="52"/>
      <c r="M180" s="52"/>
    </row>
    <row r="181" spans="10:13" x14ac:dyDescent="0.35">
      <c r="J181" s="52"/>
      <c r="K181" s="52"/>
      <c r="L181" s="52"/>
      <c r="M181" s="52"/>
    </row>
    <row r="182" spans="10:13" x14ac:dyDescent="0.35">
      <c r="J182" s="52"/>
      <c r="K182" s="52"/>
      <c r="L182" s="52"/>
      <c r="M182" s="52"/>
    </row>
    <row r="183" spans="10:13" x14ac:dyDescent="0.35">
      <c r="J183" s="52"/>
      <c r="K183" s="52"/>
      <c r="L183" s="52"/>
      <c r="M183" s="52"/>
    </row>
    <row r="184" spans="10:13" x14ac:dyDescent="0.35">
      <c r="J184" s="52"/>
      <c r="K184" s="52"/>
      <c r="L184" s="52"/>
      <c r="M184" s="52"/>
    </row>
    <row r="185" spans="10:13" x14ac:dyDescent="0.35">
      <c r="J185" s="52"/>
      <c r="K185" s="52"/>
      <c r="L185" s="52"/>
      <c r="M185" s="52"/>
    </row>
    <row r="186" spans="10:13" x14ac:dyDescent="0.35">
      <c r="J186" s="52"/>
      <c r="K186" s="52"/>
      <c r="L186" s="52"/>
      <c r="M186" s="52"/>
    </row>
    <row r="187" spans="10:13" x14ac:dyDescent="0.35">
      <c r="J187" s="52"/>
      <c r="K187" s="52"/>
      <c r="L187" s="52"/>
      <c r="M187" s="52"/>
    </row>
    <row r="188" spans="10:13" x14ac:dyDescent="0.35">
      <c r="J188" s="52"/>
      <c r="K188" s="52"/>
      <c r="L188" s="52"/>
      <c r="M188" s="52"/>
    </row>
    <row r="189" spans="10:13" x14ac:dyDescent="0.35">
      <c r="J189" s="52"/>
      <c r="K189" s="52"/>
      <c r="L189" s="52"/>
      <c r="M189" s="52"/>
    </row>
    <row r="190" spans="10:13" x14ac:dyDescent="0.35">
      <c r="J190" s="52"/>
      <c r="K190" s="52"/>
      <c r="L190" s="52"/>
      <c r="M190" s="52"/>
    </row>
    <row r="191" spans="10:13" x14ac:dyDescent="0.35">
      <c r="J191" s="52"/>
      <c r="K191" s="52"/>
      <c r="L191" s="52"/>
      <c r="M191" s="52"/>
    </row>
    <row r="192" spans="10:13" x14ac:dyDescent="0.35">
      <c r="J192" s="52"/>
      <c r="K192" s="52"/>
      <c r="L192" s="52"/>
      <c r="M192" s="52"/>
    </row>
    <row r="193" spans="10:13" x14ac:dyDescent="0.35">
      <c r="J193" s="52"/>
      <c r="K193" s="52"/>
      <c r="L193" s="52"/>
      <c r="M193" s="52"/>
    </row>
    <row r="194" spans="10:13" x14ac:dyDescent="0.35">
      <c r="J194" s="52"/>
      <c r="K194" s="52"/>
      <c r="L194" s="52"/>
      <c r="M194" s="52"/>
    </row>
    <row r="195" spans="10:13" x14ac:dyDescent="0.35">
      <c r="J195" s="52"/>
      <c r="K195" s="52"/>
      <c r="L195" s="52"/>
      <c r="M195" s="52"/>
    </row>
    <row r="196" spans="10:13" x14ac:dyDescent="0.35">
      <c r="J196" s="52"/>
      <c r="K196" s="52"/>
      <c r="L196" s="52"/>
      <c r="M196" s="52"/>
    </row>
    <row r="197" spans="10:13" x14ac:dyDescent="0.35">
      <c r="J197" s="52"/>
      <c r="K197" s="52"/>
      <c r="L197" s="52"/>
      <c r="M197" s="52"/>
    </row>
    <row r="198" spans="10:13" x14ac:dyDescent="0.35">
      <c r="J198" s="52"/>
      <c r="K198" s="52"/>
      <c r="L198" s="52"/>
      <c r="M198" s="52"/>
    </row>
    <row r="199" spans="10:13" x14ac:dyDescent="0.35">
      <c r="J199" s="52"/>
      <c r="K199" s="52"/>
      <c r="L199" s="52"/>
      <c r="M199" s="52"/>
    </row>
    <row r="200" spans="10:13" x14ac:dyDescent="0.35">
      <c r="J200" s="52"/>
      <c r="K200" s="52"/>
      <c r="L200" s="52"/>
      <c r="M200" s="52"/>
    </row>
    <row r="201" spans="10:13" x14ac:dyDescent="0.35">
      <c r="J201" s="52"/>
      <c r="K201" s="52"/>
      <c r="L201" s="52"/>
      <c r="M201" s="52"/>
    </row>
    <row r="202" spans="10:13" x14ac:dyDescent="0.35">
      <c r="J202" s="52"/>
      <c r="K202" s="52"/>
      <c r="L202" s="52"/>
      <c r="M202" s="52"/>
    </row>
    <row r="203" spans="10:13" x14ac:dyDescent="0.35">
      <c r="J203" s="52"/>
      <c r="K203" s="52"/>
      <c r="L203" s="52"/>
      <c r="M203" s="52"/>
    </row>
    <row r="204" spans="10:13" x14ac:dyDescent="0.35">
      <c r="J204" s="52"/>
      <c r="K204" s="52"/>
      <c r="L204" s="52"/>
      <c r="M204" s="52"/>
    </row>
    <row r="205" spans="10:13" x14ac:dyDescent="0.35">
      <c r="J205" s="52"/>
      <c r="K205" s="52"/>
      <c r="L205" s="52"/>
      <c r="M205" s="52"/>
    </row>
    <row r="206" spans="10:13" x14ac:dyDescent="0.35">
      <c r="J206" s="52"/>
      <c r="K206" s="52"/>
      <c r="L206" s="52"/>
      <c r="M206" s="52"/>
    </row>
    <row r="207" spans="10:13" x14ac:dyDescent="0.35">
      <c r="J207" s="52"/>
      <c r="K207" s="52"/>
      <c r="L207" s="52"/>
      <c r="M207" s="52"/>
    </row>
    <row r="208" spans="10:13" x14ac:dyDescent="0.35">
      <c r="J208" s="52"/>
      <c r="K208" s="52"/>
      <c r="L208" s="52"/>
      <c r="M208" s="52"/>
    </row>
    <row r="209" spans="10:13" x14ac:dyDescent="0.35">
      <c r="J209" s="52"/>
      <c r="K209" s="52"/>
      <c r="L209" s="52"/>
      <c r="M209" s="52"/>
    </row>
    <row r="210" spans="10:13" x14ac:dyDescent="0.35">
      <c r="J210" s="52"/>
      <c r="K210" s="52"/>
      <c r="L210" s="52"/>
      <c r="M210" s="52"/>
    </row>
    <row r="211" spans="10:13" x14ac:dyDescent="0.35">
      <c r="J211" s="52"/>
      <c r="K211" s="52"/>
      <c r="L211" s="52"/>
      <c r="M211" s="52"/>
    </row>
    <row r="212" spans="10:13" x14ac:dyDescent="0.35">
      <c r="J212" s="52"/>
      <c r="K212" s="52"/>
      <c r="L212" s="52"/>
      <c r="M212" s="52"/>
    </row>
    <row r="213" spans="10:13" x14ac:dyDescent="0.35">
      <c r="J213" s="52"/>
      <c r="K213" s="52"/>
      <c r="L213" s="52"/>
      <c r="M213" s="52"/>
    </row>
    <row r="214" spans="10:13" x14ac:dyDescent="0.35">
      <c r="J214" s="52"/>
      <c r="K214" s="52"/>
      <c r="L214" s="52"/>
      <c r="M214" s="52"/>
    </row>
    <row r="215" spans="10:13" x14ac:dyDescent="0.35">
      <c r="J215" s="52"/>
      <c r="K215" s="52"/>
      <c r="L215" s="52"/>
      <c r="M215" s="52"/>
    </row>
    <row r="216" spans="10:13" x14ac:dyDescent="0.35">
      <c r="J216" s="52"/>
      <c r="K216" s="52"/>
      <c r="L216" s="52"/>
      <c r="M216" s="52"/>
    </row>
    <row r="217" spans="10:13" x14ac:dyDescent="0.35">
      <c r="J217" s="52"/>
      <c r="K217" s="52"/>
      <c r="L217" s="52"/>
      <c r="M217" s="52"/>
    </row>
    <row r="218" spans="10:13" x14ac:dyDescent="0.35">
      <c r="J218" s="52"/>
      <c r="K218" s="52"/>
      <c r="L218" s="52"/>
      <c r="M218" s="52"/>
    </row>
    <row r="219" spans="10:13" x14ac:dyDescent="0.35">
      <c r="J219" s="52"/>
      <c r="K219" s="52"/>
      <c r="L219" s="52"/>
      <c r="M219" s="52"/>
    </row>
    <row r="220" spans="10:13" x14ac:dyDescent="0.35">
      <c r="J220" s="52"/>
      <c r="K220" s="52"/>
      <c r="L220" s="52"/>
      <c r="M220" s="52"/>
    </row>
    <row r="221" spans="10:13" x14ac:dyDescent="0.35">
      <c r="J221" s="52"/>
      <c r="K221" s="52"/>
      <c r="L221" s="52"/>
      <c r="M221" s="52"/>
    </row>
    <row r="222" spans="10:13" x14ac:dyDescent="0.35">
      <c r="J222" s="52"/>
      <c r="K222" s="52"/>
      <c r="L222" s="52"/>
      <c r="M222" s="52"/>
    </row>
    <row r="223" spans="10:13" x14ac:dyDescent="0.35">
      <c r="J223" s="52"/>
      <c r="K223" s="52"/>
      <c r="L223" s="52"/>
      <c r="M223" s="52"/>
    </row>
    <row r="224" spans="10:13" x14ac:dyDescent="0.35">
      <c r="J224" s="52"/>
      <c r="K224" s="52"/>
      <c r="L224" s="52"/>
      <c r="M224" s="52"/>
    </row>
    <row r="225" spans="10:13" x14ac:dyDescent="0.35">
      <c r="J225" s="52"/>
      <c r="K225" s="52"/>
      <c r="L225" s="52"/>
      <c r="M225" s="52"/>
    </row>
    <row r="226" spans="10:13" x14ac:dyDescent="0.35">
      <c r="J226" s="52"/>
      <c r="K226" s="52"/>
      <c r="L226" s="52"/>
      <c r="M226" s="52"/>
    </row>
    <row r="227" spans="10:13" x14ac:dyDescent="0.35">
      <c r="J227" s="52"/>
      <c r="K227" s="52"/>
      <c r="L227" s="52"/>
      <c r="M227" s="52"/>
    </row>
    <row r="228" spans="10:13" x14ac:dyDescent="0.35">
      <c r="J228" s="52"/>
      <c r="K228" s="52"/>
      <c r="L228" s="52"/>
      <c r="M228" s="52"/>
    </row>
    <row r="229" spans="10:13" x14ac:dyDescent="0.35">
      <c r="J229" s="52"/>
      <c r="K229" s="52"/>
      <c r="L229" s="52"/>
      <c r="M229" s="52"/>
    </row>
    <row r="230" spans="10:13" x14ac:dyDescent="0.35">
      <c r="J230" s="52"/>
      <c r="K230" s="52"/>
      <c r="L230" s="52"/>
      <c r="M230" s="52"/>
    </row>
    <row r="231" spans="10:13" x14ac:dyDescent="0.35">
      <c r="J231" s="52"/>
      <c r="K231" s="52"/>
      <c r="L231" s="52"/>
      <c r="M231" s="52"/>
    </row>
    <row r="232" spans="10:13" x14ac:dyDescent="0.35">
      <c r="J232" s="52"/>
      <c r="K232" s="52"/>
      <c r="L232" s="52"/>
      <c r="M232" s="52"/>
    </row>
    <row r="233" spans="10:13" x14ac:dyDescent="0.35">
      <c r="J233" s="52"/>
      <c r="K233" s="52"/>
      <c r="L233" s="52"/>
      <c r="M233" s="52"/>
    </row>
    <row r="234" spans="10:13" x14ac:dyDescent="0.35">
      <c r="J234" s="52"/>
      <c r="K234" s="52"/>
      <c r="L234" s="52"/>
      <c r="M234" s="52"/>
    </row>
    <row r="235" spans="10:13" x14ac:dyDescent="0.35">
      <c r="J235" s="52"/>
      <c r="K235" s="52"/>
      <c r="L235" s="52"/>
      <c r="M235" s="52"/>
    </row>
    <row r="236" spans="10:13" x14ac:dyDescent="0.35">
      <c r="J236" s="52"/>
      <c r="K236" s="52"/>
      <c r="L236" s="52"/>
      <c r="M236" s="52"/>
    </row>
    <row r="237" spans="10:13" x14ac:dyDescent="0.35">
      <c r="J237" s="52"/>
      <c r="K237" s="52"/>
      <c r="L237" s="52"/>
      <c r="M237" s="52"/>
    </row>
    <row r="238" spans="10:13" x14ac:dyDescent="0.35">
      <c r="J238" s="52"/>
      <c r="K238" s="52"/>
      <c r="L238" s="52"/>
      <c r="M238" s="52"/>
    </row>
    <row r="239" spans="10:13" x14ac:dyDescent="0.35">
      <c r="J239" s="52"/>
      <c r="K239" s="52"/>
      <c r="L239" s="52"/>
      <c r="M239" s="52"/>
    </row>
    <row r="240" spans="10:13" x14ac:dyDescent="0.35">
      <c r="J240" s="52"/>
      <c r="K240" s="52"/>
      <c r="L240" s="52"/>
      <c r="M240" s="52"/>
    </row>
    <row r="241" spans="10:13" x14ac:dyDescent="0.35">
      <c r="J241" s="52"/>
      <c r="K241" s="52"/>
      <c r="L241" s="52"/>
      <c r="M241" s="52"/>
    </row>
    <row r="242" spans="10:13" x14ac:dyDescent="0.35">
      <c r="J242" s="52"/>
      <c r="K242" s="52"/>
      <c r="L242" s="52"/>
      <c r="M242" s="52"/>
    </row>
    <row r="243" spans="10:13" x14ac:dyDescent="0.35">
      <c r="J243" s="52"/>
      <c r="K243" s="52"/>
      <c r="L243" s="52"/>
      <c r="M243" s="52"/>
    </row>
    <row r="244" spans="10:13" x14ac:dyDescent="0.35">
      <c r="J244" s="52"/>
      <c r="K244" s="52"/>
      <c r="L244" s="52"/>
      <c r="M244" s="52"/>
    </row>
    <row r="245" spans="10:13" x14ac:dyDescent="0.35">
      <c r="J245" s="52"/>
      <c r="K245" s="52"/>
      <c r="L245" s="52"/>
      <c r="M245" s="52"/>
    </row>
    <row r="246" spans="10:13" x14ac:dyDescent="0.35">
      <c r="J246" s="52"/>
      <c r="K246" s="52"/>
      <c r="L246" s="52"/>
      <c r="M246" s="52"/>
    </row>
    <row r="247" spans="10:13" x14ac:dyDescent="0.35">
      <c r="J247" s="52"/>
      <c r="K247" s="52"/>
      <c r="L247" s="52"/>
      <c r="M247" s="52"/>
    </row>
    <row r="248" spans="10:13" x14ac:dyDescent="0.35">
      <c r="J248" s="52"/>
      <c r="K248" s="52"/>
      <c r="L248" s="52"/>
      <c r="M248" s="52"/>
    </row>
    <row r="249" spans="10:13" x14ac:dyDescent="0.35">
      <c r="J249" s="52"/>
      <c r="K249" s="52"/>
      <c r="L249" s="52"/>
      <c r="M249" s="52"/>
    </row>
    <row r="250" spans="10:13" x14ac:dyDescent="0.35">
      <c r="J250" s="52"/>
      <c r="K250" s="52"/>
      <c r="L250" s="52"/>
      <c r="M250" s="52"/>
    </row>
    <row r="251" spans="10:13" x14ac:dyDescent="0.35">
      <c r="J251" s="52"/>
      <c r="K251" s="52"/>
      <c r="L251" s="52"/>
      <c r="M251" s="52"/>
    </row>
    <row r="252" spans="10:13" x14ac:dyDescent="0.35">
      <c r="J252" s="52"/>
      <c r="K252" s="52"/>
      <c r="L252" s="52"/>
      <c r="M252" s="52"/>
    </row>
    <row r="253" spans="10:13" x14ac:dyDescent="0.35">
      <c r="J253" s="52"/>
      <c r="K253" s="52"/>
      <c r="L253" s="52"/>
      <c r="M253" s="52"/>
    </row>
    <row r="254" spans="10:13" x14ac:dyDescent="0.35">
      <c r="J254" s="52"/>
      <c r="K254" s="52"/>
      <c r="L254" s="52"/>
      <c r="M254" s="52"/>
    </row>
    <row r="255" spans="10:13" x14ac:dyDescent="0.35">
      <c r="J255" s="52"/>
      <c r="K255" s="52"/>
      <c r="L255" s="52"/>
      <c r="M255" s="52"/>
    </row>
    <row r="256" spans="10:13" x14ac:dyDescent="0.35">
      <c r="J256" s="52"/>
      <c r="K256" s="52"/>
      <c r="L256" s="52"/>
      <c r="M256" s="52"/>
    </row>
    <row r="257" spans="10:13" x14ac:dyDescent="0.35">
      <c r="J257" s="52"/>
      <c r="K257" s="52"/>
      <c r="L257" s="52"/>
      <c r="M257" s="52"/>
    </row>
    <row r="258" spans="10:13" x14ac:dyDescent="0.35">
      <c r="J258" s="52"/>
      <c r="K258" s="52"/>
      <c r="L258" s="52"/>
      <c r="M258" s="52"/>
    </row>
    <row r="259" spans="10:13" x14ac:dyDescent="0.35">
      <c r="J259" s="52"/>
      <c r="K259" s="52"/>
      <c r="L259" s="52"/>
      <c r="M259" s="52"/>
    </row>
    <row r="260" spans="10:13" x14ac:dyDescent="0.35">
      <c r="J260" s="52"/>
      <c r="K260" s="52"/>
      <c r="L260" s="52"/>
      <c r="M260" s="52"/>
    </row>
    <row r="261" spans="10:13" x14ac:dyDescent="0.35">
      <c r="J261" s="52"/>
      <c r="K261" s="52"/>
      <c r="L261" s="52"/>
      <c r="M261" s="52"/>
    </row>
    <row r="262" spans="10:13" x14ac:dyDescent="0.35">
      <c r="J262" s="52"/>
      <c r="K262" s="52"/>
      <c r="L262" s="52"/>
      <c r="M262" s="52"/>
    </row>
    <row r="263" spans="10:13" x14ac:dyDescent="0.35">
      <c r="J263" s="52"/>
      <c r="K263" s="52"/>
      <c r="L263" s="52"/>
      <c r="M263" s="52"/>
    </row>
    <row r="264" spans="10:13" x14ac:dyDescent="0.35">
      <c r="J264" s="52"/>
      <c r="K264" s="52"/>
      <c r="L264" s="52"/>
      <c r="M264" s="52"/>
    </row>
    <row r="265" spans="10:13" x14ac:dyDescent="0.35">
      <c r="J265" s="52"/>
      <c r="K265" s="52"/>
      <c r="L265" s="52"/>
      <c r="M265" s="52"/>
    </row>
    <row r="266" spans="10:13" x14ac:dyDescent="0.35">
      <c r="J266" s="52"/>
      <c r="K266" s="52"/>
      <c r="L266" s="52"/>
      <c r="M266" s="52"/>
    </row>
    <row r="267" spans="10:13" x14ac:dyDescent="0.35">
      <c r="J267" s="52"/>
      <c r="K267" s="52"/>
      <c r="L267" s="52"/>
      <c r="M267" s="52"/>
    </row>
    <row r="268" spans="10:13" x14ac:dyDescent="0.35">
      <c r="J268" s="52"/>
      <c r="K268" s="52"/>
      <c r="L268" s="52"/>
      <c r="M268" s="52"/>
    </row>
    <row r="269" spans="10:13" x14ac:dyDescent="0.35">
      <c r="J269" s="52"/>
      <c r="K269" s="52"/>
      <c r="L269" s="52"/>
      <c r="M269" s="52"/>
    </row>
    <row r="270" spans="10:13" x14ac:dyDescent="0.35">
      <c r="J270" s="52"/>
      <c r="K270" s="52"/>
      <c r="L270" s="52"/>
      <c r="M270" s="52"/>
    </row>
    <row r="271" spans="10:13" x14ac:dyDescent="0.35">
      <c r="J271" s="52"/>
      <c r="K271" s="52"/>
      <c r="L271" s="52"/>
      <c r="M271" s="52"/>
    </row>
    <row r="272" spans="10:13" x14ac:dyDescent="0.35">
      <c r="J272" s="52"/>
      <c r="K272" s="52"/>
      <c r="L272" s="52"/>
      <c r="M272" s="52"/>
    </row>
    <row r="273" spans="10:13" x14ac:dyDescent="0.35">
      <c r="J273" s="52"/>
      <c r="K273" s="52"/>
      <c r="L273" s="52"/>
      <c r="M273" s="52"/>
    </row>
    <row r="274" spans="10:13" x14ac:dyDescent="0.35">
      <c r="J274" s="52"/>
      <c r="K274" s="52"/>
      <c r="L274" s="52"/>
      <c r="M274" s="52"/>
    </row>
    <row r="275" spans="10:13" x14ac:dyDescent="0.35">
      <c r="J275" s="52"/>
      <c r="K275" s="52"/>
      <c r="L275" s="52"/>
      <c r="M275" s="52"/>
    </row>
    <row r="276" spans="10:13" x14ac:dyDescent="0.35">
      <c r="J276" s="52"/>
      <c r="K276" s="52"/>
      <c r="L276" s="52"/>
      <c r="M276" s="52"/>
    </row>
    <row r="277" spans="10:13" x14ac:dyDescent="0.35">
      <c r="J277" s="52"/>
      <c r="K277" s="52"/>
      <c r="L277" s="52"/>
      <c r="M277" s="52"/>
    </row>
    <row r="278" spans="10:13" x14ac:dyDescent="0.35">
      <c r="J278" s="52"/>
      <c r="K278" s="52"/>
      <c r="L278" s="52"/>
      <c r="M278" s="52"/>
    </row>
    <row r="279" spans="10:13" x14ac:dyDescent="0.35">
      <c r="J279" s="52"/>
      <c r="K279" s="52"/>
      <c r="L279" s="52"/>
      <c r="M279" s="52"/>
    </row>
    <row r="280" spans="10:13" x14ac:dyDescent="0.35">
      <c r="J280" s="52"/>
      <c r="K280" s="52"/>
      <c r="L280" s="52"/>
      <c r="M280" s="52"/>
    </row>
    <row r="281" spans="10:13" x14ac:dyDescent="0.35">
      <c r="J281" s="52"/>
      <c r="K281" s="52"/>
      <c r="L281" s="52"/>
      <c r="M281" s="52"/>
    </row>
    <row r="282" spans="10:13" x14ac:dyDescent="0.35">
      <c r="J282" s="52"/>
      <c r="K282" s="52"/>
      <c r="L282" s="52"/>
      <c r="M282" s="52"/>
    </row>
    <row r="283" spans="10:13" x14ac:dyDescent="0.35">
      <c r="J283" s="52"/>
      <c r="K283" s="52"/>
      <c r="L283" s="52"/>
      <c r="M283" s="52"/>
    </row>
    <row r="284" spans="10:13" x14ac:dyDescent="0.35">
      <c r="J284" s="52"/>
      <c r="K284" s="52"/>
      <c r="L284" s="52"/>
      <c r="M284" s="52"/>
    </row>
    <row r="285" spans="10:13" x14ac:dyDescent="0.35">
      <c r="J285" s="52"/>
      <c r="K285" s="52"/>
      <c r="L285" s="52"/>
      <c r="M285" s="52"/>
    </row>
    <row r="286" spans="10:13" x14ac:dyDescent="0.35">
      <c r="J286" s="52"/>
      <c r="K286" s="52"/>
      <c r="L286" s="52"/>
      <c r="M286" s="52"/>
    </row>
    <row r="287" spans="10:13" x14ac:dyDescent="0.35">
      <c r="J287" s="52"/>
      <c r="K287" s="52"/>
      <c r="L287" s="52"/>
      <c r="M287" s="52"/>
    </row>
    <row r="288" spans="10:13" x14ac:dyDescent="0.35">
      <c r="J288" s="52"/>
      <c r="K288" s="52"/>
      <c r="L288" s="52"/>
      <c r="M288" s="52"/>
    </row>
    <row r="289" spans="10:13" x14ac:dyDescent="0.35">
      <c r="J289" s="52"/>
      <c r="K289" s="52"/>
      <c r="L289" s="52"/>
      <c r="M289" s="52"/>
    </row>
    <row r="290" spans="10:13" x14ac:dyDescent="0.35">
      <c r="J290" s="52"/>
      <c r="K290" s="52"/>
      <c r="L290" s="52"/>
      <c r="M290" s="52"/>
    </row>
    <row r="291" spans="10:13" x14ac:dyDescent="0.35">
      <c r="J291" s="52"/>
      <c r="K291" s="52"/>
      <c r="L291" s="52"/>
      <c r="M291" s="52"/>
    </row>
    <row r="292" spans="10:13" x14ac:dyDescent="0.35">
      <c r="J292" s="52"/>
      <c r="K292" s="52"/>
      <c r="L292" s="52"/>
      <c r="M292" s="52"/>
    </row>
    <row r="293" spans="10:13" x14ac:dyDescent="0.35">
      <c r="J293" s="52"/>
      <c r="K293" s="52"/>
      <c r="L293" s="52"/>
      <c r="M293" s="52"/>
    </row>
    <row r="294" spans="10:13" x14ac:dyDescent="0.35">
      <c r="J294" s="52"/>
      <c r="K294" s="52"/>
      <c r="L294" s="52"/>
      <c r="M294" s="52"/>
    </row>
    <row r="295" spans="10:13" x14ac:dyDescent="0.35">
      <c r="J295" s="52"/>
      <c r="K295" s="52"/>
      <c r="L295" s="52"/>
      <c r="M295" s="52"/>
    </row>
    <row r="296" spans="10:13" x14ac:dyDescent="0.35">
      <c r="J296" s="52"/>
      <c r="K296" s="52"/>
      <c r="L296" s="52"/>
      <c r="M296" s="52"/>
    </row>
    <row r="297" spans="10:13" x14ac:dyDescent="0.35">
      <c r="J297" s="52"/>
      <c r="K297" s="52"/>
      <c r="L297" s="52"/>
      <c r="M297" s="52"/>
    </row>
    <row r="298" spans="10:13" x14ac:dyDescent="0.35">
      <c r="J298" s="52"/>
      <c r="K298" s="52"/>
      <c r="L298" s="52"/>
      <c r="M298" s="52"/>
    </row>
    <row r="299" spans="10:13" x14ac:dyDescent="0.35">
      <c r="J299" s="52"/>
      <c r="K299" s="52"/>
      <c r="L299" s="52"/>
      <c r="M299" s="52"/>
    </row>
    <row r="300" spans="10:13" x14ac:dyDescent="0.35">
      <c r="J300" s="52"/>
      <c r="K300" s="52"/>
      <c r="L300" s="52"/>
      <c r="M300" s="52"/>
    </row>
    <row r="301" spans="10:13" x14ac:dyDescent="0.35">
      <c r="J301" s="52"/>
      <c r="K301" s="52"/>
      <c r="L301" s="52"/>
      <c r="M301" s="52"/>
    </row>
    <row r="302" spans="10:13" x14ac:dyDescent="0.35">
      <c r="J302" s="52"/>
      <c r="K302" s="52"/>
      <c r="L302" s="52"/>
      <c r="M302" s="52"/>
    </row>
    <row r="303" spans="10:13" x14ac:dyDescent="0.35">
      <c r="J303" s="52"/>
      <c r="K303" s="52"/>
      <c r="L303" s="52"/>
      <c r="M303" s="52"/>
    </row>
    <row r="304" spans="10:13" x14ac:dyDescent="0.35">
      <c r="J304" s="52"/>
      <c r="K304" s="52"/>
      <c r="L304" s="52"/>
      <c r="M304" s="52"/>
    </row>
    <row r="305" spans="10:13" x14ac:dyDescent="0.35">
      <c r="J305" s="52"/>
      <c r="K305" s="52"/>
      <c r="L305" s="52"/>
      <c r="M305" s="52"/>
    </row>
    <row r="306" spans="10:13" x14ac:dyDescent="0.35">
      <c r="J306" s="52"/>
      <c r="K306" s="52"/>
      <c r="L306" s="52"/>
      <c r="M306" s="52"/>
    </row>
    <row r="307" spans="10:13" x14ac:dyDescent="0.35">
      <c r="J307" s="52"/>
      <c r="K307" s="52"/>
      <c r="L307" s="52"/>
      <c r="M307" s="52"/>
    </row>
    <row r="308" spans="10:13" x14ac:dyDescent="0.35">
      <c r="J308" s="52"/>
      <c r="K308" s="52"/>
      <c r="L308" s="52"/>
      <c r="M308" s="52"/>
    </row>
    <row r="309" spans="10:13" x14ac:dyDescent="0.35">
      <c r="J309" s="52"/>
      <c r="K309" s="52"/>
      <c r="L309" s="52"/>
      <c r="M309" s="52"/>
    </row>
    <row r="310" spans="10:13" x14ac:dyDescent="0.35">
      <c r="J310" s="52"/>
      <c r="K310" s="52"/>
      <c r="L310" s="52"/>
      <c r="M310" s="52"/>
    </row>
    <row r="311" spans="10:13" x14ac:dyDescent="0.35">
      <c r="J311" s="52"/>
      <c r="K311" s="52"/>
      <c r="L311" s="52"/>
      <c r="M311" s="52"/>
    </row>
    <row r="312" spans="10:13" x14ac:dyDescent="0.35">
      <c r="J312" s="52"/>
      <c r="K312" s="52"/>
      <c r="L312" s="52"/>
      <c r="M312" s="52"/>
    </row>
    <row r="313" spans="10:13" x14ac:dyDescent="0.35">
      <c r="J313" s="52"/>
      <c r="K313" s="52"/>
      <c r="L313" s="52"/>
      <c r="M313" s="52"/>
    </row>
    <row r="314" spans="10:13" x14ac:dyDescent="0.35">
      <c r="J314" s="52"/>
      <c r="K314" s="52"/>
      <c r="L314" s="52"/>
      <c r="M314" s="52"/>
    </row>
    <row r="315" spans="10:13" x14ac:dyDescent="0.35">
      <c r="J315" s="52"/>
      <c r="K315" s="52"/>
      <c r="L315" s="52"/>
      <c r="M315" s="52"/>
    </row>
    <row r="316" spans="10:13" x14ac:dyDescent="0.35">
      <c r="J316" s="52"/>
      <c r="K316" s="52"/>
      <c r="L316" s="52"/>
      <c r="M316" s="52"/>
    </row>
    <row r="317" spans="10:13" x14ac:dyDescent="0.35">
      <c r="J317" s="52"/>
      <c r="K317" s="52"/>
      <c r="L317" s="52"/>
      <c r="M317" s="52"/>
    </row>
    <row r="318" spans="10:13" x14ac:dyDescent="0.35">
      <c r="J318" s="52"/>
      <c r="K318" s="52"/>
      <c r="L318" s="52"/>
      <c r="M318" s="52"/>
    </row>
    <row r="319" spans="10:13" x14ac:dyDescent="0.35">
      <c r="J319" s="52"/>
      <c r="K319" s="52"/>
      <c r="L319" s="52"/>
      <c r="M319" s="52"/>
    </row>
    <row r="320" spans="10:13" x14ac:dyDescent="0.35">
      <c r="J320" s="52"/>
      <c r="K320" s="52"/>
      <c r="L320" s="52"/>
      <c r="M320" s="52"/>
    </row>
    <row r="321" spans="10:13" x14ac:dyDescent="0.35">
      <c r="J321" s="52"/>
      <c r="K321" s="52"/>
      <c r="L321" s="52"/>
      <c r="M321" s="52"/>
    </row>
    <row r="322" spans="10:13" x14ac:dyDescent="0.35">
      <c r="J322" s="52"/>
      <c r="K322" s="52"/>
      <c r="L322" s="52"/>
      <c r="M322" s="52"/>
    </row>
    <row r="323" spans="10:13" x14ac:dyDescent="0.35">
      <c r="J323" s="52"/>
      <c r="K323" s="52"/>
      <c r="L323" s="52"/>
      <c r="M323" s="52"/>
    </row>
    <row r="324" spans="10:13" x14ac:dyDescent="0.35">
      <c r="J324" s="52"/>
      <c r="K324" s="52"/>
      <c r="L324" s="52"/>
      <c r="M324" s="52"/>
    </row>
    <row r="325" spans="10:13" x14ac:dyDescent="0.35">
      <c r="J325" s="52"/>
      <c r="K325" s="52"/>
      <c r="L325" s="52"/>
      <c r="M325" s="52"/>
    </row>
    <row r="326" spans="10:13" x14ac:dyDescent="0.35">
      <c r="J326" s="52"/>
      <c r="K326" s="52"/>
      <c r="L326" s="52"/>
      <c r="M326" s="52"/>
    </row>
    <row r="327" spans="10:13" x14ac:dyDescent="0.35">
      <c r="J327" s="52"/>
      <c r="K327" s="52"/>
      <c r="L327" s="52"/>
      <c r="M327" s="52"/>
    </row>
    <row r="328" spans="10:13" x14ac:dyDescent="0.35">
      <c r="J328" s="52"/>
      <c r="K328" s="52"/>
      <c r="L328" s="52"/>
      <c r="M328" s="52"/>
    </row>
    <row r="329" spans="10:13" x14ac:dyDescent="0.35">
      <c r="J329" s="52"/>
      <c r="K329" s="52"/>
      <c r="L329" s="52"/>
      <c r="M329" s="52"/>
    </row>
    <row r="330" spans="10:13" x14ac:dyDescent="0.35">
      <c r="J330" s="52"/>
      <c r="K330" s="52"/>
      <c r="L330" s="52"/>
      <c r="M330" s="52"/>
    </row>
    <row r="331" spans="10:13" x14ac:dyDescent="0.35">
      <c r="J331" s="52"/>
      <c r="K331" s="52"/>
      <c r="L331" s="52"/>
      <c r="M331" s="52"/>
    </row>
    <row r="332" spans="10:13" x14ac:dyDescent="0.35">
      <c r="J332" s="52"/>
      <c r="K332" s="52"/>
      <c r="L332" s="52"/>
      <c r="M332" s="52"/>
    </row>
    <row r="333" spans="10:13" x14ac:dyDescent="0.35">
      <c r="J333" s="52"/>
      <c r="K333" s="52"/>
      <c r="L333" s="52"/>
      <c r="M333" s="52"/>
    </row>
    <row r="334" spans="10:13" x14ac:dyDescent="0.35">
      <c r="J334" s="52"/>
      <c r="K334" s="52"/>
      <c r="L334" s="52"/>
      <c r="M334" s="52"/>
    </row>
    <row r="335" spans="10:13" x14ac:dyDescent="0.35">
      <c r="J335" s="52"/>
      <c r="K335" s="52"/>
      <c r="L335" s="52"/>
      <c r="M335" s="52"/>
    </row>
    <row r="336" spans="10:13" x14ac:dyDescent="0.35">
      <c r="J336" s="52"/>
      <c r="K336" s="52"/>
      <c r="L336" s="52"/>
      <c r="M336" s="52"/>
    </row>
    <row r="337" spans="10:13" x14ac:dyDescent="0.35">
      <c r="J337" s="52"/>
      <c r="K337" s="52"/>
      <c r="L337" s="52"/>
      <c r="M337" s="52"/>
    </row>
    <row r="338" spans="10:13" x14ac:dyDescent="0.35">
      <c r="J338" s="52"/>
      <c r="K338" s="52"/>
      <c r="L338" s="52"/>
      <c r="M338" s="52"/>
    </row>
    <row r="339" spans="10:13" x14ac:dyDescent="0.35">
      <c r="J339" s="52"/>
      <c r="K339" s="52"/>
      <c r="L339" s="52"/>
      <c r="M339" s="52"/>
    </row>
    <row r="340" spans="10:13" x14ac:dyDescent="0.35">
      <c r="J340" s="52"/>
      <c r="K340" s="52"/>
      <c r="L340" s="52"/>
      <c r="M340" s="52"/>
    </row>
    <row r="341" spans="10:13" x14ac:dyDescent="0.35">
      <c r="J341" s="52"/>
      <c r="K341" s="52"/>
      <c r="L341" s="52"/>
      <c r="M341" s="52"/>
    </row>
    <row r="342" spans="10:13" x14ac:dyDescent="0.35">
      <c r="J342" s="52"/>
      <c r="K342" s="52"/>
      <c r="L342" s="52"/>
      <c r="M342" s="52"/>
    </row>
    <row r="343" spans="10:13" x14ac:dyDescent="0.35">
      <c r="J343" s="52"/>
      <c r="K343" s="52"/>
      <c r="L343" s="52"/>
      <c r="M343" s="52"/>
    </row>
    <row r="344" spans="10:13" x14ac:dyDescent="0.35">
      <c r="J344" s="52"/>
      <c r="K344" s="52"/>
      <c r="L344" s="52"/>
      <c r="M344" s="52"/>
    </row>
    <row r="345" spans="10:13" x14ac:dyDescent="0.35">
      <c r="J345" s="52"/>
      <c r="K345" s="52"/>
      <c r="L345" s="52"/>
      <c r="M345" s="52"/>
    </row>
    <row r="346" spans="10:13" x14ac:dyDescent="0.35">
      <c r="J346" s="52"/>
      <c r="K346" s="52"/>
      <c r="L346" s="52"/>
      <c r="M346" s="52"/>
    </row>
    <row r="347" spans="10:13" x14ac:dyDescent="0.35">
      <c r="J347" s="52"/>
      <c r="K347" s="52"/>
      <c r="L347" s="52"/>
      <c r="M347" s="52"/>
    </row>
    <row r="348" spans="10:13" x14ac:dyDescent="0.35">
      <c r="J348" s="52"/>
      <c r="K348" s="52"/>
      <c r="L348" s="52"/>
      <c r="M348" s="52"/>
    </row>
    <row r="349" spans="10:13" x14ac:dyDescent="0.35">
      <c r="J349" s="52"/>
      <c r="K349" s="52"/>
      <c r="L349" s="52"/>
      <c r="M349" s="52"/>
    </row>
    <row r="350" spans="10:13" x14ac:dyDescent="0.35">
      <c r="J350" s="52"/>
      <c r="K350" s="52"/>
      <c r="L350" s="52"/>
      <c r="M350" s="52"/>
    </row>
    <row r="351" spans="10:13" x14ac:dyDescent="0.35">
      <c r="J351" s="52"/>
      <c r="K351" s="52"/>
      <c r="L351" s="52"/>
      <c r="M351" s="52"/>
    </row>
    <row r="352" spans="10:13" x14ac:dyDescent="0.35">
      <c r="J352" s="52"/>
      <c r="K352" s="52"/>
      <c r="L352" s="52"/>
      <c r="M352" s="52"/>
    </row>
    <row r="353" spans="10:13" x14ac:dyDescent="0.35">
      <c r="J353" s="52"/>
      <c r="K353" s="52"/>
      <c r="L353" s="52"/>
      <c r="M353" s="52"/>
    </row>
    <row r="354" spans="10:13" x14ac:dyDescent="0.35">
      <c r="J354" s="52"/>
      <c r="K354" s="52"/>
      <c r="L354" s="52"/>
      <c r="M354" s="52"/>
    </row>
    <row r="355" spans="10:13" x14ac:dyDescent="0.35">
      <c r="J355" s="52"/>
      <c r="K355" s="52"/>
      <c r="L355" s="52"/>
      <c r="M355" s="52"/>
    </row>
    <row r="356" spans="10:13" x14ac:dyDescent="0.35">
      <c r="J356" s="52"/>
      <c r="K356" s="52"/>
      <c r="L356" s="52"/>
      <c r="M356" s="52"/>
    </row>
    <row r="357" spans="10:13" x14ac:dyDescent="0.35">
      <c r="J357" s="52"/>
      <c r="K357" s="52"/>
      <c r="L357" s="52"/>
      <c r="M357" s="52"/>
    </row>
    <row r="358" spans="10:13" x14ac:dyDescent="0.35">
      <c r="J358" s="52"/>
      <c r="K358" s="52"/>
      <c r="L358" s="52"/>
      <c r="M358" s="52"/>
    </row>
    <row r="359" spans="10:13" x14ac:dyDescent="0.35">
      <c r="J359" s="52"/>
      <c r="K359" s="52"/>
      <c r="L359" s="52"/>
      <c r="M359" s="52"/>
    </row>
    <row r="360" spans="10:13" x14ac:dyDescent="0.35">
      <c r="J360" s="52"/>
      <c r="K360" s="52"/>
      <c r="L360" s="52"/>
      <c r="M360" s="52"/>
    </row>
    <row r="361" spans="10:13" x14ac:dyDescent="0.35">
      <c r="J361" s="52"/>
      <c r="K361" s="52"/>
      <c r="L361" s="52"/>
      <c r="M361" s="52"/>
    </row>
    <row r="362" spans="10:13" x14ac:dyDescent="0.35">
      <c r="J362" s="52"/>
      <c r="K362" s="52"/>
      <c r="L362" s="52"/>
      <c r="M362" s="52"/>
    </row>
    <row r="363" spans="10:13" x14ac:dyDescent="0.35">
      <c r="J363" s="52"/>
      <c r="K363" s="52"/>
      <c r="L363" s="52"/>
      <c r="M363" s="52"/>
    </row>
    <row r="364" spans="10:13" x14ac:dyDescent="0.35">
      <c r="J364" s="52"/>
      <c r="K364" s="52"/>
      <c r="L364" s="52"/>
      <c r="M364" s="52"/>
    </row>
    <row r="365" spans="10:13" x14ac:dyDescent="0.35">
      <c r="J365" s="52"/>
      <c r="K365" s="52"/>
      <c r="L365" s="52"/>
      <c r="M365" s="52"/>
    </row>
    <row r="366" spans="10:13" x14ac:dyDescent="0.35">
      <c r="J366" s="52"/>
      <c r="K366" s="52"/>
      <c r="L366" s="52"/>
      <c r="M366" s="52"/>
    </row>
    <row r="367" spans="10:13" x14ac:dyDescent="0.35">
      <c r="J367" s="52"/>
      <c r="K367" s="52"/>
      <c r="L367" s="52"/>
      <c r="M367" s="52"/>
    </row>
    <row r="368" spans="10:13" x14ac:dyDescent="0.35">
      <c r="J368" s="52"/>
      <c r="K368" s="52"/>
      <c r="L368" s="52"/>
      <c r="M368" s="52"/>
    </row>
    <row r="369" spans="10:13" x14ac:dyDescent="0.35">
      <c r="J369" s="52"/>
      <c r="K369" s="52"/>
      <c r="L369" s="52"/>
      <c r="M369" s="52"/>
    </row>
    <row r="370" spans="10:13" x14ac:dyDescent="0.35">
      <c r="J370" s="52"/>
      <c r="K370" s="52"/>
      <c r="L370" s="52"/>
      <c r="M370" s="52"/>
    </row>
    <row r="371" spans="10:13" x14ac:dyDescent="0.35">
      <c r="J371" s="52"/>
      <c r="K371" s="52"/>
      <c r="L371" s="52"/>
      <c r="M371" s="52"/>
    </row>
    <row r="372" spans="10:13" x14ac:dyDescent="0.35">
      <c r="J372" s="52"/>
      <c r="K372" s="52"/>
      <c r="L372" s="52"/>
      <c r="M372" s="52"/>
    </row>
    <row r="373" spans="10:13" x14ac:dyDescent="0.35">
      <c r="J373" s="52"/>
      <c r="K373" s="52"/>
      <c r="L373" s="52"/>
      <c r="M373" s="52"/>
    </row>
    <row r="374" spans="10:13" x14ac:dyDescent="0.35">
      <c r="J374" s="52"/>
      <c r="K374" s="52"/>
      <c r="L374" s="52"/>
      <c r="M374" s="52"/>
    </row>
    <row r="375" spans="10:13" x14ac:dyDescent="0.35">
      <c r="J375" s="52"/>
      <c r="K375" s="52"/>
      <c r="L375" s="52"/>
      <c r="M375" s="52"/>
    </row>
    <row r="376" spans="10:13" x14ac:dyDescent="0.35">
      <c r="J376" s="52"/>
      <c r="K376" s="52"/>
      <c r="L376" s="52"/>
      <c r="M376" s="52"/>
    </row>
    <row r="377" spans="10:13" x14ac:dyDescent="0.35">
      <c r="J377" s="52"/>
      <c r="K377" s="52"/>
      <c r="L377" s="52"/>
      <c r="M377" s="52"/>
    </row>
    <row r="378" spans="10:13" x14ac:dyDescent="0.35">
      <c r="J378" s="52"/>
      <c r="K378" s="52"/>
      <c r="L378" s="52"/>
      <c r="M378" s="52"/>
    </row>
    <row r="379" spans="10:13" x14ac:dyDescent="0.35">
      <c r="J379" s="52"/>
      <c r="K379" s="52"/>
      <c r="L379" s="52"/>
      <c r="M379" s="52"/>
    </row>
    <row r="380" spans="10:13" x14ac:dyDescent="0.35">
      <c r="J380" s="52"/>
      <c r="K380" s="52"/>
      <c r="L380" s="52"/>
      <c r="M380" s="52"/>
    </row>
    <row r="381" spans="10:13" x14ac:dyDescent="0.35">
      <c r="J381" s="52"/>
      <c r="K381" s="52"/>
      <c r="L381" s="52"/>
      <c r="M381" s="52"/>
    </row>
    <row r="382" spans="10:13" x14ac:dyDescent="0.35">
      <c r="J382" s="52"/>
      <c r="K382" s="52"/>
      <c r="L382" s="52"/>
      <c r="M382" s="52"/>
    </row>
    <row r="383" spans="10:13" x14ac:dyDescent="0.35">
      <c r="J383" s="52"/>
      <c r="K383" s="52"/>
      <c r="L383" s="52"/>
      <c r="M383" s="52"/>
    </row>
    <row r="384" spans="10:13" x14ac:dyDescent="0.35">
      <c r="J384" s="52"/>
      <c r="K384" s="52"/>
      <c r="L384" s="52"/>
      <c r="M384" s="52"/>
    </row>
    <row r="385" spans="10:13" x14ac:dyDescent="0.35">
      <c r="J385" s="52"/>
      <c r="K385" s="52"/>
      <c r="L385" s="52"/>
      <c r="M385" s="52"/>
    </row>
    <row r="386" spans="10:13" x14ac:dyDescent="0.35">
      <c r="J386" s="52"/>
      <c r="K386" s="52"/>
      <c r="L386" s="52"/>
      <c r="M386" s="52"/>
    </row>
    <row r="387" spans="10:13" x14ac:dyDescent="0.35">
      <c r="J387" s="52"/>
      <c r="K387" s="52"/>
      <c r="L387" s="52"/>
      <c r="M387" s="52"/>
    </row>
    <row r="388" spans="10:13" x14ac:dyDescent="0.35">
      <c r="J388" s="52"/>
      <c r="K388" s="52"/>
      <c r="L388" s="52"/>
      <c r="M388" s="52"/>
    </row>
    <row r="389" spans="10:13" x14ac:dyDescent="0.35">
      <c r="J389" s="52"/>
      <c r="K389" s="52"/>
      <c r="L389" s="52"/>
      <c r="M389" s="52"/>
    </row>
    <row r="390" spans="10:13" x14ac:dyDescent="0.35">
      <c r="J390" s="52"/>
      <c r="K390" s="52"/>
      <c r="L390" s="52"/>
      <c r="M390" s="52"/>
    </row>
    <row r="391" spans="10:13" x14ac:dyDescent="0.35">
      <c r="J391" s="52"/>
      <c r="K391" s="52"/>
      <c r="L391" s="52"/>
      <c r="M391" s="52"/>
    </row>
    <row r="392" spans="10:13" x14ac:dyDescent="0.35">
      <c r="J392" s="52"/>
      <c r="K392" s="52"/>
      <c r="L392" s="52"/>
      <c r="M392" s="52"/>
    </row>
    <row r="393" spans="10:13" x14ac:dyDescent="0.35">
      <c r="J393" s="52"/>
      <c r="K393" s="52"/>
      <c r="L393" s="52"/>
      <c r="M393" s="52"/>
    </row>
    <row r="394" spans="10:13" x14ac:dyDescent="0.35">
      <c r="J394" s="52"/>
      <c r="K394" s="52"/>
      <c r="L394" s="52"/>
      <c r="M394" s="52"/>
    </row>
    <row r="395" spans="10:13" x14ac:dyDescent="0.35">
      <c r="J395" s="52"/>
      <c r="K395" s="52"/>
      <c r="L395" s="52"/>
      <c r="M395" s="52"/>
    </row>
    <row r="396" spans="10:13" x14ac:dyDescent="0.35">
      <c r="J396" s="52"/>
      <c r="K396" s="52"/>
      <c r="L396" s="52"/>
      <c r="M396" s="52"/>
    </row>
    <row r="397" spans="10:13" x14ac:dyDescent="0.35">
      <c r="J397" s="52"/>
      <c r="K397" s="52"/>
      <c r="L397" s="52"/>
      <c r="M397" s="52"/>
    </row>
    <row r="398" spans="10:13" x14ac:dyDescent="0.35">
      <c r="J398" s="52"/>
      <c r="K398" s="52"/>
      <c r="L398" s="52"/>
      <c r="M398" s="52"/>
    </row>
    <row r="399" spans="10:13" x14ac:dyDescent="0.35">
      <c r="J399" s="52"/>
      <c r="K399" s="52"/>
      <c r="L399" s="52"/>
      <c r="M399" s="52"/>
    </row>
    <row r="400" spans="10:13" x14ac:dyDescent="0.35">
      <c r="J400" s="52"/>
      <c r="K400" s="52"/>
      <c r="L400" s="52"/>
      <c r="M400" s="52"/>
    </row>
    <row r="401" spans="10:13" x14ac:dyDescent="0.35">
      <c r="J401" s="52"/>
      <c r="K401" s="52"/>
      <c r="L401" s="52"/>
      <c r="M401" s="52"/>
    </row>
    <row r="402" spans="10:13" x14ac:dyDescent="0.35">
      <c r="J402" s="52"/>
      <c r="K402" s="52"/>
      <c r="L402" s="52"/>
      <c r="M402" s="52"/>
    </row>
    <row r="403" spans="10:13" x14ac:dyDescent="0.35">
      <c r="J403" s="52"/>
      <c r="K403" s="52"/>
      <c r="L403" s="52"/>
      <c r="M403" s="52"/>
    </row>
    <row r="404" spans="10:13" x14ac:dyDescent="0.35">
      <c r="J404" s="52"/>
      <c r="K404" s="52"/>
      <c r="L404" s="52"/>
      <c r="M404" s="52"/>
    </row>
    <row r="405" spans="10:13" x14ac:dyDescent="0.35">
      <c r="J405" s="52"/>
      <c r="K405" s="52"/>
      <c r="L405" s="52"/>
      <c r="M405" s="52"/>
    </row>
    <row r="406" spans="10:13" x14ac:dyDescent="0.35">
      <c r="J406" s="52"/>
      <c r="K406" s="52"/>
      <c r="L406" s="52"/>
      <c r="M406" s="52"/>
    </row>
    <row r="407" spans="10:13" x14ac:dyDescent="0.35">
      <c r="J407" s="52"/>
      <c r="K407" s="52"/>
      <c r="L407" s="52"/>
      <c r="M407" s="52"/>
    </row>
    <row r="408" spans="10:13" x14ac:dyDescent="0.35">
      <c r="J408" s="52"/>
      <c r="K408" s="52"/>
      <c r="L408" s="52"/>
      <c r="M408" s="52"/>
    </row>
    <row r="409" spans="10:13" x14ac:dyDescent="0.35">
      <c r="J409" s="52"/>
      <c r="K409" s="52"/>
      <c r="L409" s="52"/>
      <c r="M409" s="52"/>
    </row>
    <row r="410" spans="10:13" x14ac:dyDescent="0.35">
      <c r="J410" s="52"/>
      <c r="K410" s="52"/>
      <c r="L410" s="52"/>
      <c r="M410" s="52"/>
    </row>
    <row r="411" spans="10:13" x14ac:dyDescent="0.35">
      <c r="J411" s="52"/>
      <c r="K411" s="52"/>
      <c r="L411" s="52"/>
      <c r="M411" s="52"/>
    </row>
    <row r="412" spans="10:13" x14ac:dyDescent="0.35">
      <c r="J412" s="52"/>
      <c r="K412" s="52"/>
      <c r="L412" s="52"/>
      <c r="M412" s="52"/>
    </row>
    <row r="413" spans="10:13" x14ac:dyDescent="0.35">
      <c r="J413" s="52"/>
      <c r="K413" s="52"/>
      <c r="L413" s="52"/>
      <c r="M413" s="52"/>
    </row>
    <row r="414" spans="10:13" x14ac:dyDescent="0.35">
      <c r="J414" s="52"/>
      <c r="K414" s="52"/>
      <c r="L414" s="52"/>
      <c r="M414" s="52"/>
    </row>
    <row r="415" spans="10:13" x14ac:dyDescent="0.35">
      <c r="J415" s="52"/>
      <c r="K415" s="52"/>
      <c r="L415" s="52"/>
      <c r="M415" s="52"/>
    </row>
    <row r="416" spans="10:13" x14ac:dyDescent="0.35">
      <c r="J416" s="52"/>
      <c r="K416" s="52"/>
      <c r="L416" s="52"/>
      <c r="M416" s="52"/>
    </row>
    <row r="417" spans="10:13" x14ac:dyDescent="0.35">
      <c r="J417" s="52"/>
      <c r="K417" s="52"/>
      <c r="L417" s="52"/>
      <c r="M417" s="52"/>
    </row>
    <row r="418" spans="10:13" x14ac:dyDescent="0.35">
      <c r="J418" s="52"/>
      <c r="K418" s="52"/>
      <c r="L418" s="52"/>
      <c r="M418" s="52"/>
    </row>
    <row r="419" spans="10:13" x14ac:dyDescent="0.35">
      <c r="J419" s="52"/>
      <c r="K419" s="52"/>
      <c r="L419" s="52"/>
      <c r="M419" s="52"/>
    </row>
    <row r="420" spans="10:13" x14ac:dyDescent="0.35">
      <c r="J420" s="52"/>
      <c r="K420" s="52"/>
      <c r="L420" s="52"/>
      <c r="M420" s="52"/>
    </row>
    <row r="421" spans="10:13" x14ac:dyDescent="0.35">
      <c r="J421" s="52"/>
      <c r="K421" s="52"/>
      <c r="L421" s="52"/>
      <c r="M421" s="52"/>
    </row>
    <row r="422" spans="10:13" x14ac:dyDescent="0.35">
      <c r="J422" s="52"/>
      <c r="K422" s="52"/>
      <c r="L422" s="52"/>
      <c r="M422" s="52"/>
    </row>
    <row r="423" spans="10:13" x14ac:dyDescent="0.35">
      <c r="J423" s="52"/>
      <c r="K423" s="52"/>
      <c r="L423" s="52"/>
      <c r="M423" s="52"/>
    </row>
    <row r="424" spans="10:13" x14ac:dyDescent="0.35">
      <c r="J424" s="52"/>
      <c r="K424" s="52"/>
      <c r="L424" s="52"/>
      <c r="M424" s="52"/>
    </row>
    <row r="425" spans="10:13" x14ac:dyDescent="0.35">
      <c r="J425" s="52"/>
      <c r="K425" s="52"/>
      <c r="L425" s="52"/>
      <c r="M425" s="52"/>
    </row>
    <row r="426" spans="10:13" x14ac:dyDescent="0.35">
      <c r="J426" s="52"/>
      <c r="K426" s="52"/>
      <c r="L426" s="52"/>
      <c r="M426" s="52"/>
    </row>
    <row r="427" spans="10:13" x14ac:dyDescent="0.35">
      <c r="J427" s="52"/>
      <c r="K427" s="52"/>
      <c r="L427" s="52"/>
      <c r="M427" s="52"/>
    </row>
    <row r="428" spans="10:13" x14ac:dyDescent="0.35">
      <c r="J428" s="52"/>
      <c r="K428" s="52"/>
      <c r="L428" s="52"/>
      <c r="M428" s="52"/>
    </row>
    <row r="429" spans="10:13" x14ac:dyDescent="0.35">
      <c r="J429" s="52"/>
      <c r="K429" s="52"/>
      <c r="L429" s="52"/>
      <c r="M429" s="52"/>
    </row>
    <row r="430" spans="10:13" x14ac:dyDescent="0.35">
      <c r="J430" s="52"/>
      <c r="K430" s="52"/>
      <c r="L430" s="52"/>
      <c r="M430" s="52"/>
    </row>
    <row r="431" spans="10:13" x14ac:dyDescent="0.35">
      <c r="J431" s="52"/>
      <c r="K431" s="52"/>
      <c r="L431" s="52"/>
      <c r="M431" s="52"/>
    </row>
    <row r="432" spans="10:13" x14ac:dyDescent="0.35">
      <c r="J432" s="52"/>
      <c r="K432" s="52"/>
      <c r="L432" s="52"/>
      <c r="M432" s="52"/>
    </row>
    <row r="433" spans="10:13" x14ac:dyDescent="0.35">
      <c r="J433" s="52"/>
      <c r="K433" s="52"/>
      <c r="L433" s="52"/>
      <c r="M433" s="52"/>
    </row>
    <row r="434" spans="10:13" x14ac:dyDescent="0.35">
      <c r="J434" s="52"/>
      <c r="K434" s="52"/>
      <c r="L434" s="52"/>
      <c r="M434" s="52"/>
    </row>
    <row r="435" spans="10:13" x14ac:dyDescent="0.35">
      <c r="J435" s="52"/>
      <c r="K435" s="52"/>
      <c r="L435" s="52"/>
      <c r="M435" s="52"/>
    </row>
    <row r="436" spans="10:13" x14ac:dyDescent="0.35">
      <c r="J436" s="52"/>
      <c r="K436" s="52"/>
      <c r="L436" s="52"/>
      <c r="M436" s="52"/>
    </row>
    <row r="437" spans="10:13" x14ac:dyDescent="0.35">
      <c r="J437" s="52"/>
      <c r="K437" s="52"/>
      <c r="L437" s="52"/>
      <c r="M437" s="52"/>
    </row>
    <row r="438" spans="10:13" x14ac:dyDescent="0.35">
      <c r="J438" s="52"/>
      <c r="K438" s="52"/>
      <c r="L438" s="52"/>
      <c r="M438" s="52"/>
    </row>
    <row r="439" spans="10:13" x14ac:dyDescent="0.35">
      <c r="J439" s="52"/>
      <c r="K439" s="52"/>
      <c r="L439" s="52"/>
      <c r="M439" s="52"/>
    </row>
    <row r="440" spans="10:13" x14ac:dyDescent="0.35">
      <c r="J440" s="52"/>
      <c r="K440" s="52"/>
      <c r="L440" s="52"/>
      <c r="M440" s="52"/>
    </row>
    <row r="441" spans="10:13" x14ac:dyDescent="0.35">
      <c r="J441" s="52"/>
      <c r="K441" s="52"/>
      <c r="L441" s="52"/>
      <c r="M441" s="52"/>
    </row>
    <row r="442" spans="10:13" x14ac:dyDescent="0.35">
      <c r="J442" s="52"/>
      <c r="K442" s="52"/>
      <c r="L442" s="52"/>
      <c r="M442" s="52"/>
    </row>
    <row r="443" spans="10:13" x14ac:dyDescent="0.35">
      <c r="J443" s="52"/>
      <c r="K443" s="52"/>
      <c r="L443" s="52"/>
      <c r="M443" s="52"/>
    </row>
    <row r="444" spans="10:13" x14ac:dyDescent="0.35">
      <c r="J444" s="52"/>
      <c r="K444" s="52"/>
      <c r="L444" s="52"/>
      <c r="M444" s="52"/>
    </row>
    <row r="445" spans="10:13" x14ac:dyDescent="0.35">
      <c r="J445" s="52"/>
      <c r="K445" s="52"/>
      <c r="L445" s="52"/>
      <c r="M445" s="52"/>
    </row>
    <row r="446" spans="10:13" x14ac:dyDescent="0.35">
      <c r="J446" s="52"/>
      <c r="K446" s="52"/>
      <c r="L446" s="52"/>
      <c r="M446" s="52"/>
    </row>
    <row r="447" spans="10:13" x14ac:dyDescent="0.35">
      <c r="J447" s="52"/>
      <c r="K447" s="52"/>
      <c r="L447" s="52"/>
      <c r="M447" s="52"/>
    </row>
    <row r="448" spans="10:13" x14ac:dyDescent="0.35">
      <c r="J448" s="52"/>
      <c r="K448" s="52"/>
      <c r="L448" s="52"/>
      <c r="M448" s="52"/>
    </row>
    <row r="449" spans="10:13" x14ac:dyDescent="0.35">
      <c r="J449" s="52"/>
      <c r="K449" s="52"/>
      <c r="L449" s="52"/>
      <c r="M449" s="52"/>
    </row>
    <row r="450" spans="10:13" x14ac:dyDescent="0.35">
      <c r="J450" s="52"/>
      <c r="K450" s="52"/>
      <c r="L450" s="52"/>
      <c r="M450" s="52"/>
    </row>
    <row r="451" spans="10:13" x14ac:dyDescent="0.35">
      <c r="J451" s="52"/>
      <c r="K451" s="52"/>
      <c r="L451" s="52"/>
      <c r="M451" s="52"/>
    </row>
    <row r="452" spans="10:13" x14ac:dyDescent="0.35">
      <c r="J452" s="52"/>
      <c r="K452" s="52"/>
      <c r="L452" s="52"/>
      <c r="M452" s="52"/>
    </row>
    <row r="453" spans="10:13" x14ac:dyDescent="0.35">
      <c r="J453" s="52"/>
      <c r="K453" s="52"/>
      <c r="L453" s="52"/>
      <c r="M453" s="52"/>
    </row>
    <row r="454" spans="10:13" x14ac:dyDescent="0.35">
      <c r="J454" s="52"/>
      <c r="K454" s="52"/>
      <c r="L454" s="52"/>
      <c r="M454" s="52"/>
    </row>
    <row r="455" spans="10:13" x14ac:dyDescent="0.35">
      <c r="J455" s="52"/>
      <c r="K455" s="52"/>
      <c r="L455" s="52"/>
      <c r="M455" s="52"/>
    </row>
    <row r="456" spans="10:13" x14ac:dyDescent="0.35">
      <c r="J456" s="52"/>
      <c r="K456" s="52"/>
      <c r="L456" s="52"/>
      <c r="M456" s="52"/>
    </row>
    <row r="457" spans="10:13" x14ac:dyDescent="0.35">
      <c r="J457" s="52"/>
      <c r="K457" s="52"/>
      <c r="L457" s="52"/>
      <c r="M457" s="52"/>
    </row>
    <row r="458" spans="10:13" x14ac:dyDescent="0.35">
      <c r="J458" s="52"/>
      <c r="K458" s="52"/>
      <c r="L458" s="52"/>
      <c r="M458" s="52"/>
    </row>
    <row r="459" spans="10:13" x14ac:dyDescent="0.35">
      <c r="J459" s="52"/>
      <c r="K459" s="52"/>
      <c r="L459" s="52"/>
      <c r="M459" s="52"/>
    </row>
    <row r="460" spans="10:13" x14ac:dyDescent="0.35">
      <c r="J460" s="52"/>
      <c r="K460" s="52"/>
      <c r="L460" s="52"/>
      <c r="M460" s="52"/>
    </row>
    <row r="461" spans="10:13" x14ac:dyDescent="0.35">
      <c r="J461" s="52"/>
      <c r="K461" s="52"/>
      <c r="L461" s="52"/>
      <c r="M461" s="52"/>
    </row>
    <row r="462" spans="10:13" x14ac:dyDescent="0.35">
      <c r="J462" s="52"/>
      <c r="K462" s="52"/>
      <c r="L462" s="52"/>
      <c r="M462" s="52"/>
    </row>
    <row r="463" spans="10:13" x14ac:dyDescent="0.35">
      <c r="J463" s="52"/>
      <c r="K463" s="52"/>
      <c r="L463" s="52"/>
      <c r="M463" s="52"/>
    </row>
    <row r="464" spans="10:13" x14ac:dyDescent="0.35">
      <c r="J464" s="52"/>
      <c r="K464" s="52"/>
      <c r="L464" s="52"/>
      <c r="M464" s="52"/>
    </row>
    <row r="465" spans="10:13" x14ac:dyDescent="0.35">
      <c r="J465" s="52"/>
      <c r="K465" s="52"/>
      <c r="L465" s="52"/>
      <c r="M465" s="52"/>
    </row>
    <row r="466" spans="10:13" x14ac:dyDescent="0.35">
      <c r="J466" s="52"/>
      <c r="K466" s="52"/>
      <c r="L466" s="52"/>
      <c r="M466" s="52"/>
    </row>
    <row r="467" spans="10:13" x14ac:dyDescent="0.35">
      <c r="J467" s="52"/>
      <c r="K467" s="52"/>
      <c r="L467" s="52"/>
      <c r="M467" s="52"/>
    </row>
    <row r="468" spans="10:13" x14ac:dyDescent="0.35">
      <c r="J468" s="52"/>
      <c r="K468" s="52"/>
      <c r="L468" s="52"/>
      <c r="M468" s="52"/>
    </row>
    <row r="469" spans="10:13" x14ac:dyDescent="0.35">
      <c r="J469" s="52"/>
      <c r="K469" s="52"/>
      <c r="L469" s="52"/>
      <c r="M469" s="52"/>
    </row>
    <row r="470" spans="10:13" x14ac:dyDescent="0.35">
      <c r="J470" s="52"/>
      <c r="K470" s="52"/>
      <c r="L470" s="52"/>
      <c r="M470" s="52"/>
    </row>
    <row r="471" spans="10:13" x14ac:dyDescent="0.35">
      <c r="J471" s="52"/>
      <c r="K471" s="52"/>
      <c r="L471" s="52"/>
      <c r="M471" s="52"/>
    </row>
    <row r="472" spans="10:13" x14ac:dyDescent="0.35">
      <c r="J472" s="52"/>
      <c r="K472" s="52"/>
      <c r="L472" s="52"/>
      <c r="M472" s="52"/>
    </row>
    <row r="473" spans="10:13" x14ac:dyDescent="0.35">
      <c r="J473" s="52"/>
      <c r="K473" s="52"/>
      <c r="L473" s="52"/>
      <c r="M473" s="52"/>
    </row>
    <row r="474" spans="10:13" x14ac:dyDescent="0.35">
      <c r="J474" s="52"/>
      <c r="K474" s="52"/>
      <c r="L474" s="52"/>
      <c r="M474" s="52"/>
    </row>
    <row r="475" spans="10:13" x14ac:dyDescent="0.35">
      <c r="J475" s="52"/>
      <c r="K475" s="52"/>
      <c r="L475" s="52"/>
      <c r="M475" s="52"/>
    </row>
    <row r="476" spans="10:13" x14ac:dyDescent="0.35">
      <c r="J476" s="52"/>
      <c r="K476" s="52"/>
      <c r="L476" s="52"/>
      <c r="M476" s="52"/>
    </row>
    <row r="477" spans="10:13" x14ac:dyDescent="0.35">
      <c r="J477" s="52"/>
      <c r="K477" s="52"/>
      <c r="L477" s="52"/>
      <c r="M477" s="52"/>
    </row>
    <row r="478" spans="10:13" x14ac:dyDescent="0.35">
      <c r="J478" s="52"/>
      <c r="K478" s="52"/>
      <c r="L478" s="52"/>
      <c r="M478" s="52"/>
    </row>
    <row r="479" spans="10:13" x14ac:dyDescent="0.35">
      <c r="J479" s="52"/>
      <c r="K479" s="52"/>
      <c r="L479" s="52"/>
      <c r="M479" s="52"/>
    </row>
    <row r="480" spans="10:13" x14ac:dyDescent="0.35">
      <c r="J480" s="52"/>
      <c r="K480" s="52"/>
      <c r="L480" s="52"/>
      <c r="M480" s="52"/>
    </row>
    <row r="481" spans="10:13" x14ac:dyDescent="0.35">
      <c r="J481" s="52"/>
      <c r="K481" s="52"/>
      <c r="L481" s="52"/>
      <c r="M481" s="52"/>
    </row>
    <row r="482" spans="10:13" x14ac:dyDescent="0.35">
      <c r="J482" s="52"/>
      <c r="K482" s="52"/>
      <c r="L482" s="52"/>
      <c r="M482" s="52"/>
    </row>
    <row r="483" spans="10:13" x14ac:dyDescent="0.35">
      <c r="J483" s="52"/>
      <c r="K483" s="52"/>
      <c r="L483" s="52"/>
      <c r="M483" s="52"/>
    </row>
    <row r="484" spans="10:13" x14ac:dyDescent="0.35">
      <c r="J484" s="52"/>
      <c r="K484" s="52"/>
      <c r="L484" s="52"/>
      <c r="M484" s="52"/>
    </row>
    <row r="485" spans="10:13" x14ac:dyDescent="0.35">
      <c r="J485" s="52"/>
      <c r="K485" s="52"/>
      <c r="L485" s="52"/>
      <c r="M485" s="52"/>
    </row>
    <row r="486" spans="10:13" x14ac:dyDescent="0.35">
      <c r="J486" s="52"/>
      <c r="K486" s="52"/>
      <c r="L486" s="52"/>
      <c r="M486" s="52"/>
    </row>
    <row r="487" spans="10:13" x14ac:dyDescent="0.35">
      <c r="J487" s="52"/>
      <c r="K487" s="52"/>
      <c r="L487" s="52"/>
      <c r="M487" s="52"/>
    </row>
    <row r="488" spans="10:13" x14ac:dyDescent="0.35">
      <c r="J488" s="52"/>
      <c r="K488" s="52"/>
      <c r="L488" s="52"/>
      <c r="M488" s="52"/>
    </row>
    <row r="489" spans="10:13" x14ac:dyDescent="0.35">
      <c r="J489" s="52"/>
      <c r="K489" s="52"/>
      <c r="L489" s="52"/>
      <c r="M489" s="52"/>
    </row>
    <row r="490" spans="10:13" x14ac:dyDescent="0.35">
      <c r="J490" s="52"/>
      <c r="K490" s="52"/>
      <c r="L490" s="52"/>
      <c r="M490" s="52"/>
    </row>
    <row r="491" spans="10:13" x14ac:dyDescent="0.35">
      <c r="J491" s="52"/>
      <c r="K491" s="52"/>
      <c r="L491" s="52"/>
      <c r="M491" s="52"/>
    </row>
    <row r="492" spans="10:13" x14ac:dyDescent="0.35">
      <c r="J492" s="52"/>
      <c r="K492" s="52"/>
      <c r="L492" s="52"/>
      <c r="M492" s="52"/>
    </row>
    <row r="493" spans="10:13" x14ac:dyDescent="0.35">
      <c r="J493" s="52"/>
      <c r="K493" s="52"/>
      <c r="L493" s="52"/>
      <c r="M493" s="52"/>
    </row>
    <row r="494" spans="10:13" x14ac:dyDescent="0.35">
      <c r="J494" s="52"/>
      <c r="K494" s="52"/>
      <c r="L494" s="52"/>
      <c r="M494" s="52"/>
    </row>
    <row r="495" spans="10:13" x14ac:dyDescent="0.35">
      <c r="J495" s="52"/>
      <c r="K495" s="52"/>
      <c r="L495" s="52"/>
      <c r="M495" s="52"/>
    </row>
    <row r="496" spans="10:13" x14ac:dyDescent="0.35">
      <c r="J496" s="52"/>
      <c r="K496" s="52"/>
      <c r="L496" s="52"/>
      <c r="M496" s="52"/>
    </row>
    <row r="497" spans="10:13" x14ac:dyDescent="0.35">
      <c r="J497" s="52"/>
      <c r="K497" s="52"/>
      <c r="L497" s="52"/>
      <c r="M497" s="52"/>
    </row>
    <row r="498" spans="10:13" x14ac:dyDescent="0.35">
      <c r="J498" s="52"/>
      <c r="K498" s="52"/>
      <c r="L498" s="52"/>
      <c r="M498" s="52"/>
    </row>
    <row r="499" spans="10:13" x14ac:dyDescent="0.35">
      <c r="J499" s="52"/>
      <c r="K499" s="52"/>
      <c r="L499" s="52"/>
      <c r="M499" s="52"/>
    </row>
    <row r="500" spans="10:13" x14ac:dyDescent="0.35">
      <c r="J500" s="52"/>
      <c r="K500" s="52"/>
      <c r="L500" s="52"/>
      <c r="M500" s="52"/>
    </row>
    <row r="501" spans="10:13" x14ac:dyDescent="0.35">
      <c r="J501" s="52"/>
      <c r="K501" s="52"/>
      <c r="L501" s="52"/>
      <c r="M501" s="52"/>
    </row>
    <row r="502" spans="10:13" x14ac:dyDescent="0.35">
      <c r="J502" s="52"/>
      <c r="K502" s="52"/>
      <c r="L502" s="52"/>
      <c r="M502" s="52"/>
    </row>
    <row r="503" spans="10:13" x14ac:dyDescent="0.35">
      <c r="J503" s="52"/>
      <c r="K503" s="52"/>
      <c r="L503" s="52"/>
      <c r="M503" s="52"/>
    </row>
    <row r="504" spans="10:13" x14ac:dyDescent="0.35">
      <c r="J504" s="52"/>
      <c r="K504" s="52"/>
      <c r="L504" s="52"/>
      <c r="M504" s="52"/>
    </row>
    <row r="505" spans="10:13" x14ac:dyDescent="0.35">
      <c r="J505" s="52"/>
      <c r="K505" s="52"/>
      <c r="L505" s="52"/>
      <c r="M505" s="52"/>
    </row>
    <row r="506" spans="10:13" x14ac:dyDescent="0.35">
      <c r="J506" s="52"/>
      <c r="K506" s="52"/>
      <c r="L506" s="52"/>
      <c r="M506" s="52"/>
    </row>
    <row r="507" spans="10:13" x14ac:dyDescent="0.35">
      <c r="J507" s="52"/>
      <c r="K507" s="52"/>
      <c r="L507" s="52"/>
      <c r="M507" s="52"/>
    </row>
    <row r="508" spans="10:13" x14ac:dyDescent="0.35">
      <c r="J508" s="52"/>
      <c r="K508" s="52"/>
      <c r="L508" s="52"/>
      <c r="M508" s="52"/>
    </row>
    <row r="509" spans="10:13" x14ac:dyDescent="0.35">
      <c r="J509" s="52"/>
      <c r="K509" s="52"/>
      <c r="L509" s="52"/>
      <c r="M509" s="52"/>
    </row>
    <row r="510" spans="10:13" x14ac:dyDescent="0.35">
      <c r="J510" s="52"/>
      <c r="K510" s="52"/>
      <c r="L510" s="52"/>
      <c r="M510" s="52"/>
    </row>
    <row r="511" spans="10:13" x14ac:dyDescent="0.35">
      <c r="J511" s="52"/>
      <c r="K511" s="52"/>
      <c r="L511" s="52"/>
      <c r="M511" s="52"/>
    </row>
    <row r="512" spans="10:13" x14ac:dyDescent="0.35">
      <c r="J512" s="52"/>
      <c r="K512" s="52"/>
      <c r="L512" s="52"/>
      <c r="M512" s="52"/>
    </row>
    <row r="513" spans="10:13" x14ac:dyDescent="0.35">
      <c r="J513" s="52"/>
      <c r="K513" s="52"/>
      <c r="L513" s="52"/>
      <c r="M513" s="52"/>
    </row>
    <row r="514" spans="10:13" x14ac:dyDescent="0.35">
      <c r="J514" s="52"/>
      <c r="K514" s="52"/>
      <c r="L514" s="52"/>
      <c r="M514" s="52"/>
    </row>
    <row r="515" spans="10:13" x14ac:dyDescent="0.35">
      <c r="J515" s="52"/>
      <c r="K515" s="52"/>
      <c r="L515" s="52"/>
      <c r="M515" s="52"/>
    </row>
    <row r="516" spans="10:13" x14ac:dyDescent="0.35">
      <c r="J516" s="52"/>
      <c r="K516" s="52"/>
      <c r="L516" s="52"/>
      <c r="M516" s="52"/>
    </row>
    <row r="517" spans="10:13" x14ac:dyDescent="0.35">
      <c r="J517" s="52"/>
      <c r="K517" s="52"/>
      <c r="L517" s="52"/>
      <c r="M517" s="52"/>
    </row>
    <row r="518" spans="10:13" x14ac:dyDescent="0.35">
      <c r="J518" s="52"/>
      <c r="K518" s="52"/>
      <c r="L518" s="52"/>
      <c r="M518" s="52"/>
    </row>
    <row r="519" spans="10:13" x14ac:dyDescent="0.35">
      <c r="J519" s="52"/>
      <c r="K519" s="52"/>
      <c r="L519" s="52"/>
      <c r="M519" s="52"/>
    </row>
    <row r="520" spans="10:13" x14ac:dyDescent="0.35">
      <c r="J520" s="52"/>
      <c r="K520" s="52"/>
      <c r="L520" s="52"/>
      <c r="M520" s="52"/>
    </row>
    <row r="521" spans="10:13" x14ac:dyDescent="0.35">
      <c r="J521" s="52"/>
      <c r="K521" s="52"/>
      <c r="L521" s="52"/>
      <c r="M521" s="52"/>
    </row>
    <row r="522" spans="10:13" x14ac:dyDescent="0.35">
      <c r="J522" s="52"/>
      <c r="K522" s="52"/>
      <c r="L522" s="52"/>
      <c r="M522" s="52"/>
    </row>
    <row r="523" spans="10:13" x14ac:dyDescent="0.35">
      <c r="J523" s="52"/>
      <c r="K523" s="52"/>
      <c r="L523" s="52"/>
      <c r="M523" s="52"/>
    </row>
    <row r="524" spans="10:13" x14ac:dyDescent="0.35">
      <c r="J524" s="52"/>
      <c r="K524" s="52"/>
      <c r="L524" s="52"/>
      <c r="M524" s="52"/>
    </row>
    <row r="525" spans="10:13" x14ac:dyDescent="0.35">
      <c r="J525" s="52"/>
      <c r="K525" s="52"/>
      <c r="L525" s="52"/>
      <c r="M525" s="52"/>
    </row>
    <row r="526" spans="10:13" x14ac:dyDescent="0.35">
      <c r="J526" s="52"/>
      <c r="K526" s="52"/>
      <c r="L526" s="52"/>
      <c r="M526" s="52"/>
    </row>
    <row r="527" spans="10:13" x14ac:dyDescent="0.35">
      <c r="J527" s="52"/>
      <c r="K527" s="52"/>
      <c r="L527" s="52"/>
      <c r="M527" s="52"/>
    </row>
    <row r="528" spans="10:13" x14ac:dyDescent="0.35">
      <c r="J528" s="52"/>
      <c r="K528" s="52"/>
      <c r="L528" s="52"/>
      <c r="M528" s="52"/>
    </row>
    <row r="529" spans="10:13" x14ac:dyDescent="0.35">
      <c r="J529" s="52"/>
      <c r="K529" s="52"/>
      <c r="L529" s="52"/>
      <c r="M529" s="52"/>
    </row>
    <row r="530" spans="10:13" x14ac:dyDescent="0.35">
      <c r="J530" s="52"/>
      <c r="K530" s="52"/>
      <c r="L530" s="52"/>
      <c r="M530" s="52"/>
    </row>
    <row r="531" spans="10:13" x14ac:dyDescent="0.35">
      <c r="J531" s="52"/>
      <c r="K531" s="52"/>
      <c r="L531" s="52"/>
      <c r="M531" s="52"/>
    </row>
    <row r="532" spans="10:13" x14ac:dyDescent="0.35">
      <c r="J532" s="52"/>
      <c r="K532" s="52"/>
      <c r="L532" s="52"/>
      <c r="M532" s="52"/>
    </row>
    <row r="533" spans="10:13" x14ac:dyDescent="0.35">
      <c r="J533" s="52"/>
      <c r="K533" s="52"/>
      <c r="L533" s="52"/>
      <c r="M533" s="52"/>
    </row>
    <row r="534" spans="10:13" x14ac:dyDescent="0.35">
      <c r="J534" s="52"/>
      <c r="K534" s="52"/>
      <c r="L534" s="52"/>
      <c r="M534" s="52"/>
    </row>
    <row r="535" spans="10:13" x14ac:dyDescent="0.35">
      <c r="J535" s="52"/>
      <c r="K535" s="52"/>
      <c r="L535" s="52"/>
      <c r="M535" s="52"/>
    </row>
    <row r="536" spans="10:13" x14ac:dyDescent="0.35">
      <c r="J536" s="52"/>
      <c r="K536" s="52"/>
      <c r="L536" s="52"/>
      <c r="M536" s="52"/>
    </row>
    <row r="537" spans="10:13" x14ac:dyDescent="0.35">
      <c r="J537" s="52"/>
      <c r="K537" s="52"/>
      <c r="L537" s="52"/>
      <c r="M537" s="52"/>
    </row>
    <row r="538" spans="10:13" x14ac:dyDescent="0.35">
      <c r="J538" s="52"/>
      <c r="K538" s="52"/>
      <c r="L538" s="52"/>
      <c r="M538" s="52"/>
    </row>
    <row r="539" spans="10:13" x14ac:dyDescent="0.35">
      <c r="J539" s="52"/>
      <c r="K539" s="52"/>
      <c r="L539" s="52"/>
      <c r="M539" s="52"/>
    </row>
    <row r="540" spans="10:13" x14ac:dyDescent="0.35">
      <c r="J540" s="52"/>
      <c r="K540" s="52"/>
      <c r="L540" s="52"/>
      <c r="M540" s="52"/>
    </row>
    <row r="541" spans="10:13" x14ac:dyDescent="0.35">
      <c r="J541" s="52"/>
      <c r="K541" s="52"/>
      <c r="L541" s="52"/>
      <c r="M541" s="52"/>
    </row>
    <row r="542" spans="10:13" x14ac:dyDescent="0.35">
      <c r="J542" s="52"/>
      <c r="K542" s="52"/>
      <c r="L542" s="52"/>
      <c r="M542" s="52"/>
    </row>
    <row r="543" spans="10:13" x14ac:dyDescent="0.35">
      <c r="J543" s="52"/>
      <c r="K543" s="52"/>
      <c r="L543" s="52"/>
      <c r="M543" s="52"/>
    </row>
    <row r="544" spans="10:13" x14ac:dyDescent="0.35">
      <c r="J544" s="52"/>
      <c r="K544" s="52"/>
      <c r="L544" s="52"/>
      <c r="M544" s="52"/>
    </row>
    <row r="545" spans="10:13" x14ac:dyDescent="0.35">
      <c r="J545" s="52"/>
      <c r="K545" s="52"/>
      <c r="L545" s="52"/>
      <c r="M545" s="52"/>
    </row>
    <row r="546" spans="10:13" x14ac:dyDescent="0.35">
      <c r="J546" s="52"/>
      <c r="K546" s="52"/>
      <c r="L546" s="52"/>
      <c r="M546" s="52"/>
    </row>
    <row r="547" spans="10:13" x14ac:dyDescent="0.35">
      <c r="J547" s="52"/>
      <c r="K547" s="52"/>
      <c r="L547" s="52"/>
      <c r="M547" s="52"/>
    </row>
    <row r="548" spans="10:13" x14ac:dyDescent="0.35">
      <c r="J548" s="52"/>
      <c r="K548" s="52"/>
      <c r="L548" s="52"/>
      <c r="M548" s="52"/>
    </row>
    <row r="549" spans="10:13" x14ac:dyDescent="0.35">
      <c r="J549" s="52"/>
      <c r="K549" s="52"/>
      <c r="L549" s="52"/>
      <c r="M549" s="52"/>
    </row>
    <row r="550" spans="10:13" x14ac:dyDescent="0.35">
      <c r="J550" s="52"/>
      <c r="K550" s="52"/>
      <c r="L550" s="52"/>
      <c r="M550" s="52"/>
    </row>
    <row r="551" spans="10:13" x14ac:dyDescent="0.35">
      <c r="J551" s="52"/>
      <c r="K551" s="52"/>
      <c r="L551" s="52"/>
      <c r="M551" s="52"/>
    </row>
    <row r="552" spans="10:13" x14ac:dyDescent="0.35">
      <c r="J552" s="52"/>
      <c r="K552" s="52"/>
      <c r="L552" s="52"/>
      <c r="M552" s="52"/>
    </row>
    <row r="553" spans="10:13" x14ac:dyDescent="0.35">
      <c r="J553" s="52"/>
      <c r="K553" s="52"/>
      <c r="L553" s="52"/>
      <c r="M553" s="52"/>
    </row>
    <row r="554" spans="10:13" x14ac:dyDescent="0.35">
      <c r="J554" s="52"/>
      <c r="K554" s="52"/>
      <c r="L554" s="52"/>
      <c r="M554" s="52"/>
    </row>
    <row r="555" spans="10:13" x14ac:dyDescent="0.35">
      <c r="J555" s="52"/>
      <c r="K555" s="52"/>
      <c r="L555" s="52"/>
      <c r="M555" s="52"/>
    </row>
    <row r="556" spans="10:13" x14ac:dyDescent="0.35">
      <c r="J556" s="52"/>
      <c r="K556" s="52"/>
      <c r="L556" s="52"/>
      <c r="M556" s="52"/>
    </row>
    <row r="557" spans="10:13" x14ac:dyDescent="0.35">
      <c r="J557" s="52"/>
      <c r="K557" s="52"/>
      <c r="L557" s="52"/>
      <c r="M557" s="52"/>
    </row>
    <row r="558" spans="10:13" x14ac:dyDescent="0.35">
      <c r="J558" s="52"/>
      <c r="K558" s="52"/>
      <c r="L558" s="52"/>
      <c r="M558" s="52"/>
    </row>
    <row r="559" spans="10:13" x14ac:dyDescent="0.35">
      <c r="J559" s="52"/>
      <c r="K559" s="52"/>
      <c r="L559" s="52"/>
      <c r="M559" s="52"/>
    </row>
    <row r="560" spans="10:13" x14ac:dyDescent="0.35">
      <c r="J560" s="52"/>
      <c r="K560" s="52"/>
      <c r="L560" s="52"/>
      <c r="M560" s="52"/>
    </row>
    <row r="561" spans="10:13" x14ac:dyDescent="0.35">
      <c r="J561" s="52"/>
      <c r="K561" s="52"/>
      <c r="L561" s="52"/>
      <c r="M561" s="52"/>
    </row>
    <row r="562" spans="10:13" x14ac:dyDescent="0.35">
      <c r="J562" s="52"/>
      <c r="K562" s="52"/>
      <c r="L562" s="52"/>
      <c r="M562" s="52"/>
    </row>
    <row r="563" spans="10:13" x14ac:dyDescent="0.35">
      <c r="J563" s="52"/>
      <c r="K563" s="52"/>
      <c r="L563" s="52"/>
      <c r="M563" s="52"/>
    </row>
    <row r="564" spans="10:13" x14ac:dyDescent="0.35">
      <c r="J564" s="52"/>
      <c r="K564" s="52"/>
      <c r="L564" s="52"/>
      <c r="M564" s="52"/>
    </row>
    <row r="565" spans="10:13" x14ac:dyDescent="0.35">
      <c r="J565" s="52"/>
      <c r="K565" s="52"/>
      <c r="L565" s="52"/>
      <c r="M565" s="52"/>
    </row>
    <row r="566" spans="10:13" x14ac:dyDescent="0.35">
      <c r="J566" s="52"/>
      <c r="K566" s="52"/>
      <c r="L566" s="52"/>
      <c r="M566" s="52"/>
    </row>
    <row r="567" spans="10:13" x14ac:dyDescent="0.35">
      <c r="J567" s="52"/>
      <c r="K567" s="52"/>
      <c r="L567" s="52"/>
      <c r="M567" s="52"/>
    </row>
    <row r="568" spans="10:13" x14ac:dyDescent="0.35">
      <c r="J568" s="52"/>
      <c r="K568" s="52"/>
      <c r="L568" s="52"/>
      <c r="M568" s="52"/>
    </row>
    <row r="569" spans="10:13" x14ac:dyDescent="0.35">
      <c r="J569" s="52"/>
      <c r="K569" s="52"/>
      <c r="L569" s="52"/>
      <c r="M569" s="52"/>
    </row>
    <row r="570" spans="10:13" x14ac:dyDescent="0.35">
      <c r="J570" s="52"/>
      <c r="K570" s="52"/>
      <c r="L570" s="52"/>
      <c r="M570" s="52"/>
    </row>
    <row r="571" spans="10:13" x14ac:dyDescent="0.35">
      <c r="J571" s="52"/>
      <c r="K571" s="52"/>
      <c r="L571" s="52"/>
      <c r="M571" s="52"/>
    </row>
    <row r="572" spans="10:13" x14ac:dyDescent="0.35">
      <c r="J572" s="52"/>
      <c r="K572" s="52"/>
      <c r="L572" s="52"/>
      <c r="M572" s="52"/>
    </row>
    <row r="573" spans="10:13" x14ac:dyDescent="0.35">
      <c r="J573" s="52"/>
      <c r="K573" s="52"/>
      <c r="L573" s="52"/>
      <c r="M573" s="52"/>
    </row>
    <row r="574" spans="10:13" x14ac:dyDescent="0.35">
      <c r="J574" s="52"/>
      <c r="K574" s="52"/>
      <c r="L574" s="52"/>
      <c r="M574" s="52"/>
    </row>
    <row r="575" spans="10:13" x14ac:dyDescent="0.35">
      <c r="J575" s="52"/>
      <c r="K575" s="52"/>
      <c r="L575" s="52"/>
      <c r="M575" s="52"/>
    </row>
    <row r="576" spans="10:13" x14ac:dyDescent="0.35">
      <c r="J576" s="52"/>
      <c r="K576" s="52"/>
      <c r="L576" s="52"/>
      <c r="M576" s="52"/>
    </row>
    <row r="577" spans="10:13" x14ac:dyDescent="0.35">
      <c r="J577" s="52"/>
      <c r="K577" s="52"/>
      <c r="L577" s="52"/>
      <c r="M577" s="52"/>
    </row>
    <row r="578" spans="10:13" x14ac:dyDescent="0.35">
      <c r="J578" s="52"/>
      <c r="K578" s="52"/>
      <c r="L578" s="52"/>
      <c r="M578" s="52"/>
    </row>
    <row r="579" spans="10:13" x14ac:dyDescent="0.35">
      <c r="J579" s="52"/>
      <c r="K579" s="52"/>
      <c r="L579" s="52"/>
      <c r="M579" s="52"/>
    </row>
    <row r="580" spans="10:13" x14ac:dyDescent="0.35">
      <c r="J580" s="52"/>
      <c r="K580" s="52"/>
      <c r="L580" s="52"/>
      <c r="M580" s="52"/>
    </row>
    <row r="581" spans="10:13" x14ac:dyDescent="0.35">
      <c r="J581" s="52"/>
      <c r="K581" s="52"/>
      <c r="L581" s="52"/>
      <c r="M581" s="52"/>
    </row>
    <row r="582" spans="10:13" x14ac:dyDescent="0.35">
      <c r="J582" s="52"/>
      <c r="K582" s="52"/>
      <c r="L582" s="52"/>
      <c r="M582" s="52"/>
    </row>
    <row r="583" spans="10:13" x14ac:dyDescent="0.35">
      <c r="J583" s="52"/>
      <c r="K583" s="52"/>
      <c r="L583" s="52"/>
      <c r="M583" s="52"/>
    </row>
    <row r="584" spans="10:13" x14ac:dyDescent="0.35">
      <c r="J584" s="52"/>
      <c r="K584" s="52"/>
      <c r="L584" s="52"/>
      <c r="M584" s="52"/>
    </row>
    <row r="585" spans="10:13" x14ac:dyDescent="0.35">
      <c r="J585" s="52"/>
      <c r="K585" s="52"/>
      <c r="L585" s="52"/>
      <c r="M585" s="52"/>
    </row>
    <row r="586" spans="10:13" x14ac:dyDescent="0.35">
      <c r="J586" s="52"/>
      <c r="K586" s="52"/>
      <c r="L586" s="52"/>
      <c r="M586" s="52"/>
    </row>
    <row r="587" spans="10:13" x14ac:dyDescent="0.35">
      <c r="J587" s="52"/>
      <c r="K587" s="52"/>
      <c r="L587" s="52"/>
      <c r="M587" s="52"/>
    </row>
    <row r="588" spans="10:13" x14ac:dyDescent="0.35">
      <c r="J588" s="52"/>
      <c r="K588" s="52"/>
      <c r="L588" s="52"/>
      <c r="M588" s="52"/>
    </row>
    <row r="589" spans="10:13" x14ac:dyDescent="0.35">
      <c r="J589" s="52"/>
      <c r="K589" s="52"/>
      <c r="L589" s="52"/>
      <c r="M589" s="52"/>
    </row>
    <row r="590" spans="10:13" x14ac:dyDescent="0.35">
      <c r="J590" s="52"/>
      <c r="K590" s="52"/>
      <c r="L590" s="52"/>
      <c r="M590" s="52"/>
    </row>
    <row r="591" spans="10:13" x14ac:dyDescent="0.35">
      <c r="J591" s="52"/>
      <c r="K591" s="52"/>
      <c r="L591" s="52"/>
      <c r="M591" s="52"/>
    </row>
    <row r="592" spans="10:13" x14ac:dyDescent="0.35">
      <c r="J592" s="52"/>
      <c r="K592" s="52"/>
      <c r="L592" s="52"/>
      <c r="M592" s="52"/>
    </row>
    <row r="593" spans="10:13" x14ac:dyDescent="0.35">
      <c r="J593" s="52"/>
      <c r="K593" s="52"/>
      <c r="L593" s="52"/>
      <c r="M593" s="52"/>
    </row>
    <row r="594" spans="10:13" x14ac:dyDescent="0.35">
      <c r="J594" s="52"/>
      <c r="K594" s="52"/>
      <c r="L594" s="52"/>
      <c r="M594" s="52"/>
    </row>
    <row r="595" spans="10:13" x14ac:dyDescent="0.35">
      <c r="J595" s="52"/>
      <c r="K595" s="52"/>
      <c r="L595" s="52"/>
      <c r="M595" s="52"/>
    </row>
    <row r="596" spans="10:13" x14ac:dyDescent="0.35">
      <c r="J596" s="52"/>
      <c r="K596" s="52"/>
      <c r="L596" s="52"/>
      <c r="M596" s="52"/>
    </row>
    <row r="597" spans="10:13" x14ac:dyDescent="0.35">
      <c r="J597" s="52"/>
      <c r="K597" s="52"/>
      <c r="L597" s="52"/>
      <c r="M597" s="52"/>
    </row>
    <row r="598" spans="10:13" x14ac:dyDescent="0.35">
      <c r="J598" s="52"/>
      <c r="K598" s="52"/>
      <c r="L598" s="52"/>
      <c r="M598" s="52"/>
    </row>
    <row r="599" spans="10:13" x14ac:dyDescent="0.35">
      <c r="J599" s="52"/>
      <c r="K599" s="52"/>
      <c r="L599" s="52"/>
      <c r="M599" s="52"/>
    </row>
    <row r="600" spans="10:13" x14ac:dyDescent="0.35">
      <c r="J600" s="52"/>
      <c r="K600" s="52"/>
      <c r="L600" s="52"/>
      <c r="M600" s="52"/>
    </row>
    <row r="601" spans="10:13" x14ac:dyDescent="0.35">
      <c r="J601" s="52"/>
      <c r="K601" s="52"/>
      <c r="L601" s="52"/>
      <c r="M601" s="52"/>
    </row>
    <row r="602" spans="10:13" x14ac:dyDescent="0.35">
      <c r="J602" s="52"/>
      <c r="K602" s="52"/>
      <c r="L602" s="52"/>
      <c r="M602" s="52"/>
    </row>
    <row r="603" spans="10:13" x14ac:dyDescent="0.35">
      <c r="J603" s="52"/>
      <c r="K603" s="52"/>
      <c r="L603" s="52"/>
      <c r="M603" s="52"/>
    </row>
    <row r="604" spans="10:13" x14ac:dyDescent="0.35">
      <c r="J604" s="52"/>
      <c r="K604" s="52"/>
      <c r="L604" s="52"/>
      <c r="M604" s="52"/>
    </row>
    <row r="605" spans="10:13" x14ac:dyDescent="0.35">
      <c r="J605" s="52"/>
      <c r="K605" s="52"/>
      <c r="L605" s="52"/>
      <c r="M605" s="52"/>
    </row>
    <row r="606" spans="10:13" x14ac:dyDescent="0.35">
      <c r="J606" s="52"/>
      <c r="K606" s="52"/>
      <c r="L606" s="52"/>
      <c r="M606" s="52"/>
    </row>
    <row r="607" spans="10:13" x14ac:dyDescent="0.35">
      <c r="J607" s="52"/>
      <c r="K607" s="52"/>
      <c r="L607" s="52"/>
      <c r="M607" s="52"/>
    </row>
    <row r="608" spans="10:13" x14ac:dyDescent="0.35">
      <c r="J608" s="52"/>
      <c r="K608" s="52"/>
      <c r="L608" s="52"/>
      <c r="M608" s="52"/>
    </row>
    <row r="609" spans="10:13" x14ac:dyDescent="0.35">
      <c r="J609" s="52"/>
      <c r="K609" s="52"/>
      <c r="L609" s="52"/>
      <c r="M609" s="52"/>
    </row>
    <row r="610" spans="10:13" x14ac:dyDescent="0.35">
      <c r="J610" s="52"/>
      <c r="K610" s="52"/>
      <c r="L610" s="52"/>
      <c r="M610" s="52"/>
    </row>
    <row r="611" spans="10:13" x14ac:dyDescent="0.35">
      <c r="J611" s="52"/>
      <c r="K611" s="52"/>
      <c r="L611" s="52"/>
      <c r="M611" s="52"/>
    </row>
    <row r="612" spans="10:13" x14ac:dyDescent="0.35">
      <c r="J612" s="52"/>
      <c r="K612" s="52"/>
      <c r="L612" s="52"/>
      <c r="M612" s="52"/>
    </row>
    <row r="613" spans="10:13" x14ac:dyDescent="0.35">
      <c r="J613" s="52"/>
      <c r="K613" s="52"/>
      <c r="L613" s="52"/>
      <c r="M613" s="52"/>
    </row>
    <row r="614" spans="10:13" x14ac:dyDescent="0.35">
      <c r="J614" s="52"/>
      <c r="K614" s="52"/>
      <c r="L614" s="52"/>
      <c r="M614" s="52"/>
    </row>
    <row r="615" spans="10:13" x14ac:dyDescent="0.35">
      <c r="J615" s="52"/>
      <c r="K615" s="52"/>
      <c r="L615" s="52"/>
      <c r="M615" s="52"/>
    </row>
    <row r="616" spans="10:13" x14ac:dyDescent="0.35">
      <c r="J616" s="52"/>
      <c r="K616" s="52"/>
      <c r="L616" s="52"/>
      <c r="M616" s="52"/>
    </row>
    <row r="617" spans="10:13" x14ac:dyDescent="0.35">
      <c r="J617" s="52"/>
      <c r="K617" s="52"/>
      <c r="L617" s="52"/>
      <c r="M617" s="52"/>
    </row>
    <row r="618" spans="10:13" x14ac:dyDescent="0.35">
      <c r="J618" s="52"/>
      <c r="K618" s="52"/>
      <c r="L618" s="52"/>
      <c r="M618" s="52"/>
    </row>
    <row r="619" spans="10:13" x14ac:dyDescent="0.35">
      <c r="J619" s="52"/>
      <c r="K619" s="52"/>
      <c r="L619" s="52"/>
      <c r="M619" s="52"/>
    </row>
    <row r="620" spans="10:13" x14ac:dyDescent="0.35">
      <c r="J620" s="52"/>
      <c r="K620" s="52"/>
      <c r="L620" s="52"/>
      <c r="M620" s="52"/>
    </row>
    <row r="621" spans="10:13" x14ac:dyDescent="0.35">
      <c r="J621" s="52"/>
      <c r="K621" s="52"/>
      <c r="L621" s="52"/>
      <c r="M621" s="52"/>
    </row>
    <row r="622" spans="10:13" x14ac:dyDescent="0.35">
      <c r="J622" s="52"/>
      <c r="K622" s="52"/>
      <c r="L622" s="52"/>
      <c r="M622" s="52"/>
    </row>
    <row r="623" spans="10:13" x14ac:dyDescent="0.35">
      <c r="J623" s="52"/>
      <c r="K623" s="52"/>
      <c r="L623" s="52"/>
      <c r="M623" s="52"/>
    </row>
    <row r="624" spans="10:13" x14ac:dyDescent="0.35">
      <c r="J624" s="52"/>
      <c r="K624" s="52"/>
      <c r="L624" s="52"/>
      <c r="M624" s="52"/>
    </row>
    <row r="625" spans="10:13" x14ac:dyDescent="0.35">
      <c r="J625" s="52"/>
      <c r="K625" s="52"/>
      <c r="L625" s="52"/>
      <c r="M625" s="52"/>
    </row>
    <row r="626" spans="10:13" x14ac:dyDescent="0.35">
      <c r="J626" s="52"/>
      <c r="K626" s="52"/>
      <c r="L626" s="52"/>
      <c r="M626" s="52"/>
    </row>
    <row r="627" spans="10:13" x14ac:dyDescent="0.35">
      <c r="J627" s="52"/>
      <c r="K627" s="52"/>
      <c r="L627" s="52"/>
      <c r="M627" s="52"/>
    </row>
    <row r="628" spans="10:13" x14ac:dyDescent="0.35">
      <c r="J628" s="52"/>
      <c r="K628" s="52"/>
      <c r="L628" s="52"/>
      <c r="M628" s="52"/>
    </row>
    <row r="629" spans="10:13" x14ac:dyDescent="0.35">
      <c r="J629" s="52"/>
      <c r="K629" s="52"/>
      <c r="L629" s="52"/>
      <c r="M629" s="52"/>
    </row>
    <row r="630" spans="10:13" x14ac:dyDescent="0.35">
      <c r="J630" s="52"/>
      <c r="K630" s="52"/>
      <c r="L630" s="52"/>
      <c r="M630" s="52"/>
    </row>
    <row r="631" spans="10:13" x14ac:dyDescent="0.35">
      <c r="J631" s="52"/>
      <c r="K631" s="52"/>
      <c r="L631" s="52"/>
      <c r="M631" s="52"/>
    </row>
    <row r="632" spans="10:13" x14ac:dyDescent="0.35">
      <c r="J632" s="52"/>
      <c r="K632" s="52"/>
      <c r="L632" s="52"/>
      <c r="M632" s="52"/>
    </row>
    <row r="633" spans="10:13" x14ac:dyDescent="0.35">
      <c r="J633" s="52"/>
      <c r="K633" s="52"/>
      <c r="L633" s="52"/>
      <c r="M633" s="52"/>
    </row>
    <row r="634" spans="10:13" x14ac:dyDescent="0.35">
      <c r="J634" s="52"/>
      <c r="K634" s="52"/>
      <c r="L634" s="52"/>
      <c r="M634" s="52"/>
    </row>
    <row r="635" spans="10:13" x14ac:dyDescent="0.35">
      <c r="J635" s="52"/>
      <c r="K635" s="52"/>
      <c r="L635" s="52"/>
      <c r="M635" s="52"/>
    </row>
    <row r="636" spans="10:13" x14ac:dyDescent="0.35">
      <c r="J636" s="52"/>
      <c r="K636" s="52"/>
      <c r="L636" s="52"/>
      <c r="M636" s="52"/>
    </row>
    <row r="637" spans="10:13" x14ac:dyDescent="0.35">
      <c r="J637" s="52"/>
      <c r="K637" s="52"/>
      <c r="L637" s="52"/>
      <c r="M637" s="52"/>
    </row>
    <row r="638" spans="10:13" x14ac:dyDescent="0.35">
      <c r="J638" s="52"/>
      <c r="K638" s="52"/>
      <c r="L638" s="52"/>
      <c r="M638" s="52"/>
    </row>
    <row r="639" spans="10:13" x14ac:dyDescent="0.35">
      <c r="J639" s="52"/>
      <c r="K639" s="52"/>
      <c r="L639" s="52"/>
      <c r="M639" s="52"/>
    </row>
    <row r="640" spans="10:13" x14ac:dyDescent="0.35">
      <c r="J640" s="52"/>
      <c r="K640" s="52"/>
      <c r="L640" s="52"/>
      <c r="M640" s="52"/>
    </row>
    <row r="641" spans="10:13" x14ac:dyDescent="0.35">
      <c r="J641" s="52"/>
      <c r="K641" s="52"/>
      <c r="L641" s="52"/>
      <c r="M641" s="52"/>
    </row>
    <row r="642" spans="10:13" x14ac:dyDescent="0.35">
      <c r="J642" s="52"/>
      <c r="K642" s="52"/>
      <c r="L642" s="52"/>
      <c r="M642" s="52"/>
    </row>
    <row r="643" spans="10:13" x14ac:dyDescent="0.35">
      <c r="J643" s="52"/>
      <c r="K643" s="52"/>
      <c r="L643" s="52"/>
      <c r="M643" s="52"/>
    </row>
    <row r="644" spans="10:13" x14ac:dyDescent="0.35">
      <c r="J644" s="52"/>
      <c r="K644" s="52"/>
      <c r="L644" s="52"/>
      <c r="M644" s="52"/>
    </row>
    <row r="645" spans="10:13" x14ac:dyDescent="0.35">
      <c r="J645" s="52"/>
      <c r="K645" s="52"/>
      <c r="L645" s="52"/>
      <c r="M645" s="52"/>
    </row>
    <row r="646" spans="10:13" x14ac:dyDescent="0.35">
      <c r="J646" s="52"/>
      <c r="K646" s="52"/>
      <c r="L646" s="52"/>
      <c r="M646" s="52"/>
    </row>
    <row r="647" spans="10:13" x14ac:dyDescent="0.35">
      <c r="J647" s="52"/>
      <c r="K647" s="52"/>
      <c r="L647" s="52"/>
      <c r="M647" s="52"/>
    </row>
    <row r="648" spans="10:13" x14ac:dyDescent="0.35">
      <c r="J648" s="52"/>
      <c r="K648" s="52"/>
      <c r="L648" s="52"/>
      <c r="M648" s="52"/>
    </row>
    <row r="649" spans="10:13" x14ac:dyDescent="0.35">
      <c r="J649" s="52"/>
      <c r="K649" s="52"/>
      <c r="L649" s="52"/>
      <c r="M649" s="52"/>
    </row>
    <row r="650" spans="10:13" x14ac:dyDescent="0.35">
      <c r="J650" s="52"/>
      <c r="K650" s="52"/>
      <c r="L650" s="52"/>
      <c r="M650" s="52"/>
    </row>
    <row r="651" spans="10:13" x14ac:dyDescent="0.35">
      <c r="J651" s="52"/>
      <c r="K651" s="52"/>
      <c r="L651" s="52"/>
      <c r="M651" s="52"/>
    </row>
    <row r="652" spans="10:13" x14ac:dyDescent="0.35">
      <c r="J652" s="52"/>
      <c r="K652" s="52"/>
      <c r="L652" s="52"/>
      <c r="M652" s="52"/>
    </row>
    <row r="653" spans="10:13" x14ac:dyDescent="0.35">
      <c r="J653" s="52"/>
      <c r="K653" s="52"/>
      <c r="L653" s="52"/>
      <c r="M653" s="52"/>
    </row>
    <row r="654" spans="10:13" x14ac:dyDescent="0.35">
      <c r="J654" s="52"/>
      <c r="K654" s="52"/>
      <c r="L654" s="52"/>
      <c r="M654" s="52"/>
    </row>
    <row r="655" spans="10:13" x14ac:dyDescent="0.35">
      <c r="J655" s="52"/>
      <c r="K655" s="52"/>
      <c r="L655" s="52"/>
      <c r="M655" s="52"/>
    </row>
    <row r="656" spans="10:13" x14ac:dyDescent="0.35">
      <c r="J656" s="52"/>
      <c r="K656" s="52"/>
      <c r="L656" s="52"/>
      <c r="M656" s="52"/>
    </row>
    <row r="657" spans="10:13" x14ac:dyDescent="0.35">
      <c r="J657" s="52"/>
      <c r="K657" s="52"/>
      <c r="L657" s="52"/>
      <c r="M657" s="52"/>
    </row>
    <row r="658" spans="10:13" x14ac:dyDescent="0.35">
      <c r="J658" s="52"/>
      <c r="K658" s="52"/>
      <c r="L658" s="52"/>
      <c r="M658" s="52"/>
    </row>
    <row r="659" spans="10:13" x14ac:dyDescent="0.35">
      <c r="J659" s="52"/>
      <c r="K659" s="52"/>
      <c r="L659" s="52"/>
      <c r="M659" s="52"/>
    </row>
    <row r="660" spans="10:13" x14ac:dyDescent="0.35">
      <c r="J660" s="52"/>
      <c r="K660" s="52"/>
      <c r="L660" s="52"/>
      <c r="M660" s="52"/>
    </row>
    <row r="661" spans="10:13" x14ac:dyDescent="0.35">
      <c r="J661" s="52"/>
      <c r="K661" s="52"/>
      <c r="L661" s="52"/>
      <c r="M661" s="52"/>
    </row>
    <row r="662" spans="10:13" x14ac:dyDescent="0.35">
      <c r="J662" s="52"/>
      <c r="K662" s="52"/>
      <c r="L662" s="52"/>
      <c r="M662" s="52"/>
    </row>
    <row r="663" spans="10:13" x14ac:dyDescent="0.35">
      <c r="J663" s="52"/>
      <c r="K663" s="52"/>
      <c r="L663" s="52"/>
      <c r="M663" s="52"/>
    </row>
    <row r="664" spans="10:13" x14ac:dyDescent="0.35">
      <c r="J664" s="52"/>
      <c r="K664" s="52"/>
      <c r="L664" s="52"/>
      <c r="M664" s="52"/>
    </row>
    <row r="665" spans="10:13" x14ac:dyDescent="0.35">
      <c r="J665" s="52"/>
      <c r="K665" s="52"/>
      <c r="L665" s="52"/>
      <c r="M665" s="52"/>
    </row>
    <row r="666" spans="10:13" x14ac:dyDescent="0.35">
      <c r="J666" s="52"/>
      <c r="K666" s="52"/>
      <c r="L666" s="52"/>
      <c r="M666" s="52"/>
    </row>
    <row r="667" spans="10:13" x14ac:dyDescent="0.35">
      <c r="J667" s="52"/>
      <c r="K667" s="52"/>
      <c r="L667" s="52"/>
      <c r="M667" s="52"/>
    </row>
    <row r="668" spans="10:13" x14ac:dyDescent="0.35">
      <c r="J668" s="52"/>
      <c r="K668" s="52"/>
      <c r="L668" s="52"/>
      <c r="M668" s="52"/>
    </row>
    <row r="669" spans="10:13" x14ac:dyDescent="0.35">
      <c r="J669" s="52"/>
      <c r="K669" s="52"/>
      <c r="L669" s="52"/>
      <c r="M669" s="52"/>
    </row>
    <row r="670" spans="10:13" x14ac:dyDescent="0.35">
      <c r="J670" s="52"/>
      <c r="K670" s="52"/>
      <c r="L670" s="52"/>
      <c r="M670" s="52"/>
    </row>
    <row r="671" spans="10:13" x14ac:dyDescent="0.35">
      <c r="J671" s="52"/>
      <c r="K671" s="52"/>
      <c r="L671" s="52"/>
      <c r="M671" s="52"/>
    </row>
    <row r="672" spans="10:13" x14ac:dyDescent="0.35">
      <c r="J672" s="52"/>
      <c r="K672" s="52"/>
      <c r="L672" s="52"/>
      <c r="M672" s="52"/>
    </row>
    <row r="673" spans="10:13" x14ac:dyDescent="0.35">
      <c r="J673" s="52"/>
      <c r="K673" s="52"/>
      <c r="L673" s="52"/>
      <c r="M673" s="52"/>
    </row>
    <row r="674" spans="10:13" x14ac:dyDescent="0.35">
      <c r="J674" s="52"/>
      <c r="K674" s="52"/>
      <c r="L674" s="52"/>
      <c r="M674" s="52"/>
    </row>
    <row r="675" spans="10:13" x14ac:dyDescent="0.35">
      <c r="J675" s="52"/>
      <c r="K675" s="52"/>
      <c r="L675" s="52"/>
      <c r="M675" s="52"/>
    </row>
    <row r="676" spans="10:13" x14ac:dyDescent="0.35">
      <c r="J676" s="52"/>
      <c r="K676" s="52"/>
      <c r="L676" s="52"/>
      <c r="M676" s="52"/>
    </row>
    <row r="677" spans="10:13" x14ac:dyDescent="0.35">
      <c r="J677" s="52"/>
      <c r="K677" s="52"/>
      <c r="L677" s="52"/>
      <c r="M677" s="52"/>
    </row>
    <row r="678" spans="10:13" x14ac:dyDescent="0.35">
      <c r="J678" s="52"/>
      <c r="K678" s="52"/>
      <c r="L678" s="52"/>
      <c r="M678" s="52"/>
    </row>
    <row r="679" spans="10:13" x14ac:dyDescent="0.35">
      <c r="J679" s="52"/>
      <c r="K679" s="52"/>
      <c r="L679" s="52"/>
      <c r="M679" s="52"/>
    </row>
    <row r="680" spans="10:13" x14ac:dyDescent="0.35">
      <c r="J680" s="52"/>
      <c r="K680" s="52"/>
      <c r="L680" s="52"/>
      <c r="M680" s="52"/>
    </row>
    <row r="681" spans="10:13" x14ac:dyDescent="0.35">
      <c r="J681" s="52"/>
      <c r="K681" s="52"/>
      <c r="L681" s="52"/>
      <c r="M681" s="52"/>
    </row>
    <row r="682" spans="10:13" x14ac:dyDescent="0.35">
      <c r="J682" s="52"/>
      <c r="K682" s="52"/>
      <c r="L682" s="52"/>
      <c r="M682" s="52"/>
    </row>
    <row r="683" spans="10:13" x14ac:dyDescent="0.35">
      <c r="J683" s="52"/>
      <c r="K683" s="52"/>
      <c r="L683" s="52"/>
      <c r="M683" s="52"/>
    </row>
    <row r="684" spans="10:13" x14ac:dyDescent="0.35">
      <c r="J684" s="52"/>
      <c r="K684" s="52"/>
      <c r="L684" s="52"/>
      <c r="M684" s="52"/>
    </row>
    <row r="685" spans="10:13" x14ac:dyDescent="0.35">
      <c r="J685" s="52"/>
      <c r="K685" s="52"/>
      <c r="L685" s="52"/>
      <c r="M685" s="52"/>
    </row>
    <row r="686" spans="10:13" x14ac:dyDescent="0.35">
      <c r="J686" s="52"/>
      <c r="K686" s="52"/>
      <c r="L686" s="52"/>
      <c r="M686" s="52"/>
    </row>
    <row r="687" spans="10:13" x14ac:dyDescent="0.35">
      <c r="J687" s="52"/>
      <c r="K687" s="52"/>
      <c r="L687" s="52"/>
      <c r="M687" s="52"/>
    </row>
    <row r="688" spans="10:13" x14ac:dyDescent="0.35">
      <c r="J688" s="52"/>
      <c r="K688" s="52"/>
      <c r="L688" s="52"/>
      <c r="M688" s="52"/>
    </row>
    <row r="689" spans="10:13" x14ac:dyDescent="0.35">
      <c r="J689" s="52"/>
      <c r="K689" s="52"/>
      <c r="L689" s="52"/>
      <c r="M689" s="52"/>
    </row>
    <row r="690" spans="10:13" x14ac:dyDescent="0.35">
      <c r="J690" s="52"/>
      <c r="K690" s="52"/>
      <c r="L690" s="52"/>
      <c r="M690" s="52"/>
    </row>
    <row r="691" spans="10:13" x14ac:dyDescent="0.35">
      <c r="J691" s="52"/>
      <c r="K691" s="52"/>
      <c r="L691" s="52"/>
      <c r="M691" s="52"/>
    </row>
    <row r="692" spans="10:13" x14ac:dyDescent="0.35">
      <c r="J692" s="52"/>
      <c r="K692" s="52"/>
      <c r="L692" s="52"/>
      <c r="M692" s="52"/>
    </row>
    <row r="693" spans="10:13" x14ac:dyDescent="0.35">
      <c r="J693" s="52"/>
      <c r="K693" s="52"/>
      <c r="L693" s="52"/>
      <c r="M693" s="52"/>
    </row>
    <row r="694" spans="10:13" x14ac:dyDescent="0.35">
      <c r="J694" s="52"/>
      <c r="K694" s="52"/>
      <c r="L694" s="52"/>
      <c r="M694" s="52"/>
    </row>
    <row r="695" spans="10:13" x14ac:dyDescent="0.35">
      <c r="J695" s="52"/>
      <c r="K695" s="52"/>
      <c r="L695" s="52"/>
      <c r="M695" s="52"/>
    </row>
    <row r="696" spans="10:13" x14ac:dyDescent="0.35">
      <c r="J696" s="52"/>
      <c r="K696" s="52"/>
      <c r="L696" s="52"/>
      <c r="M696" s="52"/>
    </row>
    <row r="697" spans="10:13" x14ac:dyDescent="0.35">
      <c r="J697" s="52"/>
      <c r="K697" s="52"/>
      <c r="L697" s="52"/>
      <c r="M697" s="52"/>
    </row>
    <row r="698" spans="10:13" x14ac:dyDescent="0.35">
      <c r="J698" s="52"/>
      <c r="K698" s="52"/>
      <c r="L698" s="52"/>
      <c r="M698" s="52"/>
    </row>
    <row r="699" spans="10:13" x14ac:dyDescent="0.35">
      <c r="J699" s="52"/>
      <c r="K699" s="52"/>
      <c r="L699" s="52"/>
      <c r="M699" s="52"/>
    </row>
    <row r="700" spans="10:13" x14ac:dyDescent="0.35">
      <c r="J700" s="52"/>
      <c r="K700" s="52"/>
      <c r="L700" s="52"/>
      <c r="M700" s="52"/>
    </row>
    <row r="701" spans="10:13" x14ac:dyDescent="0.35">
      <c r="J701" s="52"/>
      <c r="K701" s="52"/>
      <c r="L701" s="52"/>
      <c r="M701" s="52"/>
    </row>
    <row r="702" spans="10:13" x14ac:dyDescent="0.35">
      <c r="J702" s="52"/>
      <c r="K702" s="52"/>
      <c r="L702" s="52"/>
      <c r="M702" s="52"/>
    </row>
    <row r="703" spans="10:13" x14ac:dyDescent="0.35">
      <c r="J703" s="52"/>
      <c r="K703" s="52"/>
      <c r="L703" s="52"/>
      <c r="M703" s="52"/>
    </row>
    <row r="704" spans="10:13" x14ac:dyDescent="0.35">
      <c r="J704" s="52"/>
      <c r="K704" s="52"/>
      <c r="L704" s="52"/>
      <c r="M704" s="52"/>
    </row>
    <row r="705" spans="10:13" x14ac:dyDescent="0.35">
      <c r="J705" s="52"/>
      <c r="K705" s="52"/>
      <c r="L705" s="52"/>
      <c r="M705" s="52"/>
    </row>
    <row r="706" spans="10:13" x14ac:dyDescent="0.35">
      <c r="J706" s="52"/>
      <c r="K706" s="52"/>
      <c r="L706" s="52"/>
      <c r="M706" s="52"/>
    </row>
    <row r="707" spans="10:13" x14ac:dyDescent="0.35">
      <c r="J707" s="52"/>
      <c r="K707" s="52"/>
      <c r="L707" s="52"/>
      <c r="M707" s="52"/>
    </row>
    <row r="708" spans="10:13" x14ac:dyDescent="0.35">
      <c r="J708" s="52"/>
      <c r="K708" s="52"/>
      <c r="L708" s="52"/>
      <c r="M708" s="52"/>
    </row>
    <row r="709" spans="10:13" x14ac:dyDescent="0.35">
      <c r="J709" s="52"/>
      <c r="K709" s="52"/>
      <c r="L709" s="52"/>
      <c r="M709" s="52"/>
    </row>
    <row r="710" spans="10:13" x14ac:dyDescent="0.35">
      <c r="J710" s="52"/>
      <c r="K710" s="52"/>
      <c r="L710" s="52"/>
      <c r="M710" s="52"/>
    </row>
    <row r="711" spans="10:13" x14ac:dyDescent="0.35">
      <c r="J711" s="52"/>
      <c r="K711" s="52"/>
      <c r="L711" s="52"/>
      <c r="M711" s="52"/>
    </row>
    <row r="712" spans="10:13" x14ac:dyDescent="0.35">
      <c r="J712" s="52"/>
      <c r="K712" s="52"/>
      <c r="L712" s="52"/>
      <c r="M712" s="52"/>
    </row>
    <row r="713" spans="10:13" x14ac:dyDescent="0.35">
      <c r="J713" s="52"/>
      <c r="K713" s="52"/>
      <c r="L713" s="52"/>
      <c r="M713" s="52"/>
    </row>
    <row r="714" spans="10:13" x14ac:dyDescent="0.35">
      <c r="J714" s="52"/>
      <c r="K714" s="52"/>
      <c r="L714" s="52"/>
      <c r="M714" s="52"/>
    </row>
    <row r="715" spans="10:13" x14ac:dyDescent="0.35">
      <c r="J715" s="52"/>
      <c r="K715" s="52"/>
      <c r="L715" s="52"/>
      <c r="M715" s="52"/>
    </row>
    <row r="716" spans="10:13" x14ac:dyDescent="0.35">
      <c r="J716" s="52"/>
      <c r="K716" s="52"/>
      <c r="L716" s="52"/>
      <c r="M716" s="52"/>
    </row>
    <row r="717" spans="10:13" x14ac:dyDescent="0.35">
      <c r="J717" s="52"/>
      <c r="K717" s="52"/>
      <c r="L717" s="52"/>
      <c r="M717" s="52"/>
    </row>
    <row r="718" spans="10:13" x14ac:dyDescent="0.35">
      <c r="J718" s="52"/>
      <c r="K718" s="52"/>
      <c r="L718" s="52"/>
      <c r="M718" s="52"/>
    </row>
    <row r="719" spans="10:13" x14ac:dyDescent="0.35">
      <c r="J719" s="52"/>
      <c r="K719" s="52"/>
      <c r="L719" s="52"/>
      <c r="M719" s="52"/>
    </row>
    <row r="720" spans="10:13" x14ac:dyDescent="0.35">
      <c r="J720" s="52"/>
      <c r="K720" s="52"/>
      <c r="L720" s="52"/>
      <c r="M720" s="52"/>
    </row>
    <row r="721" spans="10:13" x14ac:dyDescent="0.35">
      <c r="J721" s="52"/>
      <c r="K721" s="52"/>
      <c r="L721" s="52"/>
      <c r="M721" s="52"/>
    </row>
    <row r="722" spans="10:13" x14ac:dyDescent="0.35">
      <c r="J722" s="52"/>
      <c r="K722" s="52"/>
      <c r="L722" s="52"/>
      <c r="M722" s="52"/>
    </row>
    <row r="723" spans="10:13" x14ac:dyDescent="0.35">
      <c r="J723" s="52"/>
      <c r="K723" s="52"/>
      <c r="L723" s="52"/>
      <c r="M723" s="52"/>
    </row>
    <row r="724" spans="10:13" x14ac:dyDescent="0.35">
      <c r="J724" s="52"/>
      <c r="K724" s="52"/>
      <c r="L724" s="52"/>
      <c r="M724" s="52"/>
    </row>
    <row r="725" spans="10:13" x14ac:dyDescent="0.35">
      <c r="J725" s="52"/>
      <c r="K725" s="52"/>
      <c r="L725" s="52"/>
      <c r="M725" s="52"/>
    </row>
    <row r="726" spans="10:13" x14ac:dyDescent="0.35">
      <c r="J726" s="52"/>
      <c r="K726" s="52"/>
      <c r="L726" s="52"/>
      <c r="M726" s="52"/>
    </row>
    <row r="727" spans="10:13" x14ac:dyDescent="0.35">
      <c r="J727" s="52"/>
      <c r="K727" s="52"/>
      <c r="L727" s="52"/>
      <c r="M727" s="52"/>
    </row>
    <row r="728" spans="10:13" x14ac:dyDescent="0.35">
      <c r="J728" s="52"/>
      <c r="K728" s="52"/>
      <c r="L728" s="52"/>
      <c r="M728" s="52"/>
    </row>
    <row r="729" spans="10:13" x14ac:dyDescent="0.35">
      <c r="J729" s="52"/>
      <c r="K729" s="52"/>
      <c r="L729" s="52"/>
      <c r="M729" s="52"/>
    </row>
    <row r="730" spans="10:13" x14ac:dyDescent="0.35">
      <c r="J730" s="52"/>
      <c r="K730" s="52"/>
      <c r="L730" s="52"/>
      <c r="M730" s="52"/>
    </row>
    <row r="731" spans="10:13" x14ac:dyDescent="0.35">
      <c r="J731" s="52"/>
      <c r="K731" s="52"/>
      <c r="L731" s="52"/>
      <c r="M731" s="52"/>
    </row>
    <row r="732" spans="10:13" x14ac:dyDescent="0.35">
      <c r="J732" s="52"/>
      <c r="K732" s="52"/>
      <c r="L732" s="52"/>
      <c r="M732" s="52"/>
    </row>
    <row r="733" spans="10:13" x14ac:dyDescent="0.35">
      <c r="J733" s="52"/>
      <c r="K733" s="52"/>
      <c r="L733" s="52"/>
      <c r="M733" s="52"/>
    </row>
    <row r="734" spans="10:13" x14ac:dyDescent="0.35">
      <c r="J734" s="52"/>
      <c r="K734" s="52"/>
      <c r="L734" s="52"/>
      <c r="M734" s="52"/>
    </row>
    <row r="735" spans="10:13" x14ac:dyDescent="0.35">
      <c r="J735" s="52"/>
      <c r="K735" s="52"/>
      <c r="L735" s="52"/>
      <c r="M735" s="52"/>
    </row>
    <row r="736" spans="10:13" x14ac:dyDescent="0.35">
      <c r="J736" s="52"/>
      <c r="K736" s="52"/>
      <c r="L736" s="52"/>
      <c r="M736" s="52"/>
    </row>
    <row r="737" spans="10:13" x14ac:dyDescent="0.35">
      <c r="J737" s="52"/>
      <c r="K737" s="52"/>
      <c r="L737" s="52"/>
      <c r="M737" s="52"/>
    </row>
    <row r="738" spans="10:13" x14ac:dyDescent="0.35">
      <c r="J738" s="52"/>
      <c r="K738" s="52"/>
      <c r="L738" s="52"/>
      <c r="M738" s="52"/>
    </row>
    <row r="739" spans="10:13" x14ac:dyDescent="0.35">
      <c r="J739" s="52"/>
      <c r="K739" s="52"/>
      <c r="L739" s="52"/>
      <c r="M739" s="52"/>
    </row>
    <row r="740" spans="10:13" x14ac:dyDescent="0.35">
      <c r="J740" s="52"/>
      <c r="K740" s="52"/>
      <c r="L740" s="52"/>
      <c r="M740" s="52"/>
    </row>
    <row r="741" spans="10:13" x14ac:dyDescent="0.35">
      <c r="J741" s="52"/>
      <c r="K741" s="52"/>
      <c r="L741" s="52"/>
      <c r="M741" s="52"/>
    </row>
    <row r="742" spans="10:13" x14ac:dyDescent="0.35">
      <c r="J742" s="52"/>
      <c r="K742" s="52"/>
      <c r="L742" s="52"/>
      <c r="M742" s="52"/>
    </row>
    <row r="743" spans="10:13" x14ac:dyDescent="0.35">
      <c r="J743" s="52"/>
      <c r="K743" s="52"/>
      <c r="L743" s="52"/>
      <c r="M743" s="52"/>
    </row>
    <row r="744" spans="10:13" x14ac:dyDescent="0.35">
      <c r="J744" s="52"/>
      <c r="K744" s="52"/>
      <c r="L744" s="52"/>
      <c r="M744" s="52"/>
    </row>
    <row r="745" spans="10:13" x14ac:dyDescent="0.35">
      <c r="J745" s="52"/>
      <c r="K745" s="52"/>
      <c r="L745" s="52"/>
      <c r="M745" s="52"/>
    </row>
    <row r="746" spans="10:13" x14ac:dyDescent="0.35">
      <c r="J746" s="52"/>
      <c r="K746" s="52"/>
      <c r="L746" s="52"/>
      <c r="M746" s="52"/>
    </row>
    <row r="747" spans="10:13" x14ac:dyDescent="0.35">
      <c r="J747" s="52"/>
      <c r="K747" s="52"/>
      <c r="L747" s="52"/>
      <c r="M747" s="52"/>
    </row>
    <row r="748" spans="10:13" x14ac:dyDescent="0.35">
      <c r="J748" s="52"/>
      <c r="K748" s="52"/>
      <c r="L748" s="52"/>
      <c r="M748" s="52"/>
    </row>
    <row r="749" spans="10:13" x14ac:dyDescent="0.35">
      <c r="J749" s="52"/>
      <c r="K749" s="52"/>
      <c r="L749" s="52"/>
      <c r="M749" s="52"/>
    </row>
    <row r="750" spans="10:13" x14ac:dyDescent="0.35">
      <c r="J750" s="52"/>
      <c r="K750" s="52"/>
      <c r="L750" s="52"/>
      <c r="M750" s="52"/>
    </row>
    <row r="751" spans="10:13" x14ac:dyDescent="0.35">
      <c r="J751" s="52"/>
      <c r="K751" s="52"/>
      <c r="L751" s="52"/>
      <c r="M751" s="52"/>
    </row>
    <row r="752" spans="10:13" x14ac:dyDescent="0.35">
      <c r="J752" s="52"/>
      <c r="K752" s="52"/>
      <c r="L752" s="52"/>
      <c r="M752" s="52"/>
    </row>
    <row r="753" spans="10:13" x14ac:dyDescent="0.35">
      <c r="J753" s="52"/>
      <c r="K753" s="52"/>
      <c r="L753" s="52"/>
      <c r="M753" s="52"/>
    </row>
    <row r="754" spans="10:13" x14ac:dyDescent="0.35">
      <c r="J754" s="52"/>
      <c r="K754" s="52"/>
      <c r="L754" s="52"/>
      <c r="M754" s="52"/>
    </row>
    <row r="755" spans="10:13" x14ac:dyDescent="0.35">
      <c r="J755" s="52"/>
      <c r="K755" s="52"/>
      <c r="L755" s="52"/>
      <c r="M755" s="52"/>
    </row>
    <row r="756" spans="10:13" x14ac:dyDescent="0.35">
      <c r="J756" s="52"/>
      <c r="K756" s="52"/>
      <c r="L756" s="52"/>
      <c r="M756" s="52"/>
    </row>
    <row r="757" spans="10:13" x14ac:dyDescent="0.35">
      <c r="J757" s="52"/>
      <c r="K757" s="52"/>
      <c r="L757" s="52"/>
      <c r="M757" s="52"/>
    </row>
    <row r="758" spans="10:13" x14ac:dyDescent="0.35">
      <c r="J758" s="52"/>
      <c r="K758" s="52"/>
      <c r="L758" s="52"/>
      <c r="M758" s="52"/>
    </row>
    <row r="759" spans="10:13" x14ac:dyDescent="0.35">
      <c r="J759" s="52"/>
      <c r="K759" s="52"/>
      <c r="L759" s="52"/>
      <c r="M759" s="52"/>
    </row>
    <row r="760" spans="10:13" x14ac:dyDescent="0.35">
      <c r="J760" s="52"/>
      <c r="K760" s="52"/>
      <c r="L760" s="52"/>
      <c r="M760" s="52"/>
    </row>
    <row r="761" spans="10:13" x14ac:dyDescent="0.35">
      <c r="J761" s="52"/>
      <c r="K761" s="52"/>
      <c r="L761" s="52"/>
      <c r="M761" s="52"/>
    </row>
    <row r="762" spans="10:13" x14ac:dyDescent="0.35">
      <c r="J762" s="52"/>
      <c r="K762" s="52"/>
      <c r="L762" s="52"/>
      <c r="M762" s="52"/>
    </row>
    <row r="763" spans="10:13" x14ac:dyDescent="0.35">
      <c r="J763" s="52"/>
      <c r="K763" s="52"/>
      <c r="L763" s="52"/>
      <c r="M763" s="52"/>
    </row>
    <row r="764" spans="10:13" x14ac:dyDescent="0.35">
      <c r="J764" s="52"/>
      <c r="K764" s="52"/>
      <c r="L764" s="52"/>
      <c r="M764" s="52"/>
    </row>
    <row r="765" spans="10:13" x14ac:dyDescent="0.35">
      <c r="J765" s="52"/>
      <c r="K765" s="52"/>
      <c r="L765" s="52"/>
      <c r="M765" s="52"/>
    </row>
    <row r="766" spans="10:13" x14ac:dyDescent="0.35">
      <c r="J766" s="52"/>
      <c r="K766" s="52"/>
      <c r="L766" s="52"/>
      <c r="M766" s="52"/>
    </row>
    <row r="767" spans="10:13" x14ac:dyDescent="0.35">
      <c r="J767" s="52"/>
      <c r="K767" s="52"/>
      <c r="L767" s="52"/>
      <c r="M767" s="52"/>
    </row>
    <row r="768" spans="10:13" x14ac:dyDescent="0.35">
      <c r="J768" s="52"/>
      <c r="K768" s="52"/>
      <c r="L768" s="52"/>
      <c r="M768" s="52"/>
    </row>
    <row r="769" spans="10:13" x14ac:dyDescent="0.35">
      <c r="J769" s="52"/>
      <c r="K769" s="52"/>
      <c r="L769" s="52"/>
      <c r="M769" s="52"/>
    </row>
  </sheetData>
  <conditionalFormatting sqref="F126:F131">
    <cfRule type="expression" dxfId="11" priority="10">
      <formula>IF(#REF!=NA,1,0)</formula>
    </cfRule>
  </conditionalFormatting>
  <conditionalFormatting sqref="F132">
    <cfRule type="expression" dxfId="10" priority="14">
      <formula>IF(#REF!=NA,1,0)</formula>
    </cfRule>
  </conditionalFormatting>
  <conditionalFormatting sqref="F133">
    <cfRule type="expression" dxfId="9" priority="12">
      <formula>IF(#REF!=NA,1,0)</formula>
    </cfRule>
  </conditionalFormatting>
  <conditionalFormatting sqref="F126:F133">
    <cfRule type="expression" dxfId="8" priority="18">
      <formula>IF(OR($F126=INF,$F126=ANN),1,0)</formula>
    </cfRule>
  </conditionalFormatting>
  <conditionalFormatting sqref="D94:D99">
    <cfRule type="expression" dxfId="7" priority="6">
      <formula>IF(#REF!=NA,1,0)</formula>
    </cfRule>
  </conditionalFormatting>
  <conditionalFormatting sqref="D100">
    <cfRule type="expression" dxfId="6" priority="8">
      <formula>IF(#REF!=NA,1,0)</formula>
    </cfRule>
  </conditionalFormatting>
  <conditionalFormatting sqref="D101">
    <cfRule type="expression" dxfId="5" priority="7">
      <formula>IF(#REF!=NA,1,0)</formula>
    </cfRule>
  </conditionalFormatting>
  <conditionalFormatting sqref="D94:D101">
    <cfRule type="expression" dxfId="4" priority="9">
      <formula>IF(OR($F94=INF,$F94=ANN),1,0)</formula>
    </cfRule>
  </conditionalFormatting>
  <conditionalFormatting sqref="M94:M99">
    <cfRule type="expression" dxfId="3" priority="1">
      <formula>IF(#REF!=NA,1,0)</formula>
    </cfRule>
  </conditionalFormatting>
  <conditionalFormatting sqref="M95:M101">
    <cfRule type="expression" dxfId="2" priority="4">
      <formula>IF(OR($D95=INF,$D95=ANN),1,0)</formula>
    </cfRule>
  </conditionalFormatting>
  <conditionalFormatting sqref="M100">
    <cfRule type="expression" dxfId="1" priority="3">
      <formula>IF(#REF!=NA,1,0)</formula>
    </cfRule>
  </conditionalFormatting>
  <conditionalFormatting sqref="M101">
    <cfRule type="expression" dxfId="0" priority="2">
      <formula>IF(#REF!=NA,1,0)</formula>
    </cfRule>
  </conditionalFormatting>
  <dataValidations count="2">
    <dataValidation type="list" allowBlank="1" showInputMessage="1" showErrorMessage="1" sqref="E2:E4 E28:E34 E22:E24 L90:L91 E108 E112:E113" xr:uid="{00000000-0002-0000-0000-000000000000}">
      <formula1>"Travaux,Fournitures,Services,Etudes"</formula1>
    </dataValidation>
    <dataValidation type="list" allowBlank="1" showInputMessage="1" showErrorMessage="1" sqref="M94:M101" xr:uid="{00000000-0002-0000-0000-000001000000}">
      <formula1>INDIRECT($F94)</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2026-07-22T11:07:41Z</dcterms:modified>
</cp:coreProperties>
</file>