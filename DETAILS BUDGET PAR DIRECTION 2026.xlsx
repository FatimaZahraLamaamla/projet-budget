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lamaamla\Desktop\Budget2026\ElaborationBudget\"/>
    </mc:Choice>
  </mc:AlternateContent>
  <bookViews>
    <workbookView xWindow="0" yWindow="0" windowWidth="16380" windowHeight="8190" tabRatio="500" firstSheet="23" activeTab="27"/>
  </bookViews>
  <sheets>
    <sheet name="AL MAGHERIBIA" sheetId="1" r:id="rId1"/>
    <sheet name="AMAZIGHIA" sheetId="2" r:id="rId2"/>
    <sheet name="ARRYADIA" sheetId="3" r:id="rId3"/>
    <sheet name="ARRYADIA ANNEXE" sheetId="4" r:id="rId4"/>
    <sheet name="ASSADISSA" sheetId="5" r:id="rId5"/>
    <sheet name="ATTAKAFIA" sheetId="6" r:id="rId6"/>
    <sheet name="ACHATS" sheetId="7" r:id="rId7"/>
    <sheet name="DACG" sheetId="8" r:id="rId8"/>
    <sheet name="DAR" sheetId="9" r:id="rId9"/>
    <sheet name="DCPA" sheetId="10" r:id="rId10"/>
    <sheet name="DCRI" sheetId="11" r:id="rId11"/>
    <sheet name="DF" sheetId="12" r:id="rId12"/>
    <sheet name="DJ" sheetId="13" r:id="rId13"/>
    <sheet name="DCMPTV" sheetId="14" r:id="rId14"/>
    <sheet name="DPMG" sheetId="15" r:id="rId15"/>
    <sheet name="DPPR" sheetId="16" r:id="rId16"/>
    <sheet name="DRH" sheetId="17" r:id="rId17"/>
    <sheet name="DROI" sheetId="18" r:id="rId18"/>
    <sheet name="DTSI" sheetId="19" r:id="rId19"/>
    <sheet name="INFO RADIO" sheetId="20" r:id="rId20"/>
    <sheet name="INFO TV" sheetId="21" r:id="rId21"/>
    <sheet name="LAAYOUNE" sheetId="22" r:id="rId22"/>
    <sheet name="LAAYOUNE ANNEXE" sheetId="23" r:id="rId23"/>
    <sheet name="PROD EXT" sheetId="24" r:id="rId24"/>
    <sheet name="DCRPSD" sheetId="25" r:id="rId25"/>
    <sheet name="RSSI" sheetId="26" r:id="rId26"/>
    <sheet name="TDF-DEM" sheetId="27" r:id="rId27"/>
    <sheet name="TDF-SITE" sheetId="28" r:id="rId28"/>
  </sheets>
  <externalReferences>
    <externalReference r:id="rId29"/>
  </externalReferences>
  <definedNames>
    <definedName name="_xlnm._FilterDatabase" localSheetId="1" hidden="1">AMAZIGHIA!$A$4:$C$6</definedName>
    <definedName name="_xlnm._FilterDatabase" localSheetId="16" hidden="1">DRH!$D$1:$D$25</definedName>
    <definedName name="_xlnm._FilterDatabase" localSheetId="18" hidden="1">DTSI!$A$4:$E$57</definedName>
    <definedName name="_xlnm._FilterDatabase" localSheetId="21" hidden="1">LAAYOUNE!$D$1:$D$42</definedName>
    <definedName name="_xlnm.Print_Area" localSheetId="0">'AL MAGHERIBIA'!$A$1:$F$28</definedName>
    <definedName name="_xlnm.Print_Area" localSheetId="1">AMAZIGHIA!$A$1:$F$78</definedName>
    <definedName name="_xlnm.Print_Area" localSheetId="2">ARRYADIA!$A$1:$F$40</definedName>
  </definedName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11" i="26" l="1"/>
  <c r="C54" i="25"/>
  <c r="C34" i="24"/>
  <c r="E33" i="24"/>
  <c r="E32" i="24"/>
  <c r="E31" i="24"/>
  <c r="E30" i="24"/>
  <c r="E29" i="24"/>
  <c r="E28" i="24"/>
  <c r="E27" i="24"/>
  <c r="E26" i="24"/>
  <c r="E25" i="24"/>
  <c r="E24" i="24"/>
  <c r="E23" i="24"/>
  <c r="E22" i="24"/>
  <c r="E21" i="24"/>
  <c r="E20" i="24"/>
  <c r="E19" i="24"/>
  <c r="E18" i="24"/>
  <c r="E17" i="24"/>
  <c r="E16" i="24"/>
  <c r="E15" i="24"/>
  <c r="E14" i="24"/>
  <c r="E13" i="24"/>
  <c r="E12" i="24"/>
  <c r="E11" i="24"/>
  <c r="E10" i="24"/>
  <c r="E9" i="24"/>
  <c r="E8" i="24"/>
  <c r="E7" i="24"/>
  <c r="E6" i="24"/>
  <c r="E5" i="24"/>
  <c r="C31" i="23"/>
  <c r="C43" i="22"/>
  <c r="C56" i="21"/>
  <c r="C12" i="20"/>
  <c r="C50" i="19"/>
  <c r="C13" i="18"/>
  <c r="C26" i="17"/>
  <c r="C104" i="15"/>
  <c r="C40" i="14"/>
  <c r="C14" i="13"/>
  <c r="C16" i="12"/>
  <c r="C27" i="11"/>
  <c r="C40" i="10"/>
  <c r="C6" i="9"/>
  <c r="C11" i="8"/>
  <c r="C10" i="7"/>
  <c r="C13" i="6"/>
  <c r="C123" i="5"/>
  <c r="C16" i="4"/>
  <c r="C39" i="3"/>
  <c r="C78" i="2"/>
  <c r="C27" i="1"/>
  <c r="E26" i="1"/>
  <c r="E25" i="1"/>
  <c r="E24" i="1"/>
  <c r="E23" i="1"/>
  <c r="E22" i="1"/>
  <c r="E21" i="1"/>
  <c r="E20" i="1"/>
  <c r="E19" i="1"/>
  <c r="E18" i="1"/>
  <c r="E17" i="1"/>
  <c r="E16" i="1"/>
  <c r="E15" i="1"/>
  <c r="E14" i="1"/>
  <c r="E13" i="1"/>
  <c r="E12" i="1"/>
  <c r="E11" i="1"/>
  <c r="E10" i="1"/>
  <c r="E9" i="1"/>
  <c r="E8" i="1"/>
  <c r="E7" i="1"/>
  <c r="E6" i="1"/>
  <c r="E5" i="1"/>
</calcChain>
</file>

<file path=xl/sharedStrings.xml><?xml version="1.0" encoding="utf-8"?>
<sst xmlns="http://schemas.openxmlformats.org/spreadsheetml/2006/main" count="3628" uniqueCount="881">
  <si>
    <t>DIRECTION DE LA CHAINE MAGHRIBYA</t>
  </si>
  <si>
    <t>Objet de l'engagement</t>
  </si>
  <si>
    <t>Nature engagement Exploitation/Investissement</t>
  </si>
  <si>
    <t>Estimation du coût (TTC)</t>
  </si>
  <si>
    <t>Poste</t>
  </si>
  <si>
    <t>Intitulé</t>
  </si>
  <si>
    <t xml:space="preserve">Contrat de droit commun relatif à la reconduction des prestataires de services pour AL MAGHRIBIYA  </t>
  </si>
  <si>
    <t>Exploitation</t>
  </si>
  <si>
    <t>612-5</t>
  </si>
  <si>
    <t xml:space="preserve">Contrat de droit commun relatif aux nouveaux prestataires de services pourAL MAGHRIBIYA  
</t>
  </si>
  <si>
    <t xml:space="preserve">Contrat de droit commun relatif aux nouveaux prestataires de services aux prestations de services externes relevant de la Direction AL MAGHRIBIYA  
</t>
  </si>
  <si>
    <t xml:space="preserve">Contrat de droit commun relatif aux nouveaux prestataires de services aux prestations de services externes à l'étranger relevant de la Direction AL MAGHRIBIYA  
</t>
  </si>
  <si>
    <t>Achat d'habillements au profit des journalistes présentateurs des JT</t>
  </si>
  <si>
    <t>617-3</t>
  </si>
  <si>
    <t>Honoraire des consultants/Prestataires des JT</t>
  </si>
  <si>
    <t>Maquillage Matériels et accessoires de coiffures et maquillage</t>
  </si>
  <si>
    <t>612-4</t>
  </si>
  <si>
    <t>Prestation de blanchisserie du linge et services associés au profit des journalistes présentateurs du journal Télévisés (JT) ,</t>
  </si>
  <si>
    <t>Décor Virtuel Live News</t>
  </si>
  <si>
    <t>Investissement</t>
  </si>
  <si>
    <t>232-2</t>
  </si>
  <si>
    <t>Décor réel des Programmes Al Maghribia</t>
  </si>
  <si>
    <t>Droit d'Acquisition d'un Programme TV</t>
  </si>
  <si>
    <t>612-1</t>
  </si>
  <si>
    <t>TOTAL BUDGET</t>
  </si>
  <si>
    <t>DIRECTION DE LA CHAINE AMAZIGHIA</t>
  </si>
  <si>
    <t>Personne Physique - maquilleuse coiffeuse et habilleuse Sénior</t>
  </si>
  <si>
    <t>Prestations de service</t>
  </si>
  <si>
    <t>Personne Physique - Infographiste : gestion playlists JT</t>
  </si>
  <si>
    <t>Personne Physique - Montage Auto Promotion et Bandes Annonces, Webmaster</t>
  </si>
  <si>
    <t>Personne Physique - Pré-PAD/Assistant réalisateur</t>
  </si>
  <si>
    <t>Personne Physique - Monteur et Pré-PAD</t>
  </si>
  <si>
    <t>Personne Physique - Réalisateur</t>
  </si>
  <si>
    <t>Personne Physique - maquilleuse coiffeuse et habilleuse</t>
  </si>
  <si>
    <t>Personne Physique - Coordinateur Archives</t>
  </si>
  <si>
    <t xml:space="preserve">Personne Physique - Journaliste </t>
  </si>
  <si>
    <t>Personne Physique - Chargé de production</t>
  </si>
  <si>
    <t>Personne Physique - OPV/OPS</t>
  </si>
  <si>
    <t>Personne Physique - Assistant Graphiste</t>
  </si>
  <si>
    <t>Personne Physique - Journaliste</t>
  </si>
  <si>
    <t>Personne Physique - Monteur</t>
  </si>
  <si>
    <t>Personne Physique - Commentateur des matchs football</t>
  </si>
  <si>
    <t>Personne Physique - Maquilleur et coiffeur</t>
  </si>
  <si>
    <t>Personne Physique - Concepteur Animateur RD/TV</t>
  </si>
  <si>
    <t>Personne Physique - Chef d’édition JT</t>
  </si>
  <si>
    <t>Personne Physique - Régisseur d'antenne/opérateur serveur</t>
  </si>
  <si>
    <t>Personne Physique - Consultant Politique</t>
  </si>
  <si>
    <t>Personne Physique - Consultant juridique/Politique</t>
  </si>
  <si>
    <t>Personne Physique - Chargée de production</t>
  </si>
  <si>
    <t>Personne Physique - Chroniqueur</t>
  </si>
  <si>
    <t>Personne Physique - Journaliste sportif</t>
  </si>
  <si>
    <t>Personne Physique - Programmatrice : Coordination services production et programmation</t>
  </si>
  <si>
    <t>Personne Physique - Concepteur Animateur RD</t>
  </si>
  <si>
    <t>Personne Physique - Rédacteur en Tifinagh</t>
  </si>
  <si>
    <t>Personne Physique - Gestionnaire d’antenne</t>
  </si>
  <si>
    <t xml:space="preserve">LOCATION DE SALLES </t>
  </si>
  <si>
    <t>613-1</t>
  </si>
  <si>
    <t>Locations</t>
  </si>
  <si>
    <t>Habillement journalistes présentateurs</t>
  </si>
  <si>
    <t>Charges sociales diverses</t>
  </si>
  <si>
    <t>Décors pour émissions des événements sportifs internationaux organisé par le Maroc</t>
  </si>
  <si>
    <t>Agencements et aménagement constructions</t>
  </si>
  <si>
    <t>Maquillage/Coiffure  journalistes présentateurs</t>
  </si>
  <si>
    <t xml:space="preserve">Achats non stockés de matières et fournitures </t>
  </si>
  <si>
    <t>RECONDUCTION PROGRAMMES</t>
  </si>
  <si>
    <t>Achats de productions et de programmes</t>
  </si>
  <si>
    <t>Téléfeuilleton Tachelhit</t>
  </si>
  <si>
    <t>Téléfeuilleton Tarifit</t>
  </si>
  <si>
    <t>Téléfeuilleton Tamazight</t>
  </si>
  <si>
    <t>Téléfilm social/policier/ comédie ( Tachelhit,Tarifit,Tamazight)</t>
  </si>
  <si>
    <t>Format court (Tachlehit, Tarifit , Tamazight)</t>
  </si>
  <si>
    <t>Séries Patrimoniales(Tachlehit, Tarifit , Tamazight)</t>
  </si>
  <si>
    <t>Séries Radiophoniques(Tachlehit, Tarifit , Tamazight)</t>
  </si>
  <si>
    <t>Soirées Artistiques</t>
  </si>
  <si>
    <t>Acquisition des Programmes PAD ( Piéces théatrales, Dessins animés, Programmes externalisés MRE)</t>
  </si>
  <si>
    <t>DIRECTION DE LA CHAINE ARRYADIA</t>
  </si>
  <si>
    <t>ACHAT DROIT FRM FOOTBALL</t>
  </si>
  <si>
    <t>612-2</t>
  </si>
  <si>
    <t>Achats de droits</t>
  </si>
  <si>
    <t>AV. ACHAT DROIT FRM FOOTBALL</t>
  </si>
  <si>
    <t>ACHAT DROIT FRM BASKETBALL</t>
  </si>
  <si>
    <t>ACHAT DROIT FRM TENNIS</t>
  </si>
  <si>
    <t>ACHAT DROIT NATATION</t>
  </si>
  <si>
    <t>ACHAT DROIT FRM D'ESCRIME</t>
  </si>
  <si>
    <t>ACHAT DROIT ATLAS MEDIA</t>
  </si>
  <si>
    <t>ACHAT DROIT MABC Sprl</t>
  </si>
  <si>
    <t>ACHAT DROIT FRM VOLLEY</t>
  </si>
  <si>
    <t>ACHAT DROIT FRM KARATE</t>
  </si>
  <si>
    <t>ACHAT DROIT FRM HANDBALL</t>
  </si>
  <si>
    <t>Tennis de Table</t>
  </si>
  <si>
    <t>FRAIS TECHNIQUES DE TRANSMISSION</t>
  </si>
  <si>
    <t>ACHAT DROIT FRM TRIATHLON</t>
  </si>
  <si>
    <t>ACHAT DROIT DE L'EVENEMENT INTERNATIONAL  7 CUP</t>
  </si>
  <si>
    <t>FRAIS TECHNIQUES SUR AQUISITION DROITS</t>
  </si>
  <si>
    <t>SILVER SPRING MEDIA JUDO</t>
  </si>
  <si>
    <t>SILVER SPRING MEDIA KARATE</t>
  </si>
  <si>
    <t>SILVER SPRING MEDIA  TEAKWONDO</t>
  </si>
  <si>
    <t>SILVER SPRING MEDIA  Basketball Espagnol</t>
  </si>
  <si>
    <t>DIAMOND LEAGUE</t>
  </si>
  <si>
    <t>ACHAT DROIT FRM CYCLISME</t>
  </si>
  <si>
    <t>ACHAT DROIT RUGBY</t>
  </si>
  <si>
    <t>SNTV</t>
  </si>
  <si>
    <t>EUROVISION Athlétisme, Champ du Monde 2024-2029</t>
  </si>
  <si>
    <t>Cession au profit de la SNRT, les droits de la couverture télévisée du championnat mondial de Kite-surf intitulé: "DAKHLA GKA KITE-SURFING WORLD TOUR MOROCCO 2024",</t>
  </si>
  <si>
    <t>CESSION AU PROFIT DE LA SNRT, LES DROITS DE LA COUVERTURE Télévisée de la comptétition Sahraouiya</t>
  </si>
  <si>
    <t>ACHAT DES DROITS BASKETBALL AFRICAIN LEAGUE 2026</t>
  </si>
  <si>
    <t>ACHAT DES DROITS CHAMPIONNAT DU MONDE D'ESCRIME</t>
  </si>
  <si>
    <t>DEPENSE DE PRODUCTION MAQUILLAGE</t>
  </si>
  <si>
    <t>DEPENSE DE PRODUCTION HABILLEMENT</t>
  </si>
  <si>
    <t>FOURNITURE DE MATERIEL DE COIFFURE</t>
  </si>
  <si>
    <t>PRESTATAIRES DE SERVICE - PERSONNES PHYSIQUES</t>
  </si>
  <si>
    <t>DIRECTION DE LA CHAINE ARRYADIA - Budget Annexe</t>
  </si>
  <si>
    <t>DEPENSES LOCAL - Entretien Locaux</t>
  </si>
  <si>
    <t>613-2</t>
  </si>
  <si>
    <t>Entretien, réparation et assurance</t>
  </si>
  <si>
    <t>DEPENSES LOCAL - Entretien Equipements</t>
  </si>
  <si>
    <t>DEPENSES LOCAL - Hébérgement</t>
  </si>
  <si>
    <t>614-1</t>
  </si>
  <si>
    <t>Déplacements, missions et réceptions</t>
  </si>
  <si>
    <t>DEPENSES LOCAL - Restauration</t>
  </si>
  <si>
    <t>DEPENSES LOCAL - Transport Matériel Techniques</t>
  </si>
  <si>
    <t>614-3</t>
  </si>
  <si>
    <t>Autres charges de fonctionnement</t>
  </si>
  <si>
    <t>DEPENSES LOCAL - Location de Voitures</t>
  </si>
  <si>
    <t>DEPENSES LOCAL - Fournitures de Burau et informatiques</t>
  </si>
  <si>
    <t>DEPENSES LOCAL - Abonnements et documentations</t>
  </si>
  <si>
    <t>613-4</t>
  </si>
  <si>
    <t>Redevances et cotisations</t>
  </si>
  <si>
    <t>DEPENSES LOCAL - Stylisme et Maquillage de coiffure</t>
  </si>
  <si>
    <t>DEPENSES LOCAL - Prestation de Coiffure</t>
  </si>
  <si>
    <t>DEPENSES LOCAL - DEPLACEMENT PERSONNEL ARRYADIA</t>
  </si>
  <si>
    <t>DIRECTION DE LA CHAINE ASSADISSA</t>
  </si>
  <si>
    <r>
      <rPr>
        <sz val="12"/>
        <color theme="1"/>
        <rFont val="Book Antiqua"/>
        <family val="1"/>
        <charset val="1"/>
      </rPr>
      <t xml:space="preserve">Préparation et présentation de l'émission  </t>
    </r>
    <r>
      <rPr>
        <sz val="12"/>
        <color theme="1"/>
        <rFont val="Calibri"/>
        <family val="2"/>
        <charset val="1"/>
      </rPr>
      <t xml:space="preserve">ورتل القران ترتيلا </t>
    </r>
    <r>
      <rPr>
        <sz val="12"/>
        <color theme="1"/>
        <rFont val="Book Antiqua"/>
        <family val="1"/>
        <charset val="1"/>
      </rPr>
      <t>MOHAMMED TOURABI</t>
    </r>
  </si>
  <si>
    <t>EXPLOITATION</t>
  </si>
  <si>
    <r>
      <rPr>
        <sz val="12"/>
        <color theme="1"/>
        <rFont val="Book Antiqua"/>
        <family val="1"/>
        <charset val="1"/>
      </rPr>
      <t xml:space="preserve">Préparation et présentation RD   </t>
    </r>
    <r>
      <rPr>
        <sz val="12"/>
        <color theme="1"/>
        <rFont val="Calibri"/>
        <family val="2"/>
        <charset val="1"/>
      </rPr>
      <t xml:space="preserve">إبتهلات  </t>
    </r>
    <r>
      <rPr>
        <sz val="12"/>
        <color theme="1"/>
        <rFont val="Book Antiqua"/>
        <family val="1"/>
        <charset val="1"/>
      </rPr>
      <t>MOHAMMED KHIZRAN (remplace MOHAMMED TOURABI)</t>
    </r>
  </si>
  <si>
    <r>
      <rPr>
        <sz val="12"/>
        <color theme="1"/>
        <rFont val="Book Antiqua"/>
        <family val="1"/>
        <charset val="1"/>
      </rPr>
      <t xml:space="preserve">Préparation et présentation RD </t>
    </r>
    <r>
      <rPr>
        <sz val="12"/>
        <color theme="1"/>
        <rFont val="Calibri"/>
        <family val="2"/>
        <charset val="1"/>
      </rPr>
      <t xml:space="preserve">الابتهالات  </t>
    </r>
    <r>
      <rPr>
        <sz val="12"/>
        <color theme="1"/>
        <rFont val="Book Antiqua"/>
        <family val="1"/>
        <charset val="1"/>
      </rPr>
      <t>MOHAMMAD AMIN SINIA</t>
    </r>
  </si>
  <si>
    <r>
      <rPr>
        <sz val="12"/>
        <color theme="1"/>
        <rFont val="Book Antiqua"/>
        <family val="1"/>
        <charset val="1"/>
      </rPr>
      <t xml:space="preserve">Préparation de  la capsule RD </t>
    </r>
    <r>
      <rPr>
        <sz val="12"/>
        <color theme="1"/>
        <rFont val="Calibri"/>
        <family val="2"/>
        <charset val="1"/>
      </rPr>
      <t xml:space="preserve">أمداح نبوية </t>
    </r>
    <r>
      <rPr>
        <sz val="12"/>
        <color theme="1"/>
        <rFont val="Book Antiqua"/>
        <family val="1"/>
        <charset val="1"/>
      </rPr>
      <t>NASER BOUNASER</t>
    </r>
  </si>
  <si>
    <r>
      <rPr>
        <sz val="12"/>
        <color theme="1"/>
        <rFont val="Book Antiqua"/>
        <family val="1"/>
        <charset val="1"/>
      </rPr>
      <t xml:space="preserve">Préparation et présentation de l'émission RD  </t>
    </r>
    <r>
      <rPr>
        <sz val="12"/>
        <color theme="1"/>
        <rFont val="Calibri"/>
        <family val="2"/>
        <charset val="1"/>
      </rPr>
      <t xml:space="preserve">تجليات </t>
    </r>
    <r>
      <rPr>
        <sz val="12"/>
        <color theme="1"/>
        <rFont val="Book Antiqua"/>
        <family val="1"/>
        <charset val="1"/>
      </rPr>
      <t>WIDAD BENMOUSSA</t>
    </r>
  </si>
  <si>
    <r>
      <rPr>
        <sz val="12"/>
        <color theme="1"/>
        <rFont val="Book Antiqua"/>
        <family val="1"/>
        <charset val="1"/>
      </rPr>
      <t xml:space="preserve">Préparation et présentation RD </t>
    </r>
    <r>
      <rPr>
        <sz val="12"/>
        <color theme="1"/>
        <rFont val="Calibri"/>
        <family val="2"/>
        <charset val="1"/>
      </rPr>
      <t xml:space="preserve">ابتهالات </t>
    </r>
    <r>
      <rPr>
        <sz val="12"/>
        <color theme="1"/>
        <rFont val="Book Antiqua"/>
        <family val="1"/>
        <charset val="1"/>
      </rPr>
      <t>HAKIM KHIZRAN</t>
    </r>
  </si>
  <si>
    <r>
      <rPr>
        <sz val="12"/>
        <color theme="1"/>
        <rFont val="Book Antiqua"/>
        <family val="1"/>
        <charset val="1"/>
      </rPr>
      <t xml:space="preserve">Préparation et présentation de l'émission RD  </t>
    </r>
    <r>
      <rPr>
        <sz val="12"/>
        <color theme="1"/>
        <rFont val="Calibri"/>
        <family val="2"/>
        <charset val="1"/>
      </rPr>
      <t xml:space="preserve">ملتقى الأطفال </t>
    </r>
    <r>
      <rPr>
        <sz val="12"/>
        <color theme="1"/>
        <rFont val="Book Antiqua"/>
        <family val="1"/>
        <charset val="1"/>
      </rPr>
      <t>ABDELLATIF BOUBALA</t>
    </r>
  </si>
  <si>
    <r>
      <rPr>
        <sz val="12"/>
        <color theme="1"/>
        <rFont val="Book Antiqua"/>
        <family val="1"/>
        <charset val="1"/>
      </rPr>
      <t xml:space="preserve">Préparation et présentation de l'émission TV </t>
    </r>
    <r>
      <rPr>
        <sz val="12"/>
        <color theme="1"/>
        <rFont val="Calibri"/>
        <family val="2"/>
        <charset val="1"/>
      </rPr>
      <t xml:space="preserve">الكراسي العلمية </t>
    </r>
    <r>
      <rPr>
        <sz val="12"/>
        <color theme="1"/>
        <rFont val="Book Antiqua"/>
        <family val="1"/>
        <charset val="1"/>
      </rPr>
      <t>MOSTAPHA  BENHAMZA</t>
    </r>
  </si>
  <si>
    <r>
      <rPr>
        <sz val="12"/>
        <color theme="1"/>
        <rFont val="Book Antiqua"/>
        <family val="1"/>
        <charset val="1"/>
      </rPr>
      <t xml:space="preserve">Préparation et présentation de l'émission TV </t>
    </r>
    <r>
      <rPr>
        <sz val="12"/>
        <color theme="1"/>
        <rFont val="Calibri"/>
        <family val="2"/>
        <charset val="1"/>
      </rPr>
      <t xml:space="preserve">الكراسي العلمية </t>
    </r>
    <r>
      <rPr>
        <sz val="12"/>
        <color theme="1"/>
        <rFont val="Book Antiqua"/>
        <family val="1"/>
        <charset val="1"/>
      </rPr>
      <t>ABDERAHIM NABOULSSI</t>
    </r>
  </si>
  <si>
    <r>
      <rPr>
        <sz val="12"/>
        <color theme="1"/>
        <rFont val="Book Antiqua"/>
        <family val="1"/>
        <charset val="1"/>
      </rPr>
      <t xml:space="preserve">Préparation et présentation de l'émission TV </t>
    </r>
    <r>
      <rPr>
        <sz val="12"/>
        <color theme="1"/>
        <rFont val="Calibri"/>
        <family val="2"/>
        <charset val="1"/>
      </rPr>
      <t xml:space="preserve">الكراسي العلمية </t>
    </r>
    <r>
      <rPr>
        <sz val="12"/>
        <color theme="1"/>
        <rFont val="Book Antiqua"/>
        <family val="1"/>
        <charset val="1"/>
      </rPr>
      <t>MOHAMMED RAOUGUI</t>
    </r>
  </si>
  <si>
    <r>
      <rPr>
        <sz val="12"/>
        <color theme="1"/>
        <rFont val="Book Antiqua"/>
        <family val="1"/>
        <charset val="1"/>
      </rPr>
      <t xml:space="preserve">Préparation et présentation de l'émission TV </t>
    </r>
    <r>
      <rPr>
        <sz val="12"/>
        <color theme="1"/>
        <rFont val="Calibri"/>
        <family val="2"/>
        <charset val="1"/>
      </rPr>
      <t xml:space="preserve">الكراسي العلمية </t>
    </r>
    <r>
      <rPr>
        <sz val="12"/>
        <color theme="1"/>
        <rFont val="Book Antiqua"/>
        <family val="1"/>
        <charset val="1"/>
      </rPr>
      <t>MOSTAPHA BAHIAOUI</t>
    </r>
  </si>
  <si>
    <r>
      <rPr>
        <sz val="12"/>
        <color theme="1"/>
        <rFont val="Book Antiqua"/>
        <family val="1"/>
        <charset val="1"/>
      </rPr>
      <t xml:space="preserve">Préparation et présentation de l'émission TV </t>
    </r>
    <r>
      <rPr>
        <sz val="12"/>
        <color theme="1"/>
        <rFont val="Calibri"/>
        <family val="2"/>
        <charset val="1"/>
      </rPr>
      <t xml:space="preserve">الكراسي العلمية </t>
    </r>
    <r>
      <rPr>
        <sz val="12"/>
        <color theme="1"/>
        <rFont val="Book Antiqua"/>
        <family val="1"/>
        <charset val="1"/>
      </rPr>
      <t>MOHAMMED BENKIRANE</t>
    </r>
  </si>
  <si>
    <r>
      <rPr>
        <sz val="12"/>
        <color theme="1"/>
        <rFont val="Book Antiqua"/>
        <family val="1"/>
        <charset val="1"/>
      </rPr>
      <t xml:space="preserve">Préparation et présentation de l'émission TV </t>
    </r>
    <r>
      <rPr>
        <sz val="12"/>
        <color theme="1"/>
        <rFont val="Calibri"/>
        <family val="2"/>
        <charset val="1"/>
      </rPr>
      <t xml:space="preserve">الكراسي العلمية </t>
    </r>
    <r>
      <rPr>
        <sz val="12"/>
        <color theme="1"/>
        <rFont val="Book Antiqua"/>
        <family val="1"/>
        <charset val="1"/>
      </rPr>
      <t xml:space="preserve">ABDERAHMANE ALIOUI </t>
    </r>
  </si>
  <si>
    <r>
      <rPr>
        <sz val="12"/>
        <color theme="1"/>
        <rFont val="Book Antiqua"/>
        <family val="1"/>
        <charset val="1"/>
      </rPr>
      <t xml:space="preserve">Préparation et présentation de l'émission TV </t>
    </r>
    <r>
      <rPr>
        <sz val="12"/>
        <color theme="1"/>
        <rFont val="Calibri"/>
        <family val="2"/>
        <charset val="1"/>
      </rPr>
      <t xml:space="preserve">الكراسي العلمية </t>
    </r>
    <r>
      <rPr>
        <sz val="12"/>
        <color theme="1"/>
        <rFont val="Book Antiqua"/>
        <family val="1"/>
        <charset val="1"/>
      </rPr>
      <t xml:space="preserve">ABOUATALLAH  ABDALLAH </t>
    </r>
  </si>
  <si>
    <r>
      <rPr>
        <sz val="12"/>
        <color theme="1"/>
        <rFont val="Book Antiqua"/>
        <family val="1"/>
        <charset val="1"/>
      </rPr>
      <t xml:space="preserve">Réponse  sur antenne TV aux questions des télespectateurs et téléspectatrices  </t>
    </r>
    <r>
      <rPr>
        <sz val="12"/>
        <color theme="1"/>
        <rFont val="Calibri"/>
        <family val="2"/>
        <charset val="1"/>
      </rPr>
      <t xml:space="preserve">يسألونك   </t>
    </r>
    <r>
      <rPr>
        <sz val="12"/>
        <color theme="1"/>
        <rFont val="Book Antiqua"/>
        <family val="1"/>
        <charset val="1"/>
      </rPr>
      <t>LAHCEN ID SAID</t>
    </r>
  </si>
  <si>
    <r>
      <rPr>
        <sz val="12"/>
        <color theme="1"/>
        <rFont val="Book Antiqua"/>
        <family val="1"/>
        <charset val="1"/>
      </rPr>
      <t xml:space="preserve">Réponse  sur antenne TV aux questions des télespectateurs et téléspectatrices  </t>
    </r>
    <r>
      <rPr>
        <sz val="12"/>
        <color theme="1"/>
        <rFont val="Calibri"/>
        <family val="2"/>
        <charset val="1"/>
      </rPr>
      <t xml:space="preserve">يسألونك   </t>
    </r>
    <r>
      <rPr>
        <sz val="12"/>
        <color theme="1"/>
        <rFont val="Book Antiqua"/>
        <family val="1"/>
        <charset val="1"/>
      </rPr>
      <t>HOUSSAIN MIFRAH</t>
    </r>
  </si>
  <si>
    <r>
      <rPr>
        <sz val="12"/>
        <color theme="1"/>
        <rFont val="Book Antiqua"/>
        <family val="1"/>
        <charset val="1"/>
      </rPr>
      <t xml:space="preserve">Réponse  sur antenne TV aux questions des télespectateurs et téléspectatrices  </t>
    </r>
    <r>
      <rPr>
        <sz val="12"/>
        <color theme="1"/>
        <rFont val="Calibri"/>
        <family val="2"/>
        <charset val="1"/>
      </rPr>
      <t xml:space="preserve">يسألونك   </t>
    </r>
    <r>
      <rPr>
        <sz val="12"/>
        <color theme="1"/>
        <rFont val="Book Antiqua"/>
        <family val="1"/>
        <charset val="1"/>
      </rPr>
      <t>MOHAMMED ELYOUSSFI</t>
    </r>
  </si>
  <si>
    <r>
      <rPr>
        <sz val="12"/>
        <color theme="1"/>
        <rFont val="Book Antiqua"/>
        <family val="1"/>
        <charset val="1"/>
      </rPr>
      <t xml:space="preserve">Réponse  sur antenne TV aux questions des télespectateurs et téléspectatrices  </t>
    </r>
    <r>
      <rPr>
        <sz val="12"/>
        <color theme="1"/>
        <rFont val="Calibri"/>
        <family val="2"/>
        <charset val="1"/>
      </rPr>
      <t xml:space="preserve">يسألونك   </t>
    </r>
    <r>
      <rPr>
        <sz val="12"/>
        <color theme="1"/>
        <rFont val="Book Antiqua"/>
        <family val="1"/>
        <charset val="1"/>
      </rPr>
      <t xml:space="preserve">MOSTAPHA ZAMHANNA </t>
    </r>
  </si>
  <si>
    <r>
      <rPr>
        <sz val="12"/>
        <color theme="1"/>
        <rFont val="Book Antiqua"/>
        <family val="1"/>
        <charset val="1"/>
      </rPr>
      <t xml:space="preserve">Réponse  sur antenne TV aux questions des télespectateurs et téléspectatrices  </t>
    </r>
    <r>
      <rPr>
        <sz val="12"/>
        <color theme="1"/>
        <rFont val="Calibri"/>
        <family val="2"/>
        <charset val="1"/>
      </rPr>
      <t xml:space="preserve">يسألونك   </t>
    </r>
    <r>
      <rPr>
        <sz val="12"/>
        <color theme="1"/>
        <rFont val="Book Antiqua"/>
        <family val="1"/>
        <charset val="1"/>
      </rPr>
      <t>KHADIJA ABOUZID</t>
    </r>
  </si>
  <si>
    <r>
      <rPr>
        <sz val="12"/>
        <color theme="1"/>
        <rFont val="Book Antiqua"/>
        <family val="1"/>
        <charset val="1"/>
      </rPr>
      <t xml:space="preserve">Réponse  sur antenne TV aux questions des télespectateurs et téléspectatrices  </t>
    </r>
    <r>
      <rPr>
        <sz val="12"/>
        <color theme="1"/>
        <rFont val="Calibri"/>
        <family val="2"/>
        <charset val="1"/>
      </rPr>
      <t xml:space="preserve">يسألونك   </t>
    </r>
    <r>
      <rPr>
        <sz val="12"/>
        <color theme="1"/>
        <rFont val="Book Antiqua"/>
        <family val="1"/>
        <charset val="1"/>
      </rPr>
      <t>BOUTHAINA ELGHALBZOURI</t>
    </r>
  </si>
  <si>
    <r>
      <rPr>
        <sz val="12"/>
        <color theme="1"/>
        <rFont val="Book Antiqua"/>
        <family val="1"/>
        <charset val="1"/>
      </rPr>
      <t xml:space="preserve">Préparation et présentation de l'émission TV </t>
    </r>
    <r>
      <rPr>
        <sz val="12"/>
        <color theme="1"/>
        <rFont val="Calibri"/>
        <family val="2"/>
        <charset val="1"/>
      </rPr>
      <t xml:space="preserve">يسألونك </t>
    </r>
    <r>
      <rPr>
        <sz val="12"/>
        <color theme="1"/>
        <rFont val="Book Antiqua"/>
        <family val="1"/>
        <charset val="1"/>
      </rPr>
      <t>FATIHA HAMMOUTI</t>
    </r>
  </si>
  <si>
    <t xml:space="preserve">HICHAM LAHLIMI </t>
  </si>
  <si>
    <t>ANIMATION RD/TV: la gestion d'antenne RD/TV MOHAMMED EL KHIRAOUI</t>
  </si>
  <si>
    <r>
      <rPr>
        <sz val="12"/>
        <color theme="1"/>
        <rFont val="Book Antiqua"/>
        <family val="1"/>
        <charset val="1"/>
      </rPr>
      <t xml:space="preserve">Préparation et présentation de l'émission RD  </t>
    </r>
    <r>
      <rPr>
        <sz val="12"/>
        <color theme="1"/>
        <rFont val="Calibri"/>
        <family val="2"/>
        <charset val="1"/>
      </rPr>
      <t xml:space="preserve">يسألونك </t>
    </r>
    <r>
      <rPr>
        <sz val="12"/>
        <color theme="1"/>
        <rFont val="Book Antiqua"/>
        <family val="1"/>
        <charset val="1"/>
      </rPr>
      <t>MOHAMMED EL KHIRAOUI</t>
    </r>
  </si>
  <si>
    <r>
      <rPr>
        <sz val="12"/>
        <color theme="1"/>
        <rFont val="Book Antiqua"/>
        <family val="1"/>
        <charset val="1"/>
      </rPr>
      <t xml:space="preserve">Préparation et présentation de l'émission TV  </t>
    </r>
    <r>
      <rPr>
        <sz val="12"/>
        <color theme="1"/>
        <rFont val="Calibri"/>
        <family val="2"/>
        <charset val="1"/>
      </rPr>
      <t xml:space="preserve">المسالك  </t>
    </r>
    <r>
      <rPr>
        <sz val="12"/>
        <color theme="1"/>
        <rFont val="Book Antiqua"/>
        <family val="1"/>
        <charset val="1"/>
      </rPr>
      <t>LAYACHI QABOUSSI</t>
    </r>
  </si>
  <si>
    <r>
      <rPr>
        <sz val="12"/>
        <color theme="1"/>
        <rFont val="Book Antiqua"/>
        <family val="1"/>
        <charset val="1"/>
      </rPr>
      <t>Préparation et présentation de l'émission TV</t>
    </r>
    <r>
      <rPr>
        <sz val="12"/>
        <color theme="1"/>
        <rFont val="Calibri"/>
        <family val="2"/>
        <charset val="1"/>
      </rPr>
      <t xml:space="preserve">السيرة النبوية قضايا وأعلام </t>
    </r>
    <r>
      <rPr>
        <sz val="12"/>
        <color theme="1"/>
        <rFont val="Book Antiqua"/>
        <family val="1"/>
        <charset val="1"/>
      </rPr>
      <t>YOUSSEF NACIRI</t>
    </r>
  </si>
  <si>
    <r>
      <rPr>
        <sz val="12"/>
        <color theme="1"/>
        <rFont val="Book Antiqua"/>
        <family val="1"/>
        <charset val="1"/>
      </rPr>
      <t xml:space="preserve">Préparation et Présentation de l'émission TV </t>
    </r>
    <r>
      <rPr>
        <sz val="12"/>
        <color theme="1"/>
        <rFont val="Calibri"/>
        <family val="2"/>
        <charset val="1"/>
      </rPr>
      <t xml:space="preserve">أسوة حسنة </t>
    </r>
    <r>
      <rPr>
        <sz val="12"/>
        <color theme="1"/>
        <rFont val="Book Antiqua"/>
        <family val="1"/>
        <charset val="1"/>
      </rPr>
      <t>TAYEB AIT OUAGHURI</t>
    </r>
  </si>
  <si>
    <r>
      <rPr>
        <sz val="12"/>
        <color theme="1"/>
        <rFont val="Book Antiqua"/>
        <family val="1"/>
        <charset val="1"/>
      </rPr>
      <t xml:space="preserve">Réponses sur antenne RD aux questions des Auditeurs et Auditrices  </t>
    </r>
    <r>
      <rPr>
        <sz val="12"/>
        <color theme="1"/>
        <rFont val="Calibri"/>
        <family val="2"/>
        <charset val="1"/>
      </rPr>
      <t xml:space="preserve">يسألونك </t>
    </r>
    <r>
      <rPr>
        <sz val="12"/>
        <color theme="1"/>
        <rFont val="Book Antiqua"/>
        <family val="1"/>
        <charset val="1"/>
      </rPr>
      <t>ABDERAHIM LAMINE</t>
    </r>
  </si>
  <si>
    <r>
      <rPr>
        <sz val="12"/>
        <color theme="1"/>
        <rFont val="Book Antiqua"/>
        <family val="1"/>
        <charset val="1"/>
      </rPr>
      <t xml:space="preserve">Réponses sur antenne RD aux questions des Auditeurs et Auditrices  </t>
    </r>
    <r>
      <rPr>
        <sz val="12"/>
        <color theme="1"/>
        <rFont val="Calibri"/>
        <family val="2"/>
        <charset val="1"/>
      </rPr>
      <t xml:space="preserve">يسألونك </t>
    </r>
    <r>
      <rPr>
        <sz val="12"/>
        <color theme="1"/>
        <rFont val="Book Antiqua"/>
        <family val="1"/>
        <charset val="1"/>
      </rPr>
      <t>MOHAMMED ELYOUSSFI</t>
    </r>
  </si>
  <si>
    <r>
      <rPr>
        <sz val="12"/>
        <color theme="1"/>
        <rFont val="Book Antiqua"/>
        <family val="1"/>
        <charset val="1"/>
      </rPr>
      <t xml:space="preserve">Réponses sur antenne RD aux questions des Auditeurs et Auditrices  </t>
    </r>
    <r>
      <rPr>
        <sz val="12"/>
        <color theme="1"/>
        <rFont val="Calibri"/>
        <family val="2"/>
        <charset val="1"/>
      </rPr>
      <t xml:space="preserve">يسألونك </t>
    </r>
    <r>
      <rPr>
        <sz val="12"/>
        <color theme="1"/>
        <rFont val="Book Antiqua"/>
        <family val="1"/>
        <charset val="1"/>
      </rPr>
      <t>LAHCEN ID SAID</t>
    </r>
  </si>
  <si>
    <r>
      <rPr>
        <sz val="12"/>
        <color theme="1"/>
        <rFont val="Book Antiqua"/>
        <family val="1"/>
        <charset val="1"/>
      </rPr>
      <t xml:space="preserve">Réponses sur antenne RD aux questions des Auditeurs et Auditrices  </t>
    </r>
    <r>
      <rPr>
        <sz val="12"/>
        <color theme="1"/>
        <rFont val="Calibri"/>
        <family val="2"/>
        <charset val="1"/>
      </rPr>
      <t xml:space="preserve">يسألونك </t>
    </r>
    <r>
      <rPr>
        <sz val="12"/>
        <color theme="1"/>
        <rFont val="Book Antiqua"/>
        <family val="1"/>
        <charset val="1"/>
      </rPr>
      <t>HOUSSAIN MIFRAH</t>
    </r>
  </si>
  <si>
    <r>
      <rPr>
        <sz val="12"/>
        <color theme="1"/>
        <rFont val="Book Antiqua"/>
        <family val="1"/>
        <charset val="1"/>
      </rPr>
      <t xml:space="preserve">Réponses sur antenne RD aux questions des Auditeurs et Auditrices  </t>
    </r>
    <r>
      <rPr>
        <sz val="12"/>
        <color theme="1"/>
        <rFont val="Calibri"/>
        <family val="2"/>
        <charset val="1"/>
      </rPr>
      <t xml:space="preserve">يسألونك </t>
    </r>
    <r>
      <rPr>
        <sz val="12"/>
        <color theme="1"/>
        <rFont val="Book Antiqua"/>
        <family val="1"/>
        <charset val="1"/>
      </rPr>
      <t>KHADIJA ABOU ZAID</t>
    </r>
  </si>
  <si>
    <r>
      <rPr>
        <sz val="12"/>
        <color theme="1"/>
        <rFont val="Book Antiqua"/>
        <family val="1"/>
        <charset val="1"/>
      </rPr>
      <t xml:space="preserve">Réponses sur antenne RD aux questions des Auditeurs et Auditrices  </t>
    </r>
    <r>
      <rPr>
        <sz val="12"/>
        <color theme="1"/>
        <rFont val="Calibri"/>
        <family val="2"/>
        <charset val="1"/>
      </rPr>
      <t xml:space="preserve">يسألونك </t>
    </r>
    <r>
      <rPr>
        <sz val="12"/>
        <color theme="1"/>
        <rFont val="Book Antiqua"/>
        <family val="1"/>
        <charset val="1"/>
      </rPr>
      <t>ABDERAHMAN ALIOUI</t>
    </r>
  </si>
  <si>
    <r>
      <rPr>
        <sz val="12"/>
        <color theme="1"/>
        <rFont val="Book Antiqua"/>
        <family val="1"/>
        <charset val="1"/>
      </rPr>
      <t xml:space="preserve">Préparation et présentation de la capsule  RD </t>
    </r>
    <r>
      <rPr>
        <sz val="12"/>
        <color theme="1"/>
        <rFont val="Calibri"/>
        <family val="2"/>
        <charset val="1"/>
      </rPr>
      <t xml:space="preserve">حكم من القران والسنة </t>
    </r>
    <r>
      <rPr>
        <sz val="12"/>
        <color theme="1"/>
        <rFont val="Book Antiqua"/>
        <family val="1"/>
        <charset val="1"/>
      </rPr>
      <t>NAWAL ZERRAD</t>
    </r>
  </si>
  <si>
    <r>
      <rPr>
        <sz val="12"/>
        <color theme="1"/>
        <rFont val="Book Antiqua"/>
        <family val="1"/>
        <charset val="1"/>
      </rPr>
      <t xml:space="preserve">Préparation et présentation de l'émission TV  </t>
    </r>
    <r>
      <rPr>
        <sz val="12"/>
        <color theme="1"/>
        <rFont val="Calibri"/>
        <family val="2"/>
        <charset val="1"/>
      </rPr>
      <t xml:space="preserve">مشكاة المصابيح   </t>
    </r>
    <r>
      <rPr>
        <sz val="12"/>
        <color theme="1"/>
        <rFont val="Book Antiqua"/>
        <family val="1"/>
        <charset val="1"/>
      </rPr>
      <t>ADNANE ZOUHAR</t>
    </r>
  </si>
  <si>
    <r>
      <rPr>
        <sz val="12"/>
        <color theme="1"/>
        <rFont val="Book Antiqua"/>
        <family val="1"/>
        <charset val="1"/>
      </rPr>
      <t xml:space="preserve">Préparation et présentation de l'émision RD </t>
    </r>
    <r>
      <rPr>
        <sz val="12"/>
        <color theme="1"/>
        <rFont val="Calibri"/>
        <family val="2"/>
        <charset val="1"/>
      </rPr>
      <t xml:space="preserve">بشارة المحبوب </t>
    </r>
    <r>
      <rPr>
        <sz val="12"/>
        <color theme="1"/>
        <rFont val="Book Antiqua"/>
        <family val="1"/>
        <charset val="1"/>
      </rPr>
      <t>ADNANE ZOUHAR</t>
    </r>
  </si>
  <si>
    <r>
      <rPr>
        <sz val="12"/>
        <color theme="1"/>
        <rFont val="Book Antiqua"/>
        <family val="1"/>
        <charset val="1"/>
      </rPr>
      <t xml:space="preserve">Préparation et présentation de l'émission TV </t>
    </r>
    <r>
      <rPr>
        <sz val="12"/>
        <color theme="1"/>
        <rFont val="Calibri"/>
        <family val="2"/>
        <charset val="1"/>
      </rPr>
      <t xml:space="preserve">في رحاب التزكية </t>
    </r>
    <r>
      <rPr>
        <sz val="12"/>
        <color theme="1"/>
        <rFont val="Book Antiqua"/>
        <family val="1"/>
        <charset val="1"/>
      </rPr>
      <t>MOHAMMED MAHDI MANSOUR</t>
    </r>
  </si>
  <si>
    <r>
      <rPr>
        <sz val="12"/>
        <color theme="1"/>
        <rFont val="Book Antiqua"/>
        <family val="1"/>
        <charset val="1"/>
      </rPr>
      <t xml:space="preserve">Préparation et présentation de la capsule RD </t>
    </r>
    <r>
      <rPr>
        <sz val="12"/>
        <color theme="1"/>
        <rFont val="Calibri"/>
        <family val="2"/>
        <charset val="1"/>
      </rPr>
      <t xml:space="preserve">صلاة وصلة </t>
    </r>
    <r>
      <rPr>
        <sz val="12"/>
        <color theme="1"/>
        <rFont val="Book Antiqua"/>
        <family val="1"/>
        <charset val="1"/>
      </rPr>
      <t>MOHAMMED MAHDI MANSOUR</t>
    </r>
  </si>
  <si>
    <r>
      <rPr>
        <sz val="12"/>
        <color theme="1"/>
        <rFont val="Book Antiqua"/>
        <family val="1"/>
        <charset val="1"/>
      </rPr>
      <t xml:space="preserve">Préparation et présentation de l'émission TV </t>
    </r>
    <r>
      <rPr>
        <sz val="12"/>
        <color theme="1"/>
        <rFont val="Calibri"/>
        <family val="2"/>
        <charset val="1"/>
      </rPr>
      <t xml:space="preserve">براعم القراء </t>
    </r>
    <r>
      <rPr>
        <sz val="12"/>
        <color theme="1"/>
        <rFont val="Book Antiqua"/>
        <family val="1"/>
        <charset val="1"/>
      </rPr>
      <t>AHMED BENMHANE</t>
    </r>
  </si>
  <si>
    <r>
      <rPr>
        <sz val="12"/>
        <color theme="1"/>
        <rFont val="Book Antiqua"/>
        <family val="1"/>
        <charset val="1"/>
      </rPr>
      <t xml:space="preserve">Préparation et présentation de l'émission RD </t>
    </r>
    <r>
      <rPr>
        <sz val="12"/>
        <color theme="1"/>
        <rFont val="Calibri"/>
        <family val="2"/>
        <charset val="1"/>
      </rPr>
      <t xml:space="preserve">مواهب التجويد   </t>
    </r>
    <r>
      <rPr>
        <sz val="12"/>
        <color theme="1"/>
        <rFont val="Book Antiqua"/>
        <family val="1"/>
        <charset val="1"/>
      </rPr>
      <t>AHMED BENMHANE</t>
    </r>
  </si>
  <si>
    <r>
      <rPr>
        <sz val="12"/>
        <color theme="1"/>
        <rFont val="Book Antiqua"/>
        <family val="1"/>
        <charset val="1"/>
      </rPr>
      <t xml:space="preserve">Présentation de l'émission RD </t>
    </r>
    <r>
      <rPr>
        <sz val="12"/>
        <color theme="1"/>
        <rFont val="Calibri"/>
        <family val="2"/>
        <charset val="1"/>
      </rPr>
      <t xml:space="preserve">أفلا يتفكرون  </t>
    </r>
    <r>
      <rPr>
        <sz val="12"/>
        <color theme="1"/>
        <rFont val="Book Antiqua"/>
        <family val="1"/>
        <charset val="1"/>
      </rPr>
      <t>HICHAM FATOUHI</t>
    </r>
  </si>
  <si>
    <r>
      <rPr>
        <sz val="12"/>
        <color theme="1"/>
        <rFont val="Book Antiqua"/>
        <family val="1"/>
        <charset val="1"/>
      </rPr>
      <t xml:space="preserve">Présentation de la capsule RD </t>
    </r>
    <r>
      <rPr>
        <sz val="12"/>
        <color theme="1"/>
        <rFont val="Calibri"/>
        <family val="2"/>
        <charset val="1"/>
      </rPr>
      <t xml:space="preserve">كمالات محمدية  </t>
    </r>
    <r>
      <rPr>
        <sz val="12"/>
        <color theme="1"/>
        <rFont val="Book Antiqua"/>
        <family val="1"/>
        <charset val="1"/>
      </rPr>
      <t>HICHAM FATOUHI</t>
    </r>
  </si>
  <si>
    <r>
      <rPr>
        <sz val="12"/>
        <color theme="1"/>
        <rFont val="Book Antiqua"/>
        <family val="1"/>
        <charset val="1"/>
      </rPr>
      <t xml:space="preserve">Préparation de l'émission RD  </t>
    </r>
    <r>
      <rPr>
        <sz val="12"/>
        <color theme="1"/>
        <rFont val="Calibri"/>
        <family val="2"/>
        <charset val="1"/>
      </rPr>
      <t xml:space="preserve">أفلا يتفكرون </t>
    </r>
    <r>
      <rPr>
        <sz val="12"/>
        <color theme="1"/>
        <rFont val="Book Antiqua"/>
        <family val="1"/>
        <charset val="1"/>
      </rPr>
      <t>MOHAMMED TAHAMI AL HARAQ</t>
    </r>
  </si>
  <si>
    <r>
      <rPr>
        <sz val="12"/>
        <color theme="1"/>
        <rFont val="Book Antiqua"/>
        <family val="1"/>
        <charset val="1"/>
      </rPr>
      <t xml:space="preserve"> Préparation de la capsule  RD </t>
    </r>
    <r>
      <rPr>
        <sz val="12"/>
        <color theme="1"/>
        <rFont val="Calibri"/>
        <family val="2"/>
        <charset val="1"/>
      </rPr>
      <t xml:space="preserve">كمالات محمدية   </t>
    </r>
    <r>
      <rPr>
        <sz val="12"/>
        <color theme="1"/>
        <rFont val="Book Antiqua"/>
        <family val="1"/>
        <charset val="1"/>
      </rPr>
      <t>MOHAMMED TAHAMI AL HARAQ</t>
    </r>
  </si>
  <si>
    <r>
      <rPr>
        <sz val="12"/>
        <color theme="1"/>
        <rFont val="Book Antiqua"/>
        <family val="1"/>
        <charset val="1"/>
      </rPr>
      <t xml:space="preserve">Présentation de l'émission TV  </t>
    </r>
    <r>
      <rPr>
        <sz val="12"/>
        <color theme="1"/>
        <rFont val="Calibri"/>
        <family val="2"/>
        <charset val="1"/>
      </rPr>
      <t xml:space="preserve">الدين والقانون </t>
    </r>
    <r>
      <rPr>
        <sz val="12"/>
        <color theme="1"/>
        <rFont val="Book Antiqua"/>
        <family val="1"/>
        <charset val="1"/>
      </rPr>
      <t>HICHAM FATOUHI</t>
    </r>
  </si>
  <si>
    <r>
      <rPr>
        <sz val="12"/>
        <color theme="1"/>
        <rFont val="Book Antiqua"/>
        <family val="1"/>
        <charset val="1"/>
      </rPr>
      <t xml:space="preserve">Préparation de l'émission TV </t>
    </r>
    <r>
      <rPr>
        <sz val="12"/>
        <color theme="1"/>
        <rFont val="Calibri"/>
        <family val="2"/>
        <charset val="1"/>
      </rPr>
      <t xml:space="preserve">الدين والقانون   </t>
    </r>
    <r>
      <rPr>
        <sz val="12"/>
        <color theme="1"/>
        <rFont val="Book Antiqua"/>
        <family val="1"/>
        <charset val="1"/>
      </rPr>
      <t>ABDERAHIME LAMINE</t>
    </r>
  </si>
  <si>
    <r>
      <rPr>
        <sz val="12"/>
        <color theme="1"/>
        <rFont val="Book Antiqua"/>
        <family val="1"/>
        <charset val="1"/>
      </rPr>
      <t xml:space="preserve">Préparation et présentation de la capsule  RD   </t>
    </r>
    <r>
      <rPr>
        <sz val="12"/>
        <color theme="1"/>
        <rFont val="Calibri"/>
        <family val="2"/>
        <charset val="1"/>
      </rPr>
      <t xml:space="preserve">ومضات حول الثوابث </t>
    </r>
    <r>
      <rPr>
        <sz val="12"/>
        <color theme="1"/>
        <rFont val="Book Antiqua"/>
        <family val="1"/>
        <charset val="1"/>
      </rPr>
      <t>ILYAS BENNANI</t>
    </r>
  </si>
  <si>
    <r>
      <rPr>
        <sz val="12"/>
        <color theme="1"/>
        <rFont val="Book Antiqua"/>
        <family val="1"/>
        <charset val="1"/>
      </rPr>
      <t xml:space="preserve">Préparation et présentation de l'émission RD </t>
    </r>
    <r>
      <rPr>
        <sz val="12"/>
        <color theme="1"/>
        <rFont val="Calibri"/>
        <family val="2"/>
        <charset val="1"/>
      </rPr>
      <t xml:space="preserve">طفل يقرأ </t>
    </r>
    <r>
      <rPr>
        <sz val="12"/>
        <color theme="1"/>
        <rFont val="Book Antiqua"/>
        <family val="1"/>
        <charset val="1"/>
      </rPr>
      <t>FATIHA HAMDAOUI</t>
    </r>
  </si>
  <si>
    <r>
      <rPr>
        <sz val="12"/>
        <color theme="1"/>
        <rFont val="Book Antiqua"/>
        <family val="1"/>
        <charset val="1"/>
      </rPr>
      <t xml:space="preserve">Préparation et présentation de l'émission RD </t>
    </r>
    <r>
      <rPr>
        <sz val="12"/>
        <color theme="1"/>
        <rFont val="Calibri"/>
        <family val="2"/>
        <charset val="1"/>
      </rPr>
      <t xml:space="preserve">محافل السماع </t>
    </r>
    <r>
      <rPr>
        <sz val="12"/>
        <color theme="1"/>
        <rFont val="Book Antiqua"/>
        <family val="1"/>
        <charset val="1"/>
      </rPr>
      <t>MOHCINE NORCH</t>
    </r>
  </si>
  <si>
    <r>
      <rPr>
        <sz val="12"/>
        <color theme="1"/>
        <rFont val="Book Antiqua"/>
        <family val="1"/>
        <charset val="1"/>
      </rPr>
      <t xml:space="preserve">Préparation et présentation de l'émission RD </t>
    </r>
    <r>
      <rPr>
        <sz val="12"/>
        <color theme="1"/>
        <rFont val="Calibri"/>
        <family val="2"/>
        <charset val="1"/>
      </rPr>
      <t xml:space="preserve">الدين للحياة </t>
    </r>
    <r>
      <rPr>
        <sz val="12"/>
        <color theme="1"/>
        <rFont val="Book Antiqua"/>
        <family val="1"/>
        <charset val="1"/>
      </rPr>
      <t>MOHAMMED DERKAOUI</t>
    </r>
  </si>
  <si>
    <r>
      <rPr>
        <sz val="12"/>
        <color theme="1"/>
        <rFont val="Book Antiqua"/>
        <family val="1"/>
        <charset val="1"/>
      </rPr>
      <t xml:space="preserve">Préparation Présentation émission TV </t>
    </r>
    <r>
      <rPr>
        <sz val="12"/>
        <color theme="1"/>
        <rFont val="Calibri"/>
        <family val="2"/>
        <charset val="1"/>
      </rPr>
      <t xml:space="preserve">حياة القلوب  </t>
    </r>
    <r>
      <rPr>
        <sz val="12"/>
        <color theme="1"/>
        <rFont val="Book Antiqua"/>
        <family val="1"/>
        <charset val="1"/>
      </rPr>
      <t>HAYAT ESSAFI</t>
    </r>
  </si>
  <si>
    <r>
      <rPr>
        <sz val="12"/>
        <color theme="1"/>
        <rFont val="Book Antiqua"/>
        <family val="1"/>
        <charset val="1"/>
      </rPr>
      <t xml:space="preserve">Préparation Présentation émission RD </t>
    </r>
    <r>
      <rPr>
        <sz val="12"/>
        <color theme="1"/>
        <rFont val="Calibri"/>
        <family val="2"/>
        <charset val="1"/>
      </rPr>
      <t xml:space="preserve">تاريخ وحضارة </t>
    </r>
    <r>
      <rPr>
        <sz val="12"/>
        <color theme="1"/>
        <rFont val="Book Antiqua"/>
        <family val="1"/>
        <charset val="1"/>
      </rPr>
      <t>ZAKIA HADDAD</t>
    </r>
  </si>
  <si>
    <r>
      <rPr>
        <sz val="12"/>
        <color theme="1"/>
        <rFont val="Book Antiqua"/>
        <family val="1"/>
        <charset val="1"/>
      </rPr>
      <t xml:space="preserve">Préparation Présentation émission RD </t>
    </r>
    <r>
      <rPr>
        <sz val="12"/>
        <color theme="1"/>
        <rFont val="Calibri"/>
        <family val="2"/>
        <charset val="1"/>
      </rPr>
      <t xml:space="preserve">التبليغ المبين لمعاني المرشد المعين </t>
    </r>
    <r>
      <rPr>
        <sz val="12"/>
        <color theme="1"/>
        <rFont val="Book Antiqua"/>
        <family val="1"/>
        <charset val="1"/>
      </rPr>
      <t xml:space="preserve">ILHAM CHAFIQ </t>
    </r>
  </si>
  <si>
    <r>
      <rPr>
        <sz val="12"/>
        <color theme="1"/>
        <rFont val="Book Antiqua"/>
        <family val="1"/>
        <charset val="1"/>
      </rPr>
      <t xml:space="preserve">Reponses aux question de lémission RD </t>
    </r>
    <r>
      <rPr>
        <sz val="12"/>
        <color theme="1"/>
        <rFont val="Calibri"/>
        <family val="2"/>
        <charset val="1"/>
      </rPr>
      <t xml:space="preserve">التبليغ المبين لمعاني المرشد المعين </t>
    </r>
    <r>
      <rPr>
        <sz val="12"/>
        <color theme="1"/>
        <rFont val="Book Antiqua"/>
        <family val="1"/>
        <charset val="1"/>
      </rPr>
      <t>ABDERAHMANE ALIOUI</t>
    </r>
  </si>
  <si>
    <r>
      <rPr>
        <sz val="12"/>
        <color theme="1"/>
        <rFont val="Book Antiqua"/>
        <family val="1"/>
        <charset val="1"/>
      </rPr>
      <t xml:space="preserve">Préparation et présentation de l'émission TV   </t>
    </r>
    <r>
      <rPr>
        <sz val="12"/>
        <color theme="1"/>
        <rFont val="Calibri"/>
        <family val="2"/>
        <charset val="1"/>
      </rPr>
      <t xml:space="preserve">مع الشباب    </t>
    </r>
    <r>
      <rPr>
        <sz val="12"/>
        <color theme="1"/>
        <rFont val="Book Antiqua"/>
        <family val="1"/>
        <charset val="1"/>
      </rPr>
      <t>SAID NAQCHI</t>
    </r>
  </si>
  <si>
    <t>Préparation et présentation de l'émission TV : Les chemins croisés  DINA KADIRI</t>
  </si>
  <si>
    <r>
      <rPr>
        <sz val="12"/>
        <color theme="1"/>
        <rFont val="Book Antiqua"/>
        <family val="1"/>
        <charset val="1"/>
      </rPr>
      <t xml:space="preserve">Préparation et présentation de l'émission TV   </t>
    </r>
    <r>
      <rPr>
        <sz val="12"/>
        <color theme="1"/>
        <rFont val="Calibri"/>
        <family val="2"/>
        <charset val="1"/>
      </rPr>
      <t xml:space="preserve">الكلمة السواء  </t>
    </r>
    <r>
      <rPr>
        <sz val="12"/>
        <color theme="1"/>
        <rFont val="Book Antiqua"/>
        <family val="1"/>
        <charset val="1"/>
      </rPr>
      <t>AHMED EL BOUKILI</t>
    </r>
  </si>
  <si>
    <r>
      <rPr>
        <sz val="12"/>
        <color theme="1"/>
        <rFont val="Book Antiqua"/>
        <family val="1"/>
        <charset val="1"/>
      </rPr>
      <t xml:space="preserve">Préparation et présentation de l'émission TV </t>
    </r>
    <r>
      <rPr>
        <sz val="12"/>
        <color theme="1"/>
        <rFont val="Calibri"/>
        <family val="2"/>
        <charset val="1"/>
      </rPr>
      <t xml:space="preserve">نشرة مغاربة العالم </t>
    </r>
    <r>
      <rPr>
        <sz val="12"/>
        <color theme="1"/>
        <rFont val="Book Antiqua"/>
        <family val="1"/>
        <charset val="1"/>
      </rPr>
      <t>MAJDA BOUAZZA</t>
    </r>
  </si>
  <si>
    <t>Préparation et présentation de l'émission  TV Le Coran Raconté MUSTAPHA EL GHARBI</t>
  </si>
  <si>
    <r>
      <rPr>
        <sz val="12"/>
        <color theme="1"/>
        <rFont val="Book Antiqua"/>
        <family val="1"/>
        <charset val="1"/>
      </rPr>
      <t xml:space="preserve">Préparation  et Présentation d'une émission TV   </t>
    </r>
    <r>
      <rPr>
        <sz val="12"/>
        <color theme="1"/>
        <rFont val="Calibri"/>
        <family val="2"/>
        <charset val="1"/>
      </rPr>
      <t xml:space="preserve">قضايا التبليغ    </t>
    </r>
    <r>
      <rPr>
        <sz val="12"/>
        <color theme="1"/>
        <rFont val="Book Antiqua"/>
        <family val="1"/>
        <charset val="1"/>
      </rPr>
      <t>SAID BIHI</t>
    </r>
  </si>
  <si>
    <r>
      <rPr>
        <sz val="12"/>
        <color theme="1"/>
        <rFont val="Book Antiqua"/>
        <family val="1"/>
        <charset val="1"/>
      </rPr>
      <t>Préparation  d'une émission TV</t>
    </r>
    <r>
      <rPr>
        <sz val="12"/>
        <color theme="1"/>
        <rFont val="Calibri"/>
        <family val="2"/>
        <charset val="1"/>
      </rPr>
      <t xml:space="preserve">تنايت </t>
    </r>
    <r>
      <rPr>
        <sz val="12"/>
        <color theme="1"/>
        <rFont val="Book Antiqua"/>
        <family val="1"/>
        <charset val="1"/>
      </rPr>
      <t>MOULAY AHMED AMGHAR</t>
    </r>
  </si>
  <si>
    <t>Préparation et présentation de l'émission TV Les Constantes Religieuses   ILYAS AMHRAR</t>
  </si>
  <si>
    <r>
      <rPr>
        <sz val="12"/>
        <color theme="1"/>
        <rFont val="Book Antiqua"/>
        <family val="1"/>
        <charset val="1"/>
      </rPr>
      <t xml:space="preserve">Préparation et présentation de l'émission RD  </t>
    </r>
    <r>
      <rPr>
        <sz val="12"/>
        <color theme="1"/>
        <rFont val="Calibri"/>
        <family val="2"/>
        <charset val="1"/>
      </rPr>
      <t xml:space="preserve">مذاكرات  </t>
    </r>
    <r>
      <rPr>
        <sz val="12"/>
        <color theme="1"/>
        <rFont val="Book Antiqua"/>
        <family val="1"/>
        <charset val="1"/>
      </rPr>
      <t>ABDELKAMEL DINIA</t>
    </r>
  </si>
  <si>
    <r>
      <rPr>
        <sz val="12"/>
        <color theme="1"/>
        <rFont val="Book Antiqua"/>
        <family val="1"/>
        <charset val="1"/>
      </rPr>
      <t>Préparation et Présentation de l'émission TV</t>
    </r>
    <r>
      <rPr>
        <sz val="12"/>
        <color theme="1"/>
        <rFont val="Calibri"/>
        <family val="2"/>
        <charset val="1"/>
      </rPr>
      <t xml:space="preserve">جسور </t>
    </r>
    <r>
      <rPr>
        <sz val="12"/>
        <color theme="1"/>
        <rFont val="Book Antiqua"/>
        <family val="1"/>
        <charset val="1"/>
      </rPr>
      <t>WAFAE JABRANE</t>
    </r>
  </si>
  <si>
    <r>
      <rPr>
        <sz val="12"/>
        <color theme="1"/>
        <rFont val="Book Antiqua"/>
        <family val="1"/>
        <charset val="1"/>
      </rPr>
      <t xml:space="preserve">Préparation et présentation de l'émission TV </t>
    </r>
    <r>
      <rPr>
        <sz val="12"/>
        <color theme="1"/>
        <rFont val="Calibri"/>
        <family val="2"/>
        <charset val="1"/>
      </rPr>
      <t>استهلال</t>
    </r>
    <r>
      <rPr>
        <sz val="12"/>
        <color theme="1"/>
        <rFont val="Book Antiqua"/>
        <family val="1"/>
        <charset val="1"/>
      </rPr>
      <t xml:space="preserve">- </t>
    </r>
    <r>
      <rPr>
        <sz val="12"/>
        <color theme="1"/>
        <rFont val="Calibri"/>
        <family val="2"/>
        <charset val="1"/>
      </rPr>
      <t xml:space="preserve">لست وحدك </t>
    </r>
    <r>
      <rPr>
        <sz val="12"/>
        <color theme="1"/>
        <rFont val="Book Antiqua"/>
        <family val="1"/>
        <charset val="1"/>
      </rPr>
      <t>ENNAJI EL AMJAD</t>
    </r>
  </si>
  <si>
    <r>
      <rPr>
        <sz val="12"/>
        <color theme="1"/>
        <rFont val="Book Antiqua"/>
        <family val="1"/>
        <charset val="1"/>
      </rPr>
      <t xml:space="preserve">Préparation et présentation de l'émission RD </t>
    </r>
    <r>
      <rPr>
        <sz val="12"/>
        <color theme="1"/>
        <rFont val="Calibri"/>
        <family val="2"/>
        <charset val="1"/>
      </rPr>
      <t xml:space="preserve">لحظة لصحتك </t>
    </r>
    <r>
      <rPr>
        <sz val="12"/>
        <color theme="1"/>
        <rFont val="Book Antiqua"/>
        <family val="1"/>
        <charset val="1"/>
      </rPr>
      <t>AMINA IRAQI HOUSSAINI</t>
    </r>
  </si>
  <si>
    <t>Préparation et présentation de l'émission TV   Quranic Insights KHALID SAQI</t>
  </si>
  <si>
    <r>
      <rPr>
        <sz val="12"/>
        <color theme="1"/>
        <rFont val="Book Antiqua"/>
        <family val="1"/>
        <charset val="1"/>
      </rPr>
      <t xml:space="preserve">Préparation et présentation de l'émission RD </t>
    </r>
    <r>
      <rPr>
        <sz val="12"/>
        <color theme="1"/>
        <rFont val="Calibri"/>
        <family val="2"/>
        <charset val="1"/>
      </rPr>
      <t xml:space="preserve">الرسالة الخالدة   </t>
    </r>
    <r>
      <rPr>
        <sz val="12"/>
        <color theme="1"/>
        <rFont val="Book Antiqua"/>
        <family val="1"/>
        <charset val="1"/>
      </rPr>
      <t>KHALID SAQI</t>
    </r>
  </si>
  <si>
    <t>Président de la commission scientifique chargée de l’écoute, du visionnage, de la validation, et de l'approbation du contenu des émissions RD et TV  LAHCEN ID SAID</t>
  </si>
  <si>
    <t>Membre de la commission scientifique chargée de l’écoute, du visionnage et de la validation  du contenu des émissions RD et TV  ABDELKAMEL BOULMAAN</t>
  </si>
  <si>
    <t xml:space="preserve">Membre de la commission scientifique chargée l’écoute, du visionnage et de la validation  du contenu des émissions RD et TV  MOUSSA ELBAHJA </t>
  </si>
  <si>
    <t>Membre de la commission scientifique chargée de l’écoute, du visionnage et de la validation  du contenu des émissions RD et TV  HASSAN AZZOUZI</t>
  </si>
  <si>
    <t>PAD RD et TV : Membre de la commission scientifique chargée de l’écoute et du visionnage des émissions RD et TV  AYACHI QABOUSSI</t>
  </si>
  <si>
    <t>PAD RD et TV : Membre de la commission scientifique chargée de l’écoute et du visionnage des émissions RD et TV  AMZIL ALI ABDELJALIL</t>
  </si>
  <si>
    <t>PAD RD et TV : Membre de la commission scientifique chargée de l’écoute et du visionnage des émissions RD et TV  YOUSSEF NACIRI</t>
  </si>
  <si>
    <t>PAD RD et TV : Membre de la commission scientifique chargée de l’écoute et du visionnage des émissions RD et TV  TAYEB AIT OUAGHURI</t>
  </si>
  <si>
    <t>PAD RD et TV : Membre de la commission scientifique chargée de l’écoute et du visionnage des émissions RD et TV  HICHAM EL HLIMI</t>
  </si>
  <si>
    <t>PAD RD et TV : Membre de la commission scientifique chargée de l’écoute et du visionnage des émissions RD et TV  HAFSA AL ASRI</t>
  </si>
  <si>
    <t>PAD RD et TV : Membre de la commission scientifique chargée de l’écoute, du visionnage des lectures et des émissions coraniques RD et TV  AHMED BENMEHAAN</t>
  </si>
  <si>
    <t>PAD RD et TV : Membre de la commission scientifique chargée de l’écoute, du visionnage des lectures et des émissions coraniques RD et TV  MOHAMMED AL BOUKHARI</t>
  </si>
  <si>
    <t xml:space="preserve">PAD RD et TV : Membre de la commission scientifique chargée de l’écoute, du visionnage des lectures et des émissions coraniques RD et TV  ABDELKARIM AL BAQI ALLAH </t>
  </si>
  <si>
    <t>Réalisatrice RD : Montage, mixage, animation RD des émissions  et Programmation RD RABIA ZARHOUNI</t>
  </si>
  <si>
    <t>Réalisateur RD: Montage, mixage et réalisation des émissions RD Remplaçant (ZAKARIA AZENNOUND)</t>
  </si>
  <si>
    <t>Réalisatrice RD : Montage, mixage et Programmation RD KARIMA BENNIKS</t>
  </si>
  <si>
    <t>Programatrice : Programation TV (Conducteur Quotidien) AICHA EZLALGA</t>
  </si>
  <si>
    <t>Programatrice : Programation TV (Conducteur Quotidien) OUMAIMA LAHKIM</t>
  </si>
  <si>
    <t>Infographiste : Montage , Infographie et la coordination du portail de la chaine OUSSAMA DEHROUR</t>
  </si>
  <si>
    <t>Programmatrice TV: Montage / coordination et suivi avec la commission scientifique / Archivage STM /coordination du Portail de la Direction des chaines coraniques MANAL LAHFAOUI</t>
  </si>
  <si>
    <t>Programmatrice TV: Montage / coordination et suivi avec la commission scientifique / Archivage STM /coordination du Portail de la Direction des chaines coraniques CHAIMAAE DALDOULI</t>
  </si>
  <si>
    <t>Programmateur TV: (Conducteur Quotidien), montage et la coordination et suivi avec la commission technique TV SAMIR OUBAHSIS</t>
  </si>
  <si>
    <t>Prise de vue et prise de son TV: OPV / OPS Remplaçant (ANAS ZIAT)</t>
  </si>
  <si>
    <t>Prise de vue et prise de son TV: OPV / OPS MOUHCINE NASEEDDINE</t>
  </si>
  <si>
    <t>Prise de vue et prise de son TV: OPV / OPS BADR ELMHAMDI</t>
  </si>
  <si>
    <t>Prise de vue et prise de son TV: OPV / OPS WALID DRISSI</t>
  </si>
  <si>
    <t xml:space="preserve">Prise de vue et prise de son TV: OPV / OPS EZ-ZHAR MOHAMMED </t>
  </si>
  <si>
    <t>Prise de vue et prise de son TV: OPV / OPS ILYAS ABIDA</t>
  </si>
  <si>
    <t>Infographiste : Montage , Infographie  Remplaçant (AYOUB LAKHOUILI)</t>
  </si>
  <si>
    <t xml:space="preserve"> Prise de vue OPV /Montage TV YOUSSEF HAJJOUJI </t>
  </si>
  <si>
    <t>Animateur RD/TV : la gestion de l'antenne RD / Couverture et Reportage RD // TV ANAS BENGHABRIT</t>
  </si>
  <si>
    <t>Animateur RD/TV : la gestion de l'antenne RD / Couverture et Reportage RD // TV YASSINE TALAOUI</t>
  </si>
  <si>
    <t>Animateur RD/TV : la gestion de l'antenne RD / Couverture et Reportage RD // TV EL HACHIMI KEDDOURI</t>
  </si>
  <si>
    <t>Animatrice RD /TV  WAFAE JABRANE</t>
  </si>
  <si>
    <r>
      <rPr>
        <sz val="12"/>
        <color theme="1"/>
        <rFont val="Book Antiqua"/>
        <family val="1"/>
        <charset val="1"/>
      </rPr>
      <t>Préparation et présentation  de l'émission TV    "</t>
    </r>
    <r>
      <rPr>
        <sz val="12"/>
        <color theme="1"/>
        <rFont val="Calibri"/>
        <family val="2"/>
        <charset val="1"/>
      </rPr>
      <t xml:space="preserve">لتسكنوا إليها  </t>
    </r>
    <r>
      <rPr>
        <sz val="12"/>
        <color theme="1"/>
        <rFont val="Book Antiqua"/>
        <family val="1"/>
        <charset val="1"/>
      </rPr>
      <t>"  ZINEB HIDRA</t>
    </r>
  </si>
  <si>
    <r>
      <rPr>
        <sz val="12"/>
        <color theme="1"/>
        <rFont val="Book Antiqua"/>
        <family val="1"/>
        <charset val="1"/>
      </rPr>
      <t xml:space="preserve">Préparation et présentation  de l'émission TV    " </t>
    </r>
    <r>
      <rPr>
        <sz val="12"/>
        <color theme="1"/>
        <rFont val="Calibri"/>
        <family val="2"/>
        <charset val="1"/>
      </rPr>
      <t xml:space="preserve">همزة وصل  </t>
    </r>
    <r>
      <rPr>
        <sz val="12"/>
        <color theme="1"/>
        <rFont val="Book Antiqua"/>
        <family val="1"/>
        <charset val="1"/>
      </rPr>
      <t>"  YAMNA HAMOURI</t>
    </r>
  </si>
  <si>
    <r>
      <rPr>
        <sz val="12"/>
        <color theme="1"/>
        <rFont val="Book Antiqua"/>
        <family val="1"/>
        <charset val="1"/>
      </rPr>
      <t xml:space="preserve">Préparation du documentaire TV  " </t>
    </r>
    <r>
      <rPr>
        <sz val="12"/>
        <color theme="1"/>
        <rFont val="Calibri"/>
        <family val="2"/>
        <charset val="1"/>
      </rPr>
      <t xml:space="preserve">في حضرة زوايا   </t>
    </r>
    <r>
      <rPr>
        <sz val="12"/>
        <color theme="1"/>
        <rFont val="Book Antiqua"/>
        <family val="1"/>
        <charset val="1"/>
      </rPr>
      <t>"  HICHAM LAHLIMI (remplace IDRISS ELHAMDAOUI)</t>
    </r>
  </si>
  <si>
    <r>
      <rPr>
        <sz val="12"/>
        <color theme="1"/>
        <rFont val="Book Antiqua"/>
        <family val="1"/>
        <charset val="1"/>
      </rPr>
      <t xml:space="preserve">Présentation du documentaire TV " </t>
    </r>
    <r>
      <rPr>
        <sz val="12"/>
        <color theme="1"/>
        <rFont val="Calibri"/>
        <family val="2"/>
        <charset val="1"/>
      </rPr>
      <t xml:space="preserve">في حضرة زوايا   </t>
    </r>
    <r>
      <rPr>
        <sz val="12"/>
        <color theme="1"/>
        <rFont val="Book Antiqua"/>
        <family val="1"/>
        <charset val="1"/>
      </rPr>
      <t>"  TAYEB AIT OUAGHORI</t>
    </r>
  </si>
  <si>
    <r>
      <rPr>
        <sz val="12"/>
        <color theme="1"/>
        <rFont val="Book Antiqua"/>
        <family val="1"/>
        <charset val="1"/>
      </rPr>
      <t xml:space="preserve">Présentation de l'émission TV </t>
    </r>
    <r>
      <rPr>
        <sz val="12"/>
        <color theme="1"/>
        <rFont val="Calibri"/>
        <family val="2"/>
        <charset val="1"/>
      </rPr>
      <t xml:space="preserve">المقنع في علم التوقيت </t>
    </r>
    <r>
      <rPr>
        <sz val="12"/>
        <color theme="1"/>
        <rFont val="Book Antiqua"/>
        <family val="1"/>
        <charset val="1"/>
      </rPr>
      <t>HALIMA KIHL</t>
    </r>
  </si>
  <si>
    <r>
      <rPr>
        <sz val="12"/>
        <color theme="1"/>
        <rFont val="Book Antiqua"/>
        <family val="1"/>
        <charset val="1"/>
      </rPr>
      <t xml:space="preserve">Préparation  de l'émission TV    " </t>
    </r>
    <r>
      <rPr>
        <sz val="12"/>
        <color theme="1"/>
        <rFont val="Calibri"/>
        <family val="2"/>
        <charset val="1"/>
      </rPr>
      <t xml:space="preserve">المقنع في علم التوقيت </t>
    </r>
    <r>
      <rPr>
        <sz val="12"/>
        <color theme="1"/>
        <rFont val="Book Antiqua"/>
        <family val="1"/>
        <charset val="1"/>
      </rPr>
      <t>"  ABDESLAM JMILI</t>
    </r>
  </si>
  <si>
    <r>
      <rPr>
        <sz val="12"/>
        <color theme="1"/>
        <rFont val="Book Antiqua"/>
        <family val="1"/>
        <charset val="1"/>
      </rPr>
      <t xml:space="preserve">Préparation et présentation  de l'émission TV    " </t>
    </r>
    <r>
      <rPr>
        <sz val="12"/>
        <color theme="1"/>
        <rFont val="Calibri"/>
        <family val="2"/>
        <charset val="1"/>
      </rPr>
      <t xml:space="preserve">الرسم القراني   </t>
    </r>
    <r>
      <rPr>
        <sz val="12"/>
        <color theme="1"/>
        <rFont val="Book Antiqua"/>
        <family val="1"/>
        <charset val="1"/>
      </rPr>
      <t>"  MOULAY ENNAJM TAHDAOUI</t>
    </r>
  </si>
  <si>
    <r>
      <rPr>
        <sz val="12"/>
        <color theme="1"/>
        <rFont val="Book Antiqua"/>
        <family val="1"/>
        <charset val="1"/>
      </rPr>
      <t>Préparation et présentation  de l'émission TV    "</t>
    </r>
    <r>
      <rPr>
        <sz val="12"/>
        <color theme="1"/>
        <rFont val="Calibri"/>
        <family val="2"/>
        <charset val="1"/>
      </rPr>
      <t xml:space="preserve">في ضيافة الشباب  </t>
    </r>
    <r>
      <rPr>
        <sz val="12"/>
        <color theme="1"/>
        <rFont val="Book Antiqua"/>
        <family val="1"/>
        <charset val="1"/>
      </rPr>
      <t>"  MOHAMMED AIT ADDI</t>
    </r>
  </si>
  <si>
    <r>
      <rPr>
        <sz val="12"/>
        <color theme="1"/>
        <rFont val="Book Antiqua"/>
        <family val="1"/>
        <charset val="1"/>
      </rPr>
      <t xml:space="preserve">Préparation et présentation  de l'émission TV    "  </t>
    </r>
    <r>
      <rPr>
        <sz val="12"/>
        <color theme="1"/>
        <rFont val="Calibri"/>
        <family val="2"/>
        <charset val="1"/>
      </rPr>
      <t xml:space="preserve">يوميات مسلم  </t>
    </r>
    <r>
      <rPr>
        <sz val="12"/>
        <color theme="1"/>
        <rFont val="Book Antiqua"/>
        <family val="1"/>
        <charset val="1"/>
      </rPr>
      <t>"  ABDELLATIF TAYBI</t>
    </r>
  </si>
  <si>
    <r>
      <rPr>
        <sz val="12"/>
        <color theme="1"/>
        <rFont val="Book Antiqua"/>
        <family val="1"/>
        <charset val="1"/>
      </rPr>
      <t xml:space="preserve">Préparation et présentation du documentaire </t>
    </r>
    <r>
      <rPr>
        <sz val="12"/>
        <color theme="1"/>
        <rFont val="Calibri"/>
        <family val="2"/>
        <charset val="1"/>
      </rPr>
      <t xml:space="preserve">معالم واثار في رحاب جامع القرويين </t>
    </r>
    <r>
      <rPr>
        <sz val="12"/>
        <color theme="1"/>
        <rFont val="Book Antiqua"/>
        <family val="1"/>
        <charset val="1"/>
      </rPr>
      <t>AHMED BOUZIDI</t>
    </r>
  </si>
  <si>
    <r>
      <rPr>
        <sz val="12"/>
        <color theme="1"/>
        <rFont val="Book Antiqua"/>
        <family val="1"/>
        <charset val="1"/>
      </rPr>
      <t xml:space="preserve">Préparation   de l'émission TV   "  </t>
    </r>
    <r>
      <rPr>
        <sz val="12"/>
        <color theme="1"/>
        <rFont val="Calibri"/>
        <family val="2"/>
        <charset val="1"/>
      </rPr>
      <t xml:space="preserve">حديقة النور    </t>
    </r>
    <r>
      <rPr>
        <sz val="12"/>
        <color theme="1"/>
        <rFont val="Book Antiqua"/>
        <family val="1"/>
        <charset val="1"/>
      </rPr>
      <t>"  AHMED BOUZIDI</t>
    </r>
  </si>
  <si>
    <r>
      <rPr>
        <sz val="12"/>
        <color theme="1"/>
        <rFont val="Book Antiqua"/>
        <family val="1"/>
        <charset val="1"/>
      </rPr>
      <t>Préparation et présentation  de  la capsule TV    "</t>
    </r>
    <r>
      <rPr>
        <sz val="12"/>
        <color theme="1"/>
        <rFont val="Calibri"/>
        <family val="2"/>
        <charset val="1"/>
      </rPr>
      <t xml:space="preserve">مطايا الامال  </t>
    </r>
    <r>
      <rPr>
        <sz val="12"/>
        <color theme="1"/>
        <rFont val="Book Antiqua"/>
        <family val="1"/>
        <charset val="1"/>
      </rPr>
      <t>"  JAMILA LARMACH</t>
    </r>
  </si>
  <si>
    <r>
      <rPr>
        <sz val="12"/>
        <color theme="1"/>
        <rFont val="Book Antiqua"/>
        <family val="1"/>
        <charset val="1"/>
      </rPr>
      <t xml:space="preserve">Préparation et présentation de l'émission RD  </t>
    </r>
    <r>
      <rPr>
        <sz val="12"/>
        <color theme="1"/>
        <rFont val="Calibri"/>
        <family val="2"/>
        <charset val="1"/>
      </rPr>
      <t xml:space="preserve">قبس الأنوار </t>
    </r>
    <r>
      <rPr>
        <sz val="12"/>
        <color theme="1"/>
        <rFont val="Book Antiqua"/>
        <family val="1"/>
        <charset val="1"/>
      </rPr>
      <t>YOUNES BOULAM</t>
    </r>
  </si>
  <si>
    <r>
      <rPr>
        <sz val="12"/>
        <color theme="1"/>
        <rFont val="Book Antiqua"/>
        <family val="1"/>
        <charset val="1"/>
      </rPr>
      <t xml:space="preserve">Préparation et présentation  de l'émission TV    " </t>
    </r>
    <r>
      <rPr>
        <sz val="12"/>
        <color theme="1"/>
        <rFont val="Calibri"/>
        <family val="2"/>
        <charset val="1"/>
      </rPr>
      <t xml:space="preserve">لبيك  تعبدا ورقا   </t>
    </r>
    <r>
      <rPr>
        <sz val="12"/>
        <color theme="1"/>
        <rFont val="Book Antiqua"/>
        <family val="1"/>
        <charset val="1"/>
      </rPr>
      <t>"  CHAFIQ EL IDRISSI (remplace FATIMA EZAHRAA ESALHI)</t>
    </r>
  </si>
  <si>
    <t>lots pour les gaganants</t>
  </si>
  <si>
    <t xml:space="preserve">Impression </t>
  </si>
  <si>
    <t>DIRECTION DE LA CHAINE ATTAKAFIA</t>
  </si>
  <si>
    <t>Habillement pour les journalistes producteurs d'Attaqafia   (17 émissions internes)</t>
  </si>
  <si>
    <t>Produits de maquillage pour les journalistes producteurs d'Attaqafia et les invités  (17 émissions internes)</t>
  </si>
  <si>
    <t>Préstation de blanchisserie du linge et services associés au profit des journalistes présentateurs</t>
  </si>
  <si>
    <t>Honoraire des prestataires (groupe musical, artistes, restauration et pause - café pendant les tournages externe)</t>
  </si>
  <si>
    <t>Equipement d'une salle de tournage (une table, 4 chaises, des tableaux, une bibliothéque, accessoires décors….)</t>
  </si>
  <si>
    <t>Equipement d'une salle de maquillage (miroir, chaise ….)</t>
  </si>
  <si>
    <t>Pour des raisons de promotion de la Chaîne et la communication avec la presse, une organisation des réceptions pour les invités des différents domaines culturels et artistique.</t>
  </si>
  <si>
    <t>la célébration du lancement de la chaîne 
l'organisation des conférences et des portes ouvertes à propos de la communication culturelle</t>
  </si>
  <si>
    <t>DIRECTION DES ACHATS</t>
  </si>
  <si>
    <t>Souscription PORTNET-Achat forfait importateurs</t>
  </si>
  <si>
    <t>La publication des insertions de la SNRTdans les journaux</t>
  </si>
  <si>
    <t>614-2</t>
  </si>
  <si>
    <t>Charges marketing et relations publiques</t>
  </si>
  <si>
    <t>Dédouanement des dossiers import ou export et gestion des comptes en douane</t>
  </si>
  <si>
    <t>Assistance à la gestion administrative</t>
  </si>
  <si>
    <t>Commissariat aux comptes au titre des exercices 2024-2025-2026</t>
  </si>
  <si>
    <t>613-3</t>
  </si>
  <si>
    <t>Honoraires et rémunération du personnel occasionnel</t>
  </si>
  <si>
    <t xml:space="preserve">DIRECTION DE L'AUDIT ET DU CONTRÔLE DE LA GESTION </t>
  </si>
  <si>
    <t xml:space="preserve">Formations </t>
  </si>
  <si>
    <t>Certifications et formations diplômantes</t>
  </si>
  <si>
    <t>Abonnements et accès</t>
  </si>
  <si>
    <t>Assistances, Etudes et conseil</t>
  </si>
  <si>
    <t xml:space="preserve">DIRECTION DES ACTIVITES ROYALES </t>
  </si>
  <si>
    <t>2 Prestataires personnes physiquse DAR</t>
  </si>
  <si>
    <t xml:space="preserve">DIRECTION CENTRALE DE LA PRODUCTION DE L'ANTENNE </t>
  </si>
  <si>
    <t>Talk Show Culturel</t>
  </si>
  <si>
    <t>رؤى في التاريخ</t>
  </si>
  <si>
    <t>Emission sur la Pensée</t>
  </si>
  <si>
    <t>Emission sur l'Economie</t>
  </si>
  <si>
    <t>بين البارح و اليوم</t>
  </si>
  <si>
    <t>علم وحضارة</t>
  </si>
  <si>
    <t>مع الفاميلا</t>
  </si>
  <si>
    <t>برنامج فكري</t>
  </si>
  <si>
    <t>مدن عتيقة</t>
  </si>
  <si>
    <t>مجلة حول الثرات</t>
  </si>
  <si>
    <t>نقطة إلى السطر</t>
  </si>
  <si>
    <t>Emission débat Publique</t>
  </si>
  <si>
    <t xml:space="preserve">شباب في الواجهة </t>
  </si>
  <si>
    <t>نور و بصائر</t>
  </si>
  <si>
    <t>دعاء رمضان</t>
  </si>
  <si>
    <t>حصص من الأمداح</t>
  </si>
  <si>
    <t>سهرة كبرى</t>
  </si>
  <si>
    <t>حصص من الطرب الأندلسي</t>
  </si>
  <si>
    <t xml:space="preserve">الغالية بلادي </t>
  </si>
  <si>
    <t>ارض البركة</t>
  </si>
  <si>
    <t>المغرب البحري</t>
  </si>
  <si>
    <t xml:space="preserve"> عشق لبلاد</t>
  </si>
  <si>
    <t>ضفاف البهجة</t>
  </si>
  <si>
    <t xml:space="preserve"> نادي المرح</t>
  </si>
  <si>
    <t>الوسيط</t>
  </si>
  <si>
    <t>Décors Emissions Internes Al Aoula</t>
  </si>
  <si>
    <t>Achats Maquillage et Accessoires</t>
  </si>
  <si>
    <t>Cession des droits de captation et de diffusion des actualités et la couverture télévisée du Festival de Fiction TV à Meknès 2026</t>
  </si>
  <si>
    <t>Cession au profit de la SNRT des droits de captation et de diffusion des actualités et la couverture télévisée par les chaînes de télévision de la SNRT du Festival International du Cinéma Méditerranéen de Tétouan 2026</t>
  </si>
  <si>
    <t>Sponsoring du Festival Mawazine 2026 - Rythmes du Monde et représentant une manifestation matérialisée notamment par l'organisation de plusieurs concerts au sein de la ville de Rabat et rassemblant plusieurs artistes de différents pays</t>
  </si>
  <si>
    <t>Cession au profit de la SNRT des droits de captation et de diffusion des actualités et la couverture télévisée par les chaînes de télévision de la SNRT du estival Gnaoua et Musiques du Monde d'Essaouira 2026</t>
  </si>
  <si>
    <t>Cession au profit de la SNRT, des droits de diffusion des actualités et la couverture télévisée du festival International du Film de Dakhla</t>
  </si>
  <si>
    <t>Couverture médiatique du Festival des Andalousies Atlantiques par la SNRT, la cession des droits exclusives pour le compte de la SNRT de la captation, de la diffusion et de l'exploitation des 03 soirées qui seront organisées à l'occasion de l'organisation de cet événement.</t>
  </si>
  <si>
    <t>Cession droit de captation et de diffusion des actualités et la couverture télévisée du Festival International du Film de Marrakech.</t>
  </si>
  <si>
    <t>Spectacle Artistique Anniversaire SNPM</t>
  </si>
  <si>
    <t xml:space="preserve">DIRECTION COMMUNICATION ET RELATIONS INSTITUTIONNELLES </t>
  </si>
  <si>
    <t xml:space="preserve">Célébration de la journée internationale de la radio </t>
  </si>
  <si>
    <t xml:space="preserve"> les prix des meilleurs sportifs (80 personnes)</t>
  </si>
  <si>
    <t xml:space="preserve">Activité de STAND institutionnel de la SNRT au Salon de l'édition et du livre (SIEL 2026) pendant 11 jours </t>
  </si>
  <si>
    <t xml:space="preserve">Activité de STAND institutionnel de la SNRT  au Salon international de l'agriculture au Maroc (SIAM 2026) </t>
  </si>
  <si>
    <t>Rencontre Ramadan</t>
  </si>
  <si>
    <t>Cérémonie de Célébration et hommage des retraités de la SNRT (100 personnes)</t>
  </si>
  <si>
    <t xml:space="preserve">FESTIVAL International du film d'animation de MEKNES </t>
  </si>
  <si>
    <t>Stands de la SNRT - Morocco Gaming Expo 2026</t>
  </si>
  <si>
    <t xml:space="preserve">Activité de STAND institutionnel de la SNRT au Salon international du livre de l'enfants et de la jeunesse </t>
  </si>
  <si>
    <t xml:space="preserve">Activité de STAND institutionnel de la SNRT au salon Gitex africa </t>
  </si>
  <si>
    <t>Stands Institutionnels des services de la SNRT destinés aux MRE : ports et aéroports 36 jours (06  jours*  06 sites ).</t>
  </si>
  <si>
    <t>Célébration de la Journée internationale de la femme</t>
  </si>
  <si>
    <t xml:space="preserve">Célébration de la Journée Mondiale du Patrimoine Audiovisuel </t>
  </si>
  <si>
    <t xml:space="preserve">Activité de STAND institutionnel de la SNRT au Salon international du cheval d'EL JADIDA </t>
  </si>
  <si>
    <t xml:space="preserve">Abonnement aux bases de données en ligne  spécialisées dans le suivi des contenus médiatiques et la veille presse, pour le compte de la SNRT  </t>
  </si>
  <si>
    <t xml:space="preserve">Campagne Publi-Redactionel de promotion institutionnelle </t>
  </si>
  <si>
    <t xml:space="preserve">Campagne de communication institutionnelle : voyage de presse (20 personnes , 3nuitées / 4 jours) </t>
  </si>
  <si>
    <t>Portes Ouvertes au profit des MRE (3 jours)</t>
  </si>
  <si>
    <t>Les Journées de formation et de communication au profit des étudiants des instituts et des écoles supérieures spécialisés dans le domaine de l’information et de la communication audiovisuelle</t>
  </si>
  <si>
    <t xml:space="preserve">Les journées d'intégration des nouvelles recrues de la SNRT </t>
  </si>
  <si>
    <t>Travaux d'impression divers relatif aux événement institutionnelle</t>
  </si>
  <si>
    <t>Coffrets institutionnels  de fin d’année 2026 – Nouvel An 2027</t>
  </si>
  <si>
    <t>DIRECTION FINANCIERE</t>
  </si>
  <si>
    <t>Consultation Expert comptable - accompagnement CNC</t>
  </si>
  <si>
    <t>commissariat aux apports</t>
  </si>
  <si>
    <t>audit fiscal</t>
  </si>
  <si>
    <t>honoraires enregistrement contrats</t>
  </si>
  <si>
    <t>cartographie des risques</t>
  </si>
  <si>
    <t>accompagnement mise en conformité avis n°24 CNC</t>
  </si>
  <si>
    <t>accompagnement filiales - complément mission initiale</t>
  </si>
  <si>
    <t xml:space="preserve">accompagnement IFRS </t>
  </si>
  <si>
    <t>accompagnement comptes consolidés</t>
  </si>
  <si>
    <t>consultant juridique dans la gouvernance</t>
  </si>
  <si>
    <t>consultant TALBI</t>
  </si>
  <si>
    <t>DIRECTION JURIDIQUE</t>
  </si>
  <si>
    <t>DEFENDRE LES INTERETS DE LA SNRT DEVANT LES JURIDICTIONS ET TRIBUNAUX</t>
  </si>
  <si>
    <t>PUBLICATION DES COMPTES DE LA SNRT AU BO</t>
  </si>
  <si>
    <t>DEMANDE EXTRAIT ET DECLARATION DE MODIFICATION  AU NIVEAU DU REGISTRE DE COMMERCE</t>
  </si>
  <si>
    <t>PUBLICATION  AU B.O LES CHANGEMENTS RELATIFS AU STATUTS</t>
  </si>
  <si>
    <t>PUBLICATION DANS UN JOURNAL LEGAL LES CHANGEMENTS RELATIFS AU STATUTS</t>
  </si>
  <si>
    <t xml:space="preserve">FRAIS D'ENREGISTREMENT DES PV ET AUTRES DOCUMENTS </t>
  </si>
  <si>
    <t>FRAIS JUDICIAIRES</t>
  </si>
  <si>
    <t>Redevance BMDA</t>
  </si>
  <si>
    <t>Acquisition d'une solution informatique pour la gestion des affaires de contentieux juridique</t>
  </si>
  <si>
    <t>221-1</t>
  </si>
  <si>
    <t>Immobilisations incorporelles (logiciels, licences, etc.)</t>
  </si>
  <si>
    <t xml:space="preserve">DIRECTION CENTRALE MARKETING ET PROGRAMMATION TV </t>
  </si>
  <si>
    <t>Mesurer les audiences des chaines et des programmes TV du groupe SNRT</t>
  </si>
  <si>
    <t xml:space="preserve">Abonnements  à l'interface d'exploitation de la mesure d'audience </t>
  </si>
  <si>
    <t>FIFM 2026</t>
  </si>
  <si>
    <t>ATH trophée Hassan II de golf 2026</t>
  </si>
  <si>
    <t>MAWAZINE 2026</t>
  </si>
  <si>
    <t>Réalisation des études qualitatives et quantitaves marketing relatives
aux produits et services de la SNRT</t>
  </si>
  <si>
    <t xml:space="preserve">Infogérance d'un système de veille digitale stratégique et opérationel pour le compte de la SNRT et pour l'ensemble des services web et digitaux </t>
  </si>
  <si>
    <t xml:space="preserve">Maintenance portail snrt </t>
  </si>
  <si>
    <t>Insertions SNRT sur différents supports de communication</t>
  </si>
  <si>
    <t xml:space="preserve">Prise de vue et shooting des comédiens lors des tournages de la SNRT </t>
  </si>
  <si>
    <t xml:space="preserve">Production de spots / film publicitaires pour la promotion des produits et services de la SNRT </t>
  </si>
  <si>
    <t>Réhabilitation et mise à noveau des décors stockés en vue de leur exploitation: travaux de menuiserie ,peinture , tapissage…
Fourniture de mobilier de stands</t>
  </si>
  <si>
    <t xml:space="preserve">Jeu et vote autour des programmes </t>
  </si>
  <si>
    <t xml:space="preserve">Production de flags et bonnettes pour les micros des chaines tv et radios  de la SNRT </t>
  </si>
  <si>
    <t>goodies , stylisme brandés SNRT</t>
  </si>
  <si>
    <t>Foruniture des Agendas et travaux 
d'impression</t>
  </si>
  <si>
    <t> Stratégie Marketing, Conseil en communication, exécution des campagnes et production</t>
  </si>
  <si>
    <t>Location de supports d'affichage urbain 4X3 pour la promotion des produits et services de la SNRT</t>
  </si>
  <si>
    <t xml:space="preserve">Location écrans leds pour la promotion des produits et services SNRT </t>
  </si>
  <si>
    <t xml:space="preserve">Location écrans sur Bus </t>
  </si>
  <si>
    <t xml:space="preserve">Achat d’espaces publicitaires sur les réseaux sociaux Facebook, Instagram, Tiktok et Youtube pour  acquisition de trafic pour le portail et VOD + la promotion des produits et services de la SNRT </t>
  </si>
  <si>
    <t>Achat d’espaces publicitaires sur la presse digitale et la presse écrite pour la promotion de produits SNRT (Ramadan , Forja,  et grille rentrée)</t>
  </si>
  <si>
    <t xml:space="preserve">Achat d'espace radio </t>
  </si>
  <si>
    <t>Prestation relative à la production de contenu multimédias, texte, montage et production audio et vidéo, graphisme, CM , …..</t>
  </si>
  <si>
    <t xml:space="preserve">Asurer une présence en ligne efficace et sécurisée, reflétant l'image et les standards de qualité </t>
  </si>
  <si>
    <t xml:space="preserve">Programmes phares SNRT - WEB </t>
  </si>
  <si>
    <t>Décor  JT Al Aoula / Laayoune, Tamazight
Habillage Chaînes SNRT</t>
  </si>
  <si>
    <t xml:space="preserve">Décors virtuels des chaînes de la SNRT </t>
  </si>
  <si>
    <t>233-1</t>
  </si>
  <si>
    <t>Installations techniques</t>
  </si>
  <si>
    <t>Acquisition des Programmes</t>
  </si>
  <si>
    <t>Acquisition d'outils de gestion de réseaux sociaux</t>
  </si>
  <si>
    <t>Acquisition d'outils de visualisation des données</t>
  </si>
  <si>
    <t xml:space="preserve">Abonnement à :
des outils d'intelligence artificielle pour la production et l'exploitation
Acquisition des outils 
d'animation pour spots
publicitaire </t>
  </si>
  <si>
    <t xml:space="preserve">Conclure des Partenariats 
</t>
  </si>
  <si>
    <t xml:space="preserve">Prestataion de conception et fabrication de meubles </t>
  </si>
  <si>
    <t xml:space="preserve">DIRECTION DU PATRIMOINE ET DES MOYENS GENERAUX </t>
  </si>
  <si>
    <t xml:space="preserve"> Sécurité  et gardiennage Siège &amp; centres régionaux</t>
  </si>
  <si>
    <t>Acquisition et installation des caméras dans les locaux de la SNRT y compris serveurs et baie de stockage</t>
  </si>
  <si>
    <t>233-2</t>
  </si>
  <si>
    <t xml:space="preserve">Matériel et outillage </t>
  </si>
  <si>
    <t>Travaux d'aménagement des locaux d'archive TV de la SNRT  à Témara.</t>
  </si>
  <si>
    <t>Travaux d'aménagement des  locaux de la SNRT  à Rabat.</t>
  </si>
  <si>
    <t>Travaux d'aménagement de la station régionale Radio de Marrakech</t>
  </si>
  <si>
    <t>Travaux d'aménagement de la station régionale Radio d'AL HOUCEIMA</t>
  </si>
  <si>
    <t>Travaux d'aménagement de la station régionale Radio de TETOUANE.</t>
  </si>
  <si>
    <t>Travaux d'installation électrique au batiment administratif de la SNRT à Rabat</t>
  </si>
  <si>
    <t>Travaux de plomberie au niveau des locaux de la SNRT Rabat</t>
  </si>
  <si>
    <t xml:space="preserve">Peinture extérieure pour les façades des bâtiments de la SNRT à Rabat. </t>
  </si>
  <si>
    <t>Aménagement des locaux Techniques (salles machines) des stations régionales radion de la SNRT.</t>
  </si>
  <si>
    <t xml:space="preserve">Acquisition et installation de climatiseurs au niveau des locaux techniques des stations regionales radio.
</t>
  </si>
  <si>
    <t>Etanchéité des terrasses des locaux de la SNRT à Rabat et Casablanca.</t>
  </si>
  <si>
    <t>Aménagement du studio virtuel de la station TV Laayoune.</t>
  </si>
  <si>
    <t xml:space="preserve">Travaux de désherbage. </t>
  </si>
  <si>
    <t>Maintenance des ascenseurs.</t>
  </si>
  <si>
    <t>Maintenance des extincteurs.</t>
  </si>
  <si>
    <t>Maintenance des onduleurs.</t>
  </si>
  <si>
    <t xml:space="preserve">Maintenance des installations de détection et d'extinctions automatiques d'incendie .
</t>
  </si>
  <si>
    <t xml:space="preserve">Maintenance des installations de climatisation 
: Rabat Casablanca </t>
  </si>
  <si>
    <t>Maintenance des installations de climatisation 
: Laayoune, Dakhla, Smara et Guelmim</t>
  </si>
  <si>
    <t>Mise à jour de la solution de pointage et de contrôle d'accés</t>
  </si>
  <si>
    <t>Fourniture Matériel Electrique Siége et Annexes</t>
  </si>
  <si>
    <t>Installation extracteurs et detection incendie locaux Archives Finances et Achats</t>
  </si>
  <si>
    <t xml:space="preserve">Acquisition de climatiseurs </t>
  </si>
  <si>
    <t xml:space="preserve">Location d'un nouvel immeuble R+2 </t>
  </si>
  <si>
    <t>Loyer batment administratif</t>
  </si>
  <si>
    <t>Occupation temperaire eaux et forets</t>
  </si>
  <si>
    <t>contrat location collectivites ethniques</t>
  </si>
  <si>
    <t>Conservation foncière</t>
  </si>
  <si>
    <t>Acquisition terrains</t>
  </si>
  <si>
    <t>231-1</t>
  </si>
  <si>
    <t>Terrains</t>
  </si>
  <si>
    <t>honoraire notaire</t>
  </si>
  <si>
    <t>Prestataire (Ingénieur) de service concernant la mission de gestion de la vidéosurveillance, du contrôle d'accès et de la détéction incendie.</t>
  </si>
  <si>
    <t>Prestataire (Technicien) de service concernant la mission de gestion de la vidéosurveillance, du contrôle d'accès et de la détéction incendie.</t>
  </si>
  <si>
    <t>Prestataire de service la mission de standardiste.</t>
  </si>
  <si>
    <t>Etude et Suivi : Travaux de bâtiment.</t>
  </si>
  <si>
    <t>212-1</t>
  </si>
  <si>
    <t>Frais d'acquisition des immobilisations</t>
  </si>
  <si>
    <t>Etude et Suivi : Travaux électrique :
climatisation,
onduleurs,
Extincteurs,
Ascenseurs et portes automatiques,
Détection et extinction incendie automatiques</t>
  </si>
  <si>
    <t xml:space="preserve">Travaux d'aménagement de la régie et du Studio N°5 de la  Radio </t>
  </si>
  <si>
    <t>Travaux d'installation d'un nouveau ascenseur Bâtiment RADIO</t>
  </si>
  <si>
    <t>Location Longue Durée (LLD)  de véhicules neufs sans option d'achat ainsi que les prestations qui lui sont accessoires  et complémentaires.  Marché N° 32M/SNRT/2022</t>
  </si>
  <si>
    <t>La location de longue durée à la SNRT de véhicules neufs sans option d'achat  ainsi que les prestations qui lui sont accessoires et complémentaire Marché N° 11M/SNRT/2021</t>
  </si>
  <si>
    <t>Renouvellement Marché N° 11M/SNRT/2021 objet de la location de longue durée à la SNRT de véhicules neufs sans option d'achat  ainsi que les prestations qui lui sont accessoires et complémentaire</t>
  </si>
  <si>
    <t xml:space="preserve">La location en  longue durée des véhicules neufs sans option d'achat ainsi que les prestations qui lui sont accessoires et complémentaires pour la SNRT Marché N° 40M/SNRT/2024 </t>
  </si>
  <si>
    <t>La location en  longue durée des véhicules neufs sans option d'achat ainsi que les prestations qui lui sont accessoires et complémentaires pour la SNRT Marché N° 97M/SNRT/2023</t>
  </si>
  <si>
    <t>Travaux de nettoyage, prestation complète y compris les produits de nettoyage et d’entretien des locaux administratifs et techniques des services centraux et régionaux de la SNRT                                                                        Marché N° 02M/SNRT/2023</t>
  </si>
  <si>
    <t xml:space="preserve">Acquisition  de mobilier de bureau </t>
  </si>
  <si>
    <t>235-1</t>
  </si>
  <si>
    <t>Mobilier de bureau</t>
  </si>
  <si>
    <t>Location de véhicules neufs avec chauffeurs pour 60 mois Transport permanent et régulier du personnel de la SNRT à Rabat  marché N° 19M/SNRT/2023</t>
  </si>
  <si>
    <t>Location de véhicules neufs avec chauffeurs pour 60 mois Transport permanent et régulier du personnel de la SNRT à Casablanca  marché N° 20M/SNRT/2023</t>
  </si>
  <si>
    <t xml:space="preserve">Acquisition de Matériel de Bureau (photocopieurs, Fax, Destructeur Tonners et drums ) </t>
  </si>
  <si>
    <t>235-2</t>
  </si>
  <si>
    <t>Matériel de bureau</t>
  </si>
  <si>
    <t>L'achat de carburant par "carbucarte" à lecture électronique pour les véhicules de la SNRT Convention N° 392CT/SNRT/2025</t>
  </si>
  <si>
    <t>La couverture en termes d'assurance multirisque automobile pour l'ensemble du Par Auto de la SNRT Contrat N° FL 11202102045593/01/2025 + Assurance des nouveaux tracteurs acquis, ainsi les tracteurs en cours d'acquisition par la Direction technique.</t>
  </si>
  <si>
    <t>L’abonnement d’accès des données de traçabilité en ligne de la flotte automobile SNRT avec boitiers GPS  + acquisition des boitier pour les nouveaux véhicules</t>
  </si>
  <si>
    <t xml:space="preserve">Acquisition et Recharge des Tags télépéage par la SNRT (JAWAZ) Convention N°52/18/S </t>
  </si>
  <si>
    <t>Couverture en termes d’assurance pour le bris de machine concernant les régies montées sur véhicules roulantsContrat N° 0302220000247</t>
  </si>
  <si>
    <t xml:space="preserve">Contrat de la boite postale </t>
  </si>
  <si>
    <t>Contrat Barid el Maghreb   Contrat N° 07/2020 BP</t>
  </si>
  <si>
    <t>Contrat d'AMANA       Contrat N° CL03733</t>
  </si>
  <si>
    <t>Contrat de fournitures journaux Contrat N° 254CT/SNRT/2021 + Avenant 1, 2 ,3 et 4</t>
  </si>
  <si>
    <t xml:space="preserve">Convention Vignette carburant                                                                       </t>
  </si>
  <si>
    <t>Convention Vignette Réparation</t>
  </si>
  <si>
    <t xml:space="preserve">Convention Vignette Transport Terrestre                                                                               </t>
  </si>
  <si>
    <t>Contrat d'acquisition  billeterie Aérienne Convention N° 505CT/SNRT/2024</t>
  </si>
  <si>
    <t>Restauration ( Ramadan)</t>
  </si>
  <si>
    <t>LOCATION DE SALLE DE RECEPTION POUR EMISSIONS DEBAT ET MAGAZINES D'INFORMATION TV</t>
  </si>
  <si>
    <t>Transport, installation et maintenance/ Décors émissions débats</t>
  </si>
  <si>
    <t>Assurance multirisque professionnelle</t>
  </si>
  <si>
    <t>Parking Twin center DRPSD</t>
  </si>
  <si>
    <t>Restauration et Réception</t>
  </si>
  <si>
    <t xml:space="preserve">Achat de Carburant pour chauffage </t>
  </si>
  <si>
    <t>Réparation photocopieur</t>
  </si>
  <si>
    <t xml:space="preserve">Acquisition des véhicules de M le PDG </t>
  </si>
  <si>
    <t>Acquisition des véhicules de M le DG</t>
  </si>
  <si>
    <t>Inwi</t>
  </si>
  <si>
    <t>Maroc Télécom</t>
  </si>
  <si>
    <t>Orange</t>
  </si>
  <si>
    <t xml:space="preserve">Hotellerie,hebergement,réception </t>
  </si>
  <si>
    <t>Impression et relieure documents</t>
  </si>
  <si>
    <t>Achat eau minéral</t>
  </si>
  <si>
    <t>Fourniture de Coffrets pour Activités Royales et autres</t>
  </si>
  <si>
    <t xml:space="preserve">Achat de Portrait </t>
  </si>
  <si>
    <t>Transport de Nacelle</t>
  </si>
  <si>
    <t>Achat de materiel de cuisine pour les besoins des invités SNRT</t>
  </si>
  <si>
    <t>Quincaillerie et droguerie (canons, drapeaux,….)</t>
  </si>
  <si>
    <t>612-3</t>
  </si>
  <si>
    <t>Achats de matières et fournitures consommables</t>
  </si>
  <si>
    <t>Travaux aménagement des espaces verts avec ou sans fourniture de graines et plantes</t>
  </si>
  <si>
    <t>Achat des machines et capsules à café et mini refrigirateur</t>
  </si>
  <si>
    <t>235-4</t>
  </si>
  <si>
    <t>Autres Matériel et mobilier de bureau</t>
  </si>
  <si>
    <t>Achat d'habillement</t>
  </si>
  <si>
    <t>Achat des piles</t>
  </si>
  <si>
    <t>Achat des appariels téléphones portables</t>
  </si>
  <si>
    <t>Réparation et remise en état des véhicules des moyens mobiles</t>
  </si>
  <si>
    <t>Cabinet Rbati</t>
  </si>
  <si>
    <t xml:space="preserve">Frais de déplacement à l'interieur et à l'etranger </t>
  </si>
  <si>
    <t>Vignette automobile</t>
  </si>
  <si>
    <t xml:space="preserve">Achat Fournitures de Bureau </t>
  </si>
  <si>
    <t>Achat Papier Fort A4</t>
  </si>
  <si>
    <t>Impression d'Enveloppes; Papier Entête ; Bloc Note et Chemise Entête SNRT ,</t>
  </si>
  <si>
    <t>Acquisition de cachets pour les besoins des differentes Entités de la SNRT pour l'année 2024</t>
  </si>
  <si>
    <t>Impression Numérique 4 couleurs de cartes de visites  pour les besoins des differentes entités de la SNRT durant l'année 2024.</t>
  </si>
  <si>
    <t>Marché cadre : Inventaire physique et fiabilisation du fichier comptable des immobilisations de la SNRT ;</t>
  </si>
  <si>
    <t>La mission du prestataire de service consiste à :
·      La réalisation des mesures et calcules nécessaires,
·      Le constat des prestations exécutées et la vérification de la matérialité et conformité par rapport aux prestations commandées (Qte, Type, Modèle, N° de séries, Dimension...), ainsi que l’étiquetage, l’inventaire, l’affectation et la traçabilité du matériel.</t>
  </si>
  <si>
    <t>DIRECTION PRODUCTION ET PROGRAMMATION RADIO</t>
  </si>
  <si>
    <t>Reconduction 44 prestataires</t>
  </si>
  <si>
    <t xml:space="preserve">DIRECTION DES RESSOURCES HUMAINES </t>
  </si>
  <si>
    <t>Salaire de base + Rappels</t>
  </si>
  <si>
    <t>617-1</t>
  </si>
  <si>
    <t>Charges du personnel</t>
  </si>
  <si>
    <t>Primes et indémnité</t>
  </si>
  <si>
    <t>Charges Sociales</t>
  </si>
  <si>
    <t>617-2</t>
  </si>
  <si>
    <t>Charges sociales</t>
  </si>
  <si>
    <t>Médecin de travail</t>
  </si>
  <si>
    <t>Convention SNRT-OFPPT pour la réalisation des EAP</t>
  </si>
  <si>
    <t xml:space="preserve">Programmes de formation  au profit du personnel de la SNRT </t>
  </si>
  <si>
    <t>Prestataire gouvernante</t>
  </si>
  <si>
    <t>Prestataire jardinier</t>
  </si>
  <si>
    <t>Audit et traitement de la paie</t>
  </si>
  <si>
    <t>Traitement de la paie des fonctionnaires et agents de l'ETAT</t>
  </si>
  <si>
    <t>Contrat pour la couverture d'assurance pour la police 
Décés - Invalidité</t>
  </si>
  <si>
    <t>Contrat pour la couverture d'assurance pour la police Résponsabilité Civil</t>
  </si>
  <si>
    <t>Contrat pour la couverture d'assurance pour la police
Accident de Travail</t>
  </si>
  <si>
    <t>Contrat pour la couverture d'assurance pour la police
Assistance Médicale</t>
  </si>
  <si>
    <t>Association des Œuvres Sociales du Personnel de la SNRT</t>
  </si>
  <si>
    <t>convention AMC (assurance maladie complémentaire) au profit du personnel de la SNRT</t>
  </si>
  <si>
    <t>DIRECTION DES RELATIONS AVEC LES ORGANISMES INTERNATIONAUX</t>
  </si>
  <si>
    <t>La cotisation annuelle  de l'EBU (UER)  au titre de l'année 2026</t>
  </si>
  <si>
    <t>La cotisation annuelle  du CIRTEF  au titre de l'année 2026</t>
  </si>
  <si>
    <t>La cotisation annuelle  de l'OSBU  au titre de l'année 2026</t>
  </si>
  <si>
    <t>La cotisation annuelle  de l'UAR au titre de l'année 2026</t>
  </si>
  <si>
    <t>La cotisation annuelle  de la COPEAM  au titre de l'année 2026</t>
  </si>
  <si>
    <t>La cotisation annuelle  de l'URTI au titre de l'année 2026</t>
  </si>
  <si>
    <t>La cotisation annuelle de l'ASBU au titre de l'année 2026</t>
  </si>
  <si>
    <t>Les frais de formation obligatoire  de l'ASBU au titre de l'année 2026</t>
  </si>
  <si>
    <t>DIRECTION CENTRALE TECHNIQUE ET DES SYSTEMES D'INFORMATION</t>
  </si>
  <si>
    <t>Contrat de support logiciel du système NewsRoom (PAM et NRCS) pour les besoins des chaines TV de la SNRT.</t>
  </si>
  <si>
    <t>Renouvellement des licences logicielles pour les stations d’habillage et de graphisme pour les besoins des chaines TV de la SNRT.</t>
  </si>
  <si>
    <t>Renouvellement des équipements Audio/Vidéo pour répondre aux besoins des chaines TV de la SNRT.</t>
  </si>
  <si>
    <t>233-4</t>
  </si>
  <si>
    <t>Equipements techniques</t>
  </si>
  <si>
    <t>Renouvellement des équipements de captation Audio/Vidéo pour répondre aux besoins de la chaine Al Aoula de la SNRT.</t>
  </si>
  <si>
    <t>Renouvellement et mise à niveau des équipements Audio/Vidéo de la régie JT pour répondre aux besoins de la chaine TV Laayoune de la SNRT.</t>
  </si>
  <si>
    <t>Acquisition et mise à niveau des équipements Audio/Vidéo du studio virtuel pour répondre aux besoins de production de la chaine TV Laayoune de la SNRT.</t>
  </si>
  <si>
    <t>Acquisition des équipements audio pour les besoins des chaines radios de la SNRT.</t>
  </si>
  <si>
    <t>Renouvellement et mise à niveau du Centre de Diffusion et de Monitoring (CDM) pour les besoins des chaines Radio de la SNRT. afin d’assurer la supervision centralisée, la redondance et la continuité de service des diffusions.</t>
  </si>
  <si>
    <t>Renouvellement des systèmes d’automation radio des chaînes radios régionales de la SNRT.</t>
  </si>
  <si>
    <t>Acquisition des équipements informatiques Broadcast pour les besoins des chaines radios régionales de la SNRT.</t>
  </si>
  <si>
    <t>Acquisition des supports d’enregistrement et de lecture pour les besoins des chaines TV de la SNRT.</t>
  </si>
  <si>
    <t>Acquisition de lecteurs LTO destinés aux besoins d’archivage de la SNRT.</t>
  </si>
  <si>
    <t>Numérisation des anciennes archives télévisuelles stockées sur des supports analogiques de type U-MATIC, pour les besoins des archives TV de la SNRT.</t>
  </si>
  <si>
    <t>Renouvellement et mise à niveau des systèmes et solutions logicielles de l'infrastructure IT de la SNRT.</t>
  </si>
  <si>
    <t>235-3</t>
  </si>
  <si>
    <t>Matériel informatiques</t>
  </si>
  <si>
    <t>Souscription à un abonnement annuel de licences logiciels pour les besoins de la SNRT.</t>
  </si>
  <si>
    <t>Acquisition des consommables, accessoires, pièces de rechange et outillage informatiques pour les besoins de la SNRT.</t>
  </si>
  <si>
    <t>Acquisition des serveurs et des équipements Informatiques pour les besoins de la SNRT.</t>
  </si>
  <si>
    <t>Acquisition des équipements pour la mise à niveau de l'infrastructure réseau de la SNRT.</t>
  </si>
  <si>
    <t>Souscription à un abonnement annuel de licences de logiciels de montage et de graphisme pour les besoins des chaines TV de la SNRT.</t>
  </si>
  <si>
    <t>Contrat de service de support (SLA) du Système de Production News                  « News Room » de la SNRT.</t>
  </si>
  <si>
    <t>Prestations fonctionnelles et techniques du progiciel de gestion intégré de la SNRT: JDEWARDS</t>
  </si>
  <si>
    <t>Prestations de maintenance du progiciel de gestion des ressources humaines AGIRH</t>
  </si>
  <si>
    <t>Location et infogérance de plateforme publiques d'hébergement "Cloud" et fourniture des services associés.</t>
  </si>
  <si>
    <t>Matériel technique de production vidéo</t>
  </si>
  <si>
    <t>Matériel technique de production audio</t>
  </si>
  <si>
    <t>Pièces de rechange</t>
  </si>
  <si>
    <t>Réparation, entretien, et maintenance</t>
  </si>
  <si>
    <t>Prestations techniques audiovisuelles</t>
  </si>
  <si>
    <t>Consommables, licences et logiciels</t>
  </si>
  <si>
    <t>Fourniture et installation de liaisons fibres optiques pour les besoins de la SNRT.</t>
  </si>
  <si>
    <t>Contrat N° xxxCT/SNRT/2026 "Abderrazzak Mouzahim"</t>
  </si>
  <si>
    <t>Contrat N° xxxCT/SNRT/2026 "Amal RIH"</t>
  </si>
  <si>
    <t>Contrat N° xxxCT/SNRT/2026 "M'RABETT Ayoub"</t>
  </si>
  <si>
    <t>Contrat N° xxxCT/SNRT/2026 "Meskine Ismail"</t>
  </si>
  <si>
    <t>Contrat N° xxxCT/SNRT/2026 "Skaf Yahya"</t>
  </si>
  <si>
    <t>Contrat N° xxxCT/SNRT/2026 "Amrenss Youssef"</t>
  </si>
  <si>
    <t>Contrat N° xxxCT/SNRT/2026 "KABBAJ Zouheir"</t>
  </si>
  <si>
    <t>Contrat N° xxxCT/SNRT/2026 "MOUSSALLLEK Abderrahim"</t>
  </si>
  <si>
    <t>Contrat N° 427CT/SNRT/2024 "Google Workspace"</t>
  </si>
  <si>
    <t>Prestation de service relative au transcodage, à la distribution et au streaming de flux vidéo.</t>
  </si>
  <si>
    <t>Abonnement au service de synthèse vocale basée sur les voix Text-To-Speech de Google Cloud AI</t>
  </si>
  <si>
    <t>Plateforme de création de production virtuelle basée sur l’IA</t>
  </si>
  <si>
    <t xml:space="preserve">Acquisition d’équipements informatiques </t>
  </si>
  <si>
    <t>acquisition d’équipements informatiques et audiovisuels pour la mise à niveau du matériel de SNRTNEWS</t>
  </si>
  <si>
    <t>acquisition licences et logiciels pour la SNRTNEWS</t>
  </si>
  <si>
    <t>DIRECTION DE L'INFORMATION RADIO</t>
  </si>
  <si>
    <t>La préparation des magazines d'information et des reportages radiophoniques et la couverture des évenements internationaux.</t>
  </si>
  <si>
    <t>Journaliste, Présentateur Radio francophone</t>
  </si>
  <si>
    <t>Journaliste, Présentateur Radio francophone-anglohone</t>
  </si>
  <si>
    <t>Journaliste, Présentateur Radioamazighe/animateur débats</t>
  </si>
  <si>
    <t>Journaliste, Présentateur Radio francophone et animateur de débats</t>
  </si>
  <si>
    <t>ABONNEMENT MAP</t>
  </si>
  <si>
    <t>DIRECTION DE L'INFORMATION TV</t>
  </si>
  <si>
    <t>Prestation de blanchisserie du linge et services assiciés au profit des journalistes présentateurs du journal Télévisés (JT) ,</t>
  </si>
  <si>
    <t>ACHAT D’HABILLEMENTS AU PROFIT DES JOURNALISTES PRESENTATEURS  DES EVENEMENTS SPORTIFS  (pour la couverture de la CAN 2026 femmes)</t>
  </si>
  <si>
    <t>ACHAT D’HABILLEMENTS AU PROFIT DES JOURNALISTES PRESENTATEURS DES JT,</t>
  </si>
  <si>
    <t>Conception et réalisation d'un décor plateau de télévision professionnel aux standards internationaux pour la couverture de la CAN 2026 (femmes)</t>
  </si>
  <si>
    <t>Décor pour émission grand débat politique 2026 (2 décors différents )</t>
  </si>
  <si>
    <t xml:space="preserve">Maquillage  </t>
  </si>
  <si>
    <t>HEBERGEMENT DES CONSULTANTS ET INVITES DE PLATEAU DES JT TELEVISES (éléctions 2026)</t>
  </si>
  <si>
    <t>Repas et pause café pour invités participants  aux JT (période éléctorale),</t>
  </si>
  <si>
    <r>
      <rPr>
        <sz val="12"/>
        <color theme="1"/>
        <rFont val="Book Antiqua"/>
        <family val="1"/>
        <charset val="1"/>
      </rPr>
      <t xml:space="preserve">le décors et l’habillage d'un plateau studio dédié à  l'émission  " </t>
    </r>
    <r>
      <rPr>
        <sz val="12"/>
        <color theme="1"/>
        <rFont val="Calibri"/>
        <family val="2"/>
        <charset val="1"/>
      </rPr>
      <t>شؤون برلمانية</t>
    </r>
    <r>
      <rPr>
        <sz val="12"/>
        <color theme="1"/>
        <rFont val="Book Antiqua"/>
        <family val="1"/>
        <charset val="1"/>
      </rPr>
      <t xml:space="preserve">" </t>
    </r>
  </si>
  <si>
    <t xml:space="preserve">Décor pour enregistrement des interventions de  partis politiques ( (Campagne éléctorale) </t>
  </si>
  <si>
    <t xml:space="preserve">ASBU : CONTRAT DE DROIT COMMUN
RELATIF AUX ECHANGES COLLECTIVES INFO ET PROGRAMMES RADIO ET TV </t>
  </si>
  <si>
    <t xml:space="preserve">REUTERS TV LONDON : CONTRAT DE DROIT COMMUN RELATIF AUX ECHANGES COLLECTIVES INFO ET PROGRAMMES TV </t>
  </si>
  <si>
    <t>AFP AGENCE France PRESSE : CONTRAT DE DROIT COMMUN RELATIF AUX ECHANGES COLLECTIVES INFO</t>
  </si>
  <si>
    <t xml:space="preserve">EURONEWS : CONTRAT DE DROIT COMMUN/ DIFFUSION D'EURONEWS EN DIRECT OU EN DIFFERE L'UTILISATION DE CERTAINS CONTENUS AVEC OU SON LOGO, ECHANGES D'INFO, UTILISATION DES TALENTS ET MARQUES EURONEWS                                                                                                                              </t>
  </si>
  <si>
    <t xml:space="preserve">MAP : CONTRAT D'ABONNEMENT AVEC  l'AGENCE MAGHREB ARABE PRESSE 
</t>
  </si>
  <si>
    <t xml:space="preserve">Dir.Générale de la Météorologie : Convention / etablissement des conditions d'organisation, de fonctionnement et de mise en oeuvre de l'assistance Météoroligique au compte de SNRT                                                                                                                             </t>
  </si>
  <si>
    <t xml:space="preserve">DROITS DE DIFFUSION DES ACTUALITES AUDIOVISUELLES; EN EUROPE / PAYS BAS     </t>
  </si>
  <si>
    <t xml:space="preserve">DROITS DE DIFFUSION DES ACTUALITES AUDIOVISUELLES; EN  ESPAGNE               </t>
  </si>
  <si>
    <t>DROITS DE DIFFUSION DES ACTUALITES AUDIOVISUELLES; EN ASIE, Palestine</t>
  </si>
  <si>
    <t>DROITS DE DIFFUSION DES ACTUALITES AUDIOVISUELLES; EN AFRIQUE</t>
  </si>
  <si>
    <t>DROITS DE DIFFUSION DES ACTUALITES AUDIOVISUELLES; A PARTIR DES ETATS UNIES</t>
  </si>
  <si>
    <t xml:space="preserve">CONTRAT DE DROIT COMMUN RELATIF AUX PRESTATIONS DE SERVICES FADILI AHMED (réalisation de reportages et de couvertures )      </t>
  </si>
  <si>
    <t xml:space="preserve">CONTRAT DE DROIT COMMUN RELATIF AUX PRESTATIONS DE SERVICES ABDELGHANI TAHRAOUI (réalisation de reportages)      </t>
  </si>
  <si>
    <t>CONTRAT DE DROIT COMMUN RELATIF AUX PRESTATIONS DE SERVICES MOULINE LILIA (stylisme)</t>
  </si>
  <si>
    <t>CONTRAT DE DROIT COMMUN
RELATIF AUX PRESTATIONS DE SERVICES 
 BOUBKER BENGHABRIT (journaliste-présentateur)</t>
  </si>
  <si>
    <t>CONTRAT DE DROIT COMMUN
RELATIF AUX PRESTATIONS DE SERVICES 
 LEILA ARHBAL (présentatrice Méteo)</t>
  </si>
  <si>
    <t>CONTRAT DE DROIT COMMUN
RELATIF AUX PRESTATIONS DE SERVICES 
 MOUZAHIM ABDELILAH (Cameramen)</t>
  </si>
  <si>
    <t>CONTRAT DE DROIT COMMUN
RELATIF AUX PRESTATIONS DE SERVICES 
 KHALID AIT HSSAYENE (coiffeur)</t>
  </si>
  <si>
    <t>CONTRAT DE DROIT COMMUN
RELATIF AUX PRESTATIONS DE SERVICES 
  MOUNIR LAHSAIEN(coiffeur)</t>
  </si>
  <si>
    <t>CONTRAT DE DROIT COMMUN
RELATIF AUX PRESTATIONS DE SERVICES 
 NOUINI  NOURREDDINE (coiffeur)</t>
  </si>
  <si>
    <t>CONTRAT DE DROIT COMMUN
RELATIF AUX PRESTATIONS DE SERVICES 
 AOUAD MARIA (journaliste)</t>
  </si>
  <si>
    <t>CONTRAT DE DROIT COMMUN
RELATIF AUX PRESTATIONS DE SERVICES 
 SOUKAINA  HACHIMI (journaliste)</t>
  </si>
  <si>
    <t>CONTRAT DE DROIT COMMUN
RELATIF AUX PRESTATIONS DE SERVICES 
 ABIR EL MALLOUKI (journaliste) (remplacement)</t>
  </si>
  <si>
    <t>CONTRAT DE DROIT COMMUN
RELATIF AUX PRESTATIONS DE SERVICES 
 ANASS EZZAHER (Technicien script)</t>
  </si>
  <si>
    <t>CONTRAT DE DROIT COMMUN
RELATIF AUX PRESTATIONS DE SERVICES 
 KETTANI MOHAMMED (l’interprétation en langue des signes)</t>
  </si>
  <si>
    <t>CONTRAT DE DROIT COMMUN
RELATIF AUX PRESTATIONS DE SERVICES 
 WIAM MOUDDOUN (journaliste)</t>
  </si>
  <si>
    <t>CONTRAT DE DROIT COMMUN
RELATIF AUX PRESTATIONS DE SERVICES 
 HOUDA NEJJAR (Technicien script)</t>
  </si>
  <si>
    <t>CONTRAT DE DROIT COMMUN
RELATIF AUX PRESTATIONS DE SERVICES 
 MUSTAPHA TOSSA  (POLITOLOGUE)</t>
  </si>
  <si>
    <t>CONTRAT DE DROIT COMMUN
RELATIF AUX PRESTATIONS DE SERVICES 
 EL AAZIZ ABDERRAZZAQ</t>
  </si>
  <si>
    <t xml:space="preserve">CONTRAT DE DROIT COMMUN
RELATIF AUX PRESTATIONS DE SERVICES 
 ABDELHAKEM BOUJOUBBOU </t>
  </si>
  <si>
    <t>CONTRAT DE DROIT COMMUN
RELATIF AUX PRESTATIONS DE SERVICES 
 MUSTAPHA SEHIMI (POLITOLOGUE)</t>
  </si>
  <si>
    <t>CONTRAT DE DROIT COMMUN
RELATIF AUX PRESTATIONS DE SERVICES 
 Mohammed El youssfi</t>
  </si>
  <si>
    <t>CONTRAT DE DROIT COMMUN
RELATIF AUX PRESTATIONS DE SERVICES 
 Mohammed El HAJJAM</t>
  </si>
  <si>
    <t xml:space="preserve">CONTRAT DE DROIT COMMUN
RELATIF AUX PRESTATIONS DE SERVICES 
 KARRAKCHOU MAHDI </t>
  </si>
  <si>
    <t xml:space="preserve">CONTRAT DE DROIT COMMUN RELATIF AUX PRESTATIONS DE SERVICES El BOUHARROUTI HASSAN DROITS DE DIFFUSION DES ACTUALITES AUDIOVISUELLES; EN EUROPE, BELGIQUE                       </t>
  </si>
  <si>
    <t xml:space="preserve">CONTRAT DE DROIT COMMUN
RELATIF AUX NOUVEAUX PRESTATAIRES  DE SERVICES  (graphiste créateur 3D)  </t>
  </si>
  <si>
    <t xml:space="preserve">CONTRAT DE DROIT COMMUN
RELATIF AUX NOUVEAUX PRESTATAIRES  DE SERVICES  (Chargé de production)  </t>
  </si>
  <si>
    <t>CONTRAT DE DROIT COMMUN RELATIF AUX NOUVEAUX PRESTATAIRES  DE SERVICES  (2 PRESENTATEURS)  2026</t>
  </si>
  <si>
    <t>CONTRAT DE DROIT COMMUN
RELATIF AUX  CONSULTANTS ETRANGERS  PARTICIPANTS AUX JT   ( Elections 2026)  (8 consultants)</t>
  </si>
  <si>
    <t xml:space="preserve">CONTRAT DE DROIT COMMUN
RELATIF AUX  CONSULTANTS ETRANGERS SPORTIFS ( la couverture de la CAN 2026 et de la Coupe du Monde 2030)  (6 consultants) </t>
  </si>
  <si>
    <t xml:space="preserve">CONTRAT DE DROIT COMMUN
RELATIF AUX NOUVEAUX PRESTATAIRES  DE SERVICES  ( la couverture de la CAN, les éléctions 2026 et de la Coupe du Monde 2030) (4 prestatires) </t>
  </si>
  <si>
    <t xml:space="preserve">DIRECTION DE LA CHAINE LAAYOUNE </t>
  </si>
  <si>
    <t>Prestation d'impression pour la mise en scène de l'émission
 "MOSABAQAT AL QURAN ALKARIM" pour l'année 1446/2025</t>
  </si>
  <si>
    <t>Achat de trophées pour l'émission 
"MOSABAQAT AL QURAN ALKARIM" pour l'année 1446/2025</t>
  </si>
  <si>
    <t>Frais de restauration pour les repas de Ftour et Shour du mois 
RAMADAN 1446/2026</t>
  </si>
  <si>
    <t>Frais de réception  pour les invites de Tv Laayoune</t>
  </si>
  <si>
    <t>Achat de maquillage</t>
  </si>
  <si>
    <t>Frais de réception pour la célébration 
de l'anniversaire de la Chaîne TV LAAYOUNE</t>
  </si>
  <si>
    <t>Fabrication de decor et conception d'habillage  de l'émission "AL FADAA ARIYADI".</t>
  </si>
  <si>
    <t>Fourniture d'antennes paraboliques pour les locaux techique de TV Laayoune</t>
  </si>
  <si>
    <t>Fourniture et installation de cinq (5) moniteurs TV pour decor actuel de JT et la regie Production</t>
  </si>
  <si>
    <t xml:space="preserve">Maintenance et mise en service de système de radio de communication UHF MOTOROLA </t>
  </si>
  <si>
    <t xml:space="preserve">Contrat de 3 prestataires de services pour la mission d'assisatantes de production à la chaine Tv Laayoune </t>
  </si>
  <si>
    <t>Preparation et presentation de l'emission "TOURATHAK LAK"</t>
  </si>
  <si>
    <t>Preparation et presentation de l'emission"HADIT AL MADINA"</t>
  </si>
  <si>
    <t>Preparation et presentation de l'emission "MAA ANAS"</t>
  </si>
  <si>
    <t>REVUS DE PRESS ECRITE POUR JT Tv Laayoune</t>
  </si>
  <si>
    <t>Prestatire de service de la mission de chargée de la auto-promotion</t>
  </si>
  <si>
    <t>Conception ,Préparation,réalisation et présentation d'une Documentaire  de decouvert sur le sahara en PAD intitulée «AMNIR »</t>
  </si>
  <si>
    <t>Conception ,Préparation,réalisation et présentation des  soirées musicales en COPRODUCTION intitulée « LAYALI AOZAAOUANE »</t>
  </si>
  <si>
    <t xml:space="preserve">Exécution de la production en COP et Cession exclusive à la SNRT par l’auteur des droits d’auteurs patrimoniaux et les droits de toute utilisation dérivée du concept et des images relatifs à l'émission de jeu  intitulée : "AL JAMAL BIMA HAMAL " </t>
  </si>
  <si>
    <t>Conception ,Préparation,réalisation et présentation d'une emission  religieuse en PAD intitulée «KADAYA RAMADANIA »</t>
  </si>
  <si>
    <t xml:space="preserve">Exécution de la production en COP et Cession exclusive à la SNRT par l’auteur des droits d’auteurs patrimoniaux et les droits de toute utilisation dérivée du concept et des images relatifs à l'émission de jeu ntitulée : "SIBAK AL KAWAFI " </t>
  </si>
  <si>
    <t>Conception ,Préparation,réalisation et présentation des soirees amdah nabawia en PAD intitulée «BISMELLAH LAHI NAMDEH »</t>
  </si>
  <si>
    <t xml:space="preserve">Exécution de la production en PAD et Cession exclusive à la SNRT par l’auteur des droits d’auteurs patrimoniaux et les droits de toute utilisation dérivée du concept et des images relatifs à l'émission de jeu ntitulée : "AL MAHDARA " </t>
  </si>
  <si>
    <t>Conception ,Préparation,réalisation et présentation d'une emission famille en PAD intitulée «HOUZMATE RAMADAN »</t>
  </si>
  <si>
    <t xml:space="preserve">Exécution de la production en PAD et Cession exclusive à la SNRT par l’auteur des droits d’auteurs patrimoniaux et les droits de toute utilisation dérivée du concept et des images relatifs à l'émission de sensibilisation santé " SIHATOUKA FI RAMADAN".  </t>
  </si>
  <si>
    <t>Exécution de la production en PAD et Cession exclusive à la SNRT par l’auteur des droits d’auteurs patrimoniaux et les droits de toute utilisation dérivée du concept et des images relatifs à l'émission patrimoine ntitulée : "LYALI L FRIK "</t>
  </si>
  <si>
    <t xml:space="preserve">Exécution de la production enPAD et Cession exclusive à la SNRT par l’auteur des droits d’auteurs patrimoniaux et les droits de toute utilisation dérivée du concept et des images relatifs à l'émission culinaire " AL MAIDA SAHRAWIYA".  </t>
  </si>
  <si>
    <t>Conception ,Préparation,réalisation et présentation d'une emission pour femmes en PAD intitulée «LAMASSATE NISSAIYA »</t>
  </si>
  <si>
    <t>Conception ,Préparation,réalisation et présentation d'une Documentaire  de decouvert sur le sahara en PAD intitulée «AMAJBOUR »</t>
  </si>
  <si>
    <t>Conception ,Préparation,réalisation et présentation d'une emission  de jeu culturel  en Coprod intitulée «AL FAICHE EX-AL FARIH»</t>
  </si>
  <si>
    <t>Conception ,Préparation,réalisation et présentation d'une Documentaire  de decouvert sur le sahara en PAD intitulée «SAFAR WA ISTIKCHAF ABRA SAHRA »</t>
  </si>
  <si>
    <t>Conception ,Préparation,réalisation et présentation d'une émission SUR LE PATRIMOINE ET LA CULTURE HASSANI en – PAD- intitulée :« GHAB O JAB »</t>
  </si>
  <si>
    <t>Conception ,Préparation,réalisation et présentation d'une émission SUR LE PATRIMOINE ET LA CULTURE HASSANI en – PAD- intitulée :« MAA NAHA »</t>
  </si>
  <si>
    <t>Conception ,Préparation,réalisation et présentation d'une émission SUR LE PATRIMOINE ET LA CULTURE HASSANI en – PAD- intitulée :« ICHOUF A CHIBANI »</t>
  </si>
  <si>
    <t xml:space="preserve">Série (Comédie, Drama social, Historique,  Fantastique en dialecte hassani) </t>
  </si>
  <si>
    <t>Télefeuilleton (Dramatique, Social, Historique)</t>
  </si>
  <si>
    <t xml:space="preserve">Contrat de prestataire avec deux techniciens informatique ou audiovisuel </t>
  </si>
  <si>
    <t>DIRECTION DE LA CHAINE LAAYOUNE - ANNEXE</t>
  </si>
  <si>
    <t xml:space="preserve">Prestataire de service  de  4  Cameraman </t>
  </si>
  <si>
    <t>Prestataire de service de 2 monteur</t>
  </si>
  <si>
    <t>Prestataire de service de 2 Graphistes</t>
  </si>
  <si>
    <t>Prestataire de service d'un  verificateur-PAD</t>
  </si>
  <si>
    <t>Prestataire de service d'un technicien de maintenance audiovisuel</t>
  </si>
  <si>
    <t>Prestataire de service d'une Maquilleuse</t>
  </si>
  <si>
    <t>Préparation et présentation d'une émissions intitulée «AL FADAA ARIYADI »</t>
  </si>
  <si>
    <t>Préparation  d'une émission intitulée «AGENDA »</t>
  </si>
  <si>
    <t>Préparation d'une émission intitulée «TOURATHK LAK »</t>
  </si>
  <si>
    <t>Préparation et présentation d'une émission intitulée «HADITH RAMADAN »</t>
  </si>
  <si>
    <t>Préparation et présentation d'une émission intitulée «HIFD ET TAJWID QORAN »</t>
  </si>
  <si>
    <t>Préparation d'une émission intitulée «JISR AL IHSAN»</t>
  </si>
  <si>
    <t>Préparation d'une émission intitulée «KISAT NAJAH»</t>
  </si>
  <si>
    <t>Production des vidéos clips des chansons Hassani Marocaine</t>
  </si>
  <si>
    <t>Préparation d'une émission d'actualités</t>
  </si>
  <si>
    <t>Frais déplacement</t>
  </si>
  <si>
    <t>PRODUCTION EXTERNE (DCPA/DMPTV)</t>
  </si>
  <si>
    <r>
      <rPr>
        <sz val="12"/>
        <color theme="1"/>
        <rFont val="Book Antiqua"/>
        <family val="1"/>
        <charset val="1"/>
      </rPr>
      <t xml:space="preserve">Docufictions  - </t>
    </r>
    <r>
      <rPr>
        <sz val="12"/>
        <color theme="1"/>
        <rFont val="Calibri"/>
        <family val="2"/>
        <charset val="1"/>
      </rPr>
      <t>مداولة</t>
    </r>
  </si>
  <si>
    <r>
      <rPr>
        <sz val="12"/>
        <color theme="1"/>
        <rFont val="Book Antiqua"/>
        <family val="1"/>
        <charset val="1"/>
      </rPr>
      <t xml:space="preserve">Téléréalités - </t>
    </r>
    <r>
      <rPr>
        <sz val="12"/>
        <color theme="1"/>
        <rFont val="Calibri"/>
        <family val="2"/>
        <charset val="1"/>
      </rPr>
      <t>للا لعروسة</t>
    </r>
  </si>
  <si>
    <r>
      <rPr>
        <sz val="12"/>
        <color theme="1"/>
        <rFont val="Book Antiqua"/>
        <family val="1"/>
        <charset val="1"/>
      </rPr>
      <t xml:space="preserve">Téléréalités - </t>
    </r>
    <r>
      <rPr>
        <sz val="12"/>
        <color theme="1"/>
        <rFont val="Calibri"/>
        <family val="2"/>
        <charset val="1"/>
      </rPr>
      <t>ستانداب</t>
    </r>
  </si>
  <si>
    <t>Téléréalités -   Matti7ch 3la Lbal</t>
  </si>
  <si>
    <r>
      <rPr>
        <sz val="12"/>
        <color theme="1"/>
        <rFont val="Book Antiqua"/>
        <family val="1"/>
        <charset val="1"/>
      </rPr>
      <t xml:space="preserve">Soirées - </t>
    </r>
    <r>
      <rPr>
        <sz val="12"/>
        <color theme="1"/>
        <rFont val="Calibri"/>
        <family val="2"/>
        <charset val="1"/>
      </rPr>
      <t>جماعتنا زينة</t>
    </r>
  </si>
  <si>
    <r>
      <rPr>
        <sz val="12"/>
        <color theme="1"/>
        <rFont val="Book Antiqua"/>
        <family val="1"/>
        <charset val="1"/>
      </rPr>
      <t xml:space="preserve">Documentaires - </t>
    </r>
    <r>
      <rPr>
        <sz val="12"/>
        <color theme="1"/>
        <rFont val="Calibri"/>
        <family val="2"/>
        <charset val="1"/>
      </rPr>
      <t>امودو</t>
    </r>
  </si>
  <si>
    <t>Documentaires - AMALLAY</t>
  </si>
  <si>
    <r>
      <rPr>
        <sz val="12"/>
        <color theme="1"/>
        <rFont val="Book Antiqua"/>
        <family val="1"/>
        <charset val="1"/>
      </rPr>
      <t xml:space="preserve">Documentaires - </t>
    </r>
    <r>
      <rPr>
        <sz val="12"/>
        <color theme="1"/>
        <rFont val="Calibri"/>
        <family val="2"/>
        <charset val="1"/>
      </rPr>
      <t>إشعاع مملكة</t>
    </r>
  </si>
  <si>
    <t>Documentaires - Abaq atourat</t>
  </si>
  <si>
    <t>Documentaires - ASWAK AL MAGHRIB</t>
  </si>
  <si>
    <t>Série documentaire</t>
  </si>
  <si>
    <r>
      <rPr>
        <sz val="12"/>
        <color theme="1"/>
        <rFont val="Book Antiqua"/>
        <family val="1"/>
        <charset val="1"/>
      </rPr>
      <t xml:space="preserve">Magazines - 45 </t>
    </r>
    <r>
      <rPr>
        <sz val="12"/>
        <color theme="1"/>
        <rFont val="Calibri"/>
        <family val="2"/>
        <charset val="1"/>
      </rPr>
      <t>دقيقة</t>
    </r>
  </si>
  <si>
    <t xml:space="preserve">Magazine économique </t>
  </si>
  <si>
    <r>
      <rPr>
        <sz val="12"/>
        <color theme="1"/>
        <rFont val="Book Antiqua"/>
        <family val="1"/>
        <charset val="1"/>
      </rPr>
      <t xml:space="preserve">Matinale - </t>
    </r>
    <r>
      <rPr>
        <sz val="12"/>
        <color theme="1"/>
        <rFont val="Calibri"/>
        <family val="2"/>
        <charset val="1"/>
      </rPr>
      <t>أسرتي</t>
    </r>
  </si>
  <si>
    <r>
      <rPr>
        <sz val="12"/>
        <color theme="1"/>
        <rFont val="Book Antiqua"/>
        <family val="1"/>
        <charset val="1"/>
      </rPr>
      <t xml:space="preserve">Divertissement enfants - </t>
    </r>
    <r>
      <rPr>
        <sz val="12"/>
        <color theme="1"/>
        <rFont val="Calibri"/>
        <family val="2"/>
        <charset val="1"/>
      </rPr>
      <t>عالم زينب و نفنوف</t>
    </r>
  </si>
  <si>
    <r>
      <rPr>
        <sz val="12"/>
        <color theme="1"/>
        <rFont val="Book Antiqua"/>
        <family val="1"/>
        <charset val="1"/>
      </rPr>
      <t xml:space="preserve">Divertissement enfants - </t>
    </r>
    <r>
      <rPr>
        <sz val="12"/>
        <color theme="1"/>
        <rFont val="Calibri"/>
        <family val="2"/>
        <charset val="1"/>
      </rPr>
      <t>وليدات بلادي</t>
    </r>
  </si>
  <si>
    <t>Emissions - 100% RAQMI</t>
  </si>
  <si>
    <t>Formats courts - Format court</t>
  </si>
  <si>
    <t>Téléfilm</t>
  </si>
  <si>
    <t>Téléfeuilleton drame/romance</t>
  </si>
  <si>
    <t xml:space="preserve">Série drame/romance </t>
  </si>
  <si>
    <t>Série comique</t>
  </si>
  <si>
    <t xml:space="preserve">Série patrimoniale </t>
  </si>
  <si>
    <t xml:space="preserve">Série comique/patrimoniale </t>
  </si>
  <si>
    <t xml:space="preserve">Série d'animation 2D/3D </t>
  </si>
  <si>
    <t>Longs Métrages marocains</t>
  </si>
  <si>
    <t>Courts Métrages Marocains de type fiction ou documentaire</t>
  </si>
  <si>
    <t>AO CINEMA</t>
  </si>
  <si>
    <t xml:space="preserve">DIRECTION CENTRALE REGIE PUBLICITAIRE ET SOLUTIONS DIGITALES </t>
  </si>
  <si>
    <t>Audit de suivi N° 2 selon la norme ISO 9001 V 2015</t>
  </si>
  <si>
    <t>Assistance et Maintenance de la Solution BI + Location de licences</t>
  </si>
  <si>
    <t>Prestation de maintenance corrective, maintenance évolutive, d'assistance utilisateur, d'assistance technique et des mises à jour de Media Pilot, Logiciel de gestion de la commercialisation de l'espace publicitaire des supports TV Radio de la SNRT</t>
  </si>
  <si>
    <t>Solution Multifonction visant la gestion de projets, la mise en place de la chaine Devops et l’acquisition des Outils de développement : éditeur de code.</t>
  </si>
  <si>
    <t>DMP</t>
  </si>
  <si>
    <t>Efficacité publicitaire TV (linéaire + VOD)</t>
  </si>
  <si>
    <t xml:space="preserve">Etude ROI </t>
  </si>
  <si>
    <t xml:space="preserve">Enquête DigitrendZ </t>
  </si>
  <si>
    <t>Maintenance de la messagerie de la DRPSD</t>
  </si>
  <si>
    <t>Maintenance de la plateforme sécurité RP, Digital et SNRTNEWS</t>
  </si>
  <si>
    <t>Mise en place d'une solution GED pour la RP</t>
  </si>
  <si>
    <t xml:space="preserve">Refonte de la Solution de publicité digitale pour l'ensemble des plateformes </t>
  </si>
  <si>
    <t xml:space="preserve">Accompagnement et Sponsoring des plateformes digitales </t>
  </si>
  <si>
    <t>Entretien du matériel informatique de la DRPSD</t>
  </si>
  <si>
    <t xml:space="preserve">Achat de licences ORACLE </t>
  </si>
  <si>
    <t>Achat de consommable</t>
  </si>
  <si>
    <t>Etudes des audiences TV ( Marocmétrie)  (one tv year, cibles,…)</t>
  </si>
  <si>
    <t>L’hébergement de la plateforme SNRTNEWS, la plateforme BOTOLA– Web, mobile (Android et IOS) et TV,</t>
  </si>
  <si>
    <t xml:space="preserve">Hébergement relatif aux nouvelles plateformes digitales </t>
  </si>
  <si>
    <t xml:space="preserve">Réferencement de la plate forme SNRTNEWS et Mise en place de la stratégie digitale </t>
  </si>
  <si>
    <t>Egta</t>
  </si>
  <si>
    <t>Prestataires services Local RPSD - SNRTNEWS</t>
  </si>
  <si>
    <t>Prestataires services Local RPSD</t>
  </si>
  <si>
    <t xml:space="preserve">IMPÉRIUM </t>
  </si>
  <si>
    <t>CIRAD part  Régie</t>
  </si>
  <si>
    <t>CIRAD part annonceurs</t>
  </si>
  <si>
    <t>CIAUMED part Régie</t>
  </si>
  <si>
    <t xml:space="preserve">CIAUMED part annonceurs </t>
  </si>
  <si>
    <t xml:space="preserve">Abonnement aux diffiérents services digitaux </t>
  </si>
  <si>
    <t>Licences CRM: Customer Relationship Management</t>
  </si>
  <si>
    <t xml:space="preserve">JAM Allocator </t>
  </si>
  <si>
    <t xml:space="preserve">Media services </t>
  </si>
  <si>
    <t>Conception  de jungles pour les plateformes digitales</t>
  </si>
  <si>
    <t xml:space="preserve">Abonnement Push notification </t>
  </si>
  <si>
    <t>Abonnement Outil RS</t>
  </si>
  <si>
    <t>VOD: FORJA</t>
  </si>
  <si>
    <t>Capsules Digitales</t>
  </si>
  <si>
    <t>Licences lotus notes</t>
  </si>
  <si>
    <t>Abonnement: AFP</t>
  </si>
  <si>
    <t>OMPIC</t>
  </si>
  <si>
    <t xml:space="preserve">Achat de noms de domaines </t>
  </si>
  <si>
    <t>Solutions relatives au projet d'homologation RSSI</t>
  </si>
  <si>
    <t xml:space="preserve">Syndicat des copropritaires Twin center </t>
  </si>
  <si>
    <t>Participation RSPD à l'ADS</t>
  </si>
  <si>
    <t xml:space="preserve">Participation RSPD au Ftour GAM </t>
  </si>
  <si>
    <t xml:space="preserve">Participation RSPD aux Impériales </t>
  </si>
  <si>
    <t>Organisation d’un évènement marché publicitaire pour la présentation de l’offre publicitaire du mois de Ramadan 2026</t>
  </si>
  <si>
    <t>Participation à l'évènement Gitex / Délocalisation Snrt News</t>
  </si>
  <si>
    <t xml:space="preserve">Développement de projets digitaux </t>
  </si>
  <si>
    <t>212-2</t>
  </si>
  <si>
    <t>Prestations de service à immobiliser</t>
  </si>
  <si>
    <t xml:space="preserve">RESPONSABLE DE LA SECURITE DES SYSTEMES D'INFORMATION </t>
  </si>
  <si>
    <t>Acquisition, installation, mise en service et exploitation d'un système de gestion des informations et des événements de Cybersécurité, dans le cadre de la mise en place du centre opérationnel de cybersécurité interne (CyberSOC &amp; CyberCERT) de la SNRT.</t>
  </si>
  <si>
    <t>Souscription au service de "Cyber Threat Intelligence (CTI)" pour les besoins des équipes CyberSOC et CyberCERT, dans le cadre de la mise en place du centre opérationnel de cybersécurité interne (CyberSOC &amp; CyberCERT) de la SNRT.</t>
  </si>
  <si>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</si>
  <si>
    <t>Réalisation de prestations d’audit de sécurité des systèmes d’information de la SNRT, relevant des classes « A », « B », « C » et « D ».
Audit organisationnel et physique
Audit d’architecture
Audit de configuration
Audit de code source
Test d’intrusion
Audit des systèmes industriels</t>
  </si>
  <si>
    <t>Accompagnement à la transition vers la nouvelle version ISO/IEC 27001:2022 et extension du domaine d'application du SMSI pour couvrir l'ensemble des systèmes d'information de la SNRT.</t>
  </si>
  <si>
    <t>Réalisation de prestations d'audits de certification et de surveillance annuels du Système de Management de la Sécurité de l'Information (SMSI) selon la norme ISO/IEC 27001:2022</t>
  </si>
  <si>
    <t>Direction</t>
  </si>
  <si>
    <t>TDF - DEM</t>
  </si>
  <si>
    <t>Fourniture des  modules  de  traitement audio et RDS  pour les emetteurs FM</t>
  </si>
  <si>
    <t>233-3</t>
  </si>
  <si>
    <t>Equipements de télédiffusion</t>
  </si>
  <si>
    <t>Fourniture, installation et mise en service de systèmes de supervision des antennes de diffusion FM et TV.</t>
  </si>
  <si>
    <t>Fourniture des équipements de contrôle audio et vidéo pour les petits centres de diffusion TV/FM</t>
  </si>
  <si>
    <t>Acquisition de matériel technique et informatique pour le déploiement de l'outil digital de gestion des ressources techniques et humains de l'Exploitation et de la Maintenance.</t>
  </si>
  <si>
    <t>Fourniture et installation des radômes pour pour la protection du feeder d’antennes du centre émetteur radio AM de Foum El Oued à Laayoune</t>
  </si>
  <si>
    <t>Fourniture, installation et mise en service des climatiseurs aux centres de diffusion de la SNRT.</t>
  </si>
  <si>
    <t>Fourniture des analyseurs de resaux électrique et les apparilles de mesure electrique</t>
  </si>
  <si>
    <t>Fourniture,installation et mise en service des commutateurs et distributeurs des signaux ASI et IP pour les centres de diffusion TNT et FM</t>
  </si>
  <si>
    <t>Fourniture des sondes FM et TNT pour le contrôle des signaux audios et vidéo des chaines radio et television de la SNRT</t>
  </si>
  <si>
    <t>Fourniture des modules et pièces de rechanges pour les émetteurs du réseau de diffusion FM.</t>
  </si>
  <si>
    <t>Fourniture des modules et pièces de rechanges pour les émetteurs du réseau de diffusion TNT.</t>
  </si>
  <si>
    <t>L'entretien et la remisre en état des systèmes de balisage des pylônes aux centres de diffusion TV/FM.</t>
  </si>
  <si>
    <t>Entretien et maintenance du syteme d'antennes du centre radio AM d'Ait Melloul</t>
  </si>
  <si>
    <t>Fourniture des duplexeurs, filtres, patchs panel, commutateurs RF et adaptateurs.</t>
  </si>
  <si>
    <t>Fourniture des modules et pièces de rechanges hydrauliques et électriques  pour les émetteurs de diffusion TNT et FM</t>
  </si>
  <si>
    <t>Fourniture  des distributeurs de puissance UHF et  FM</t>
  </si>
  <si>
    <t>Entretien et remise en état  du système de verouillage et de protection des cabines d'antennes de  centres AM</t>
  </si>
  <si>
    <t>Achat et transport du gasoil aux centres de diffusion des réseaux de la Télédiffusion</t>
  </si>
  <si>
    <t>Entretien des  systèmes de la télésurveillance des centres radio AM.</t>
  </si>
  <si>
    <t>Maintenance des cartes électronique des modules des émetteurs  des centres AM</t>
  </si>
  <si>
    <t>Travaux d'installation de materiels divers aux centres de diffusion TV/FM</t>
  </si>
  <si>
    <t>Travaux d'aménagement, d'entretien et réparation des batiments administratifs et techniques</t>
  </si>
  <si>
    <t xml:space="preserve">Travaux d'aménagement, d'entretien et réparation des ouvrages, voies et réseaux des centres de diffusion </t>
  </si>
  <si>
    <t>Désherbage, élagage et déracinement aux centres de diffusion de la SNRT</t>
  </si>
  <si>
    <t>Entretien et maintenance des équipements techniques, électriques et électroniques de télécommunications et de télégestion des centres de diffusion TV/FM</t>
  </si>
  <si>
    <t xml:space="preserve">Montage et démontage du matériel hydraulique et électromécanique du matériel des centres de diffusion </t>
  </si>
  <si>
    <t>Transfert du matériel des centres de diffusion TV/FM</t>
  </si>
  <si>
    <t>Forage du puit au centre émetteur  radio de Sidi Bennour y compris l'entretien du système de pompage  et le réservoir d'eau.</t>
  </si>
  <si>
    <t>Fourniture et pose des clôtures en grillage pour la protection des pylônes rayonnant au centre émetteur de Forum El Oued</t>
  </si>
  <si>
    <t>Changement des canalisations  d'alimentation en eau potable du centre Forum el Oued</t>
  </si>
  <si>
    <t>Entretien et maintenance du groupe froid de l'émetteur radio d'Ait Melloul</t>
  </si>
  <si>
    <t>Ajustement</t>
  </si>
  <si>
    <t>TDF - SITE</t>
  </si>
  <si>
    <t xml:space="preserve">Fourniture, installation et mise en service des émetteurs DVB-T/T2 DD avec triplexeurs pour quelques sites de diffusion </t>
  </si>
  <si>
    <t>INVESTISSEMENT</t>
  </si>
  <si>
    <t xml:space="preserve">Fourniture, installation et mise en service des émetteurs FM avec combiners pour quelques sites de diffusion </t>
  </si>
  <si>
    <t>Fourniture, installation et mise en service de nouveaux systèmes d'antennes FM pour quelques sites de diffusion.</t>
  </si>
  <si>
    <t>Fourniture, installation et mise en service d'un émetteur AM 250Kw pour Foum El Oued-Laâyoune.</t>
  </si>
  <si>
    <t>acquisition d'une nouvelle liaison de faisceaux hertzien pour un Trafic MPEG-TS/IP et IP.</t>
  </si>
  <si>
    <t xml:space="preserve">Renouvellement des plateformes existantes d'encodage et de multiplexage/Mise a niveau de la platforme existante Harmonic </t>
  </si>
  <si>
    <t>Acquisition des équipents de transmission pour les réseaux FH, satellite, contribution et tête réseau.</t>
  </si>
  <si>
    <t>Formation dans les réseaux informatiques et réseaux de transmission.</t>
  </si>
  <si>
    <t xml:space="preserve">Fourniture, installation et mise en service de deux onduleurs 150 KVA chacun </t>
  </si>
  <si>
    <t>Fourniture, installation et mise en service des groupes électrogènes</t>
  </si>
  <si>
    <t xml:space="preserve">Fourniture, installation des équipements anti surtension , mise à la terre et equipotentialité  y compris étude anti surtension </t>
  </si>
  <si>
    <t>Electricafication/augmentation MT/BT 2éme reseau de quelques sites de diffusion SNRT.</t>
  </si>
  <si>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</si>
  <si>
    <t>Acquisition de climatiseurs</t>
  </si>
  <si>
    <t>Construction pylônes</t>
  </si>
  <si>
    <t>Etudes architecturales</t>
  </si>
  <si>
    <t>BET pylônes</t>
  </si>
  <si>
    <t>Travaux de construction de nouveaux sites</t>
  </si>
  <si>
    <t>Travaux d'aménagemnt de quelques sites de diffusion.</t>
  </si>
  <si>
    <t>Raccordement BT de quelques sites de diffusion SNRT</t>
  </si>
  <si>
    <t>Aménagements des bâtiments techniques</t>
  </si>
  <si>
    <t>Entretien des pylônes et tours</t>
  </si>
  <si>
    <t>Acquisition des équipements informatiques</t>
  </si>
  <si>
    <t>Acquisition de softwares, licenses, mise à jour et logiciels</t>
  </si>
  <si>
    <t>Diagnostic des équipements de diffusion/transmission et structures portatives.</t>
  </si>
  <si>
    <t>Etudes topographiques, pilotage des projets</t>
  </si>
  <si>
    <t>Entretien et maintenance des installations électriques (MT/BT, régulateurs/stabilisateurs  onduleurs, groupes électrogènes) dans quelques sites SNRT.</t>
  </si>
  <si>
    <t>Entretien et maintenance des équipements de transmission dans quelques sites SNRT.</t>
  </si>
  <si>
    <t>Acquisition outillage et consommables</t>
  </si>
  <si>
    <t>Fourniture de pièces de rechange pour les installations MT/BT, groupes électrogènes et onduleurs, cartes, pompes, batteries de compensation, batteries des groupes, batteries pour onduleurs et Groupes électrogènes.</t>
  </si>
  <si>
    <t>Fourniture de carburants et lubrifiants pour groupes électrogènes.</t>
  </si>
  <si>
    <t>Transfert de matériel divers (GE, onduleurs, câbles, batteries, pylônes, antennes, émetteurs …)</t>
  </si>
  <si>
    <t>Démontge, montage de matériel divers (GE, onduleurs, câbles, batteries, pylônes, antennes, …)</t>
  </si>
  <si>
    <t>Réparation et maintenance des équipements de transmission.</t>
  </si>
  <si>
    <t>Etude et convention avec SRM</t>
  </si>
  <si>
    <t>Prestation satellitaire Nilesat</t>
  </si>
  <si>
    <t>612-6</t>
  </si>
  <si>
    <t>Redevances satellitaires</t>
  </si>
  <si>
    <t>Prestation satellitaire Arabsat</t>
  </si>
  <si>
    <t>Prestation satellitaire Eutelsat</t>
  </si>
  <si>
    <t>Prestation satellitaire Es'hailsat</t>
  </si>
  <si>
    <t>Prestation GlobeCast</t>
  </si>
  <si>
    <t>HACA</t>
  </si>
  <si>
    <t>ANRT</t>
  </si>
  <si>
    <t>Reconduction Marché 91/2023 Intratel</t>
  </si>
  <si>
    <t>Reconduction Marché 31/2022 PHF COM</t>
  </si>
  <si>
    <t>Reconduction Marché 82/2023 LP2E</t>
  </si>
  <si>
    <t>Reconduction Marché 47/2023 LS Telecom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</si>
</sst>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 _D_H_-;\-* #,##0.00\ _D_H_-;_-* \-??\ _D_H_-;_-@_-"/>
    <numFmt numFmtId="165" formatCode="_-* #,##0.00\ _€_-;\-* #,##0.00\ _€_-;_-* \-??\ _€_-;_-@_-"/>
  </numFmts>
  <fonts count="10" x14ac:knownFonts="1">
    <font>
      <sz val="11"/>
      <color theme="1"/>
      <name val="Calibri"/>
      <family val="2"/>
      <charset val="1"/>
    </font>
    <font>
      <b/>
      <sz val="12"/>
      <color theme="1"/>
      <name val="Book Antiqua"/>
      <family val="1"/>
      <charset val="1"/>
    </font>
    <font>
      <b/>
      <sz val="12"/>
      <color theme="0"/>
      <name val="Book Antiqua"/>
      <family val="1"/>
      <charset val="1"/>
    </font>
    <font>
      <sz val="12"/>
      <color theme="1"/>
      <name val="Book Antiqua"/>
      <family val="1"/>
      <charset val="1"/>
    </font>
    <font>
      <sz val="12"/>
      <color theme="1"/>
      <name val="Calibri"/>
      <family val="2"/>
      <charset val="1"/>
    </font>
    <font>
      <sz val="11"/>
      <color theme="1"/>
      <name val="Calibri"/>
      <family val="2"/>
      <charset val="1"/>
    </font>
    <font>
      <sz val="10"/>
      <color theme="1"/>
      <name val="Calibri"/>
      <family val="2"/>
      <charset val="1"/>
    </font>
    <font>
      <b/>
      <sz val="10"/>
      <color theme="1"/>
      <name val="Book Antiqua"/>
      <family val="1"/>
      <charset val="1"/>
    </font>
    <font>
      <b/>
      <sz val="10"/>
      <color theme="0"/>
      <name val="Book Antiqua"/>
      <family val="1"/>
      <charset val="1"/>
    </font>
    <font>
      <sz val="10"/>
      <color theme="1"/>
      <name val="Book Antiqua"/>
      <family val="1"/>
      <charset val="1"/>
    </font>
  </fonts>
  <fills count="8">
    <fill>
      <patternFill patternType="none"/>
    </fill>
    <fill>
      <patternFill patternType="gray125"/>
    </fill>
    <fill>
      <patternFill patternType="solid">
        <fgColor theme="4" tint="0.59987182226020086"/>
        <bgColor rgb="FF99CCFF"/>
      </patternFill>
    </fill>
    <fill>
      <patternFill patternType="solid">
        <fgColor theme="4" tint="-0.499984740745262"/>
        <bgColor rgb="FF003366"/>
      </patternFill>
    </fill>
    <fill>
      <patternFill patternType="solid">
        <fgColor rgb="FFF6F9D4"/>
        <bgColor rgb="FFFFFFFF"/>
      </patternFill>
    </fill>
    <fill>
      <patternFill patternType="solid">
        <fgColor rgb="FF81D41A"/>
        <bgColor rgb="FF969696"/>
      </patternFill>
    </fill>
    <fill>
      <patternFill patternType="solid">
        <fgColor rgb="FFFFFF00"/>
        <bgColor rgb="FFFFFF00"/>
      </patternFill>
    </fill>
    <fill>
      <patternFill patternType="solid">
        <fgColor rgb="FFFFFF00"/>
        <bgColor indexed="64"/>
      </patternFill>
    </fill>
  </fills>
  <borders count="5">
    <border>
      <left/>
      <right/>
      <top/>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diagonal/>
    </border>
  </borders>
  <cellStyleXfs count="2">
    <xf numFmtId="0" fontId="0" fillId="0" borderId="0"/>
    <xf numFmtId="164" fontId="5" fillId="0" borderId="0" applyBorder="0" applyProtection="0"/>
  </cellStyleXfs>
  <cellXfs count="43">
    <xf numFmtId="0" fontId="0" fillId="0" borderId="0" xfId="0"/>
    <xf numFmtId="0" fontId="0" fillId="0" borderId="0" xfId="0" applyAlignment="1" applyProtection="1"/>
    <xf numFmtId="0" fontId="2" fillId="3" borderId="2" xfId="0" applyFont="1" applyFill="1" applyBorder="1" applyAlignment="1" applyProtection="1">
      <alignment horizontal="center" vertical="center" wrapText="1"/>
    </xf>
    <xf numFmtId="164" fontId="2" fillId="3" borderId="2" xfId="1" applyFont="1" applyFill="1" applyBorder="1" applyAlignment="1" applyProtection="1">
      <alignment horizontal="center" vertical="center" wrapText="1"/>
    </xf>
    <xf numFmtId="0" fontId="2" fillId="3" borderId="2" xfId="0" applyFont="1" applyFill="1" applyBorder="1" applyAlignment="1" applyProtection="1">
      <alignment horizontal="left" vertical="center" wrapText="1"/>
    </xf>
    <xf numFmtId="0" fontId="3" fillId="0" borderId="2" xfId="0" applyFont="1" applyBorder="1" applyAlignment="1" applyProtection="1">
      <alignment horizontal="left" vertical="center" wrapText="1"/>
    </xf>
    <xf numFmtId="0" fontId="3" fillId="0" borderId="2" xfId="0" applyFont="1" applyBorder="1" applyAlignment="1" applyProtection="1">
      <alignment horizontal="center" vertical="center" wrapText="1"/>
    </xf>
    <xf numFmtId="164" fontId="3" fillId="0" borderId="2" xfId="1" applyFont="1" applyBorder="1" applyAlignment="1" applyProtection="1">
      <alignment horizontal="center" vertical="center" wrapText="1"/>
    </xf>
    <xf numFmtId="0" fontId="1" fillId="2" borderId="2" xfId="0" applyFont="1" applyFill="1" applyBorder="1" applyAlignment="1" applyProtection="1"/>
    <xf numFmtId="165" fontId="1" fillId="2" borderId="2" xfId="0" applyNumberFormat="1" applyFont="1" applyFill="1" applyBorder="1" applyAlignment="1" applyProtection="1"/>
    <xf numFmtId="0" fontId="4" fillId="0" borderId="2" xfId="0" applyFont="1" applyBorder="1" applyAlignment="1" applyProtection="1">
      <alignment horizontal="left" vertical="center" wrapText="1"/>
    </xf>
    <xf numFmtId="0" fontId="3" fillId="4" borderId="2" xfId="0" applyFont="1" applyFill="1" applyBorder="1" applyAlignment="1" applyProtection="1">
      <alignment horizontal="left" vertical="center" wrapText="1"/>
    </xf>
    <xf numFmtId="0" fontId="3" fillId="4" borderId="2" xfId="0" applyFont="1" applyFill="1" applyBorder="1" applyAlignment="1" applyProtection="1">
      <alignment horizontal="center" vertical="center" wrapText="1"/>
    </xf>
    <xf numFmtId="164" fontId="3" fillId="4" borderId="2" xfId="1" applyFont="1" applyFill="1" applyBorder="1" applyAlignment="1" applyProtection="1">
      <alignment horizontal="center" vertical="center" wrapText="1"/>
    </xf>
    <xf numFmtId="0" fontId="0" fillId="4" borderId="0" xfId="0" applyFill="1"/>
    <xf numFmtId="0" fontId="3" fillId="5" borderId="2" xfId="0" applyFont="1" applyFill="1" applyBorder="1" applyAlignment="1" applyProtection="1">
      <alignment horizontal="left" vertical="center" wrapText="1"/>
    </xf>
    <xf numFmtId="0" fontId="3" fillId="5" borderId="2" xfId="0" applyFont="1" applyFill="1" applyBorder="1" applyAlignment="1" applyProtection="1">
      <alignment horizontal="center" vertical="center" wrapText="1"/>
    </xf>
    <xf numFmtId="164" fontId="3" fillId="5" borderId="2" xfId="1" applyFont="1" applyFill="1" applyBorder="1" applyAlignment="1" applyProtection="1">
      <alignment horizontal="center" vertical="center" wrapText="1"/>
    </xf>
    <xf numFmtId="0" fontId="0" fillId="5" borderId="0" xfId="0" applyFill="1" applyAlignment="1" applyProtection="1"/>
    <xf numFmtId="0" fontId="3" fillId="0" borderId="4" xfId="0" applyFont="1" applyBorder="1" applyAlignment="1" applyProtection="1">
      <alignment horizontal="left" vertical="center" wrapText="1"/>
    </xf>
    <xf numFmtId="0" fontId="3" fillId="0" borderId="4" xfId="0" applyFont="1" applyBorder="1" applyAlignment="1" applyProtection="1">
      <alignment horizontal="center" vertical="center" wrapText="1"/>
    </xf>
    <xf numFmtId="164" fontId="3" fillId="0" borderId="4" xfId="1" applyFont="1" applyBorder="1" applyAlignment="1" applyProtection="1">
      <alignment horizontal="center" vertical="center" wrapText="1"/>
    </xf>
    <xf numFmtId="0" fontId="3" fillId="6" borderId="2" xfId="0" applyFont="1" applyFill="1" applyBorder="1" applyAlignment="1" applyProtection="1">
      <alignment horizontal="left" vertical="center" wrapText="1"/>
    </xf>
    <xf numFmtId="0" fontId="3" fillId="6" borderId="2" xfId="0" applyFont="1" applyFill="1" applyBorder="1" applyAlignment="1" applyProtection="1">
      <alignment horizontal="center" vertical="center" wrapText="1"/>
    </xf>
    <xf numFmtId="164" fontId="3" fillId="6" borderId="2" xfId="1" applyFont="1" applyFill="1" applyBorder="1" applyAlignment="1" applyProtection="1">
      <alignment horizontal="center" vertical="center" wrapText="1"/>
    </xf>
    <xf numFmtId="0" fontId="6" fillId="0" borderId="0" xfId="0" applyFont="1" applyAlignment="1" applyProtection="1"/>
    <xf numFmtId="0" fontId="6" fillId="0" borderId="0" xfId="0" applyFont="1"/>
    <xf numFmtId="0" fontId="8" fillId="3" borderId="2" xfId="0" applyFont="1" applyFill="1" applyBorder="1" applyAlignment="1" applyProtection="1">
      <alignment horizontal="center" vertical="center" wrapText="1"/>
    </xf>
    <xf numFmtId="164" fontId="8" fillId="3" borderId="2" xfId="1" applyFont="1" applyFill="1" applyBorder="1" applyAlignment="1" applyProtection="1">
      <alignment horizontal="center" vertical="center" wrapText="1"/>
    </xf>
    <xf numFmtId="0" fontId="8" fillId="3" borderId="2" xfId="0" applyFont="1" applyFill="1" applyBorder="1" applyAlignment="1" applyProtection="1">
      <alignment horizontal="left" vertical="center" wrapText="1"/>
    </xf>
    <xf numFmtId="0" fontId="9" fillId="0" borderId="2" xfId="0" applyFont="1" applyBorder="1" applyAlignment="1" applyProtection="1">
      <alignment horizontal="left" vertical="center" wrapText="1"/>
    </xf>
    <xf numFmtId="0" fontId="9" fillId="0" borderId="2" xfId="0" applyFont="1" applyBorder="1" applyAlignment="1" applyProtection="1">
      <alignment horizontal="center" vertical="center" wrapText="1"/>
    </xf>
    <xf numFmtId="164" fontId="9" fillId="0" borderId="2" xfId="1" applyFont="1" applyBorder="1" applyAlignment="1" applyProtection="1">
      <alignment horizontal="center" vertical="center" wrapText="1"/>
    </xf>
    <xf numFmtId="0" fontId="7" fillId="2" borderId="2" xfId="0" applyFont="1" applyFill="1" applyBorder="1" applyAlignment="1" applyProtection="1"/>
    <xf numFmtId="165" fontId="7" fillId="2" borderId="2" xfId="0" applyNumberFormat="1" applyFont="1" applyFill="1" applyBorder="1" applyAlignment="1" applyProtection="1"/>
    <xf numFmtId="14" fontId="0" fillId="0" borderId="0" xfId="0" applyNumberFormat="1"/>
    <xf numFmtId="0" fontId="1" fillId="2" borderId="1" xfId="0" applyFont="1" applyFill="1" applyBorder="1" applyAlignment="1" applyProtection="1">
      <alignment horizontal="center" vertical="center" wrapText="1"/>
    </xf>
    <xf numFmtId="0" fontId="1" fillId="2" borderId="3" xfId="0" applyFont="1" applyFill="1" applyBorder="1" applyAlignment="1" applyProtection="1">
      <alignment horizontal="center" vertical="center" wrapText="1"/>
    </xf>
    <xf numFmtId="0" fontId="7" fillId="2" borderId="3" xfId="0" applyFont="1" applyFill="1" applyBorder="1" applyAlignment="1" applyProtection="1">
      <alignment horizontal="center" vertical="center" wrapText="1"/>
    </xf>
    <xf numFmtId="0" fontId="3" fillId="7" borderId="2" xfId="0" applyFont="1" applyFill="1" applyBorder="1" applyAlignment="1" applyProtection="1">
      <alignment horizontal="left" vertical="center" wrapText="1"/>
    </xf>
    <xf numFmtId="0" fontId="3" fillId="7" borderId="2" xfId="0" applyFont="1" applyFill="1" applyBorder="1" applyAlignment="1" applyProtection="1">
      <alignment horizontal="center" vertical="center" wrapText="1"/>
    </xf>
    <xf numFmtId="164" fontId="3" fillId="7" borderId="2" xfId="1" applyFont="1" applyFill="1" applyBorder="1" applyAlignment="1" applyProtection="1">
      <alignment horizontal="center" vertical="center" wrapText="1"/>
    </xf>
    <xf numFmtId="0" fontId="0" fillId="7" borderId="0" xfId="0" applyFill="1"/>
  </cellXfs>
  <cellStyles count="2">
    <cellStyle name="Milliers" xfId="1" builtin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9D4"/>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bourouis/Documents/Poste%20secou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ste"/>
    </sheetNames>
    <sheetDataSet>
      <sheetData sheetId="0" refreshError="1"/>
    </sheetDataSet>
  </externalBook>
</externalLink>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7"/>
  <sheetViews>
    <sheetView zoomScaleNormal="100" workbookViewId="0">
      <selection activeCell="A26" activeCellId="1" sqref="C5:C9 A26"/>
    </sheetView>
  </sheetViews>
  <sheetFormatPr baseColWidth="10" defaultColWidth="28.28515625" defaultRowHeight="12.75" customHeight="1" x14ac:dyDescent="0.25"/>
  <cols>
    <col min="1" max="1" width="120.42578125" style="1" customWidth="1"/>
    <col min="2" max="2" width="40.140625" style="1" customWidth="1"/>
    <col min="3" max="3" width="28.42578125" style="1" customWidth="1"/>
    <col min="4" max="4" width="11.85546875" style="1" customWidth="1"/>
    <col min="5" max="5" width="48.140625" style="1" customWidth="1"/>
  </cols>
  <sheetData>
    <row r="1" spans="1:5" ht="15" x14ac:dyDescent="0.25"/>
    <row r="2" spans="1:5" ht="15" customHeight="1" x14ac:dyDescent="0.25">
      <c r="A2" s="36" t="s">
        <v>0</v>
      </c>
      <c r="B2" s="36"/>
      <c r="C2" s="36"/>
      <c r="D2" s="36"/>
      <c r="E2" s="36"/>
    </row>
    <row r="3" spans="1:5" ht="15" x14ac:dyDescent="0.25"/>
    <row r="4" spans="1:5" ht="33" x14ac:dyDescent="0.25">
      <c r="A4" s="2" t="s">
        <v>1</v>
      </c>
      <c r="B4" s="2" t="s">
        <v>2</v>
      </c>
      <c r="C4" s="3" t="s">
        <v>3</v>
      </c>
      <c r="D4" s="3" t="s">
        <v>4</v>
      </c>
      <c r="E4" s="4" t="s">
        <v>5</v>
      </c>
    </row>
    <row r="5" spans="1:5" ht="15.75" x14ac:dyDescent="0.25">
      <c r="A5" s="5" t="s">
        <v>6</v>
      </c>
      <c r="B5" s="6" t="s">
        <v>7</v>
      </c>
      <c r="C5" s="7">
        <v>144000</v>
      </c>
      <c r="D5" s="7" t="s">
        <v>8</v>
      </c>
      <c r="E5" s="5" t="e">
        <f>VLOOKUP(D5,[1]Poste!E:F,2,FALSE())</f>
        <v>#N/A</v>
      </c>
    </row>
    <row r="6" spans="1:5" ht="15.75" x14ac:dyDescent="0.25">
      <c r="A6" s="5" t="s">
        <v>6</v>
      </c>
      <c r="B6" s="6" t="s">
        <v>7</v>
      </c>
      <c r="C6" s="7">
        <v>144000</v>
      </c>
      <c r="D6" s="7" t="s">
        <v>8</v>
      </c>
      <c r="E6" s="5" t="e">
        <f>VLOOKUP(D6,[1]Poste!E:F,2,FALSE())</f>
        <v>#N/A</v>
      </c>
    </row>
    <row r="7" spans="1:5" ht="15.75" x14ac:dyDescent="0.25">
      <c r="A7" s="5" t="s">
        <v>6</v>
      </c>
      <c r="B7" s="6" t="s">
        <v>7</v>
      </c>
      <c r="C7" s="7">
        <v>144000</v>
      </c>
      <c r="D7" s="7" t="s">
        <v>8</v>
      </c>
      <c r="E7" s="5" t="e">
        <f>VLOOKUP(D7,[1]Poste!E:F,2,FALSE())</f>
        <v>#N/A</v>
      </c>
    </row>
    <row r="8" spans="1:5" ht="15.75" x14ac:dyDescent="0.25">
      <c r="A8" s="5" t="s">
        <v>6</v>
      </c>
      <c r="B8" s="6" t="s">
        <v>7</v>
      </c>
      <c r="C8" s="7">
        <v>144000</v>
      </c>
      <c r="D8" s="7" t="s">
        <v>8</v>
      </c>
      <c r="E8" s="5" t="e">
        <f>VLOOKUP(D8,[1]Poste!E:F,2,FALSE())</f>
        <v>#N/A</v>
      </c>
    </row>
    <row r="9" spans="1:5" ht="15.75" x14ac:dyDescent="0.25">
      <c r="A9" s="5" t="s">
        <v>6</v>
      </c>
      <c r="B9" s="6" t="s">
        <v>7</v>
      </c>
      <c r="C9" s="7">
        <v>100800</v>
      </c>
      <c r="D9" s="7" t="s">
        <v>8</v>
      </c>
      <c r="E9" s="5" t="e">
        <f>VLOOKUP(D9,[1]Poste!E:F,2,FALSE())</f>
        <v>#N/A</v>
      </c>
    </row>
    <row r="10" spans="1:5" ht="15.75" x14ac:dyDescent="0.25">
      <c r="A10" s="5" t="s">
        <v>6</v>
      </c>
      <c r="B10" s="6" t="s">
        <v>7</v>
      </c>
      <c r="C10" s="7">
        <v>100800</v>
      </c>
      <c r="D10" s="7" t="s">
        <v>8</v>
      </c>
      <c r="E10" s="5" t="e">
        <f>VLOOKUP(D10,[1]Poste!E:F,2,FALSE())</f>
        <v>#N/A</v>
      </c>
    </row>
    <row r="11" spans="1:5" ht="15.75" x14ac:dyDescent="0.25">
      <c r="A11" s="5" t="s">
        <v>6</v>
      </c>
      <c r="B11" s="6" t="s">
        <v>7</v>
      </c>
      <c r="C11" s="7">
        <v>100800</v>
      </c>
      <c r="D11" s="7" t="s">
        <v>8</v>
      </c>
      <c r="E11" s="5" t="e">
        <f>VLOOKUP(D11,[1]Poste!E:F,2,FALSE())</f>
        <v>#N/A</v>
      </c>
    </row>
    <row r="12" spans="1:5" ht="15.75" x14ac:dyDescent="0.25">
      <c r="A12" s="5" t="s">
        <v>6</v>
      </c>
      <c r="B12" s="6" t="s">
        <v>7</v>
      </c>
      <c r="C12" s="7">
        <v>100800</v>
      </c>
      <c r="D12" s="7" t="s">
        <v>8</v>
      </c>
      <c r="E12" s="5" t="e">
        <f>VLOOKUP(D12,[1]Poste!E:F,2,FALSE())</f>
        <v>#N/A</v>
      </c>
    </row>
    <row r="13" spans="1:5" ht="15.75" x14ac:dyDescent="0.25">
      <c r="A13" s="5" t="s">
        <v>6</v>
      </c>
      <c r="B13" s="6" t="s">
        <v>7</v>
      </c>
      <c r="C13" s="7">
        <v>72000</v>
      </c>
      <c r="D13" s="7" t="s">
        <v>8</v>
      </c>
      <c r="E13" s="5" t="e">
        <f>VLOOKUP(D13,[1]Poste!E:F,2,FALSE())</f>
        <v>#N/A</v>
      </c>
    </row>
    <row r="14" spans="1:5" ht="31.5" x14ac:dyDescent="0.25">
      <c r="A14" s="5" t="s">
        <v>9</v>
      </c>
      <c r="B14" s="6" t="s">
        <v>7</v>
      </c>
      <c r="C14" s="7">
        <v>144000</v>
      </c>
      <c r="D14" s="7" t="s">
        <v>8</v>
      </c>
      <c r="E14" s="5" t="e">
        <f>VLOOKUP(D14,[1]Poste!E:F,2,FALSE())</f>
        <v>#N/A</v>
      </c>
    </row>
    <row r="15" spans="1:5" ht="31.5" x14ac:dyDescent="0.25">
      <c r="A15" s="5" t="s">
        <v>9</v>
      </c>
      <c r="B15" s="6" t="s">
        <v>7</v>
      </c>
      <c r="C15" s="7">
        <v>100800</v>
      </c>
      <c r="D15" s="7" t="s">
        <v>8</v>
      </c>
      <c r="E15" s="5" t="e">
        <f>VLOOKUP(D15,[1]Poste!E:F,2,FALSE())</f>
        <v>#N/A</v>
      </c>
    </row>
    <row r="16" spans="1:5" ht="31.5" x14ac:dyDescent="0.25">
      <c r="A16" s="5" t="s">
        <v>9</v>
      </c>
      <c r="B16" s="6" t="s">
        <v>7</v>
      </c>
      <c r="C16" s="7">
        <v>100800</v>
      </c>
      <c r="D16" s="7" t="s">
        <v>8</v>
      </c>
      <c r="E16" s="5" t="e">
        <f>VLOOKUP(D16,[1]Poste!E:F,2,FALSE())</f>
        <v>#N/A</v>
      </c>
    </row>
    <row r="17" spans="1:5" ht="31.5" x14ac:dyDescent="0.25">
      <c r="A17" s="5" t="s">
        <v>9</v>
      </c>
      <c r="B17" s="6" t="s">
        <v>7</v>
      </c>
      <c r="C17" s="7">
        <v>72000</v>
      </c>
      <c r="D17" s="7" t="s">
        <v>8</v>
      </c>
      <c r="E17" s="5" t="e">
        <f>VLOOKUP(D17,[1]Poste!E:F,2,FALSE())</f>
        <v>#N/A</v>
      </c>
    </row>
    <row r="18" spans="1:5" ht="47.25" x14ac:dyDescent="0.25">
      <c r="A18" s="5" t="s">
        <v>10</v>
      </c>
      <c r="B18" s="6" t="s">
        <v>7</v>
      </c>
      <c r="C18" s="7">
        <v>80000</v>
      </c>
      <c r="D18" s="7" t="s">
        <v>8</v>
      </c>
      <c r="E18" s="5" t="e">
        <f>VLOOKUP(D18,[1]Poste!E:F,2,FALSE())</f>
        <v>#N/A</v>
      </c>
    </row>
    <row r="19" spans="1:5" ht="47.25" x14ac:dyDescent="0.25">
      <c r="A19" s="5" t="s">
        <v>11</v>
      </c>
      <c r="B19" s="6" t="s">
        <v>7</v>
      </c>
      <c r="C19" s="7">
        <v>120000</v>
      </c>
      <c r="D19" s="7" t="s">
        <v>8</v>
      </c>
      <c r="E19" s="5" t="e">
        <f>VLOOKUP(D19,[1]Poste!E:F,2,FALSE())</f>
        <v>#N/A</v>
      </c>
    </row>
    <row r="20" spans="1:5" ht="15.75" x14ac:dyDescent="0.25">
      <c r="A20" s="5" t="s">
        <v>12</v>
      </c>
      <c r="B20" s="6" t="s">
        <v>7</v>
      </c>
      <c r="C20" s="7">
        <v>300000</v>
      </c>
      <c r="D20" s="7" t="s">
        <v>13</v>
      </c>
      <c r="E20" s="5" t="e">
        <f>VLOOKUP(D20,[1]Poste!E:F,2,FALSE())</f>
        <v>#N/A</v>
      </c>
    </row>
    <row r="21" spans="1:5" ht="15.75" x14ac:dyDescent="0.25">
      <c r="A21" s="5" t="s">
        <v>14</v>
      </c>
      <c r="B21" s="6" t="s">
        <v>7</v>
      </c>
      <c r="C21" s="7">
        <v>50000</v>
      </c>
      <c r="D21" s="7" t="s">
        <v>8</v>
      </c>
      <c r="E21" s="5" t="e">
        <f>VLOOKUP(D21,[1]Poste!E:F,2,FALSE())</f>
        <v>#N/A</v>
      </c>
    </row>
    <row r="22" spans="1:5" ht="15.75" x14ac:dyDescent="0.25">
      <c r="A22" s="5" t="s">
        <v>15</v>
      </c>
      <c r="B22" s="6" t="s">
        <v>7</v>
      </c>
      <c r="C22" s="7">
        <v>150000</v>
      </c>
      <c r="D22" s="7" t="s">
        <v>16</v>
      </c>
      <c r="E22" s="5" t="e">
        <f>VLOOKUP(D22,[1]Poste!E:F,2,FALSE())</f>
        <v>#N/A</v>
      </c>
    </row>
    <row r="23" spans="1:5" ht="31.5" x14ac:dyDescent="0.25">
      <c r="A23" s="5" t="s">
        <v>17</v>
      </c>
      <c r="B23" s="6" t="s">
        <v>7</v>
      </c>
      <c r="C23" s="7">
        <v>60000</v>
      </c>
      <c r="D23" s="7" t="s">
        <v>8</v>
      </c>
      <c r="E23" s="5" t="e">
        <f>VLOOKUP(D23,[1]Poste!E:F,2,FALSE())</f>
        <v>#N/A</v>
      </c>
    </row>
    <row r="24" spans="1:5" ht="15.75" x14ac:dyDescent="0.25">
      <c r="A24" s="5" t="s">
        <v>18</v>
      </c>
      <c r="B24" s="6" t="s">
        <v>19</v>
      </c>
      <c r="C24" s="7">
        <v>150000</v>
      </c>
      <c r="D24" s="7" t="s">
        <v>20</v>
      </c>
      <c r="E24" s="5" t="e">
        <f>VLOOKUP(D24,[1]Poste!E:F,2,FALSE())</f>
        <v>#N/A</v>
      </c>
    </row>
    <row r="25" spans="1:5" ht="15.75" x14ac:dyDescent="0.25">
      <c r="A25" s="5" t="s">
        <v>21</v>
      </c>
      <c r="B25" s="6" t="s">
        <v>19</v>
      </c>
      <c r="C25" s="7">
        <v>150000</v>
      </c>
      <c r="D25" s="7" t="s">
        <v>20</v>
      </c>
      <c r="E25" s="5" t="e">
        <f>VLOOKUP(D25,[1]Poste!E:F,2,FALSE())</f>
        <v>#N/A</v>
      </c>
    </row>
    <row r="26" spans="1:5" ht="15.75" x14ac:dyDescent="0.25">
      <c r="A26" s="5" t="s">
        <v>22</v>
      </c>
      <c r="B26" s="6" t="s">
        <v>7</v>
      </c>
      <c r="C26" s="7">
        <v>2800000</v>
      </c>
      <c r="D26" s="7" t="s">
        <v>23</v>
      </c>
      <c r="E26" s="5" t="e">
        <f>VLOOKUP(D26,[1]Poste!E:F,2,FALSE())</f>
        <v>#N/A</v>
      </c>
    </row>
    <row r="27" spans="1:5" ht="16.5" x14ac:dyDescent="0.3">
      <c r="B27" s="8" t="s">
        <v>24</v>
      </c>
      <c r="C27" s="9">
        <f>+SUM(C5:C26)</f>
        <v>5328800</v>
      </c>
    </row>
  </sheetData>
  <mergeCells count="1">
    <mergeCell ref="A2:E2"/>
  </mergeCells>
  <pageMargins left="0.7" right="0.7" top="0.75" bottom="0.75" header="0.511811023622047" footer="0.511811023622047"/>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8"/>
  <sheetViews>
    <sheetView zoomScaleNormal="100" workbookViewId="0">
      <selection activeCell="A46" activeCellId="1" sqref="C5:C9 A46"/>
    </sheetView>
  </sheetViews>
  <sheetFormatPr baseColWidth="10" defaultColWidth="56.140625" defaultRowHeight="12.75" customHeight="1" x14ac:dyDescent="0.25"/>
  <cols>
    <col min="1" max="1" width="103" style="1" customWidth="1"/>
    <col min="2" max="2" width="74.140625" style="1" customWidth="1"/>
    <col min="3" max="3" width="43" style="1" customWidth="1"/>
    <col min="4" max="4" width="10.42578125" style="1" customWidth="1"/>
    <col min="5" max="5" width="53" style="1" customWidth="1"/>
    <col min="6" max="6" width="21.5703125" style="1" customWidth="1"/>
  </cols>
  <sheetData>
    <row r="1" spans="1:5" ht="15" x14ac:dyDescent="0.25"/>
    <row r="2" spans="1:5" ht="15" customHeight="1" x14ac:dyDescent="0.25">
      <c r="A2" s="37" t="s">
        <v>25</v>
      </c>
      <c r="B2" s="37"/>
      <c r="C2" s="37"/>
      <c r="D2" s="37"/>
      <c r="E2" s="37"/>
    </row>
    <row r="3" spans="1:5" ht="15" x14ac:dyDescent="0.25"/>
    <row r="4" spans="1:5" ht="16.5" x14ac:dyDescent="0.25">
      <c r="A4" s="2" t="s">
        <v>1</v>
      </c>
      <c r="B4" s="2" t="s">
        <v>2</v>
      </c>
      <c r="C4" s="3" t="s">
        <v>3</v>
      </c>
      <c r="D4" s="3" t="s">
        <v>4</v>
      </c>
      <c r="E4" s="4" t="s">
        <v>5</v>
      </c>
    </row>
    <row r="5" spans="1:5" ht="15.75" x14ac:dyDescent="0.25">
      <c r="A5" s="5" t="s">
        <v>26</v>
      </c>
      <c r="B5" s="6" t="s">
        <v>7</v>
      </c>
      <c r="C5" s="7">
        <v>84000</v>
      </c>
      <c r="D5" s="7" t="s">
        <v>8</v>
      </c>
      <c r="E5" s="5" t="s">
        <v>27</v>
      </c>
    </row>
    <row r="6" spans="1:5" ht="15.75" x14ac:dyDescent="0.25">
      <c r="A6" s="5" t="s">
        <v>28</v>
      </c>
      <c r="B6" s="6" t="s">
        <v>7</v>
      </c>
      <c r="C6" s="7">
        <v>109200</v>
      </c>
      <c r="D6" s="7" t="s">
        <v>8</v>
      </c>
      <c r="E6" s="5" t="s">
        <v>27</v>
      </c>
    </row>
    <row r="7" spans="1:5" ht="15.75" x14ac:dyDescent="0.25">
      <c r="A7" s="5" t="s">
        <v>29</v>
      </c>
      <c r="B7" s="6" t="s">
        <v>7</v>
      </c>
      <c r="C7" s="7">
        <v>124800</v>
      </c>
      <c r="D7" s="7" t="s">
        <v>8</v>
      </c>
      <c r="E7" s="5" t="s">
        <v>27</v>
      </c>
    </row>
    <row r="8" spans="1:5" ht="15.75" x14ac:dyDescent="0.25">
      <c r="A8" s="5" t="s">
        <v>30</v>
      </c>
      <c r="B8" s="6" t="s">
        <v>7</v>
      </c>
      <c r="C8" s="7">
        <v>85800</v>
      </c>
      <c r="D8" s="7" t="s">
        <v>8</v>
      </c>
      <c r="E8" s="5" t="s">
        <v>27</v>
      </c>
    </row>
    <row r="9" spans="1:5" ht="15.75" x14ac:dyDescent="0.25">
      <c r="A9" s="5" t="s">
        <v>31</v>
      </c>
      <c r="B9" s="6" t="s">
        <v>7</v>
      </c>
      <c r="C9" s="7">
        <v>84000</v>
      </c>
      <c r="D9" s="7" t="s">
        <v>8</v>
      </c>
      <c r="E9" s="5" t="s">
        <v>27</v>
      </c>
    </row>
    <row r="10" spans="1:5" ht="15.75" x14ac:dyDescent="0.25">
      <c r="A10" s="5" t="s">
        <v>32</v>
      </c>
      <c r="B10" s="6" t="s">
        <v>7</v>
      </c>
      <c r="C10" s="7">
        <v>109200</v>
      </c>
      <c r="D10" s="7" t="s">
        <v>8</v>
      </c>
      <c r="E10" s="5" t="s">
        <v>27</v>
      </c>
    </row>
    <row r="11" spans="1:5" ht="15.75" x14ac:dyDescent="0.25">
      <c r="A11" s="5" t="s">
        <v>33</v>
      </c>
      <c r="B11" s="6" t="s">
        <v>7</v>
      </c>
      <c r="C11" s="7">
        <v>78000</v>
      </c>
      <c r="D11" s="7" t="s">
        <v>8</v>
      </c>
      <c r="E11" s="5" t="s">
        <v>27</v>
      </c>
    </row>
    <row r="12" spans="1:5" ht="15.75" x14ac:dyDescent="0.25">
      <c r="A12" s="5" t="s">
        <v>34</v>
      </c>
      <c r="B12" s="6" t="s">
        <v>7</v>
      </c>
      <c r="C12" s="7">
        <v>62400</v>
      </c>
      <c r="D12" s="7" t="s">
        <v>8</v>
      </c>
      <c r="E12" s="5" t="s">
        <v>27</v>
      </c>
    </row>
    <row r="13" spans="1:5" ht="15.75" x14ac:dyDescent="0.25">
      <c r="A13" s="5" t="s">
        <v>33</v>
      </c>
      <c r="B13" s="6" t="s">
        <v>7</v>
      </c>
      <c r="C13" s="7">
        <v>72000</v>
      </c>
      <c r="D13" s="7" t="s">
        <v>8</v>
      </c>
      <c r="E13" s="5" t="s">
        <v>27</v>
      </c>
    </row>
    <row r="14" spans="1:5" ht="15.75" x14ac:dyDescent="0.25">
      <c r="A14" s="5" t="s">
        <v>35</v>
      </c>
      <c r="B14" s="6" t="s">
        <v>7</v>
      </c>
      <c r="C14" s="7">
        <v>90000</v>
      </c>
      <c r="D14" s="7" t="s">
        <v>8</v>
      </c>
      <c r="E14" s="5" t="s">
        <v>27</v>
      </c>
    </row>
    <row r="15" spans="1:5" ht="15.75" x14ac:dyDescent="0.25">
      <c r="A15" s="5" t="s">
        <v>36</v>
      </c>
      <c r="B15" s="6" t="s">
        <v>7</v>
      </c>
      <c r="C15" s="7">
        <v>84000</v>
      </c>
      <c r="D15" s="7" t="s">
        <v>8</v>
      </c>
      <c r="E15" s="5" t="s">
        <v>27</v>
      </c>
    </row>
    <row r="16" spans="1:5" ht="15.75" x14ac:dyDescent="0.25">
      <c r="A16" s="5" t="s">
        <v>37</v>
      </c>
      <c r="B16" s="6" t="s">
        <v>7</v>
      </c>
      <c r="C16" s="7">
        <v>84000</v>
      </c>
      <c r="D16" s="7" t="s">
        <v>8</v>
      </c>
      <c r="E16" s="5" t="s">
        <v>27</v>
      </c>
    </row>
    <row r="17" spans="1:5" ht="15.75" x14ac:dyDescent="0.25">
      <c r="A17" s="5" t="s">
        <v>38</v>
      </c>
      <c r="B17" s="6" t="s">
        <v>7</v>
      </c>
      <c r="C17" s="7">
        <v>96000</v>
      </c>
      <c r="D17" s="7" t="s">
        <v>8</v>
      </c>
      <c r="E17" s="5" t="s">
        <v>27</v>
      </c>
    </row>
    <row r="18" spans="1:5" ht="15.75" x14ac:dyDescent="0.25">
      <c r="A18" s="5" t="s">
        <v>32</v>
      </c>
      <c r="B18" s="6" t="s">
        <v>7</v>
      </c>
      <c r="C18" s="7">
        <v>108000</v>
      </c>
      <c r="D18" s="7" t="s">
        <v>8</v>
      </c>
      <c r="E18" s="5" t="s">
        <v>27</v>
      </c>
    </row>
    <row r="19" spans="1:5" ht="15.75" x14ac:dyDescent="0.25">
      <c r="A19" s="5" t="s">
        <v>39</v>
      </c>
      <c r="B19" s="6" t="s">
        <v>7</v>
      </c>
      <c r="C19" s="7">
        <v>96000</v>
      </c>
      <c r="D19" s="7" t="s">
        <v>8</v>
      </c>
      <c r="E19" s="5" t="s">
        <v>27</v>
      </c>
    </row>
    <row r="20" spans="1:5" ht="15.75" x14ac:dyDescent="0.25">
      <c r="A20" s="5" t="s">
        <v>39</v>
      </c>
      <c r="B20" s="6" t="s">
        <v>7</v>
      </c>
      <c r="C20" s="7">
        <v>78000</v>
      </c>
      <c r="D20" s="7" t="s">
        <v>8</v>
      </c>
      <c r="E20" s="5" t="s">
        <v>27</v>
      </c>
    </row>
    <row r="21" spans="1:5" ht="15.75" x14ac:dyDescent="0.25">
      <c r="A21" s="5" t="s">
        <v>39</v>
      </c>
      <c r="B21" s="6" t="s">
        <v>7</v>
      </c>
      <c r="C21" s="7">
        <v>84000</v>
      </c>
      <c r="D21" s="7" t="s">
        <v>8</v>
      </c>
      <c r="E21" s="5" t="s">
        <v>27</v>
      </c>
    </row>
    <row r="22" spans="1:5" ht="15.75" x14ac:dyDescent="0.25">
      <c r="A22" s="5" t="s">
        <v>39</v>
      </c>
      <c r="B22" s="6" t="s">
        <v>7</v>
      </c>
      <c r="C22" s="7">
        <v>96000</v>
      </c>
      <c r="D22" s="7" t="s">
        <v>8</v>
      </c>
      <c r="E22" s="5" t="s">
        <v>27</v>
      </c>
    </row>
    <row r="23" spans="1:5" ht="15.75" x14ac:dyDescent="0.25">
      <c r="A23" s="5" t="s">
        <v>40</v>
      </c>
      <c r="B23" s="6" t="s">
        <v>7</v>
      </c>
      <c r="C23" s="7">
        <v>96000</v>
      </c>
      <c r="D23" s="7" t="s">
        <v>8</v>
      </c>
      <c r="E23" s="5" t="s">
        <v>27</v>
      </c>
    </row>
    <row r="24" spans="1:5" ht="15.75" x14ac:dyDescent="0.25">
      <c r="A24" s="5" t="s">
        <v>41</v>
      </c>
      <c r="B24" s="6" t="s">
        <v>7</v>
      </c>
      <c r="C24" s="7">
        <v>72000</v>
      </c>
      <c r="D24" s="7" t="s">
        <v>8</v>
      </c>
      <c r="E24" s="5" t="s">
        <v>27</v>
      </c>
    </row>
    <row r="25" spans="1:5" ht="15.75" x14ac:dyDescent="0.25">
      <c r="A25" s="5" t="s">
        <v>42</v>
      </c>
      <c r="B25" s="6" t="s">
        <v>7</v>
      </c>
      <c r="C25" s="7">
        <v>72000</v>
      </c>
      <c r="D25" s="7" t="s">
        <v>8</v>
      </c>
      <c r="E25" s="5" t="s">
        <v>27</v>
      </c>
    </row>
    <row r="26" spans="1:5" ht="15.75" x14ac:dyDescent="0.25">
      <c r="A26" s="5" t="s">
        <v>43</v>
      </c>
      <c r="B26" s="6" t="s">
        <v>7</v>
      </c>
      <c r="C26" s="7">
        <v>96000</v>
      </c>
      <c r="D26" s="7" t="s">
        <v>8</v>
      </c>
      <c r="E26" s="5" t="s">
        <v>27</v>
      </c>
    </row>
    <row r="27" spans="1:5" ht="15.75" x14ac:dyDescent="0.25">
      <c r="A27" s="5" t="s">
        <v>44</v>
      </c>
      <c r="B27" s="6" t="s">
        <v>7</v>
      </c>
      <c r="C27" s="7">
        <v>144000</v>
      </c>
      <c r="D27" s="7" t="s">
        <v>8</v>
      </c>
      <c r="E27" s="5" t="s">
        <v>27</v>
      </c>
    </row>
    <row r="28" spans="1:5" ht="15.75" x14ac:dyDescent="0.25">
      <c r="A28" s="5" t="s">
        <v>37</v>
      </c>
      <c r="B28" s="6" t="s">
        <v>7</v>
      </c>
      <c r="C28" s="7">
        <v>84000</v>
      </c>
      <c r="D28" s="7" t="s">
        <v>8</v>
      </c>
      <c r="E28" s="5" t="s">
        <v>27</v>
      </c>
    </row>
    <row r="29" spans="1:5" ht="15.75" x14ac:dyDescent="0.25">
      <c r="A29" s="5" t="s">
        <v>43</v>
      </c>
      <c r="B29" s="6" t="s">
        <v>7</v>
      </c>
      <c r="C29" s="7">
        <v>132000</v>
      </c>
      <c r="D29" s="7" t="s">
        <v>8</v>
      </c>
      <c r="E29" s="5" t="s">
        <v>27</v>
      </c>
    </row>
    <row r="30" spans="1:5" ht="15.75" x14ac:dyDescent="0.25">
      <c r="A30" s="5" t="s">
        <v>45</v>
      </c>
      <c r="B30" s="6" t="s">
        <v>7</v>
      </c>
      <c r="C30" s="7">
        <v>96000</v>
      </c>
      <c r="D30" s="7" t="s">
        <v>8</v>
      </c>
      <c r="E30" s="5" t="s">
        <v>27</v>
      </c>
    </row>
    <row r="31" spans="1:5" ht="15.75" x14ac:dyDescent="0.25">
      <c r="A31" s="5" t="s">
        <v>30</v>
      </c>
      <c r="B31" s="6" t="s">
        <v>7</v>
      </c>
      <c r="C31" s="7">
        <v>124800</v>
      </c>
      <c r="D31" s="7" t="s">
        <v>8</v>
      </c>
      <c r="E31" s="5" t="s">
        <v>27</v>
      </c>
    </row>
    <row r="32" spans="1:5" ht="15.75" x14ac:dyDescent="0.25">
      <c r="A32" s="5" t="s">
        <v>46</v>
      </c>
      <c r="B32" s="6" t="s">
        <v>7</v>
      </c>
      <c r="C32" s="7">
        <v>171428.52</v>
      </c>
      <c r="D32" s="7" t="s">
        <v>8</v>
      </c>
      <c r="E32" s="5" t="s">
        <v>27</v>
      </c>
    </row>
    <row r="33" spans="1:5" ht="15.75" x14ac:dyDescent="0.25">
      <c r="A33" s="5" t="s">
        <v>47</v>
      </c>
      <c r="B33" s="6" t="s">
        <v>7</v>
      </c>
      <c r="C33" s="7">
        <v>180000</v>
      </c>
      <c r="D33" s="7" t="s">
        <v>8</v>
      </c>
      <c r="E33" s="5" t="s">
        <v>27</v>
      </c>
    </row>
    <row r="34" spans="1:5" ht="15.75" x14ac:dyDescent="0.25">
      <c r="A34" s="5" t="s">
        <v>46</v>
      </c>
      <c r="B34" s="6" t="s">
        <v>7</v>
      </c>
      <c r="C34" s="7">
        <v>120000</v>
      </c>
      <c r="D34" s="7" t="s">
        <v>8</v>
      </c>
      <c r="E34" s="5" t="s">
        <v>27</v>
      </c>
    </row>
    <row r="35" spans="1:5" ht="15.75" x14ac:dyDescent="0.25">
      <c r="A35" s="5" t="s">
        <v>48</v>
      </c>
      <c r="B35" s="6" t="s">
        <v>7</v>
      </c>
      <c r="C35" s="7">
        <v>96000</v>
      </c>
      <c r="D35" s="7" t="s">
        <v>8</v>
      </c>
      <c r="E35" s="5" t="s">
        <v>27</v>
      </c>
    </row>
    <row r="36" spans="1:5" ht="15.75" x14ac:dyDescent="0.25">
      <c r="A36" s="5" t="s">
        <v>49</v>
      </c>
      <c r="B36" s="6" t="s">
        <v>7</v>
      </c>
      <c r="C36" s="7">
        <v>457142.72</v>
      </c>
      <c r="D36" s="7" t="s">
        <v>8</v>
      </c>
      <c r="E36" s="5" t="s">
        <v>27</v>
      </c>
    </row>
    <row r="37" spans="1:5" ht="15.75" x14ac:dyDescent="0.25">
      <c r="A37" s="5" t="s">
        <v>37</v>
      </c>
      <c r="B37" s="6" t="s">
        <v>7</v>
      </c>
      <c r="C37" s="7">
        <v>84000</v>
      </c>
      <c r="D37" s="7" t="s">
        <v>8</v>
      </c>
      <c r="E37" s="5" t="s">
        <v>27</v>
      </c>
    </row>
    <row r="38" spans="1:5" ht="15.75" x14ac:dyDescent="0.25">
      <c r="A38" s="5" t="s">
        <v>43</v>
      </c>
      <c r="B38" s="6" t="s">
        <v>7</v>
      </c>
      <c r="C38" s="7">
        <v>96000</v>
      </c>
      <c r="D38" s="7" t="s">
        <v>8</v>
      </c>
      <c r="E38" s="5" t="s">
        <v>27</v>
      </c>
    </row>
    <row r="39" spans="1:5" ht="15.75" x14ac:dyDescent="0.25">
      <c r="A39" s="5" t="s">
        <v>49</v>
      </c>
      <c r="B39" s="6" t="s">
        <v>7</v>
      </c>
      <c r="C39" s="7">
        <v>41600</v>
      </c>
      <c r="D39" s="7" t="s">
        <v>8</v>
      </c>
      <c r="E39" s="5" t="s">
        <v>27</v>
      </c>
    </row>
    <row r="40" spans="1:5" ht="15.75" x14ac:dyDescent="0.25">
      <c r="A40" s="5" t="s">
        <v>50</v>
      </c>
      <c r="B40" s="6" t="s">
        <v>7</v>
      </c>
      <c r="C40" s="7">
        <v>71400</v>
      </c>
      <c r="D40" s="7" t="s">
        <v>8</v>
      </c>
      <c r="E40" s="5" t="s">
        <v>27</v>
      </c>
    </row>
    <row r="41" spans="1:5" ht="15.75" x14ac:dyDescent="0.25">
      <c r="A41" s="5" t="s">
        <v>50</v>
      </c>
      <c r="B41" s="6" t="s">
        <v>7</v>
      </c>
      <c r="C41" s="7">
        <v>71400</v>
      </c>
      <c r="D41" s="7" t="s">
        <v>8</v>
      </c>
      <c r="E41" s="5" t="s">
        <v>27</v>
      </c>
    </row>
    <row r="42" spans="1:5" ht="15.75" x14ac:dyDescent="0.25">
      <c r="A42" s="5" t="s">
        <v>50</v>
      </c>
      <c r="B42" s="6" t="s">
        <v>7</v>
      </c>
      <c r="C42" s="7">
        <v>71400</v>
      </c>
      <c r="D42" s="7" t="s">
        <v>8</v>
      </c>
      <c r="E42" s="5" t="s">
        <v>27</v>
      </c>
    </row>
    <row r="43" spans="1:5" ht="15.75" x14ac:dyDescent="0.25">
      <c r="A43" s="5" t="s">
        <v>49</v>
      </c>
      <c r="B43" s="6" t="s">
        <v>7</v>
      </c>
      <c r="C43" s="7">
        <v>41600</v>
      </c>
      <c r="D43" s="7" t="s">
        <v>8</v>
      </c>
      <c r="E43" s="5" t="s">
        <v>27</v>
      </c>
    </row>
    <row r="44" spans="1:5" ht="15.75" x14ac:dyDescent="0.25">
      <c r="A44" s="5" t="s">
        <v>43</v>
      </c>
      <c r="B44" s="6" t="s">
        <v>7</v>
      </c>
      <c r="C44" s="7">
        <v>96000</v>
      </c>
      <c r="D44" s="7" t="s">
        <v>8</v>
      </c>
      <c r="E44" s="5" t="s">
        <v>27</v>
      </c>
    </row>
    <row r="45" spans="1:5" ht="15.75" x14ac:dyDescent="0.25">
      <c r="A45" s="5" t="s">
        <v>43</v>
      </c>
      <c r="B45" s="6" t="s">
        <v>7</v>
      </c>
      <c r="C45" s="7">
        <v>84000</v>
      </c>
      <c r="D45" s="7" t="s">
        <v>8</v>
      </c>
      <c r="E45" s="5" t="s">
        <v>27</v>
      </c>
    </row>
    <row r="46" spans="1:5" ht="15.75" x14ac:dyDescent="0.25">
      <c r="A46" s="5" t="s">
        <v>43</v>
      </c>
      <c r="B46" s="6" t="s">
        <v>7</v>
      </c>
      <c r="C46" s="7">
        <v>96000</v>
      </c>
      <c r="D46" s="7" t="s">
        <v>8</v>
      </c>
      <c r="E46" s="5" t="s">
        <v>27</v>
      </c>
    </row>
    <row r="47" spans="1:5" ht="15.75" x14ac:dyDescent="0.25">
      <c r="A47" s="5" t="s">
        <v>43</v>
      </c>
      <c r="B47" s="6" t="s">
        <v>7</v>
      </c>
      <c r="C47" s="7">
        <v>96000</v>
      </c>
      <c r="D47" s="7" t="s">
        <v>8</v>
      </c>
      <c r="E47" s="5" t="s">
        <v>27</v>
      </c>
    </row>
    <row r="48" spans="1:5" ht="15.75" x14ac:dyDescent="0.25">
      <c r="A48" s="5" t="s">
        <v>51</v>
      </c>
      <c r="B48" s="6" t="s">
        <v>7</v>
      </c>
      <c r="C48" s="7">
        <v>96000</v>
      </c>
      <c r="D48" s="7" t="s">
        <v>8</v>
      </c>
      <c r="E48" s="5" t="s">
        <v>27</v>
      </c>
    </row>
    <row r="49" spans="1:5" ht="15.75" x14ac:dyDescent="0.25">
      <c r="A49" s="5" t="s">
        <v>52</v>
      </c>
      <c r="B49" s="6" t="s">
        <v>7</v>
      </c>
      <c r="C49" s="7">
        <v>96000</v>
      </c>
      <c r="D49" s="7" t="s">
        <v>8</v>
      </c>
      <c r="E49" s="5" t="s">
        <v>27</v>
      </c>
    </row>
    <row r="50" spans="1:5" ht="15.75" x14ac:dyDescent="0.25">
      <c r="A50" s="5" t="s">
        <v>43</v>
      </c>
      <c r="B50" s="6" t="s">
        <v>7</v>
      </c>
      <c r="C50" s="7">
        <v>96000</v>
      </c>
      <c r="D50" s="7" t="s">
        <v>8</v>
      </c>
      <c r="E50" s="5" t="s">
        <v>27</v>
      </c>
    </row>
    <row r="51" spans="1:5" ht="15.75" x14ac:dyDescent="0.25">
      <c r="A51" s="5" t="s">
        <v>53</v>
      </c>
      <c r="B51" s="6" t="s">
        <v>7</v>
      </c>
      <c r="C51" s="7">
        <v>96000</v>
      </c>
      <c r="D51" s="7" t="s">
        <v>8</v>
      </c>
      <c r="E51" s="5" t="s">
        <v>27</v>
      </c>
    </row>
    <row r="52" spans="1:5" ht="15.75" x14ac:dyDescent="0.25">
      <c r="A52" s="5" t="s">
        <v>52</v>
      </c>
      <c r="B52" s="6" t="s">
        <v>7</v>
      </c>
      <c r="C52" s="7">
        <v>96000</v>
      </c>
      <c r="D52" s="7" t="s">
        <v>8</v>
      </c>
      <c r="E52" s="5" t="s">
        <v>27</v>
      </c>
    </row>
    <row r="53" spans="1:5" ht="15.75" x14ac:dyDescent="0.25">
      <c r="A53" s="5" t="s">
        <v>43</v>
      </c>
      <c r="B53" s="6" t="s">
        <v>7</v>
      </c>
      <c r="C53" s="7">
        <v>96000</v>
      </c>
      <c r="D53" s="7" t="s">
        <v>8</v>
      </c>
      <c r="E53" s="5" t="s">
        <v>27</v>
      </c>
    </row>
    <row r="54" spans="1:5" ht="15.75" x14ac:dyDescent="0.25">
      <c r="A54" s="5" t="s">
        <v>52</v>
      </c>
      <c r="B54" s="6" t="s">
        <v>7</v>
      </c>
      <c r="C54" s="7">
        <v>96000</v>
      </c>
      <c r="D54" s="7" t="s">
        <v>8</v>
      </c>
      <c r="E54" s="5" t="s">
        <v>27</v>
      </c>
    </row>
    <row r="55" spans="1:5" ht="15.75" x14ac:dyDescent="0.25">
      <c r="A55" s="5" t="s">
        <v>52</v>
      </c>
      <c r="B55" s="6" t="s">
        <v>7</v>
      </c>
      <c r="C55" s="7">
        <v>96000</v>
      </c>
      <c r="D55" s="7" t="s">
        <v>8</v>
      </c>
      <c r="E55" s="5" t="s">
        <v>27</v>
      </c>
    </row>
    <row r="56" spans="1:5" ht="15.75" x14ac:dyDescent="0.25">
      <c r="A56" s="5" t="s">
        <v>50</v>
      </c>
      <c r="B56" s="6" t="s">
        <v>7</v>
      </c>
      <c r="C56" s="7">
        <v>132000</v>
      </c>
      <c r="D56" s="7" t="s">
        <v>8</v>
      </c>
      <c r="E56" s="5" t="s">
        <v>27</v>
      </c>
    </row>
    <row r="57" spans="1:5" ht="15.75" x14ac:dyDescent="0.25">
      <c r="A57" s="5" t="s">
        <v>54</v>
      </c>
      <c r="B57" s="6" t="s">
        <v>7</v>
      </c>
      <c r="C57" s="7">
        <v>84000</v>
      </c>
      <c r="D57" s="7" t="s">
        <v>8</v>
      </c>
      <c r="E57" s="5" t="s">
        <v>27</v>
      </c>
    </row>
    <row r="58" spans="1:5" ht="15.75" x14ac:dyDescent="0.25">
      <c r="A58" s="5" t="s">
        <v>43</v>
      </c>
      <c r="B58" s="6" t="s">
        <v>7</v>
      </c>
      <c r="C58" s="7">
        <v>96000</v>
      </c>
      <c r="D58" s="7" t="s">
        <v>8</v>
      </c>
      <c r="E58" s="5" t="s">
        <v>27</v>
      </c>
    </row>
    <row r="59" spans="1:5" ht="15.75" x14ac:dyDescent="0.25">
      <c r="A59" s="5" t="s">
        <v>43</v>
      </c>
      <c r="B59" s="6" t="s">
        <v>7</v>
      </c>
      <c r="C59" s="7">
        <v>96000</v>
      </c>
      <c r="D59" s="7" t="s">
        <v>8</v>
      </c>
      <c r="E59" s="5" t="s">
        <v>27</v>
      </c>
    </row>
    <row r="60" spans="1:5" ht="15.75" x14ac:dyDescent="0.25">
      <c r="A60" s="5" t="s">
        <v>43</v>
      </c>
      <c r="B60" s="6" t="s">
        <v>7</v>
      </c>
      <c r="C60" s="7">
        <v>96000</v>
      </c>
      <c r="D60" s="7" t="s">
        <v>8</v>
      </c>
      <c r="E60" s="5" t="s">
        <v>27</v>
      </c>
    </row>
    <row r="61" spans="1:5" ht="15.75" x14ac:dyDescent="0.25">
      <c r="A61" s="5" t="s">
        <v>52</v>
      </c>
      <c r="B61" s="6" t="s">
        <v>7</v>
      </c>
      <c r="C61" s="7">
        <v>96000</v>
      </c>
      <c r="D61" s="7" t="s">
        <v>8</v>
      </c>
      <c r="E61" s="5" t="s">
        <v>27</v>
      </c>
    </row>
    <row r="62" spans="1:5" ht="15.75" x14ac:dyDescent="0.25">
      <c r="A62" s="5" t="s">
        <v>43</v>
      </c>
      <c r="B62" s="6" t="s">
        <v>7</v>
      </c>
      <c r="C62" s="7">
        <v>96000</v>
      </c>
      <c r="D62" s="7" t="s">
        <v>8</v>
      </c>
      <c r="E62" s="5" t="s">
        <v>27</v>
      </c>
    </row>
    <row r="63" spans="1:5" ht="15.75" x14ac:dyDescent="0.25">
      <c r="A63" s="5" t="s">
        <v>52</v>
      </c>
      <c r="B63" s="6" t="s">
        <v>7</v>
      </c>
      <c r="C63" s="7">
        <v>96000</v>
      </c>
      <c r="D63" s="7" t="s">
        <v>8</v>
      </c>
      <c r="E63" s="5" t="s">
        <v>27</v>
      </c>
    </row>
    <row r="64" spans="1:5" ht="15.75" x14ac:dyDescent="0.25">
      <c r="A64" s="5" t="s">
        <v>55</v>
      </c>
      <c r="B64" s="6" t="s">
        <v>7</v>
      </c>
      <c r="C64" s="7">
        <v>700000</v>
      </c>
      <c r="D64" s="7" t="s">
        <v>56</v>
      </c>
      <c r="E64" s="5" t="s">
        <v>57</v>
      </c>
    </row>
    <row r="65" spans="1:5" ht="15.75" x14ac:dyDescent="0.25">
      <c r="A65" s="5" t="s">
        <v>58</v>
      </c>
      <c r="B65" s="6" t="s">
        <v>7</v>
      </c>
      <c r="C65" s="7">
        <v>200000</v>
      </c>
      <c r="D65" s="7" t="s">
        <v>13</v>
      </c>
      <c r="E65" s="5" t="s">
        <v>59</v>
      </c>
    </row>
    <row r="66" spans="1:5" ht="15.75" x14ac:dyDescent="0.25">
      <c r="A66" s="5" t="s">
        <v>60</v>
      </c>
      <c r="B66" s="6" t="s">
        <v>19</v>
      </c>
      <c r="C66" s="7">
        <v>300000</v>
      </c>
      <c r="D66" s="7" t="s">
        <v>20</v>
      </c>
      <c r="E66" s="5" t="s">
        <v>61</v>
      </c>
    </row>
    <row r="67" spans="1:5" ht="15.75" x14ac:dyDescent="0.25">
      <c r="A67" s="5" t="s">
        <v>62</v>
      </c>
      <c r="B67" s="6" t="s">
        <v>7</v>
      </c>
      <c r="C67" s="7">
        <v>200000</v>
      </c>
      <c r="D67" s="7" t="s">
        <v>16</v>
      </c>
      <c r="E67" s="5" t="s">
        <v>63</v>
      </c>
    </row>
    <row r="68" spans="1:5" ht="15.75" x14ac:dyDescent="0.25">
      <c r="A68" s="5" t="s">
        <v>64</v>
      </c>
      <c r="B68" s="6" t="s">
        <v>7</v>
      </c>
      <c r="C68" s="7">
        <v>49109022.399999999</v>
      </c>
      <c r="D68" s="7" t="s">
        <v>23</v>
      </c>
      <c r="E68" s="5" t="s">
        <v>65</v>
      </c>
    </row>
    <row r="69" spans="1:5" ht="15.75" x14ac:dyDescent="0.25">
      <c r="A69" s="5" t="s">
        <v>66</v>
      </c>
      <c r="B69" s="6" t="s">
        <v>7</v>
      </c>
      <c r="C69" s="7">
        <v>13288000</v>
      </c>
      <c r="D69" s="7" t="s">
        <v>23</v>
      </c>
      <c r="E69" s="5" t="s">
        <v>65</v>
      </c>
    </row>
    <row r="70" spans="1:5" ht="15.75" x14ac:dyDescent="0.25">
      <c r="A70" s="5" t="s">
        <v>67</v>
      </c>
      <c r="B70" s="6" t="s">
        <v>7</v>
      </c>
      <c r="C70" s="7">
        <v>13288000</v>
      </c>
      <c r="D70" s="7" t="s">
        <v>23</v>
      </c>
      <c r="E70" s="5" t="s">
        <v>65</v>
      </c>
    </row>
    <row r="71" spans="1:5" ht="15.75" x14ac:dyDescent="0.25">
      <c r="A71" s="5" t="s">
        <v>68</v>
      </c>
      <c r="B71" s="6" t="s">
        <v>7</v>
      </c>
      <c r="C71" s="7">
        <v>13288000</v>
      </c>
      <c r="D71" s="7" t="s">
        <v>23</v>
      </c>
      <c r="E71" s="5" t="s">
        <v>65</v>
      </c>
    </row>
    <row r="72" spans="1:5" ht="15.75" x14ac:dyDescent="0.25">
      <c r="A72" s="5" t="s">
        <v>69</v>
      </c>
      <c r="B72" s="6" t="s">
        <v>7</v>
      </c>
      <c r="C72" s="7">
        <v>7272000</v>
      </c>
      <c r="D72" s="7" t="s">
        <v>23</v>
      </c>
      <c r="E72" s="5" t="s">
        <v>65</v>
      </c>
    </row>
    <row r="73" spans="1:5" ht="15.75" x14ac:dyDescent="0.25">
      <c r="A73" s="5" t="s">
        <v>70</v>
      </c>
      <c r="B73" s="6" t="s">
        <v>7</v>
      </c>
      <c r="C73" s="7">
        <v>7315200</v>
      </c>
      <c r="D73" s="7" t="s">
        <v>23</v>
      </c>
      <c r="E73" s="5" t="s">
        <v>65</v>
      </c>
    </row>
    <row r="74" spans="1:5" ht="15.75" x14ac:dyDescent="0.25">
      <c r="A74" s="5" t="s">
        <v>71</v>
      </c>
      <c r="B74" s="6" t="s">
        <v>7</v>
      </c>
      <c r="C74" s="7">
        <v>9936000</v>
      </c>
      <c r="D74" s="7" t="s">
        <v>23</v>
      </c>
      <c r="E74" s="5" t="s">
        <v>65</v>
      </c>
    </row>
    <row r="75" spans="1:5" ht="15.75" x14ac:dyDescent="0.25">
      <c r="A75" s="5" t="s">
        <v>72</v>
      </c>
      <c r="B75" s="6" t="s">
        <v>7</v>
      </c>
      <c r="C75" s="7">
        <v>1620000</v>
      </c>
      <c r="D75" s="7" t="s">
        <v>23</v>
      </c>
      <c r="E75" s="5" t="s">
        <v>65</v>
      </c>
    </row>
    <row r="76" spans="1:5" ht="15.75" x14ac:dyDescent="0.25">
      <c r="A76" s="5" t="s">
        <v>73</v>
      </c>
      <c r="B76" s="6" t="s">
        <v>7</v>
      </c>
      <c r="C76" s="7">
        <v>6120000</v>
      </c>
      <c r="D76" s="7" t="s">
        <v>23</v>
      </c>
      <c r="E76" s="5" t="s">
        <v>65</v>
      </c>
    </row>
    <row r="77" spans="1:5" ht="31.5" x14ac:dyDescent="0.25">
      <c r="A77" s="5" t="s">
        <v>74</v>
      </c>
      <c r="B77" s="6" t="s">
        <v>7</v>
      </c>
      <c r="C77" s="7">
        <v>4000000</v>
      </c>
      <c r="D77" s="7" t="s">
        <v>23</v>
      </c>
      <c r="E77" s="5" t="s">
        <v>65</v>
      </c>
    </row>
    <row r="78" spans="1:5" ht="16.5" x14ac:dyDescent="0.3">
      <c r="B78" s="8" t="s">
        <v>24</v>
      </c>
      <c r="C78" s="9">
        <f>+SUM(C5:C77)</f>
        <v>132612393.64</v>
      </c>
    </row>
  </sheetData>
  <autoFilter ref="A4:C6"/>
  <mergeCells count="1">
    <mergeCell ref="A2:E2"/>
  </mergeCells>
  <pageMargins left="0.25" right="0.25" top="0.75" bottom="0.75"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
  <sheetViews>
    <sheetView topLeftCell="B10" zoomScaleNormal="100" workbookViewId="0">
      <selection activeCell="E21" sqref="E21"/>
    </sheetView>
  </sheetViews>
  <sheetFormatPr baseColWidth="10" defaultColWidth="10.7109375" defaultRowHeight="12.75" customHeight="1" x14ac:dyDescent="0.25"/>
  <cols>
    <col min="1" max="1" width="77" style="1" customWidth="1"/>
    <col min="2" max="2" width="21.28515625" style="1" customWidth="1"/>
    <col min="3" max="3" width="35.42578125" style="1" customWidth="1"/>
    <col min="4" max="4" width="10.42578125" style="1" customWidth="1"/>
    <col min="5" max="5" width="52.5703125" style="1" customWidth="1"/>
  </cols>
  <sheetData>
    <row r="1" spans="1:5" ht="15" x14ac:dyDescent="0.25"/>
    <row r="2" spans="1:5" ht="15" customHeight="1" x14ac:dyDescent="0.25">
      <c r="A2" s="36" t="s">
        <v>75</v>
      </c>
      <c r="B2" s="36"/>
      <c r="C2" s="36"/>
      <c r="D2" s="36"/>
      <c r="E2" s="36"/>
    </row>
    <row r="3" spans="1:5" ht="15" x14ac:dyDescent="0.25"/>
    <row r="4" spans="1:5" ht="16.5" x14ac:dyDescent="0.25">
      <c r="A4" s="2" t="s">
        <v>1</v>
      </c>
      <c r="B4" s="2" t="s">
        <v>2</v>
      </c>
      <c r="C4" s="3" t="s">
        <v>3</v>
      </c>
      <c r="D4" s="3" t="s">
        <v>4</v>
      </c>
      <c r="E4" s="4" t="s">
        <v>5</v>
      </c>
    </row>
    <row r="5" spans="1:5" ht="15.75" x14ac:dyDescent="0.25">
      <c r="A5" s="5" t="s">
        <v>76</v>
      </c>
      <c r="B5" s="6" t="s">
        <v>7</v>
      </c>
      <c r="C5" s="7">
        <v>155000000</v>
      </c>
      <c r="D5" s="7" t="s">
        <v>77</v>
      </c>
      <c r="E5" s="5" t="s">
        <v>78</v>
      </c>
    </row>
    <row r="6" spans="1:5" ht="15.75" x14ac:dyDescent="0.25">
      <c r="A6" s="5" t="s">
        <v>79</v>
      </c>
      <c r="B6" s="6" t="s">
        <v>7</v>
      </c>
      <c r="C6" s="7">
        <v>150000000</v>
      </c>
      <c r="D6" s="7" t="s">
        <v>77</v>
      </c>
      <c r="E6" s="5" t="s">
        <v>78</v>
      </c>
    </row>
    <row r="7" spans="1:5" ht="15.75" x14ac:dyDescent="0.25">
      <c r="A7" s="5" t="s">
        <v>80</v>
      </c>
      <c r="B7" s="6" t="s">
        <v>7</v>
      </c>
      <c r="C7" s="7">
        <v>1504000</v>
      </c>
      <c r="D7" s="7" t="s">
        <v>77</v>
      </c>
      <c r="E7" s="5" t="s">
        <v>78</v>
      </c>
    </row>
    <row r="8" spans="1:5" ht="15.75" x14ac:dyDescent="0.25">
      <c r="A8" s="5" t="s">
        <v>81</v>
      </c>
      <c r="B8" s="6" t="s">
        <v>7</v>
      </c>
      <c r="C8" s="7">
        <v>1800000</v>
      </c>
      <c r="D8" s="7" t="s">
        <v>77</v>
      </c>
      <c r="E8" s="5" t="s">
        <v>78</v>
      </c>
    </row>
    <row r="9" spans="1:5" ht="15.75" x14ac:dyDescent="0.25">
      <c r="A9" s="5" t="s">
        <v>81</v>
      </c>
      <c r="B9" s="6" t="s">
        <v>7</v>
      </c>
      <c r="C9" s="7">
        <v>1000000</v>
      </c>
      <c r="D9" s="7" t="s">
        <v>77</v>
      </c>
      <c r="E9" s="5" t="s">
        <v>78</v>
      </c>
    </row>
    <row r="10" spans="1:5" ht="15.75" x14ac:dyDescent="0.25">
      <c r="A10" s="5" t="s">
        <v>82</v>
      </c>
      <c r="B10" s="6" t="s">
        <v>7</v>
      </c>
      <c r="C10" s="7">
        <v>150000</v>
      </c>
      <c r="D10" s="7" t="s">
        <v>77</v>
      </c>
      <c r="E10" s="5" t="s">
        <v>78</v>
      </c>
    </row>
    <row r="11" spans="1:5" ht="15.75" x14ac:dyDescent="0.25">
      <c r="A11" s="5" t="s">
        <v>83</v>
      </c>
      <c r="B11" s="6" t="s">
        <v>7</v>
      </c>
      <c r="C11" s="7">
        <v>250000</v>
      </c>
      <c r="D11" s="7" t="s">
        <v>77</v>
      </c>
      <c r="E11" s="5" t="s">
        <v>78</v>
      </c>
    </row>
    <row r="12" spans="1:5" ht="15.75" x14ac:dyDescent="0.25">
      <c r="A12" s="5" t="s">
        <v>84</v>
      </c>
      <c r="B12" s="6" t="s">
        <v>7</v>
      </c>
      <c r="C12" s="7">
        <v>1330000</v>
      </c>
      <c r="D12" s="7" t="s">
        <v>77</v>
      </c>
      <c r="E12" s="5" t="s">
        <v>78</v>
      </c>
    </row>
    <row r="13" spans="1:5" ht="15.75" x14ac:dyDescent="0.25">
      <c r="A13" s="5" t="s">
        <v>85</v>
      </c>
      <c r="B13" s="6" t="s">
        <v>7</v>
      </c>
      <c r="C13" s="7">
        <v>2450000</v>
      </c>
      <c r="D13" s="7" t="s">
        <v>77</v>
      </c>
      <c r="E13" s="5" t="s">
        <v>78</v>
      </c>
    </row>
    <row r="14" spans="1:5" ht="15.75" x14ac:dyDescent="0.25">
      <c r="A14" s="5" t="s">
        <v>86</v>
      </c>
      <c r="B14" s="6" t="s">
        <v>7</v>
      </c>
      <c r="C14" s="7">
        <v>848337.5</v>
      </c>
      <c r="D14" s="7" t="s">
        <v>77</v>
      </c>
      <c r="E14" s="5" t="s">
        <v>78</v>
      </c>
    </row>
    <row r="15" spans="1:5" ht="15.75" x14ac:dyDescent="0.25">
      <c r="A15" s="5" t="s">
        <v>87</v>
      </c>
      <c r="B15" s="6" t="s">
        <v>7</v>
      </c>
      <c r="C15" s="7">
        <v>1400000</v>
      </c>
      <c r="D15" s="7" t="s">
        <v>77</v>
      </c>
      <c r="E15" s="5" t="s">
        <v>78</v>
      </c>
    </row>
    <row r="16" spans="1:5" ht="15.75" x14ac:dyDescent="0.25">
      <c r="A16" s="5" t="s">
        <v>88</v>
      </c>
      <c r="B16" s="6" t="s">
        <v>7</v>
      </c>
      <c r="C16" s="7">
        <v>926100</v>
      </c>
      <c r="D16" s="7" t="s">
        <v>77</v>
      </c>
      <c r="E16" s="5" t="s">
        <v>78</v>
      </c>
    </row>
    <row r="17" spans="1:5" ht="15.75" x14ac:dyDescent="0.25">
      <c r="A17" s="5" t="s">
        <v>89</v>
      </c>
      <c r="B17" s="6" t="s">
        <v>7</v>
      </c>
      <c r="C17" s="7">
        <v>150000</v>
      </c>
      <c r="D17" s="7" t="s">
        <v>77</v>
      </c>
      <c r="E17" s="5" t="s">
        <v>78</v>
      </c>
    </row>
    <row r="18" spans="1:5" ht="15.75" x14ac:dyDescent="0.25">
      <c r="A18" s="5" t="s">
        <v>90</v>
      </c>
      <c r="B18" s="6" t="s">
        <v>7</v>
      </c>
      <c r="C18" s="7">
        <v>500000</v>
      </c>
      <c r="D18" s="7" t="s">
        <v>77</v>
      </c>
      <c r="E18" s="5" t="s">
        <v>78</v>
      </c>
    </row>
    <row r="19" spans="1:5" ht="15.75" x14ac:dyDescent="0.25">
      <c r="A19" s="5" t="s">
        <v>91</v>
      </c>
      <c r="B19" s="6" t="s">
        <v>7</v>
      </c>
      <c r="C19" s="7">
        <v>300000</v>
      </c>
      <c r="D19" s="7" t="s">
        <v>77</v>
      </c>
      <c r="E19" s="5" t="s">
        <v>78</v>
      </c>
    </row>
    <row r="20" spans="1:5" ht="15.75" x14ac:dyDescent="0.25">
      <c r="A20" s="5" t="s">
        <v>92</v>
      </c>
      <c r="B20" s="6" t="s">
        <v>7</v>
      </c>
      <c r="C20" s="7">
        <v>150000</v>
      </c>
      <c r="D20" s="7" t="s">
        <v>77</v>
      </c>
      <c r="E20" s="5" t="s">
        <v>78</v>
      </c>
    </row>
    <row r="21" spans="1:5" s="42" customFormat="1" ht="15.75" x14ac:dyDescent="0.25">
      <c r="A21" s="39" t="s">
        <v>93</v>
      </c>
      <c r="B21" s="40" t="s">
        <v>7</v>
      </c>
      <c r="C21" s="41">
        <v>500000</v>
      </c>
      <c r="D21" s="41" t="s">
        <v>77</v>
      </c>
      <c r="E21" s="39" t="s">
        <v>78</v>
      </c>
    </row>
    <row r="22" spans="1:5" ht="15.75" x14ac:dyDescent="0.25">
      <c r="A22" s="5" t="s">
        <v>94</v>
      </c>
      <c r="B22" s="6" t="s">
        <v>7</v>
      </c>
      <c r="C22" s="7">
        <v>400000</v>
      </c>
      <c r="D22" s="7" t="s">
        <v>77</v>
      </c>
      <c r="E22" s="5" t="s">
        <v>78</v>
      </c>
    </row>
    <row r="23" spans="1:5" ht="15.75" x14ac:dyDescent="0.25">
      <c r="A23" s="5" t="s">
        <v>95</v>
      </c>
      <c r="B23" s="6" t="s">
        <v>7</v>
      </c>
      <c r="C23" s="7">
        <v>350000</v>
      </c>
      <c r="D23" s="7" t="s">
        <v>77</v>
      </c>
      <c r="E23" s="5" t="s">
        <v>78</v>
      </c>
    </row>
    <row r="24" spans="1:5" ht="15.75" x14ac:dyDescent="0.25">
      <c r="A24" s="5" t="s">
        <v>96</v>
      </c>
      <c r="B24" s="6" t="s">
        <v>7</v>
      </c>
      <c r="C24" s="7">
        <v>350000</v>
      </c>
      <c r="D24" s="7" t="s">
        <v>77</v>
      </c>
      <c r="E24" s="5" t="s">
        <v>78</v>
      </c>
    </row>
    <row r="25" spans="1:5" ht="15.75" x14ac:dyDescent="0.25">
      <c r="A25" s="5" t="s">
        <v>97</v>
      </c>
      <c r="B25" s="6" t="s">
        <v>7</v>
      </c>
      <c r="C25" s="7">
        <v>650000</v>
      </c>
      <c r="D25" s="7" t="s">
        <v>77</v>
      </c>
      <c r="E25" s="5" t="s">
        <v>78</v>
      </c>
    </row>
    <row r="26" spans="1:5" ht="15.75" x14ac:dyDescent="0.25">
      <c r="A26" s="5" t="s">
        <v>98</v>
      </c>
      <c r="B26" s="6" t="s">
        <v>7</v>
      </c>
      <c r="C26" s="7">
        <v>1500000</v>
      </c>
      <c r="D26" s="7" t="s">
        <v>77</v>
      </c>
      <c r="E26" s="5" t="s">
        <v>78</v>
      </c>
    </row>
    <row r="27" spans="1:5" ht="15.75" x14ac:dyDescent="0.25">
      <c r="A27" s="5" t="s">
        <v>99</v>
      </c>
      <c r="B27" s="6" t="s">
        <v>7</v>
      </c>
      <c r="C27" s="7">
        <v>300000</v>
      </c>
      <c r="D27" s="7" t="s">
        <v>77</v>
      </c>
      <c r="E27" s="5" t="s">
        <v>78</v>
      </c>
    </row>
    <row r="28" spans="1:5" ht="15.75" x14ac:dyDescent="0.25">
      <c r="A28" s="5" t="s">
        <v>100</v>
      </c>
      <c r="B28" s="6" t="s">
        <v>7</v>
      </c>
      <c r="C28" s="7">
        <v>250000</v>
      </c>
      <c r="D28" s="7" t="s">
        <v>77</v>
      </c>
      <c r="E28" s="5" t="s">
        <v>78</v>
      </c>
    </row>
    <row r="29" spans="1:5" ht="15.75" x14ac:dyDescent="0.25">
      <c r="A29" s="5" t="s">
        <v>101</v>
      </c>
      <c r="B29" s="6" t="s">
        <v>7</v>
      </c>
      <c r="C29" s="7">
        <v>1427180</v>
      </c>
      <c r="D29" s="7" t="s">
        <v>77</v>
      </c>
      <c r="E29" s="5" t="s">
        <v>78</v>
      </c>
    </row>
    <row r="30" spans="1:5" ht="15.75" x14ac:dyDescent="0.25">
      <c r="A30" s="5" t="s">
        <v>102</v>
      </c>
      <c r="B30" s="6" t="s">
        <v>7</v>
      </c>
      <c r="C30" s="7">
        <v>1200000</v>
      </c>
      <c r="D30" s="7" t="s">
        <v>77</v>
      </c>
      <c r="E30" s="5" t="s">
        <v>78</v>
      </c>
    </row>
    <row r="31" spans="1:5" ht="31.5" x14ac:dyDescent="0.25">
      <c r="A31" s="5" t="s">
        <v>103</v>
      </c>
      <c r="B31" s="6" t="s">
        <v>7</v>
      </c>
      <c r="C31" s="7">
        <v>200000</v>
      </c>
      <c r="D31" s="7" t="s">
        <v>77</v>
      </c>
      <c r="E31" s="5" t="s">
        <v>78</v>
      </c>
    </row>
    <row r="32" spans="1:5" ht="31.5" x14ac:dyDescent="0.25">
      <c r="A32" s="5" t="s">
        <v>104</v>
      </c>
      <c r="B32" s="6" t="s">
        <v>7</v>
      </c>
      <c r="C32" s="7">
        <v>150000</v>
      </c>
      <c r="D32" s="7" t="s">
        <v>77</v>
      </c>
      <c r="E32" s="5" t="s">
        <v>78</v>
      </c>
    </row>
    <row r="33" spans="1:5" ht="15.75" x14ac:dyDescent="0.25">
      <c r="A33" s="5" t="s">
        <v>105</v>
      </c>
      <c r="B33" s="6" t="s">
        <v>7</v>
      </c>
      <c r="C33" s="7">
        <v>100000</v>
      </c>
      <c r="D33" s="7" t="s">
        <v>77</v>
      </c>
      <c r="E33" s="5" t="s">
        <v>78</v>
      </c>
    </row>
    <row r="34" spans="1:5" ht="15.75" x14ac:dyDescent="0.25">
      <c r="A34" s="5" t="s">
        <v>106</v>
      </c>
      <c r="B34" s="6" t="s">
        <v>7</v>
      </c>
      <c r="C34" s="7">
        <v>300000</v>
      </c>
      <c r="D34" s="7" t="s">
        <v>77</v>
      </c>
      <c r="E34" s="5" t="s">
        <v>78</v>
      </c>
    </row>
    <row r="35" spans="1:5" ht="15.75" x14ac:dyDescent="0.25">
      <c r="A35" s="5" t="s">
        <v>107</v>
      </c>
      <c r="B35" s="6" t="s">
        <v>7</v>
      </c>
      <c r="C35" s="7">
        <v>180000</v>
      </c>
      <c r="D35" s="7" t="s">
        <v>16</v>
      </c>
      <c r="E35" s="5" t="s">
        <v>63</v>
      </c>
    </row>
    <row r="36" spans="1:5" ht="15.75" x14ac:dyDescent="0.25">
      <c r="A36" s="5" t="s">
        <v>108</v>
      </c>
      <c r="B36" s="6" t="s">
        <v>7</v>
      </c>
      <c r="C36" s="7">
        <v>160000</v>
      </c>
      <c r="D36" s="7" t="s">
        <v>13</v>
      </c>
      <c r="E36" s="5" t="s">
        <v>59</v>
      </c>
    </row>
    <row r="37" spans="1:5" ht="15.75" x14ac:dyDescent="0.25">
      <c r="A37" s="5" t="s">
        <v>109</v>
      </c>
      <c r="B37" s="6" t="s">
        <v>7</v>
      </c>
      <c r="C37" s="7">
        <v>100000</v>
      </c>
      <c r="D37" s="7" t="s">
        <v>16</v>
      </c>
      <c r="E37" s="5" t="s">
        <v>63</v>
      </c>
    </row>
    <row r="38" spans="1:5" ht="15.75" x14ac:dyDescent="0.25">
      <c r="A38" s="5" t="s">
        <v>110</v>
      </c>
      <c r="B38" s="6" t="s">
        <v>7</v>
      </c>
      <c r="C38" s="7">
        <v>10772000</v>
      </c>
      <c r="D38" s="7" t="s">
        <v>8</v>
      </c>
      <c r="E38" s="5" t="s">
        <v>27</v>
      </c>
    </row>
    <row r="39" spans="1:5" ht="16.5" x14ac:dyDescent="0.3">
      <c r="B39" s="8" t="s">
        <v>24</v>
      </c>
      <c r="C39" s="9">
        <f>+SUM(C5:C38)</f>
        <v>336647617.5</v>
      </c>
    </row>
  </sheetData>
  <mergeCells count="1">
    <mergeCell ref="A2:E2"/>
  </mergeCells>
  <pageMargins left="0.7" right="0.7" top="0.75" bottom="0.75" header="0.511811023622047" footer="0.511811023622047"/>
  <pageSetup paperSize="9" scale="23" orientation="portrait" horizontalDpi="300" verticalDpi="300"/>
  <colBreaks count="1" manualBreakCount="1">
    <brk id="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zoomScaleNormal="100" workbookViewId="0">
      <selection activeCell="E21" activeCellId="1" sqref="C5:C9 E21"/>
    </sheetView>
  </sheetViews>
  <sheetFormatPr baseColWidth="10" defaultColWidth="10.7109375" defaultRowHeight="12.75" customHeight="1" x14ac:dyDescent="0.25"/>
  <cols>
    <col min="1" max="1" width="71.28515625" style="1" customWidth="1"/>
    <col min="2" max="2" width="30.42578125" style="1" customWidth="1"/>
    <col min="3" max="3" width="28.42578125" style="1" customWidth="1"/>
    <col min="4" max="4" width="7.140625" style="1" customWidth="1"/>
    <col min="5" max="5" width="52.140625" style="1" customWidth="1"/>
  </cols>
  <sheetData>
    <row r="1" spans="1:5" ht="15" x14ac:dyDescent="0.25"/>
    <row r="2" spans="1:5" ht="15" customHeight="1" x14ac:dyDescent="0.25">
      <c r="A2" s="37" t="s">
        <v>111</v>
      </c>
      <c r="B2" s="37"/>
      <c r="C2" s="37"/>
      <c r="D2" s="37"/>
      <c r="E2" s="37"/>
    </row>
    <row r="3" spans="1:5" ht="15" x14ac:dyDescent="0.25"/>
    <row r="4" spans="1:5" ht="33" x14ac:dyDescent="0.25">
      <c r="A4" s="2" t="s">
        <v>1</v>
      </c>
      <c r="B4" s="2" t="s">
        <v>2</v>
      </c>
      <c r="C4" s="3" t="s">
        <v>3</v>
      </c>
      <c r="D4" s="3" t="s">
        <v>4</v>
      </c>
      <c r="E4" s="4" t="s">
        <v>5</v>
      </c>
    </row>
    <row r="5" spans="1:5" ht="15.75" x14ac:dyDescent="0.25">
      <c r="A5" s="5" t="s">
        <v>112</v>
      </c>
      <c r="B5" s="6" t="s">
        <v>7</v>
      </c>
      <c r="C5" s="7">
        <v>40000</v>
      </c>
      <c r="D5" s="7" t="s">
        <v>113</v>
      </c>
      <c r="E5" s="5" t="s">
        <v>114</v>
      </c>
    </row>
    <row r="6" spans="1:5" ht="15.75" x14ac:dyDescent="0.25">
      <c r="A6" s="5" t="s">
        <v>115</v>
      </c>
      <c r="B6" s="6" t="s">
        <v>7</v>
      </c>
      <c r="C6" s="7">
        <v>40000</v>
      </c>
      <c r="D6" s="7" t="s">
        <v>113</v>
      </c>
      <c r="E6" s="5" t="s">
        <v>114</v>
      </c>
    </row>
    <row r="7" spans="1:5" ht="15.75" x14ac:dyDescent="0.25">
      <c r="A7" s="5" t="s">
        <v>116</v>
      </c>
      <c r="B7" s="6" t="s">
        <v>7</v>
      </c>
      <c r="C7" s="7">
        <v>50000</v>
      </c>
      <c r="D7" s="7" t="s">
        <v>117</v>
      </c>
      <c r="E7" s="5" t="s">
        <v>118</v>
      </c>
    </row>
    <row r="8" spans="1:5" ht="15.75" x14ac:dyDescent="0.25">
      <c r="A8" s="5" t="s">
        <v>119</v>
      </c>
      <c r="B8" s="6" t="s">
        <v>7</v>
      </c>
      <c r="C8" s="7">
        <v>400000</v>
      </c>
      <c r="D8" s="7" t="s">
        <v>117</v>
      </c>
      <c r="E8" s="5" t="s">
        <v>118</v>
      </c>
    </row>
    <row r="9" spans="1:5" ht="15.75" x14ac:dyDescent="0.25">
      <c r="A9" s="5" t="s">
        <v>120</v>
      </c>
      <c r="B9" s="6" t="s">
        <v>7</v>
      </c>
      <c r="C9" s="7">
        <v>400000</v>
      </c>
      <c r="D9" s="7" t="s">
        <v>121</v>
      </c>
      <c r="E9" s="5" t="s">
        <v>122</v>
      </c>
    </row>
    <row r="10" spans="1:5" ht="15.75" x14ac:dyDescent="0.25">
      <c r="A10" s="5" t="s">
        <v>123</v>
      </c>
      <c r="B10" s="6" t="s">
        <v>7</v>
      </c>
      <c r="C10" s="7">
        <v>450000</v>
      </c>
      <c r="D10" s="7" t="s">
        <v>56</v>
      </c>
      <c r="E10" s="5" t="s">
        <v>57</v>
      </c>
    </row>
    <row r="11" spans="1:5" ht="15.75" x14ac:dyDescent="0.25">
      <c r="A11" s="5" t="s">
        <v>124</v>
      </c>
      <c r="B11" s="6" t="s">
        <v>7</v>
      </c>
      <c r="C11" s="7">
        <v>300000</v>
      </c>
      <c r="D11" s="7" t="s">
        <v>16</v>
      </c>
      <c r="E11" s="5" t="s">
        <v>63</v>
      </c>
    </row>
    <row r="12" spans="1:5" ht="15.75" x14ac:dyDescent="0.25">
      <c r="A12" s="5" t="s">
        <v>125</v>
      </c>
      <c r="B12" s="6" t="s">
        <v>7</v>
      </c>
      <c r="C12" s="7">
        <v>300000</v>
      </c>
      <c r="D12" s="7" t="s">
        <v>126</v>
      </c>
      <c r="E12" s="5" t="s">
        <v>127</v>
      </c>
    </row>
    <row r="13" spans="1:5" ht="15.75" x14ac:dyDescent="0.25">
      <c r="A13" s="5" t="s">
        <v>128</v>
      </c>
      <c r="B13" s="6" t="s">
        <v>7</v>
      </c>
      <c r="C13" s="7">
        <v>10000</v>
      </c>
      <c r="D13" s="7" t="s">
        <v>16</v>
      </c>
      <c r="E13" s="5" t="s">
        <v>63</v>
      </c>
    </row>
    <row r="14" spans="1:5" ht="15.75" x14ac:dyDescent="0.25">
      <c r="A14" s="5" t="s">
        <v>129</v>
      </c>
      <c r="B14" s="6" t="s">
        <v>7</v>
      </c>
      <c r="C14" s="7">
        <v>10000</v>
      </c>
      <c r="D14" s="7" t="s">
        <v>8</v>
      </c>
      <c r="E14" s="5" t="s">
        <v>27</v>
      </c>
    </row>
    <row r="15" spans="1:5" ht="15.75" x14ac:dyDescent="0.25">
      <c r="A15" s="5" t="s">
        <v>130</v>
      </c>
      <c r="B15" s="6" t="s">
        <v>7</v>
      </c>
      <c r="C15" s="7">
        <v>5000000</v>
      </c>
      <c r="D15" s="7" t="s">
        <v>117</v>
      </c>
      <c r="E15" s="5" t="s">
        <v>118</v>
      </c>
    </row>
    <row r="16" spans="1:5" ht="16.5" x14ac:dyDescent="0.3">
      <c r="B16" s="8" t="s">
        <v>24</v>
      </c>
      <c r="C16" s="9">
        <f>+SUM(C5:C15)</f>
        <v>7000000</v>
      </c>
    </row>
  </sheetData>
  <mergeCells count="1">
    <mergeCell ref="A2:E2"/>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3"/>
  <sheetViews>
    <sheetView topLeftCell="A121" zoomScaleNormal="100" workbookViewId="0">
      <selection activeCell="C123" activeCellId="1" sqref="C5:C9 C123"/>
    </sheetView>
  </sheetViews>
  <sheetFormatPr baseColWidth="10" defaultColWidth="10.7109375" defaultRowHeight="12.75" customHeight="1" x14ac:dyDescent="0.25"/>
  <cols>
    <col min="1" max="1" width="69.140625" style="1" customWidth="1"/>
    <col min="2" max="2" width="52.140625" style="1" customWidth="1"/>
    <col min="3" max="3" width="28.42578125" style="1" customWidth="1"/>
    <col min="4" max="4" width="12.7109375" style="1" customWidth="1"/>
    <col min="5" max="5" width="48.140625" style="1" customWidth="1"/>
  </cols>
  <sheetData>
    <row r="1" spans="1:5" ht="15" x14ac:dyDescent="0.25"/>
    <row r="2" spans="1:5" ht="15" customHeight="1" x14ac:dyDescent="0.25">
      <c r="A2" s="37" t="s">
        <v>131</v>
      </c>
      <c r="B2" s="37"/>
      <c r="C2" s="37"/>
      <c r="D2" s="37"/>
      <c r="E2" s="37"/>
    </row>
    <row r="3" spans="1:5" ht="15" x14ac:dyDescent="0.25"/>
    <row r="4" spans="1:5" ht="16.5" x14ac:dyDescent="0.25">
      <c r="A4" s="2" t="s">
        <v>1</v>
      </c>
      <c r="B4" s="2" t="s">
        <v>2</v>
      </c>
      <c r="C4" s="3" t="s">
        <v>3</v>
      </c>
      <c r="D4" s="3" t="s">
        <v>4</v>
      </c>
      <c r="E4" s="4" t="s">
        <v>5</v>
      </c>
    </row>
    <row r="5" spans="1:5" ht="31.5" x14ac:dyDescent="0.25">
      <c r="A5" s="5" t="s">
        <v>132</v>
      </c>
      <c r="B5" s="6" t="s">
        <v>133</v>
      </c>
      <c r="C5" s="7">
        <v>60000</v>
      </c>
      <c r="D5" s="7" t="s">
        <v>23</v>
      </c>
      <c r="E5" s="5" t="s">
        <v>65</v>
      </c>
    </row>
    <row r="6" spans="1:5" ht="31.5" x14ac:dyDescent="0.25">
      <c r="A6" s="5" t="s">
        <v>134</v>
      </c>
      <c r="B6" s="6" t="s">
        <v>133</v>
      </c>
      <c r="C6" s="7">
        <v>42875.1</v>
      </c>
      <c r="D6" s="7" t="s">
        <v>23</v>
      </c>
      <c r="E6" s="5" t="s">
        <v>65</v>
      </c>
    </row>
    <row r="7" spans="1:5" ht="31.5" x14ac:dyDescent="0.25">
      <c r="A7" s="5" t="s">
        <v>135</v>
      </c>
      <c r="B7" s="6" t="s">
        <v>133</v>
      </c>
      <c r="C7" s="7">
        <v>42875.1</v>
      </c>
      <c r="D7" s="7" t="s">
        <v>23</v>
      </c>
      <c r="E7" s="5" t="s">
        <v>65</v>
      </c>
    </row>
    <row r="8" spans="1:5" ht="15.75" x14ac:dyDescent="0.25">
      <c r="A8" s="5" t="s">
        <v>136</v>
      </c>
      <c r="B8" s="6" t="s">
        <v>133</v>
      </c>
      <c r="C8" s="7">
        <v>42875.1</v>
      </c>
      <c r="D8" s="7" t="s">
        <v>23</v>
      </c>
      <c r="E8" s="5" t="s">
        <v>65</v>
      </c>
    </row>
    <row r="9" spans="1:5" ht="31.5" x14ac:dyDescent="0.25">
      <c r="A9" s="5" t="s">
        <v>137</v>
      </c>
      <c r="B9" s="6" t="s">
        <v>133</v>
      </c>
      <c r="C9" s="7">
        <v>54000</v>
      </c>
      <c r="D9" s="7" t="s">
        <v>23</v>
      </c>
      <c r="E9" s="5" t="s">
        <v>65</v>
      </c>
    </row>
    <row r="10" spans="1:5" ht="15.75" x14ac:dyDescent="0.25">
      <c r="A10" s="5" t="s">
        <v>138</v>
      </c>
      <c r="B10" s="6" t="s">
        <v>133</v>
      </c>
      <c r="C10" s="7">
        <v>42857.1</v>
      </c>
      <c r="D10" s="7" t="s">
        <v>23</v>
      </c>
      <c r="E10" s="5" t="s">
        <v>65</v>
      </c>
    </row>
    <row r="11" spans="1:5" ht="31.5" x14ac:dyDescent="0.25">
      <c r="A11" s="5" t="s">
        <v>139</v>
      </c>
      <c r="B11" s="6" t="s">
        <v>133</v>
      </c>
      <c r="C11" s="7">
        <v>200000</v>
      </c>
      <c r="D11" s="7" t="s">
        <v>23</v>
      </c>
      <c r="E11" s="5" t="s">
        <v>65</v>
      </c>
    </row>
    <row r="12" spans="1:5" ht="31.5" x14ac:dyDescent="0.25">
      <c r="A12" s="5" t="s">
        <v>140</v>
      </c>
      <c r="B12" s="6" t="s">
        <v>133</v>
      </c>
      <c r="C12" s="7">
        <v>228571.2</v>
      </c>
      <c r="D12" s="7" t="s">
        <v>23</v>
      </c>
      <c r="E12" s="5" t="s">
        <v>65</v>
      </c>
    </row>
    <row r="13" spans="1:5" ht="31.5" x14ac:dyDescent="0.25">
      <c r="A13" s="5" t="s">
        <v>141</v>
      </c>
      <c r="B13" s="6" t="s">
        <v>133</v>
      </c>
      <c r="C13" s="7">
        <v>228571.2</v>
      </c>
      <c r="D13" s="7" t="s">
        <v>23</v>
      </c>
      <c r="E13" s="5" t="s">
        <v>65</v>
      </c>
    </row>
    <row r="14" spans="1:5" ht="31.5" x14ac:dyDescent="0.25">
      <c r="A14" s="5" t="s">
        <v>142</v>
      </c>
      <c r="B14" s="6" t="s">
        <v>133</v>
      </c>
      <c r="C14" s="7">
        <v>171428.4</v>
      </c>
      <c r="D14" s="7" t="s">
        <v>23</v>
      </c>
      <c r="E14" s="5" t="s">
        <v>65</v>
      </c>
    </row>
    <row r="15" spans="1:5" ht="31.5" x14ac:dyDescent="0.25">
      <c r="A15" s="5" t="s">
        <v>143</v>
      </c>
      <c r="B15" s="6" t="s">
        <v>133</v>
      </c>
      <c r="C15" s="7">
        <v>228571.2</v>
      </c>
      <c r="D15" s="7" t="s">
        <v>23</v>
      </c>
      <c r="E15" s="5" t="s">
        <v>65</v>
      </c>
    </row>
    <row r="16" spans="1:5" ht="31.5" x14ac:dyDescent="0.25">
      <c r="A16" s="5" t="s">
        <v>144</v>
      </c>
      <c r="B16" s="6" t="s">
        <v>133</v>
      </c>
      <c r="C16" s="7">
        <v>171428.4</v>
      </c>
      <c r="D16" s="7" t="s">
        <v>23</v>
      </c>
      <c r="E16" s="5" t="s">
        <v>65</v>
      </c>
    </row>
    <row r="17" spans="1:5" ht="31.5" x14ac:dyDescent="0.25">
      <c r="A17" s="5" t="s">
        <v>145</v>
      </c>
      <c r="B17" s="6" t="s">
        <v>133</v>
      </c>
      <c r="C17" s="7">
        <v>171428.4</v>
      </c>
      <c r="D17" s="7" t="s">
        <v>23</v>
      </c>
      <c r="E17" s="5" t="s">
        <v>65</v>
      </c>
    </row>
    <row r="18" spans="1:5" ht="31.5" x14ac:dyDescent="0.25">
      <c r="A18" s="5" t="s">
        <v>146</v>
      </c>
      <c r="B18" s="6" t="s">
        <v>133</v>
      </c>
      <c r="C18" s="7">
        <v>171428.4</v>
      </c>
      <c r="D18" s="7" t="s">
        <v>23</v>
      </c>
      <c r="E18" s="5" t="s">
        <v>65</v>
      </c>
    </row>
    <row r="19" spans="1:5" ht="31.5" x14ac:dyDescent="0.25">
      <c r="A19" s="5" t="s">
        <v>147</v>
      </c>
      <c r="B19" s="6" t="s">
        <v>133</v>
      </c>
      <c r="C19" s="7">
        <v>57142.8</v>
      </c>
      <c r="D19" s="7" t="s">
        <v>23</v>
      </c>
      <c r="E19" s="5" t="s">
        <v>65</v>
      </c>
    </row>
    <row r="20" spans="1:5" ht="31.5" x14ac:dyDescent="0.25">
      <c r="A20" s="5" t="s">
        <v>148</v>
      </c>
      <c r="B20" s="6" t="s">
        <v>133</v>
      </c>
      <c r="C20" s="7">
        <v>69142.8</v>
      </c>
      <c r="D20" s="7" t="s">
        <v>23</v>
      </c>
      <c r="E20" s="5" t="s">
        <v>65</v>
      </c>
    </row>
    <row r="21" spans="1:5" ht="31.5" x14ac:dyDescent="0.25">
      <c r="A21" s="5" t="s">
        <v>149</v>
      </c>
      <c r="B21" s="6" t="s">
        <v>133</v>
      </c>
      <c r="C21" s="7">
        <v>57142.8</v>
      </c>
      <c r="D21" s="7" t="s">
        <v>23</v>
      </c>
      <c r="E21" s="5" t="s">
        <v>65</v>
      </c>
    </row>
    <row r="22" spans="1:5" ht="31.5" x14ac:dyDescent="0.25">
      <c r="A22" s="5" t="s">
        <v>150</v>
      </c>
      <c r="B22" s="6" t="s">
        <v>133</v>
      </c>
      <c r="C22" s="7">
        <v>57142.8</v>
      </c>
      <c r="D22" s="7" t="s">
        <v>23</v>
      </c>
      <c r="E22" s="5" t="s">
        <v>65</v>
      </c>
    </row>
    <row r="23" spans="1:5" ht="31.5" x14ac:dyDescent="0.25">
      <c r="A23" s="5" t="s">
        <v>151</v>
      </c>
      <c r="B23" s="6" t="s">
        <v>133</v>
      </c>
      <c r="C23" s="7">
        <v>42857.1</v>
      </c>
      <c r="D23" s="7" t="s">
        <v>23</v>
      </c>
      <c r="E23" s="5" t="s">
        <v>65</v>
      </c>
    </row>
    <row r="24" spans="1:5" ht="31.5" x14ac:dyDescent="0.25">
      <c r="A24" s="5" t="s">
        <v>152</v>
      </c>
      <c r="B24" s="6" t="s">
        <v>133</v>
      </c>
      <c r="C24" s="7">
        <v>42857.1</v>
      </c>
      <c r="D24" s="7" t="s">
        <v>23</v>
      </c>
      <c r="E24" s="5" t="s">
        <v>65</v>
      </c>
    </row>
    <row r="25" spans="1:5" ht="31.5" x14ac:dyDescent="0.25">
      <c r="A25" s="5" t="s">
        <v>153</v>
      </c>
      <c r="B25" s="6" t="s">
        <v>133</v>
      </c>
      <c r="C25" s="7">
        <v>85714.2</v>
      </c>
      <c r="D25" s="7" t="s">
        <v>23</v>
      </c>
      <c r="E25" s="5" t="s">
        <v>65</v>
      </c>
    </row>
    <row r="26" spans="1:5" ht="15.75" x14ac:dyDescent="0.25">
      <c r="A26" s="5" t="s">
        <v>154</v>
      </c>
      <c r="B26" s="6" t="s">
        <v>133</v>
      </c>
      <c r="C26" s="7">
        <v>228571.2</v>
      </c>
      <c r="D26" s="7" t="s">
        <v>23</v>
      </c>
      <c r="E26" s="5" t="s">
        <v>65</v>
      </c>
    </row>
    <row r="27" spans="1:5" ht="31.5" x14ac:dyDescent="0.25">
      <c r="A27" s="5" t="s">
        <v>155</v>
      </c>
      <c r="B27" s="6" t="s">
        <v>133</v>
      </c>
      <c r="C27" s="7">
        <v>96000</v>
      </c>
      <c r="D27" s="7" t="s">
        <v>23</v>
      </c>
      <c r="E27" s="5" t="s">
        <v>65</v>
      </c>
    </row>
    <row r="28" spans="1:5" ht="31.5" x14ac:dyDescent="0.25">
      <c r="A28" s="5" t="s">
        <v>156</v>
      </c>
      <c r="B28" s="6" t="s">
        <v>133</v>
      </c>
      <c r="C28" s="7">
        <v>142857</v>
      </c>
      <c r="D28" s="7" t="s">
        <v>23</v>
      </c>
      <c r="E28" s="5" t="s">
        <v>65</v>
      </c>
    </row>
    <row r="29" spans="1:5" ht="31.5" x14ac:dyDescent="0.25">
      <c r="A29" s="5" t="s">
        <v>157</v>
      </c>
      <c r="B29" s="6" t="s">
        <v>133</v>
      </c>
      <c r="C29" s="7">
        <v>99000</v>
      </c>
      <c r="D29" s="7" t="s">
        <v>23</v>
      </c>
      <c r="E29" s="5" t="s">
        <v>65</v>
      </c>
    </row>
    <row r="30" spans="1:5" ht="31.5" x14ac:dyDescent="0.25">
      <c r="A30" s="5" t="s">
        <v>158</v>
      </c>
      <c r="B30" s="6" t="s">
        <v>133</v>
      </c>
      <c r="C30" s="7">
        <v>99000</v>
      </c>
      <c r="D30" s="7" t="s">
        <v>23</v>
      </c>
      <c r="E30" s="5" t="s">
        <v>65</v>
      </c>
    </row>
    <row r="31" spans="1:5" ht="31.5" x14ac:dyDescent="0.25">
      <c r="A31" s="5" t="s">
        <v>159</v>
      </c>
      <c r="B31" s="6" t="s">
        <v>133</v>
      </c>
      <c r="C31" s="7">
        <v>57000</v>
      </c>
      <c r="D31" s="7" t="s">
        <v>23</v>
      </c>
      <c r="E31" s="5" t="s">
        <v>65</v>
      </c>
    </row>
    <row r="32" spans="1:5" ht="31.5" x14ac:dyDescent="0.25">
      <c r="A32" s="5" t="s">
        <v>160</v>
      </c>
      <c r="B32" s="6" t="s">
        <v>133</v>
      </c>
      <c r="C32" s="7">
        <v>68571.360000000001</v>
      </c>
      <c r="D32" s="7" t="s">
        <v>23</v>
      </c>
      <c r="E32" s="5" t="s">
        <v>65</v>
      </c>
    </row>
    <row r="33" spans="1:5" ht="31.5" x14ac:dyDescent="0.25">
      <c r="A33" s="5" t="s">
        <v>161</v>
      </c>
      <c r="B33" s="6" t="s">
        <v>133</v>
      </c>
      <c r="C33" s="7">
        <v>68571.360000000001</v>
      </c>
      <c r="D33" s="7" t="s">
        <v>23</v>
      </c>
      <c r="E33" s="5" t="s">
        <v>65</v>
      </c>
    </row>
    <row r="34" spans="1:5" ht="31.5" x14ac:dyDescent="0.25">
      <c r="A34" s="5" t="s">
        <v>162</v>
      </c>
      <c r="B34" s="6" t="s">
        <v>133</v>
      </c>
      <c r="C34" s="7">
        <v>68571.360000000001</v>
      </c>
      <c r="D34" s="7" t="s">
        <v>23</v>
      </c>
      <c r="E34" s="5" t="s">
        <v>65</v>
      </c>
    </row>
    <row r="35" spans="1:5" ht="31.5" x14ac:dyDescent="0.25">
      <c r="A35" s="5" t="s">
        <v>163</v>
      </c>
      <c r="B35" s="6" t="s">
        <v>133</v>
      </c>
      <c r="C35" s="7">
        <v>82971.360000000001</v>
      </c>
      <c r="D35" s="7" t="s">
        <v>23</v>
      </c>
      <c r="E35" s="5" t="s">
        <v>65</v>
      </c>
    </row>
    <row r="36" spans="1:5" ht="31.5" x14ac:dyDescent="0.25">
      <c r="A36" s="5" t="s">
        <v>164</v>
      </c>
      <c r="B36" s="6" t="s">
        <v>133</v>
      </c>
      <c r="C36" s="7">
        <v>68571.360000000001</v>
      </c>
      <c r="D36" s="7" t="s">
        <v>23</v>
      </c>
      <c r="E36" s="5" t="s">
        <v>65</v>
      </c>
    </row>
    <row r="37" spans="1:5" ht="31.5" x14ac:dyDescent="0.25">
      <c r="A37" s="5" t="s">
        <v>165</v>
      </c>
      <c r="B37" s="6" t="s">
        <v>133</v>
      </c>
      <c r="C37" s="7">
        <v>82971.360000000001</v>
      </c>
      <c r="D37" s="7" t="s">
        <v>23</v>
      </c>
      <c r="E37" s="5" t="s">
        <v>65</v>
      </c>
    </row>
    <row r="38" spans="1:5" ht="31.5" x14ac:dyDescent="0.25">
      <c r="A38" s="5" t="s">
        <v>166</v>
      </c>
      <c r="B38" s="6" t="s">
        <v>133</v>
      </c>
      <c r="C38" s="7">
        <v>12000</v>
      </c>
      <c r="D38" s="7" t="s">
        <v>23</v>
      </c>
      <c r="E38" s="5" t="s">
        <v>65</v>
      </c>
    </row>
    <row r="39" spans="1:5" ht="31.5" x14ac:dyDescent="0.25">
      <c r="A39" s="5" t="s">
        <v>167</v>
      </c>
      <c r="B39" s="6" t="s">
        <v>133</v>
      </c>
      <c r="C39" s="7">
        <v>75000</v>
      </c>
      <c r="D39" s="7" t="s">
        <v>23</v>
      </c>
      <c r="E39" s="5" t="s">
        <v>65</v>
      </c>
    </row>
    <row r="40" spans="1:5" ht="31.5" x14ac:dyDescent="0.25">
      <c r="A40" s="5" t="s">
        <v>168</v>
      </c>
      <c r="B40" s="6" t="s">
        <v>133</v>
      </c>
      <c r="C40" s="7">
        <v>48000</v>
      </c>
      <c r="D40" s="7" t="s">
        <v>23</v>
      </c>
      <c r="E40" s="5" t="s">
        <v>65</v>
      </c>
    </row>
    <row r="41" spans="1:5" ht="31.5" x14ac:dyDescent="0.25">
      <c r="A41" s="5" t="s">
        <v>169</v>
      </c>
      <c r="B41" s="6" t="s">
        <v>133</v>
      </c>
      <c r="C41" s="7">
        <v>150000</v>
      </c>
      <c r="D41" s="7" t="s">
        <v>23</v>
      </c>
      <c r="E41" s="5" t="s">
        <v>65</v>
      </c>
    </row>
    <row r="42" spans="1:5" ht="31.5" x14ac:dyDescent="0.25">
      <c r="A42" s="5" t="s">
        <v>170</v>
      </c>
      <c r="B42" s="6" t="s">
        <v>133</v>
      </c>
      <c r="C42" s="7">
        <v>72000</v>
      </c>
      <c r="D42" s="7" t="s">
        <v>23</v>
      </c>
      <c r="E42" s="5" t="s">
        <v>65</v>
      </c>
    </row>
    <row r="43" spans="1:5" ht="31.5" x14ac:dyDescent="0.25">
      <c r="A43" s="5" t="s">
        <v>171</v>
      </c>
      <c r="B43" s="6" t="s">
        <v>133</v>
      </c>
      <c r="C43" s="7">
        <v>137280</v>
      </c>
      <c r="D43" s="7" t="s">
        <v>23</v>
      </c>
      <c r="E43" s="5" t="s">
        <v>65</v>
      </c>
    </row>
    <row r="44" spans="1:5" ht="31.5" x14ac:dyDescent="0.25">
      <c r="A44" s="5" t="s">
        <v>172</v>
      </c>
      <c r="B44" s="6" t="s">
        <v>133</v>
      </c>
      <c r="C44" s="7">
        <v>48000</v>
      </c>
      <c r="D44" s="7" t="s">
        <v>23</v>
      </c>
      <c r="E44" s="5" t="s">
        <v>65</v>
      </c>
    </row>
    <row r="45" spans="1:5" ht="15.75" x14ac:dyDescent="0.25">
      <c r="A45" s="5" t="s">
        <v>173</v>
      </c>
      <c r="B45" s="6" t="s">
        <v>133</v>
      </c>
      <c r="C45" s="7">
        <v>112000</v>
      </c>
      <c r="D45" s="7" t="s">
        <v>23</v>
      </c>
      <c r="E45" s="5" t="s">
        <v>65</v>
      </c>
    </row>
    <row r="46" spans="1:5" ht="15.75" x14ac:dyDescent="0.25">
      <c r="A46" s="5" t="s">
        <v>174</v>
      </c>
      <c r="B46" s="6" t="s">
        <v>133</v>
      </c>
      <c r="C46" s="7">
        <v>60000</v>
      </c>
      <c r="D46" s="7" t="s">
        <v>23</v>
      </c>
      <c r="E46" s="5" t="s">
        <v>65</v>
      </c>
    </row>
    <row r="47" spans="1:5" ht="31.5" x14ac:dyDescent="0.25">
      <c r="A47" s="5" t="s">
        <v>175</v>
      </c>
      <c r="B47" s="6" t="s">
        <v>133</v>
      </c>
      <c r="C47" s="7">
        <v>112000</v>
      </c>
      <c r="D47" s="7" t="s">
        <v>23</v>
      </c>
      <c r="E47" s="5" t="s">
        <v>65</v>
      </c>
    </row>
    <row r="48" spans="1:5" ht="31.5" x14ac:dyDescent="0.25">
      <c r="A48" s="5" t="s">
        <v>176</v>
      </c>
      <c r="B48" s="6" t="s">
        <v>133</v>
      </c>
      <c r="C48" s="7">
        <v>60000</v>
      </c>
      <c r="D48" s="7" t="s">
        <v>23</v>
      </c>
      <c r="E48" s="5" t="s">
        <v>65</v>
      </c>
    </row>
    <row r="49" spans="1:5" ht="15.75" x14ac:dyDescent="0.25">
      <c r="A49" s="5" t="s">
        <v>177</v>
      </c>
      <c r="B49" s="6" t="s">
        <v>133</v>
      </c>
      <c r="C49" s="7">
        <v>78000</v>
      </c>
      <c r="D49" s="7" t="s">
        <v>23</v>
      </c>
      <c r="E49" s="5" t="s">
        <v>65</v>
      </c>
    </row>
    <row r="50" spans="1:5" ht="31.5" x14ac:dyDescent="0.25">
      <c r="A50" s="5" t="s">
        <v>178</v>
      </c>
      <c r="B50" s="6" t="s">
        <v>133</v>
      </c>
      <c r="C50" s="7">
        <v>78000</v>
      </c>
      <c r="D50" s="7" t="s">
        <v>23</v>
      </c>
      <c r="E50" s="5" t="s">
        <v>65</v>
      </c>
    </row>
    <row r="51" spans="1:5" ht="31.5" x14ac:dyDescent="0.25">
      <c r="A51" s="5" t="s">
        <v>179</v>
      </c>
      <c r="B51" s="6" t="s">
        <v>133</v>
      </c>
      <c r="C51" s="7">
        <v>54000</v>
      </c>
      <c r="D51" s="7" t="s">
        <v>23</v>
      </c>
      <c r="E51" s="5" t="s">
        <v>65</v>
      </c>
    </row>
    <row r="52" spans="1:5" ht="31.5" x14ac:dyDescent="0.25">
      <c r="A52" s="5" t="s">
        <v>180</v>
      </c>
      <c r="B52" s="6" t="s">
        <v>133</v>
      </c>
      <c r="C52" s="7">
        <v>60000</v>
      </c>
      <c r="D52" s="7" t="s">
        <v>23</v>
      </c>
      <c r="E52" s="5" t="s">
        <v>65</v>
      </c>
    </row>
    <row r="53" spans="1:5" ht="31.5" x14ac:dyDescent="0.25">
      <c r="A53" s="5" t="s">
        <v>181</v>
      </c>
      <c r="B53" s="6" t="s">
        <v>133</v>
      </c>
      <c r="C53" s="7">
        <v>100000</v>
      </c>
      <c r="D53" s="7" t="s">
        <v>23</v>
      </c>
      <c r="E53" s="5" t="s">
        <v>65</v>
      </c>
    </row>
    <row r="54" spans="1:5" ht="31.5" x14ac:dyDescent="0.25">
      <c r="A54" s="5" t="s">
        <v>182</v>
      </c>
      <c r="B54" s="6" t="s">
        <v>133</v>
      </c>
      <c r="C54" s="7">
        <v>60000</v>
      </c>
      <c r="D54" s="7" t="s">
        <v>23</v>
      </c>
      <c r="E54" s="5" t="s">
        <v>65</v>
      </c>
    </row>
    <row r="55" spans="1:5" ht="15.75" x14ac:dyDescent="0.25">
      <c r="A55" s="5" t="s">
        <v>183</v>
      </c>
      <c r="B55" s="6" t="s">
        <v>133</v>
      </c>
      <c r="C55" s="7">
        <v>39000</v>
      </c>
      <c r="D55" s="7" t="s">
        <v>23</v>
      </c>
      <c r="E55" s="5" t="s">
        <v>65</v>
      </c>
    </row>
    <row r="56" spans="1:5" ht="31.5" x14ac:dyDescent="0.25">
      <c r="A56" s="5" t="s">
        <v>184</v>
      </c>
      <c r="B56" s="6" t="s">
        <v>133</v>
      </c>
      <c r="C56" s="7">
        <v>26000</v>
      </c>
      <c r="D56" s="7" t="s">
        <v>23</v>
      </c>
      <c r="E56" s="5" t="s">
        <v>65</v>
      </c>
    </row>
    <row r="57" spans="1:5" ht="31.5" x14ac:dyDescent="0.25">
      <c r="A57" s="5" t="s">
        <v>185</v>
      </c>
      <c r="B57" s="6" t="s">
        <v>133</v>
      </c>
      <c r="C57" s="7">
        <v>72000</v>
      </c>
      <c r="D57" s="7" t="s">
        <v>23</v>
      </c>
      <c r="E57" s="5" t="s">
        <v>65</v>
      </c>
    </row>
    <row r="58" spans="1:5" ht="31.5" x14ac:dyDescent="0.25">
      <c r="A58" s="5" t="s">
        <v>186</v>
      </c>
      <c r="B58" s="6" t="s">
        <v>133</v>
      </c>
      <c r="C58" s="7">
        <v>36000</v>
      </c>
      <c r="D58" s="7" t="s">
        <v>23</v>
      </c>
      <c r="E58" s="5" t="s">
        <v>65</v>
      </c>
    </row>
    <row r="59" spans="1:5" ht="31.5" x14ac:dyDescent="0.25">
      <c r="A59" s="5" t="s">
        <v>187</v>
      </c>
      <c r="B59" s="6" t="s">
        <v>133</v>
      </c>
      <c r="C59" s="7">
        <v>208000</v>
      </c>
      <c r="D59" s="7" t="s">
        <v>23</v>
      </c>
      <c r="E59" s="5" t="s">
        <v>65</v>
      </c>
    </row>
    <row r="60" spans="1:5" ht="31.5" x14ac:dyDescent="0.25">
      <c r="A60" s="5" t="s">
        <v>188</v>
      </c>
      <c r="B60" s="6" t="s">
        <v>133</v>
      </c>
      <c r="C60" s="7">
        <v>130000</v>
      </c>
      <c r="D60" s="7" t="s">
        <v>23</v>
      </c>
      <c r="E60" s="5" t="s">
        <v>65</v>
      </c>
    </row>
    <row r="61" spans="1:5" ht="31.5" x14ac:dyDescent="0.25">
      <c r="A61" s="5" t="s">
        <v>189</v>
      </c>
      <c r="B61" s="6" t="s">
        <v>133</v>
      </c>
      <c r="C61" s="7">
        <v>208000</v>
      </c>
      <c r="D61" s="7" t="s">
        <v>23</v>
      </c>
      <c r="E61" s="5" t="s">
        <v>65</v>
      </c>
    </row>
    <row r="62" spans="1:5" ht="31.5" x14ac:dyDescent="0.25">
      <c r="A62" s="5" t="s">
        <v>190</v>
      </c>
      <c r="B62" s="6" t="s">
        <v>133</v>
      </c>
      <c r="C62" s="7">
        <v>130000</v>
      </c>
      <c r="D62" s="7" t="s">
        <v>23</v>
      </c>
      <c r="E62" s="5" t="s">
        <v>65</v>
      </c>
    </row>
    <row r="63" spans="1:5" ht="31.5" x14ac:dyDescent="0.25">
      <c r="A63" s="5" t="s">
        <v>191</v>
      </c>
      <c r="B63" s="6" t="s">
        <v>133</v>
      </c>
      <c r="C63" s="7">
        <v>384000</v>
      </c>
      <c r="D63" s="7" t="s">
        <v>23</v>
      </c>
      <c r="E63" s="5" t="s">
        <v>65</v>
      </c>
    </row>
    <row r="64" spans="1:5" ht="31.5" x14ac:dyDescent="0.25">
      <c r="A64" s="5" t="s">
        <v>192</v>
      </c>
      <c r="B64" s="6" t="s">
        <v>133</v>
      </c>
      <c r="C64" s="7">
        <v>148200</v>
      </c>
      <c r="D64" s="7" t="s">
        <v>23</v>
      </c>
      <c r="E64" s="5" t="s">
        <v>65</v>
      </c>
    </row>
    <row r="65" spans="1:5" ht="31.5" x14ac:dyDescent="0.25">
      <c r="A65" s="5" t="s">
        <v>193</v>
      </c>
      <c r="B65" s="6" t="s">
        <v>133</v>
      </c>
      <c r="C65" s="7">
        <v>221000</v>
      </c>
      <c r="D65" s="7" t="s">
        <v>23</v>
      </c>
      <c r="E65" s="5" t="s">
        <v>65</v>
      </c>
    </row>
    <row r="66" spans="1:5" ht="31.5" x14ac:dyDescent="0.25">
      <c r="A66" s="5" t="s">
        <v>194</v>
      </c>
      <c r="B66" s="6" t="s">
        <v>133</v>
      </c>
      <c r="C66" s="7">
        <v>85800</v>
      </c>
      <c r="D66" s="7" t="s">
        <v>23</v>
      </c>
      <c r="E66" s="5" t="s">
        <v>65</v>
      </c>
    </row>
    <row r="67" spans="1:5" ht="31.5" x14ac:dyDescent="0.25">
      <c r="A67" s="5" t="s">
        <v>195</v>
      </c>
      <c r="B67" s="6" t="s">
        <v>133</v>
      </c>
      <c r="C67" s="7">
        <v>72000</v>
      </c>
      <c r="D67" s="7" t="s">
        <v>23</v>
      </c>
      <c r="E67" s="5" t="s">
        <v>65</v>
      </c>
    </row>
    <row r="68" spans="1:5" ht="31.5" x14ac:dyDescent="0.25">
      <c r="A68" s="5" t="s">
        <v>196</v>
      </c>
      <c r="B68" s="6" t="s">
        <v>133</v>
      </c>
      <c r="C68" s="7">
        <v>101400</v>
      </c>
      <c r="D68" s="7" t="s">
        <v>23</v>
      </c>
      <c r="E68" s="5" t="s">
        <v>65</v>
      </c>
    </row>
    <row r="69" spans="1:5" ht="31.5" x14ac:dyDescent="0.25">
      <c r="A69" s="5" t="s">
        <v>197</v>
      </c>
      <c r="B69" s="6" t="s">
        <v>133</v>
      </c>
      <c r="C69" s="7">
        <v>128000</v>
      </c>
      <c r="D69" s="7" t="s">
        <v>23</v>
      </c>
      <c r="E69" s="5" t="s">
        <v>65</v>
      </c>
    </row>
    <row r="70" spans="1:5" ht="31.5" x14ac:dyDescent="0.25">
      <c r="A70" s="5" t="s">
        <v>198</v>
      </c>
      <c r="B70" s="6" t="s">
        <v>133</v>
      </c>
      <c r="C70" s="7">
        <v>24000</v>
      </c>
      <c r="D70" s="7" t="s">
        <v>23</v>
      </c>
      <c r="E70" s="5" t="s">
        <v>65</v>
      </c>
    </row>
    <row r="71" spans="1:5" ht="31.5" x14ac:dyDescent="0.25">
      <c r="A71" s="5" t="s">
        <v>199</v>
      </c>
      <c r="B71" s="6" t="s">
        <v>133</v>
      </c>
      <c r="C71" s="7">
        <v>384000</v>
      </c>
      <c r="D71" s="7" t="s">
        <v>23</v>
      </c>
      <c r="E71" s="5" t="s">
        <v>65</v>
      </c>
    </row>
    <row r="72" spans="1:5" ht="31.5" x14ac:dyDescent="0.25">
      <c r="A72" s="5" t="s">
        <v>200</v>
      </c>
      <c r="B72" s="6" t="s">
        <v>133</v>
      </c>
      <c r="C72" s="7">
        <v>45000</v>
      </c>
      <c r="D72" s="7" t="s">
        <v>23</v>
      </c>
      <c r="E72" s="5" t="s">
        <v>65</v>
      </c>
    </row>
    <row r="73" spans="1:5" ht="47.25" x14ac:dyDescent="0.25">
      <c r="A73" s="5" t="s">
        <v>201</v>
      </c>
      <c r="B73" s="6" t="s">
        <v>133</v>
      </c>
      <c r="C73" s="7">
        <v>96000</v>
      </c>
      <c r="D73" s="7" t="s">
        <v>8</v>
      </c>
      <c r="E73" s="5" t="s">
        <v>27</v>
      </c>
    </row>
    <row r="74" spans="1:5" ht="47.25" x14ac:dyDescent="0.25">
      <c r="A74" s="5" t="s">
        <v>202</v>
      </c>
      <c r="B74" s="6" t="s">
        <v>133</v>
      </c>
      <c r="C74" s="7">
        <v>51600</v>
      </c>
      <c r="D74" s="7" t="s">
        <v>8</v>
      </c>
      <c r="E74" s="5" t="s">
        <v>27</v>
      </c>
    </row>
    <row r="75" spans="1:5" ht="47.25" x14ac:dyDescent="0.25">
      <c r="A75" s="5" t="s">
        <v>203</v>
      </c>
      <c r="B75" s="6" t="s">
        <v>133</v>
      </c>
      <c r="C75" s="7">
        <v>51600</v>
      </c>
      <c r="D75" s="7" t="s">
        <v>8</v>
      </c>
      <c r="E75" s="5" t="s">
        <v>27</v>
      </c>
    </row>
    <row r="76" spans="1:5" ht="47.25" x14ac:dyDescent="0.25">
      <c r="A76" s="5" t="s">
        <v>204</v>
      </c>
      <c r="B76" s="6" t="s">
        <v>133</v>
      </c>
      <c r="C76" s="7">
        <v>51600</v>
      </c>
      <c r="D76" s="7" t="s">
        <v>8</v>
      </c>
      <c r="E76" s="5" t="s">
        <v>27</v>
      </c>
    </row>
    <row r="77" spans="1:5" ht="47.25" x14ac:dyDescent="0.25">
      <c r="A77" s="5" t="s">
        <v>205</v>
      </c>
      <c r="B77" s="6" t="s">
        <v>133</v>
      </c>
      <c r="C77" s="7">
        <v>51600</v>
      </c>
      <c r="D77" s="7" t="s">
        <v>8</v>
      </c>
      <c r="E77" s="5" t="s">
        <v>27</v>
      </c>
    </row>
    <row r="78" spans="1:5" ht="47.25" x14ac:dyDescent="0.25">
      <c r="A78" s="5" t="s">
        <v>206</v>
      </c>
      <c r="B78" s="6" t="s">
        <v>133</v>
      </c>
      <c r="C78" s="7">
        <v>51600</v>
      </c>
      <c r="D78" s="7" t="s">
        <v>8</v>
      </c>
      <c r="E78" s="5" t="s">
        <v>27</v>
      </c>
    </row>
    <row r="79" spans="1:5" ht="47.25" x14ac:dyDescent="0.25">
      <c r="A79" s="5" t="s">
        <v>207</v>
      </c>
      <c r="B79" s="6" t="s">
        <v>133</v>
      </c>
      <c r="C79" s="7">
        <v>51600</v>
      </c>
      <c r="D79" s="7" t="s">
        <v>8</v>
      </c>
      <c r="E79" s="5" t="s">
        <v>27</v>
      </c>
    </row>
    <row r="80" spans="1:5" ht="47.25" x14ac:dyDescent="0.25">
      <c r="A80" s="5" t="s">
        <v>208</v>
      </c>
      <c r="B80" s="6" t="s">
        <v>133</v>
      </c>
      <c r="C80" s="7">
        <v>51600</v>
      </c>
      <c r="D80" s="7" t="s">
        <v>8</v>
      </c>
      <c r="E80" s="5" t="s">
        <v>27</v>
      </c>
    </row>
    <row r="81" spans="1:5" ht="47.25" x14ac:dyDescent="0.25">
      <c r="A81" s="5" t="s">
        <v>209</v>
      </c>
      <c r="B81" s="6" t="s">
        <v>133</v>
      </c>
      <c r="C81" s="7">
        <v>51600</v>
      </c>
      <c r="D81" s="7" t="s">
        <v>8</v>
      </c>
      <c r="E81" s="5" t="s">
        <v>27</v>
      </c>
    </row>
    <row r="82" spans="1:5" ht="47.25" x14ac:dyDescent="0.25">
      <c r="A82" s="5" t="s">
        <v>210</v>
      </c>
      <c r="B82" s="6" t="s">
        <v>133</v>
      </c>
      <c r="C82" s="7">
        <v>51600</v>
      </c>
      <c r="D82" s="7" t="s">
        <v>8</v>
      </c>
      <c r="E82" s="5" t="s">
        <v>27</v>
      </c>
    </row>
    <row r="83" spans="1:5" ht="47.25" x14ac:dyDescent="0.25">
      <c r="A83" s="5" t="s">
        <v>211</v>
      </c>
      <c r="B83" s="6" t="s">
        <v>133</v>
      </c>
      <c r="C83" s="7">
        <v>51600</v>
      </c>
      <c r="D83" s="7" t="s">
        <v>8</v>
      </c>
      <c r="E83" s="5" t="s">
        <v>27</v>
      </c>
    </row>
    <row r="84" spans="1:5" ht="47.25" x14ac:dyDescent="0.25">
      <c r="A84" s="5" t="s">
        <v>212</v>
      </c>
      <c r="B84" s="6" t="s">
        <v>133</v>
      </c>
      <c r="C84" s="7">
        <v>51600</v>
      </c>
      <c r="D84" s="7" t="s">
        <v>8</v>
      </c>
      <c r="E84" s="5" t="s">
        <v>27</v>
      </c>
    </row>
    <row r="85" spans="1:5" ht="47.25" x14ac:dyDescent="0.25">
      <c r="A85" s="5" t="s">
        <v>213</v>
      </c>
      <c r="B85" s="6" t="s">
        <v>133</v>
      </c>
      <c r="C85" s="7">
        <v>51600</v>
      </c>
      <c r="D85" s="7" t="s">
        <v>8</v>
      </c>
      <c r="E85" s="5" t="s">
        <v>27</v>
      </c>
    </row>
    <row r="86" spans="1:5" ht="31.5" x14ac:dyDescent="0.25">
      <c r="A86" s="5" t="s">
        <v>214</v>
      </c>
      <c r="B86" s="6" t="s">
        <v>133</v>
      </c>
      <c r="C86" s="7">
        <v>108000</v>
      </c>
      <c r="D86" s="7" t="s">
        <v>8</v>
      </c>
      <c r="E86" s="5" t="s">
        <v>27</v>
      </c>
    </row>
    <row r="87" spans="1:5" ht="31.5" x14ac:dyDescent="0.25">
      <c r="A87" s="5" t="s">
        <v>215</v>
      </c>
      <c r="B87" s="6" t="s">
        <v>133</v>
      </c>
      <c r="C87" s="7">
        <v>84000</v>
      </c>
      <c r="D87" s="7" t="s">
        <v>8</v>
      </c>
      <c r="E87" s="5" t="s">
        <v>27</v>
      </c>
    </row>
    <row r="88" spans="1:5" ht="31.5" x14ac:dyDescent="0.25">
      <c r="A88" s="5" t="s">
        <v>216</v>
      </c>
      <c r="B88" s="6" t="s">
        <v>133</v>
      </c>
      <c r="C88" s="7">
        <v>72000</v>
      </c>
      <c r="D88" s="7" t="s">
        <v>8</v>
      </c>
      <c r="E88" s="5" t="s">
        <v>27</v>
      </c>
    </row>
    <row r="89" spans="1:5" ht="31.5" x14ac:dyDescent="0.25">
      <c r="A89" s="5" t="s">
        <v>217</v>
      </c>
      <c r="B89" s="6" t="s">
        <v>133</v>
      </c>
      <c r="C89" s="7">
        <v>84000</v>
      </c>
      <c r="D89" s="7" t="s">
        <v>8</v>
      </c>
      <c r="E89" s="5" t="s">
        <v>27</v>
      </c>
    </row>
    <row r="90" spans="1:5" ht="31.5" x14ac:dyDescent="0.25">
      <c r="A90" s="5" t="s">
        <v>218</v>
      </c>
      <c r="B90" s="6" t="s">
        <v>133</v>
      </c>
      <c r="C90" s="7">
        <v>84000</v>
      </c>
      <c r="D90" s="7" t="s">
        <v>8</v>
      </c>
      <c r="E90" s="5" t="s">
        <v>27</v>
      </c>
    </row>
    <row r="91" spans="1:5" ht="31.5" x14ac:dyDescent="0.25">
      <c r="A91" s="5" t="s">
        <v>219</v>
      </c>
      <c r="B91" s="6" t="s">
        <v>133</v>
      </c>
      <c r="C91" s="7">
        <v>84000</v>
      </c>
      <c r="D91" s="7" t="s">
        <v>8</v>
      </c>
      <c r="E91" s="5" t="s">
        <v>27</v>
      </c>
    </row>
    <row r="92" spans="1:5" ht="63" x14ac:dyDescent="0.25">
      <c r="A92" s="5" t="s">
        <v>220</v>
      </c>
      <c r="B92" s="6" t="s">
        <v>133</v>
      </c>
      <c r="C92" s="7">
        <v>72000</v>
      </c>
      <c r="D92" s="7" t="s">
        <v>8</v>
      </c>
      <c r="E92" s="5" t="s">
        <v>27</v>
      </c>
    </row>
    <row r="93" spans="1:5" ht="63" x14ac:dyDescent="0.25">
      <c r="A93" s="5" t="s">
        <v>221</v>
      </c>
      <c r="B93" s="6" t="s">
        <v>133</v>
      </c>
      <c r="C93" s="7">
        <v>84000</v>
      </c>
      <c r="D93" s="7" t="s">
        <v>8</v>
      </c>
      <c r="E93" s="5" t="s">
        <v>27</v>
      </c>
    </row>
    <row r="94" spans="1:5" ht="47.25" x14ac:dyDescent="0.25">
      <c r="A94" s="5" t="s">
        <v>222</v>
      </c>
      <c r="B94" s="6" t="s">
        <v>133</v>
      </c>
      <c r="C94" s="7">
        <v>84000</v>
      </c>
      <c r="D94" s="7" t="s">
        <v>8</v>
      </c>
      <c r="E94" s="5" t="s">
        <v>27</v>
      </c>
    </row>
    <row r="95" spans="1:5" ht="31.5" x14ac:dyDescent="0.25">
      <c r="A95" s="5" t="s">
        <v>223</v>
      </c>
      <c r="B95" s="6" t="s">
        <v>133</v>
      </c>
      <c r="C95" s="7">
        <v>84000</v>
      </c>
      <c r="D95" s="7" t="s">
        <v>8</v>
      </c>
      <c r="E95" s="5" t="s">
        <v>27</v>
      </c>
    </row>
    <row r="96" spans="1:5" ht="31.5" x14ac:dyDescent="0.25">
      <c r="A96" s="5" t="s">
        <v>224</v>
      </c>
      <c r="B96" s="6" t="s">
        <v>133</v>
      </c>
      <c r="C96" s="7">
        <v>84000</v>
      </c>
      <c r="D96" s="7" t="s">
        <v>8</v>
      </c>
      <c r="E96" s="5" t="s">
        <v>27</v>
      </c>
    </row>
    <row r="97" spans="1:5" ht="15.75" x14ac:dyDescent="0.25">
      <c r="A97" s="5" t="s">
        <v>225</v>
      </c>
      <c r="B97" s="6" t="s">
        <v>133</v>
      </c>
      <c r="C97" s="7">
        <v>84000</v>
      </c>
      <c r="D97" s="7" t="s">
        <v>8</v>
      </c>
      <c r="E97" s="5" t="s">
        <v>27</v>
      </c>
    </row>
    <row r="98" spans="1:5" ht="15.75" x14ac:dyDescent="0.25">
      <c r="A98" s="5" t="s">
        <v>226</v>
      </c>
      <c r="B98" s="6" t="s">
        <v>133</v>
      </c>
      <c r="C98" s="7">
        <v>84000</v>
      </c>
      <c r="D98" s="7" t="s">
        <v>8</v>
      </c>
      <c r="E98" s="5" t="s">
        <v>27</v>
      </c>
    </row>
    <row r="99" spans="1:5" ht="31.5" x14ac:dyDescent="0.25">
      <c r="A99" s="5" t="s">
        <v>227</v>
      </c>
      <c r="B99" s="6" t="s">
        <v>133</v>
      </c>
      <c r="C99" s="7">
        <v>84000</v>
      </c>
      <c r="D99" s="7" t="s">
        <v>8</v>
      </c>
      <c r="E99" s="5" t="s">
        <v>27</v>
      </c>
    </row>
    <row r="100" spans="1:5" ht="15.75" x14ac:dyDescent="0.25">
      <c r="A100" s="5" t="s">
        <v>228</v>
      </c>
      <c r="B100" s="6" t="s">
        <v>133</v>
      </c>
      <c r="C100" s="7">
        <v>84000</v>
      </c>
      <c r="D100" s="7" t="s">
        <v>8</v>
      </c>
      <c r="E100" s="5" t="s">
        <v>27</v>
      </c>
    </row>
    <row r="101" spans="1:5" ht="31.5" x14ac:dyDescent="0.25">
      <c r="A101" s="5" t="s">
        <v>229</v>
      </c>
      <c r="B101" s="6" t="s">
        <v>133</v>
      </c>
      <c r="C101" s="7">
        <v>84000</v>
      </c>
      <c r="D101" s="7" t="s">
        <v>8</v>
      </c>
      <c r="E101" s="5" t="s">
        <v>27</v>
      </c>
    </row>
    <row r="102" spans="1:5" ht="15.75" x14ac:dyDescent="0.25">
      <c r="A102" s="5" t="s">
        <v>230</v>
      </c>
      <c r="B102" s="6" t="s">
        <v>133</v>
      </c>
      <c r="C102" s="7">
        <v>84000</v>
      </c>
      <c r="D102" s="7" t="s">
        <v>8</v>
      </c>
      <c r="E102" s="5" t="s">
        <v>27</v>
      </c>
    </row>
    <row r="103" spans="1:5" ht="31.5" x14ac:dyDescent="0.25">
      <c r="A103" s="5" t="s">
        <v>231</v>
      </c>
      <c r="B103" s="6" t="s">
        <v>133</v>
      </c>
      <c r="C103" s="7">
        <v>144000</v>
      </c>
      <c r="D103" s="7" t="s">
        <v>8</v>
      </c>
      <c r="E103" s="5" t="s">
        <v>27</v>
      </c>
    </row>
    <row r="104" spans="1:5" ht="31.5" x14ac:dyDescent="0.25">
      <c r="A104" s="5" t="s">
        <v>232</v>
      </c>
      <c r="B104" s="6" t="s">
        <v>133</v>
      </c>
      <c r="C104" s="7">
        <v>144000</v>
      </c>
      <c r="D104" s="7" t="s">
        <v>8</v>
      </c>
      <c r="E104" s="5" t="s">
        <v>27</v>
      </c>
    </row>
    <row r="105" spans="1:5" ht="31.5" x14ac:dyDescent="0.25">
      <c r="A105" s="5" t="s">
        <v>233</v>
      </c>
      <c r="B105" s="6" t="s">
        <v>133</v>
      </c>
      <c r="C105" s="7">
        <v>96000</v>
      </c>
      <c r="D105" s="7" t="s">
        <v>8</v>
      </c>
      <c r="E105" s="5" t="s">
        <v>27</v>
      </c>
    </row>
    <row r="106" spans="1:5" ht="15.75" x14ac:dyDescent="0.25">
      <c r="A106" s="5" t="s">
        <v>234</v>
      </c>
      <c r="B106" s="6" t="s">
        <v>133</v>
      </c>
      <c r="C106" s="7">
        <v>60000</v>
      </c>
      <c r="D106" s="7" t="s">
        <v>8</v>
      </c>
      <c r="E106" s="5" t="s">
        <v>27</v>
      </c>
    </row>
    <row r="107" spans="1:5" ht="31.5" x14ac:dyDescent="0.25">
      <c r="A107" s="5" t="s">
        <v>235</v>
      </c>
      <c r="B107" s="6" t="s">
        <v>133</v>
      </c>
      <c r="C107" s="7">
        <v>80000</v>
      </c>
      <c r="D107" s="7" t="s">
        <v>23</v>
      </c>
      <c r="E107" s="5" t="s">
        <v>65</v>
      </c>
    </row>
    <row r="108" spans="1:5" ht="31.5" x14ac:dyDescent="0.25">
      <c r="A108" s="5" t="s">
        <v>236</v>
      </c>
      <c r="B108" s="6" t="s">
        <v>133</v>
      </c>
      <c r="C108" s="7">
        <v>72000</v>
      </c>
      <c r="D108" s="7" t="s">
        <v>23</v>
      </c>
      <c r="E108" s="5" t="s">
        <v>65</v>
      </c>
    </row>
    <row r="109" spans="1:5" ht="31.5" x14ac:dyDescent="0.25">
      <c r="A109" s="5" t="s">
        <v>237</v>
      </c>
      <c r="B109" s="6" t="s">
        <v>133</v>
      </c>
      <c r="C109" s="7">
        <v>96000</v>
      </c>
      <c r="D109" s="7" t="s">
        <v>23</v>
      </c>
      <c r="E109" s="5" t="s">
        <v>65</v>
      </c>
    </row>
    <row r="110" spans="1:5" ht="31.5" x14ac:dyDescent="0.25">
      <c r="A110" s="5" t="s">
        <v>238</v>
      </c>
      <c r="B110" s="6" t="s">
        <v>133</v>
      </c>
      <c r="C110" s="7">
        <v>24000</v>
      </c>
      <c r="D110" s="7" t="s">
        <v>23</v>
      </c>
      <c r="E110" s="5" t="s">
        <v>65</v>
      </c>
    </row>
    <row r="111" spans="1:5" ht="15.75" x14ac:dyDescent="0.25">
      <c r="A111" s="5" t="s">
        <v>239</v>
      </c>
      <c r="B111" s="6" t="s">
        <v>133</v>
      </c>
      <c r="C111" s="7">
        <v>32000</v>
      </c>
      <c r="D111" s="7" t="s">
        <v>23</v>
      </c>
      <c r="E111" s="5" t="s">
        <v>65</v>
      </c>
    </row>
    <row r="112" spans="1:5" ht="31.5" x14ac:dyDescent="0.25">
      <c r="A112" s="5" t="s">
        <v>240</v>
      </c>
      <c r="B112" s="6" t="s">
        <v>133</v>
      </c>
      <c r="C112" s="7">
        <v>80000</v>
      </c>
      <c r="D112" s="7" t="s">
        <v>23</v>
      </c>
      <c r="E112" s="5" t="s">
        <v>65</v>
      </c>
    </row>
    <row r="113" spans="1:5" ht="31.5" x14ac:dyDescent="0.25">
      <c r="A113" s="5" t="s">
        <v>241</v>
      </c>
      <c r="B113" s="6" t="s">
        <v>133</v>
      </c>
      <c r="C113" s="7">
        <v>96000</v>
      </c>
      <c r="D113" s="7" t="s">
        <v>23</v>
      </c>
      <c r="E113" s="5" t="s">
        <v>65</v>
      </c>
    </row>
    <row r="114" spans="1:5" ht="31.5" x14ac:dyDescent="0.25">
      <c r="A114" s="5" t="s">
        <v>242</v>
      </c>
      <c r="B114" s="6" t="s">
        <v>133</v>
      </c>
      <c r="C114" s="7">
        <v>128000</v>
      </c>
      <c r="D114" s="7" t="s">
        <v>23</v>
      </c>
      <c r="E114" s="5" t="s">
        <v>65</v>
      </c>
    </row>
    <row r="115" spans="1:5" ht="31.5" x14ac:dyDescent="0.25">
      <c r="A115" s="5" t="s">
        <v>243</v>
      </c>
      <c r="B115" s="6" t="s">
        <v>133</v>
      </c>
      <c r="C115" s="7">
        <v>80000</v>
      </c>
      <c r="D115" s="7" t="s">
        <v>23</v>
      </c>
      <c r="E115" s="5" t="s">
        <v>65</v>
      </c>
    </row>
    <row r="116" spans="1:5" ht="31.5" x14ac:dyDescent="0.25">
      <c r="A116" s="5" t="s">
        <v>244</v>
      </c>
      <c r="B116" s="6" t="s">
        <v>133</v>
      </c>
      <c r="C116" s="7">
        <v>150000</v>
      </c>
      <c r="D116" s="7" t="s">
        <v>23</v>
      </c>
      <c r="E116" s="5" t="s">
        <v>65</v>
      </c>
    </row>
    <row r="117" spans="1:5" ht="31.5" x14ac:dyDescent="0.25">
      <c r="A117" s="5" t="s">
        <v>245</v>
      </c>
      <c r="B117" s="6" t="s">
        <v>133</v>
      </c>
      <c r="C117" s="7">
        <v>150000</v>
      </c>
      <c r="D117" s="7" t="s">
        <v>23</v>
      </c>
      <c r="E117" s="5" t="s">
        <v>65</v>
      </c>
    </row>
    <row r="118" spans="1:5" ht="31.5" x14ac:dyDescent="0.25">
      <c r="A118" s="5" t="s">
        <v>246</v>
      </c>
      <c r="B118" s="6" t="s">
        <v>133</v>
      </c>
      <c r="C118" s="7">
        <v>45000</v>
      </c>
      <c r="D118" s="7" t="s">
        <v>23</v>
      </c>
      <c r="E118" s="5" t="s">
        <v>65</v>
      </c>
    </row>
    <row r="119" spans="1:5" ht="31.5" x14ac:dyDescent="0.25">
      <c r="A119" s="5" t="s">
        <v>247</v>
      </c>
      <c r="B119" s="6" t="s">
        <v>133</v>
      </c>
      <c r="C119" s="7">
        <v>51428.52</v>
      </c>
      <c r="D119" s="7" t="s">
        <v>23</v>
      </c>
      <c r="E119" s="5" t="s">
        <v>65</v>
      </c>
    </row>
    <row r="120" spans="1:5" ht="31.5" x14ac:dyDescent="0.25">
      <c r="A120" s="5" t="s">
        <v>248</v>
      </c>
      <c r="B120" s="6" t="s">
        <v>133</v>
      </c>
      <c r="C120" s="7">
        <v>60000</v>
      </c>
      <c r="D120" s="7" t="s">
        <v>23</v>
      </c>
      <c r="E120" s="5" t="s">
        <v>65</v>
      </c>
    </row>
    <row r="121" spans="1:5" ht="15.75" x14ac:dyDescent="0.25">
      <c r="A121" s="5" t="s">
        <v>249</v>
      </c>
      <c r="B121" s="6" t="s">
        <v>133</v>
      </c>
      <c r="C121" s="7">
        <v>90000</v>
      </c>
      <c r="D121" s="7" t="s">
        <v>16</v>
      </c>
      <c r="E121" s="5" t="s">
        <v>63</v>
      </c>
    </row>
    <row r="122" spans="1:5" ht="15.75" x14ac:dyDescent="0.25">
      <c r="A122" s="5" t="s">
        <v>250</v>
      </c>
      <c r="B122" s="6" t="s">
        <v>133</v>
      </c>
      <c r="C122" s="7">
        <v>60000</v>
      </c>
      <c r="D122" s="7" t="s">
        <v>8</v>
      </c>
      <c r="E122" s="5" t="s">
        <v>27</v>
      </c>
    </row>
    <row r="123" spans="1:5" ht="16.5" x14ac:dyDescent="0.3">
      <c r="B123" s="8" t="s">
        <v>24</v>
      </c>
      <c r="C123" s="9">
        <f>+SUM(C5:C122)</f>
        <v>11071874.079999998</v>
      </c>
    </row>
  </sheetData>
  <mergeCells count="1">
    <mergeCell ref="A2:E2"/>
  </mergeCells>
  <pageMargins left="0.7" right="0.7" top="0.75" bottom="0.75" header="0.511811023622047" footer="0.511811023622047"/>
  <pageSetup paperSize="9" scale="41" orientation="portrait" horizontalDpi="300" verticalDpi="300"/>
  <rowBreaks count="4" manualBreakCount="4">
    <brk id="24" max="16383" man="1"/>
    <brk id="48" max="16383" man="1"/>
    <brk id="72" max="16383" man="1"/>
    <brk id="9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zoomScaleNormal="100" workbookViewId="0">
      <selection activeCell="E9" activeCellId="1" sqref="C5:C9 E9"/>
    </sheetView>
  </sheetViews>
  <sheetFormatPr baseColWidth="10" defaultColWidth="10.7109375" defaultRowHeight="12.75" customHeight="1" x14ac:dyDescent="0.25"/>
  <cols>
    <col min="1" max="1" width="69" style="1" customWidth="1"/>
    <col min="2" max="2" width="52.140625" style="1" customWidth="1"/>
    <col min="3" max="3" width="28.42578125" style="1" customWidth="1"/>
    <col min="4" max="4" width="7.140625" style="1" customWidth="1"/>
    <col min="5" max="5" width="48.140625" style="1" customWidth="1"/>
  </cols>
  <sheetData>
    <row r="1" spans="1:5" ht="15" x14ac:dyDescent="0.25"/>
    <row r="2" spans="1:5" ht="33" customHeight="1" x14ac:dyDescent="0.25">
      <c r="A2" s="37" t="s">
        <v>251</v>
      </c>
      <c r="B2" s="37"/>
      <c r="C2" s="37"/>
      <c r="D2" s="37"/>
      <c r="E2" s="37"/>
    </row>
    <row r="3" spans="1:5" ht="15" x14ac:dyDescent="0.25"/>
    <row r="4" spans="1:5" ht="16.5" x14ac:dyDescent="0.25">
      <c r="A4" s="2" t="s">
        <v>1</v>
      </c>
      <c r="B4" s="2" t="s">
        <v>2</v>
      </c>
      <c r="C4" s="3" t="s">
        <v>3</v>
      </c>
      <c r="D4" s="3" t="s">
        <v>4</v>
      </c>
      <c r="E4" s="4" t="s">
        <v>5</v>
      </c>
    </row>
    <row r="5" spans="1:5" ht="31.5" x14ac:dyDescent="0.25">
      <c r="A5" s="5" t="s">
        <v>252</v>
      </c>
      <c r="B5" s="6" t="s">
        <v>7</v>
      </c>
      <c r="C5" s="7">
        <v>200000</v>
      </c>
      <c r="D5" s="7" t="s">
        <v>13</v>
      </c>
      <c r="E5" s="5" t="s">
        <v>59</v>
      </c>
    </row>
    <row r="6" spans="1:5" ht="31.5" x14ac:dyDescent="0.25">
      <c r="A6" s="5" t="s">
        <v>253</v>
      </c>
      <c r="B6" s="6" t="s">
        <v>7</v>
      </c>
      <c r="C6" s="7">
        <v>150000</v>
      </c>
      <c r="D6" s="7" t="s">
        <v>16</v>
      </c>
      <c r="E6" s="5" t="s">
        <v>63</v>
      </c>
    </row>
    <row r="7" spans="1:5" ht="31.5" x14ac:dyDescent="0.25">
      <c r="A7" s="5" t="s">
        <v>254</v>
      </c>
      <c r="B7" s="6" t="s">
        <v>7</v>
      </c>
      <c r="C7" s="7">
        <v>60000</v>
      </c>
      <c r="D7" s="7" t="s">
        <v>8</v>
      </c>
      <c r="E7" s="5" t="s">
        <v>27</v>
      </c>
    </row>
    <row r="8" spans="1:5" ht="31.5" x14ac:dyDescent="0.25">
      <c r="A8" s="5" t="s">
        <v>255</v>
      </c>
      <c r="B8" s="6" t="s">
        <v>7</v>
      </c>
      <c r="C8" s="7">
        <v>200000</v>
      </c>
      <c r="D8" s="7" t="s">
        <v>117</v>
      </c>
      <c r="E8" s="5" t="s">
        <v>118</v>
      </c>
    </row>
    <row r="9" spans="1:5" ht="31.5" x14ac:dyDescent="0.25">
      <c r="A9" s="5" t="s">
        <v>256</v>
      </c>
      <c r="B9" s="6" t="s">
        <v>7</v>
      </c>
      <c r="C9" s="7">
        <v>100000</v>
      </c>
      <c r="D9" s="7" t="s">
        <v>16</v>
      </c>
      <c r="E9" s="5" t="s">
        <v>63</v>
      </c>
    </row>
    <row r="10" spans="1:5" ht="15.75" x14ac:dyDescent="0.25">
      <c r="A10" s="5" t="s">
        <v>257</v>
      </c>
      <c r="B10" s="6" t="s">
        <v>7</v>
      </c>
      <c r="C10" s="7">
        <v>20000</v>
      </c>
      <c r="D10" s="7" t="s">
        <v>16</v>
      </c>
      <c r="E10" s="5" t="s">
        <v>63</v>
      </c>
    </row>
    <row r="11" spans="1:5" ht="47.25" x14ac:dyDescent="0.25">
      <c r="A11" s="5" t="s">
        <v>258</v>
      </c>
      <c r="B11" s="6" t="s">
        <v>7</v>
      </c>
      <c r="C11" s="7">
        <v>50000</v>
      </c>
      <c r="D11" s="7" t="s">
        <v>117</v>
      </c>
      <c r="E11" s="5" t="s">
        <v>118</v>
      </c>
    </row>
    <row r="12" spans="1:5" ht="47.25" x14ac:dyDescent="0.25">
      <c r="A12" s="5" t="s">
        <v>259</v>
      </c>
      <c r="B12" s="6" t="s">
        <v>7</v>
      </c>
      <c r="C12" s="7">
        <v>100000</v>
      </c>
      <c r="D12" s="7" t="s">
        <v>117</v>
      </c>
      <c r="E12" s="5" t="s">
        <v>118</v>
      </c>
    </row>
    <row r="13" spans="1:5" ht="16.5" x14ac:dyDescent="0.3">
      <c r="B13" s="8" t="s">
        <v>24</v>
      </c>
      <c r="C13" s="9">
        <f>+SUM(C5:C12)</f>
        <v>880000</v>
      </c>
    </row>
  </sheetData>
  <mergeCells count="1">
    <mergeCell ref="A2:E2"/>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zoomScaleNormal="100" workbookViewId="0">
      <selection activeCell="C10" activeCellId="1" sqref="C5:C9 C10"/>
    </sheetView>
  </sheetViews>
  <sheetFormatPr baseColWidth="10" defaultColWidth="10.7109375" defaultRowHeight="12.75" customHeight="1" x14ac:dyDescent="0.25"/>
  <cols>
    <col min="1" max="1" width="73.85546875" style="1" customWidth="1"/>
    <col min="2" max="2" width="19.85546875" style="1" customWidth="1"/>
    <col min="3" max="3" width="16.28515625" style="1" customWidth="1"/>
    <col min="4" max="4" width="7.140625" style="1" customWidth="1"/>
    <col min="5" max="5" width="57" style="1" customWidth="1"/>
  </cols>
  <sheetData>
    <row r="1" spans="1:5" ht="15" x14ac:dyDescent="0.25"/>
    <row r="2" spans="1:5" ht="15" customHeight="1" x14ac:dyDescent="0.25">
      <c r="A2" s="37" t="s">
        <v>260</v>
      </c>
      <c r="B2" s="37"/>
      <c r="C2" s="37"/>
      <c r="D2" s="37"/>
      <c r="E2" s="37"/>
    </row>
    <row r="3" spans="1:5" ht="15" x14ac:dyDescent="0.25"/>
    <row r="4" spans="1:5" ht="66" x14ac:dyDescent="0.25">
      <c r="A4" s="2" t="s">
        <v>1</v>
      </c>
      <c r="B4" s="2" t="s">
        <v>2</v>
      </c>
      <c r="C4" s="3" t="s">
        <v>3</v>
      </c>
      <c r="D4" s="3" t="s">
        <v>4</v>
      </c>
      <c r="E4" s="4" t="s">
        <v>5</v>
      </c>
    </row>
    <row r="5" spans="1:5" ht="15.75" x14ac:dyDescent="0.25">
      <c r="A5" s="5" t="s">
        <v>261</v>
      </c>
      <c r="B5" s="6" t="s">
        <v>7</v>
      </c>
      <c r="C5" s="7">
        <v>10000</v>
      </c>
      <c r="D5" s="7" t="s">
        <v>126</v>
      </c>
      <c r="E5" s="5" t="s">
        <v>127</v>
      </c>
    </row>
    <row r="6" spans="1:5" ht="15.75" x14ac:dyDescent="0.25">
      <c r="A6" s="5" t="s">
        <v>262</v>
      </c>
      <c r="B6" s="6" t="s">
        <v>7</v>
      </c>
      <c r="C6" s="7">
        <v>500000</v>
      </c>
      <c r="D6" s="7" t="s">
        <v>263</v>
      </c>
      <c r="E6" s="5" t="s">
        <v>264</v>
      </c>
    </row>
    <row r="7" spans="1:5" ht="31.5" x14ac:dyDescent="0.25">
      <c r="A7" s="5" t="s">
        <v>265</v>
      </c>
      <c r="B7" s="6" t="s">
        <v>7</v>
      </c>
      <c r="C7" s="7">
        <v>320000</v>
      </c>
      <c r="D7" s="7" t="s">
        <v>8</v>
      </c>
      <c r="E7" s="5" t="s">
        <v>27</v>
      </c>
    </row>
    <row r="8" spans="1:5" ht="15.75" x14ac:dyDescent="0.25">
      <c r="A8" s="5" t="s">
        <v>266</v>
      </c>
      <c r="B8" s="6" t="s">
        <v>7</v>
      </c>
      <c r="C8" s="7">
        <v>300000</v>
      </c>
      <c r="D8" s="7" t="s">
        <v>8</v>
      </c>
      <c r="E8" s="5" t="s">
        <v>27</v>
      </c>
    </row>
    <row r="9" spans="1:5" ht="15.75" x14ac:dyDescent="0.25">
      <c r="A9" s="5" t="s">
        <v>267</v>
      </c>
      <c r="B9" s="6" t="s">
        <v>7</v>
      </c>
      <c r="C9" s="7">
        <v>1008000</v>
      </c>
      <c r="D9" s="7" t="s">
        <v>268</v>
      </c>
      <c r="E9" s="5" t="s">
        <v>269</v>
      </c>
    </row>
    <row r="10" spans="1:5" ht="16.5" x14ac:dyDescent="0.3">
      <c r="B10" s="8" t="s">
        <v>24</v>
      </c>
      <c r="C10" s="9">
        <f>+SUM(C5:C9)</f>
        <v>2138000</v>
      </c>
    </row>
  </sheetData>
  <mergeCells count="1">
    <mergeCell ref="A2:E2"/>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opLeftCell="A6" zoomScaleNormal="100" workbookViewId="0">
      <selection activeCell="C11" activeCellId="1" sqref="C5:C9 C11"/>
    </sheetView>
  </sheetViews>
  <sheetFormatPr baseColWidth="10" defaultColWidth="10.7109375" defaultRowHeight="12.75" customHeight="1" x14ac:dyDescent="0.25"/>
  <cols>
    <col min="1" max="1" width="50" style="1" customWidth="1"/>
    <col min="2" max="2" width="14.5703125" style="1" customWidth="1"/>
    <col min="3" max="3" width="14.42578125" style="1" customWidth="1"/>
  </cols>
  <sheetData>
    <row r="1" spans="1:5" ht="15" x14ac:dyDescent="0.25"/>
    <row r="2" spans="1:5" ht="17.25" customHeight="1" x14ac:dyDescent="0.25">
      <c r="A2" s="37" t="s">
        <v>270</v>
      </c>
      <c r="B2" s="37"/>
      <c r="C2" s="37"/>
      <c r="D2" s="37"/>
      <c r="E2" s="37"/>
    </row>
    <row r="3" spans="1:5" ht="15" x14ac:dyDescent="0.25"/>
    <row r="4" spans="1:5" ht="82.5" x14ac:dyDescent="0.25">
      <c r="A4" s="2" t="s">
        <v>1</v>
      </c>
      <c r="B4" s="2" t="s">
        <v>2</v>
      </c>
      <c r="C4" s="3" t="s">
        <v>3</v>
      </c>
      <c r="D4" s="3" t="s">
        <v>4</v>
      </c>
      <c r="E4" s="4" t="s">
        <v>5</v>
      </c>
    </row>
    <row r="5" spans="1:5" ht="47.25" x14ac:dyDescent="0.25">
      <c r="A5" s="5" t="s">
        <v>271</v>
      </c>
      <c r="B5" s="6" t="s">
        <v>7</v>
      </c>
      <c r="C5" s="7">
        <v>240000</v>
      </c>
      <c r="D5" s="7" t="s">
        <v>13</v>
      </c>
      <c r="E5" s="5" t="s">
        <v>59</v>
      </c>
    </row>
    <row r="6" spans="1:5" ht="47.25" x14ac:dyDescent="0.25">
      <c r="A6" s="5" t="s">
        <v>272</v>
      </c>
      <c r="B6" s="6" t="s">
        <v>7</v>
      </c>
      <c r="C6" s="7">
        <v>100000</v>
      </c>
      <c r="D6" s="7" t="s">
        <v>13</v>
      </c>
      <c r="E6" s="5" t="s">
        <v>59</v>
      </c>
    </row>
    <row r="7" spans="1:5" ht="63" x14ac:dyDescent="0.25">
      <c r="A7" s="5" t="s">
        <v>273</v>
      </c>
      <c r="B7" s="6" t="s">
        <v>7</v>
      </c>
      <c r="C7" s="7">
        <v>118500</v>
      </c>
      <c r="D7" s="7" t="s">
        <v>126</v>
      </c>
      <c r="E7" s="5" t="s">
        <v>127</v>
      </c>
    </row>
    <row r="8" spans="1:5" ht="126" x14ac:dyDescent="0.25">
      <c r="A8" s="5" t="s">
        <v>274</v>
      </c>
      <c r="B8" s="6" t="s">
        <v>7</v>
      </c>
      <c r="C8" s="7">
        <v>100000</v>
      </c>
      <c r="D8" s="7" t="s">
        <v>268</v>
      </c>
      <c r="E8" s="5" t="s">
        <v>269</v>
      </c>
    </row>
    <row r="9" spans="1:5" ht="126" x14ac:dyDescent="0.25">
      <c r="A9" s="5" t="s">
        <v>274</v>
      </c>
      <c r="B9" s="6" t="s">
        <v>7</v>
      </c>
      <c r="C9" s="7">
        <v>100000</v>
      </c>
      <c r="D9" s="7" t="s">
        <v>268</v>
      </c>
      <c r="E9" s="5" t="s">
        <v>269</v>
      </c>
    </row>
    <row r="10" spans="1:5" ht="126" x14ac:dyDescent="0.25">
      <c r="A10" s="5" t="s">
        <v>274</v>
      </c>
      <c r="B10" s="6" t="s">
        <v>7</v>
      </c>
      <c r="C10" s="7">
        <v>150000</v>
      </c>
      <c r="D10" s="7" t="s">
        <v>268</v>
      </c>
      <c r="E10" s="5" t="s">
        <v>269</v>
      </c>
    </row>
    <row r="11" spans="1:5" ht="16.5" x14ac:dyDescent="0.3">
      <c r="B11" s="8" t="s">
        <v>24</v>
      </c>
      <c r="C11" s="9">
        <f>+SUM(C5:C10)</f>
        <v>808500</v>
      </c>
    </row>
  </sheetData>
  <mergeCells count="1">
    <mergeCell ref="A2:E2"/>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zoomScaleNormal="100" workbookViewId="0">
      <selection activeCell="E8" activeCellId="1" sqref="C5:C9 E8"/>
    </sheetView>
  </sheetViews>
  <sheetFormatPr baseColWidth="10" defaultColWidth="10.7109375" defaultRowHeight="12.75" customHeight="1" x14ac:dyDescent="0.25"/>
  <cols>
    <col min="1" max="1" width="50" style="1" customWidth="1"/>
    <col min="2" max="2" width="14.5703125" style="1" customWidth="1"/>
    <col min="3" max="3" width="28.42578125" style="1" customWidth="1"/>
    <col min="5" max="5" width="16.5703125" style="1" customWidth="1"/>
  </cols>
  <sheetData>
    <row r="1" spans="1:5" ht="15" x14ac:dyDescent="0.25"/>
    <row r="2" spans="1:5" ht="33" customHeight="1" x14ac:dyDescent="0.25">
      <c r="A2" s="37" t="s">
        <v>275</v>
      </c>
      <c r="B2" s="37"/>
      <c r="C2" s="37"/>
      <c r="D2" s="37"/>
      <c r="E2" s="37"/>
    </row>
    <row r="3" spans="1:5" ht="15" x14ac:dyDescent="0.25"/>
    <row r="4" spans="1:5" ht="82.5" x14ac:dyDescent="0.25">
      <c r="A4" s="2" t="s">
        <v>1</v>
      </c>
      <c r="B4" s="2" t="s">
        <v>2</v>
      </c>
      <c r="C4" s="3" t="s">
        <v>3</v>
      </c>
      <c r="D4" s="3" t="s">
        <v>4</v>
      </c>
      <c r="E4" s="4" t="s">
        <v>5</v>
      </c>
    </row>
    <row r="5" spans="1:5" ht="31.5" x14ac:dyDescent="0.25">
      <c r="A5" s="5" t="s">
        <v>276</v>
      </c>
      <c r="B5" s="6" t="s">
        <v>7</v>
      </c>
      <c r="C5" s="7">
        <v>271896</v>
      </c>
      <c r="D5" s="7" t="s">
        <v>8</v>
      </c>
      <c r="E5" s="5" t="s">
        <v>27</v>
      </c>
    </row>
    <row r="6" spans="1:5" ht="16.5" x14ac:dyDescent="0.3">
      <c r="B6" s="8" t="s">
        <v>24</v>
      </c>
      <c r="C6" s="9">
        <f>+SUM(C5)</f>
        <v>271896</v>
      </c>
    </row>
  </sheetData>
  <mergeCells count="1">
    <mergeCell ref="A2:E2"/>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zoomScaleNormal="100" workbookViewId="0">
      <selection activeCell="C41" activeCellId="1" sqref="C5:C9 C41"/>
    </sheetView>
  </sheetViews>
  <sheetFormatPr baseColWidth="10" defaultColWidth="10.7109375" defaultRowHeight="12.75" customHeight="1" x14ac:dyDescent="0.25"/>
  <cols>
    <col min="1" max="1" width="50" style="1" customWidth="1"/>
    <col min="2" max="2" width="17.28515625" style="1" customWidth="1"/>
    <col min="3" max="3" width="28.42578125" style="1" customWidth="1"/>
    <col min="5" max="5" width="58.42578125" style="1" customWidth="1"/>
  </cols>
  <sheetData>
    <row r="1" spans="1:5" ht="15" x14ac:dyDescent="0.25"/>
    <row r="2" spans="1:5" ht="33" customHeight="1" x14ac:dyDescent="0.25">
      <c r="A2" s="37" t="s">
        <v>277</v>
      </c>
      <c r="B2" s="37"/>
      <c r="C2" s="37"/>
      <c r="D2" s="37"/>
      <c r="E2" s="37"/>
    </row>
    <row r="3" spans="1:5" ht="15" x14ac:dyDescent="0.25"/>
    <row r="4" spans="1:5" ht="66" x14ac:dyDescent="0.25">
      <c r="A4" s="2" t="s">
        <v>1</v>
      </c>
      <c r="B4" s="2" t="s">
        <v>2</v>
      </c>
      <c r="C4" s="3" t="s">
        <v>3</v>
      </c>
      <c r="D4" s="3" t="s">
        <v>4</v>
      </c>
      <c r="E4" s="4" t="s">
        <v>5</v>
      </c>
    </row>
    <row r="5" spans="1:5" ht="15.75" x14ac:dyDescent="0.25">
      <c r="A5" s="5" t="s">
        <v>278</v>
      </c>
      <c r="B5" s="6" t="s">
        <v>7</v>
      </c>
      <c r="C5" s="7">
        <v>1462500</v>
      </c>
      <c r="D5" s="7" t="s">
        <v>23</v>
      </c>
      <c r="E5" s="5" t="s">
        <v>65</v>
      </c>
    </row>
    <row r="6" spans="1:5" ht="15.75" x14ac:dyDescent="0.25">
      <c r="A6" s="10" t="s">
        <v>279</v>
      </c>
      <c r="B6" s="6" t="s">
        <v>7</v>
      </c>
      <c r="C6" s="7">
        <v>445714.08</v>
      </c>
      <c r="D6" s="7" t="s">
        <v>23</v>
      </c>
      <c r="E6" s="5" t="s">
        <v>65</v>
      </c>
    </row>
    <row r="7" spans="1:5" ht="15.75" x14ac:dyDescent="0.25">
      <c r="A7" s="5" t="s">
        <v>280</v>
      </c>
      <c r="B7" s="6" t="s">
        <v>7</v>
      </c>
      <c r="C7" s="7">
        <v>445714.08</v>
      </c>
      <c r="D7" s="7" t="s">
        <v>23</v>
      </c>
      <c r="E7" s="5" t="s">
        <v>65</v>
      </c>
    </row>
    <row r="8" spans="1:5" ht="15.75" x14ac:dyDescent="0.25">
      <c r="A8" s="5" t="s">
        <v>281</v>
      </c>
      <c r="B8" s="6" t="s">
        <v>7</v>
      </c>
      <c r="C8" s="7">
        <v>445714.08</v>
      </c>
      <c r="D8" s="7" t="s">
        <v>23</v>
      </c>
      <c r="E8" s="5" t="s">
        <v>65</v>
      </c>
    </row>
    <row r="9" spans="1:5" ht="15.75" x14ac:dyDescent="0.25">
      <c r="A9" s="10" t="s">
        <v>282</v>
      </c>
      <c r="B9" s="6" t="s">
        <v>7</v>
      </c>
      <c r="C9" s="7">
        <v>560000</v>
      </c>
      <c r="D9" s="7" t="s">
        <v>23</v>
      </c>
      <c r="E9" s="5" t="s">
        <v>65</v>
      </c>
    </row>
    <row r="10" spans="1:5" ht="15.75" x14ac:dyDescent="0.25">
      <c r="A10" s="10" t="s">
        <v>283</v>
      </c>
      <c r="B10" s="6" t="s">
        <v>7</v>
      </c>
      <c r="C10" s="7">
        <v>1043314.28571429</v>
      </c>
      <c r="D10" s="7" t="s">
        <v>23</v>
      </c>
      <c r="E10" s="5" t="s">
        <v>65</v>
      </c>
    </row>
    <row r="11" spans="1:5" ht="15.75" x14ac:dyDescent="0.25">
      <c r="A11" s="10" t="s">
        <v>284</v>
      </c>
      <c r="B11" s="6" t="s">
        <v>7</v>
      </c>
      <c r="C11" s="7">
        <v>3979800</v>
      </c>
      <c r="D11" s="7" t="s">
        <v>23</v>
      </c>
      <c r="E11" s="5" t="s">
        <v>65</v>
      </c>
    </row>
    <row r="12" spans="1:5" ht="15.75" x14ac:dyDescent="0.25">
      <c r="A12" s="10" t="s">
        <v>285</v>
      </c>
      <c r="B12" s="6" t="s">
        <v>7</v>
      </c>
      <c r="C12" s="7">
        <v>939000</v>
      </c>
      <c r="D12" s="7" t="s">
        <v>23</v>
      </c>
      <c r="E12" s="5" t="s">
        <v>65</v>
      </c>
    </row>
    <row r="13" spans="1:5" ht="15.75" x14ac:dyDescent="0.25">
      <c r="A13" s="10" t="s">
        <v>286</v>
      </c>
      <c r="B13" s="6" t="s">
        <v>7</v>
      </c>
      <c r="C13" s="7">
        <v>685714</v>
      </c>
      <c r="D13" s="7" t="s">
        <v>23</v>
      </c>
      <c r="E13" s="5" t="s">
        <v>65</v>
      </c>
    </row>
    <row r="14" spans="1:5" ht="15.75" x14ac:dyDescent="0.25">
      <c r="A14" s="10" t="s">
        <v>287</v>
      </c>
      <c r="B14" s="6" t="s">
        <v>7</v>
      </c>
      <c r="C14" s="7">
        <v>312000</v>
      </c>
      <c r="D14" s="7" t="s">
        <v>23</v>
      </c>
      <c r="E14" s="5" t="s">
        <v>65</v>
      </c>
    </row>
    <row r="15" spans="1:5" ht="15.75" x14ac:dyDescent="0.25">
      <c r="A15" s="10" t="s">
        <v>288</v>
      </c>
      <c r="B15" s="6" t="s">
        <v>7</v>
      </c>
      <c r="C15" s="7">
        <v>900000</v>
      </c>
      <c r="D15" s="7" t="s">
        <v>23</v>
      </c>
      <c r="E15" s="5" t="s">
        <v>65</v>
      </c>
    </row>
    <row r="16" spans="1:5" ht="15.75" x14ac:dyDescent="0.25">
      <c r="A16" s="5" t="s">
        <v>289</v>
      </c>
      <c r="B16" s="6" t="s">
        <v>7</v>
      </c>
      <c r="C16" s="7">
        <v>768000</v>
      </c>
      <c r="D16" s="7" t="s">
        <v>23</v>
      </c>
      <c r="E16" s="5" t="s">
        <v>65</v>
      </c>
    </row>
    <row r="17" spans="1:5" ht="15.75" x14ac:dyDescent="0.25">
      <c r="A17" s="10" t="s">
        <v>290</v>
      </c>
      <c r="B17" s="6" t="s">
        <v>7</v>
      </c>
      <c r="C17" s="7">
        <v>600000</v>
      </c>
      <c r="D17" s="7" t="s">
        <v>23</v>
      </c>
      <c r="E17" s="5" t="s">
        <v>65</v>
      </c>
    </row>
    <row r="18" spans="1:5" ht="15.75" x14ac:dyDescent="0.25">
      <c r="A18" s="10" t="s">
        <v>291</v>
      </c>
      <c r="B18" s="6" t="s">
        <v>7</v>
      </c>
      <c r="C18" s="7">
        <v>214000</v>
      </c>
      <c r="D18" s="7" t="s">
        <v>23</v>
      </c>
      <c r="E18" s="5" t="s">
        <v>65</v>
      </c>
    </row>
    <row r="19" spans="1:5" ht="15.75" x14ac:dyDescent="0.25">
      <c r="A19" s="10" t="s">
        <v>292</v>
      </c>
      <c r="B19" s="6" t="s">
        <v>7</v>
      </c>
      <c r="C19" s="7">
        <v>150000</v>
      </c>
      <c r="D19" s="7" t="s">
        <v>23</v>
      </c>
      <c r="E19" s="5" t="s">
        <v>65</v>
      </c>
    </row>
    <row r="20" spans="1:5" ht="15.75" x14ac:dyDescent="0.25">
      <c r="A20" s="10" t="s">
        <v>293</v>
      </c>
      <c r="B20" s="6" t="s">
        <v>7</v>
      </c>
      <c r="C20" s="7">
        <v>300000</v>
      </c>
      <c r="D20" s="7" t="s">
        <v>23</v>
      </c>
      <c r="E20" s="5" t="s">
        <v>65</v>
      </c>
    </row>
    <row r="21" spans="1:5" ht="15.75" x14ac:dyDescent="0.25">
      <c r="A21" s="10" t="s">
        <v>294</v>
      </c>
      <c r="B21" s="6" t="s">
        <v>7</v>
      </c>
      <c r="C21" s="7">
        <v>2930000</v>
      </c>
      <c r="D21" s="7" t="s">
        <v>23</v>
      </c>
      <c r="E21" s="5" t="s">
        <v>65</v>
      </c>
    </row>
    <row r="22" spans="1:5" ht="15.75" x14ac:dyDescent="0.25">
      <c r="A22" s="10" t="s">
        <v>295</v>
      </c>
      <c r="B22" s="6" t="s">
        <v>7</v>
      </c>
      <c r="C22" s="7">
        <v>2150000</v>
      </c>
      <c r="D22" s="7" t="s">
        <v>23</v>
      </c>
      <c r="E22" s="5" t="s">
        <v>65</v>
      </c>
    </row>
    <row r="23" spans="1:5" ht="15.75" x14ac:dyDescent="0.25">
      <c r="A23" s="10" t="s">
        <v>296</v>
      </c>
      <c r="B23" s="6" t="s">
        <v>7</v>
      </c>
      <c r="C23" s="7">
        <v>100150</v>
      </c>
      <c r="D23" s="7" t="s">
        <v>23</v>
      </c>
      <c r="E23" s="5" t="s">
        <v>65</v>
      </c>
    </row>
    <row r="24" spans="1:5" ht="15.75" x14ac:dyDescent="0.25">
      <c r="A24" s="10" t="s">
        <v>297</v>
      </c>
      <c r="B24" s="6" t="s">
        <v>7</v>
      </c>
      <c r="C24" s="7">
        <v>30000</v>
      </c>
      <c r="D24" s="7" t="s">
        <v>23</v>
      </c>
      <c r="E24" s="5" t="s">
        <v>65</v>
      </c>
    </row>
    <row r="25" spans="1:5" ht="15.75" x14ac:dyDescent="0.25">
      <c r="A25" s="10" t="s">
        <v>298</v>
      </c>
      <c r="B25" s="6" t="s">
        <v>7</v>
      </c>
      <c r="C25" s="7">
        <v>156000</v>
      </c>
      <c r="D25" s="7" t="s">
        <v>23</v>
      </c>
      <c r="E25" s="5" t="s">
        <v>65</v>
      </c>
    </row>
    <row r="26" spans="1:5" ht="15.75" x14ac:dyDescent="0.25">
      <c r="A26" s="10" t="s">
        <v>299</v>
      </c>
      <c r="B26" s="6" t="s">
        <v>7</v>
      </c>
      <c r="C26" s="7">
        <v>48000</v>
      </c>
      <c r="D26" s="7" t="s">
        <v>23</v>
      </c>
      <c r="E26" s="5" t="s">
        <v>65</v>
      </c>
    </row>
    <row r="27" spans="1:5" ht="15.75" x14ac:dyDescent="0.25">
      <c r="A27" s="10" t="s">
        <v>300</v>
      </c>
      <c r="B27" s="6" t="s">
        <v>7</v>
      </c>
      <c r="C27" s="7">
        <v>48000</v>
      </c>
      <c r="D27" s="7" t="s">
        <v>23</v>
      </c>
      <c r="E27" s="5" t="s">
        <v>65</v>
      </c>
    </row>
    <row r="28" spans="1:5" ht="15.75" x14ac:dyDescent="0.25">
      <c r="A28" s="10" t="s">
        <v>301</v>
      </c>
      <c r="B28" s="6" t="s">
        <v>7</v>
      </c>
      <c r="C28" s="7">
        <v>956736</v>
      </c>
      <c r="D28" s="7" t="s">
        <v>23</v>
      </c>
      <c r="E28" s="5" t="s">
        <v>65</v>
      </c>
    </row>
    <row r="29" spans="1:5" ht="15.75" x14ac:dyDescent="0.25">
      <c r="A29" s="10" t="s">
        <v>302</v>
      </c>
      <c r="B29" s="6" t="s">
        <v>7</v>
      </c>
      <c r="C29" s="7">
        <v>22800</v>
      </c>
      <c r="D29" s="7" t="s">
        <v>23</v>
      </c>
      <c r="E29" s="5" t="s">
        <v>65</v>
      </c>
    </row>
    <row r="30" spans="1:5" ht="15.75" x14ac:dyDescent="0.25">
      <c r="A30" s="5" t="s">
        <v>303</v>
      </c>
      <c r="B30" s="6" t="s">
        <v>19</v>
      </c>
      <c r="C30" s="7">
        <v>1000000</v>
      </c>
      <c r="D30" s="7" t="s">
        <v>20</v>
      </c>
      <c r="E30" s="5" t="s">
        <v>61</v>
      </c>
    </row>
    <row r="31" spans="1:5" ht="15.75" x14ac:dyDescent="0.25">
      <c r="A31" s="5" t="s">
        <v>304</v>
      </c>
      <c r="B31" s="6" t="s">
        <v>7</v>
      </c>
      <c r="C31" s="7">
        <v>150000</v>
      </c>
      <c r="D31" s="7" t="s">
        <v>16</v>
      </c>
      <c r="E31" s="5" t="s">
        <v>63</v>
      </c>
    </row>
    <row r="32" spans="1:5" ht="47.25" x14ac:dyDescent="0.25">
      <c r="A32" s="5" t="s">
        <v>305</v>
      </c>
      <c r="B32" s="6" t="s">
        <v>7</v>
      </c>
      <c r="C32" s="7">
        <v>200000</v>
      </c>
      <c r="D32" s="7" t="s">
        <v>77</v>
      </c>
      <c r="E32" s="5" t="s">
        <v>78</v>
      </c>
    </row>
    <row r="33" spans="1:5" ht="94.5" x14ac:dyDescent="0.25">
      <c r="A33" s="5" t="s">
        <v>306</v>
      </c>
      <c r="B33" s="6" t="s">
        <v>7</v>
      </c>
      <c r="C33" s="7">
        <v>240000</v>
      </c>
      <c r="D33" s="7" t="s">
        <v>77</v>
      </c>
      <c r="E33" s="5" t="s">
        <v>78</v>
      </c>
    </row>
    <row r="34" spans="1:5" ht="94.5" x14ac:dyDescent="0.25">
      <c r="A34" s="5" t="s">
        <v>307</v>
      </c>
      <c r="B34" s="6" t="s">
        <v>7</v>
      </c>
      <c r="C34" s="7">
        <v>10800000</v>
      </c>
      <c r="D34" s="7" t="s">
        <v>77</v>
      </c>
      <c r="E34" s="5" t="s">
        <v>78</v>
      </c>
    </row>
    <row r="35" spans="1:5" ht="78.75" x14ac:dyDescent="0.25">
      <c r="A35" s="5" t="s">
        <v>308</v>
      </c>
      <c r="B35" s="6" t="s">
        <v>7</v>
      </c>
      <c r="C35" s="7">
        <v>400000</v>
      </c>
      <c r="D35" s="7" t="s">
        <v>77</v>
      </c>
      <c r="E35" s="5" t="s">
        <v>78</v>
      </c>
    </row>
    <row r="36" spans="1:5" ht="63" x14ac:dyDescent="0.25">
      <c r="A36" s="5" t="s">
        <v>309</v>
      </c>
      <c r="B36" s="6" t="s">
        <v>7</v>
      </c>
      <c r="C36" s="7">
        <v>200000</v>
      </c>
      <c r="D36" s="7" t="s">
        <v>77</v>
      </c>
      <c r="E36" s="5" t="s">
        <v>78</v>
      </c>
    </row>
    <row r="37" spans="1:5" ht="110.25" x14ac:dyDescent="0.25">
      <c r="A37" s="5" t="s">
        <v>310</v>
      </c>
      <c r="B37" s="6" t="s">
        <v>7</v>
      </c>
      <c r="C37" s="7">
        <v>300000</v>
      </c>
      <c r="D37" s="7" t="s">
        <v>77</v>
      </c>
      <c r="E37" s="5" t="s">
        <v>78</v>
      </c>
    </row>
    <row r="38" spans="1:5" ht="47.25" x14ac:dyDescent="0.25">
      <c r="A38" s="5" t="s">
        <v>311</v>
      </c>
      <c r="B38" s="6" t="s">
        <v>7</v>
      </c>
      <c r="C38" s="7">
        <v>9482184</v>
      </c>
      <c r="D38" s="7" t="s">
        <v>77</v>
      </c>
      <c r="E38" s="5" t="s">
        <v>78</v>
      </c>
    </row>
    <row r="39" spans="1:5" ht="15.75" x14ac:dyDescent="0.25">
      <c r="A39" s="5" t="s">
        <v>312</v>
      </c>
      <c r="B39" s="6" t="s">
        <v>7</v>
      </c>
      <c r="C39" s="7">
        <v>100000</v>
      </c>
      <c r="D39" s="7" t="s">
        <v>77</v>
      </c>
      <c r="E39" s="5" t="s">
        <v>78</v>
      </c>
    </row>
    <row r="40" spans="1:5" ht="16.5" x14ac:dyDescent="0.3">
      <c r="B40" s="8" t="s">
        <v>24</v>
      </c>
      <c r="C40" s="9">
        <f>+SUM(C5:C39)</f>
        <v>42565340.525714293</v>
      </c>
    </row>
  </sheetData>
  <mergeCells count="1">
    <mergeCell ref="A2:E2"/>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zoomScaleNormal="100" workbookViewId="0">
      <selection activeCell="C27" activeCellId="1" sqref="C5:C9 C27"/>
    </sheetView>
  </sheetViews>
  <sheetFormatPr baseColWidth="10" defaultColWidth="10.7109375" defaultRowHeight="12.75" customHeight="1" x14ac:dyDescent="0.25"/>
  <cols>
    <col min="1" max="1" width="58.28515625" style="1" customWidth="1"/>
    <col min="2" max="3" width="16.28515625" style="1" customWidth="1"/>
    <col min="5" max="5" width="31.5703125" customWidth="1"/>
  </cols>
  <sheetData>
    <row r="1" spans="1:5" ht="15" x14ac:dyDescent="0.25"/>
    <row r="2" spans="1:5" ht="17.25" customHeight="1" x14ac:dyDescent="0.25">
      <c r="A2" s="36" t="s">
        <v>313</v>
      </c>
      <c r="B2" s="36"/>
      <c r="C2" s="36"/>
      <c r="D2" s="36"/>
      <c r="E2" s="36"/>
    </row>
    <row r="3" spans="1:5" ht="15" x14ac:dyDescent="0.25"/>
    <row r="4" spans="1:5" ht="66" x14ac:dyDescent="0.25">
      <c r="A4" s="2" t="s">
        <v>1</v>
      </c>
      <c r="B4" s="2" t="s">
        <v>2</v>
      </c>
      <c r="C4" s="3" t="s">
        <v>3</v>
      </c>
      <c r="D4" s="3" t="s">
        <v>4</v>
      </c>
      <c r="E4" s="4" t="s">
        <v>5</v>
      </c>
    </row>
    <row r="5" spans="1:5" ht="31.5" x14ac:dyDescent="0.25">
      <c r="A5" s="5" t="s">
        <v>314</v>
      </c>
      <c r="B5" s="6" t="s">
        <v>7</v>
      </c>
      <c r="C5" s="7">
        <v>100000</v>
      </c>
      <c r="D5" s="7" t="s">
        <v>263</v>
      </c>
      <c r="E5" s="5" t="s">
        <v>264</v>
      </c>
    </row>
    <row r="6" spans="1:5" ht="31.5" x14ac:dyDescent="0.25">
      <c r="A6" s="5" t="s">
        <v>315</v>
      </c>
      <c r="B6" s="6" t="s">
        <v>7</v>
      </c>
      <c r="C6" s="7">
        <v>250000</v>
      </c>
      <c r="D6" s="7" t="s">
        <v>263</v>
      </c>
      <c r="E6" s="5" t="s">
        <v>264</v>
      </c>
    </row>
    <row r="7" spans="1:5" ht="31.5" x14ac:dyDescent="0.25">
      <c r="A7" s="5" t="s">
        <v>316</v>
      </c>
      <c r="B7" s="6" t="s">
        <v>7</v>
      </c>
      <c r="C7" s="7">
        <v>450000</v>
      </c>
      <c r="D7" s="7" t="s">
        <v>263</v>
      </c>
      <c r="E7" s="5" t="s">
        <v>264</v>
      </c>
    </row>
    <row r="8" spans="1:5" ht="47.25" x14ac:dyDescent="0.25">
      <c r="A8" s="5" t="s">
        <v>317</v>
      </c>
      <c r="B8" s="6" t="s">
        <v>7</v>
      </c>
      <c r="C8" s="7">
        <v>100000</v>
      </c>
      <c r="D8" s="7" t="s">
        <v>263</v>
      </c>
      <c r="E8" s="5" t="s">
        <v>264</v>
      </c>
    </row>
    <row r="9" spans="1:5" ht="31.5" x14ac:dyDescent="0.25">
      <c r="A9" s="5" t="s">
        <v>318</v>
      </c>
      <c r="B9" s="6" t="s">
        <v>7</v>
      </c>
      <c r="C9" s="7">
        <v>150000</v>
      </c>
      <c r="D9" s="7" t="s">
        <v>263</v>
      </c>
      <c r="E9" s="5" t="s">
        <v>264</v>
      </c>
    </row>
    <row r="10" spans="1:5" ht="31.5" x14ac:dyDescent="0.25">
      <c r="A10" s="5" t="s">
        <v>319</v>
      </c>
      <c r="B10" s="6" t="s">
        <v>7</v>
      </c>
      <c r="C10" s="7">
        <v>200000</v>
      </c>
      <c r="D10" s="7" t="s">
        <v>263</v>
      </c>
      <c r="E10" s="5" t="s">
        <v>264</v>
      </c>
    </row>
    <row r="11" spans="1:5" ht="31.5" x14ac:dyDescent="0.25">
      <c r="A11" s="5" t="s">
        <v>320</v>
      </c>
      <c r="B11" s="6" t="s">
        <v>7</v>
      </c>
      <c r="C11" s="7">
        <v>100000</v>
      </c>
      <c r="D11" s="7" t="s">
        <v>263</v>
      </c>
      <c r="E11" s="5" t="s">
        <v>264</v>
      </c>
    </row>
    <row r="12" spans="1:5" ht="31.5" x14ac:dyDescent="0.25">
      <c r="A12" s="5" t="s">
        <v>321</v>
      </c>
      <c r="B12" s="6" t="s">
        <v>7</v>
      </c>
      <c r="C12" s="7">
        <v>100000</v>
      </c>
      <c r="D12" s="7" t="s">
        <v>263</v>
      </c>
      <c r="E12" s="5" t="s">
        <v>264</v>
      </c>
    </row>
    <row r="13" spans="1:5" ht="31.5" x14ac:dyDescent="0.25">
      <c r="A13" s="5" t="s">
        <v>322</v>
      </c>
      <c r="B13" s="6" t="s">
        <v>7</v>
      </c>
      <c r="C13" s="7">
        <v>250000</v>
      </c>
      <c r="D13" s="7" t="s">
        <v>263</v>
      </c>
      <c r="E13" s="5" t="s">
        <v>264</v>
      </c>
    </row>
    <row r="14" spans="1:5" ht="31.5" x14ac:dyDescent="0.25">
      <c r="A14" s="5" t="s">
        <v>323</v>
      </c>
      <c r="B14" s="6" t="s">
        <v>7</v>
      </c>
      <c r="C14" s="7">
        <v>300000</v>
      </c>
      <c r="D14" s="7" t="s">
        <v>263</v>
      </c>
      <c r="E14" s="5" t="s">
        <v>264</v>
      </c>
    </row>
    <row r="15" spans="1:5" ht="47.25" x14ac:dyDescent="0.25">
      <c r="A15" s="5" t="s">
        <v>324</v>
      </c>
      <c r="B15" s="6" t="s">
        <v>7</v>
      </c>
      <c r="C15" s="7">
        <v>110000</v>
      </c>
      <c r="D15" s="7" t="s">
        <v>263</v>
      </c>
      <c r="E15" s="5" t="s">
        <v>264</v>
      </c>
    </row>
    <row r="16" spans="1:5" ht="31.5" x14ac:dyDescent="0.25">
      <c r="A16" s="5" t="s">
        <v>325</v>
      </c>
      <c r="B16" s="6" t="s">
        <v>7</v>
      </c>
      <c r="C16" s="7">
        <v>200000</v>
      </c>
      <c r="D16" s="7" t="s">
        <v>263</v>
      </c>
      <c r="E16" s="5" t="s">
        <v>264</v>
      </c>
    </row>
    <row r="17" spans="1:5" ht="31.5" x14ac:dyDescent="0.25">
      <c r="A17" s="5" t="s">
        <v>326</v>
      </c>
      <c r="B17" s="6" t="s">
        <v>7</v>
      </c>
      <c r="C17" s="7">
        <v>100000</v>
      </c>
      <c r="D17" s="7" t="s">
        <v>263</v>
      </c>
      <c r="E17" s="5" t="s">
        <v>264</v>
      </c>
    </row>
    <row r="18" spans="1:5" ht="31.5" x14ac:dyDescent="0.25">
      <c r="A18" s="5" t="s">
        <v>327</v>
      </c>
      <c r="B18" s="6" t="s">
        <v>7</v>
      </c>
      <c r="C18" s="7">
        <v>300000</v>
      </c>
      <c r="D18" s="7" t="s">
        <v>263</v>
      </c>
      <c r="E18" s="5" t="s">
        <v>264</v>
      </c>
    </row>
    <row r="19" spans="1:5" ht="47.25" x14ac:dyDescent="0.25">
      <c r="A19" s="5" t="s">
        <v>328</v>
      </c>
      <c r="B19" s="6" t="s">
        <v>7</v>
      </c>
      <c r="C19" s="7">
        <v>200000</v>
      </c>
      <c r="D19" s="7" t="s">
        <v>126</v>
      </c>
      <c r="E19" s="5" t="s">
        <v>127</v>
      </c>
    </row>
    <row r="20" spans="1:5" ht="31.5" x14ac:dyDescent="0.25">
      <c r="A20" s="5" t="s">
        <v>329</v>
      </c>
      <c r="B20" s="6" t="s">
        <v>7</v>
      </c>
      <c r="C20" s="7">
        <v>500000</v>
      </c>
      <c r="D20" s="7" t="s">
        <v>263</v>
      </c>
      <c r="E20" s="5" t="s">
        <v>264</v>
      </c>
    </row>
    <row r="21" spans="1:5" ht="31.5" x14ac:dyDescent="0.25">
      <c r="A21" s="5" t="s">
        <v>330</v>
      </c>
      <c r="B21" s="6" t="s">
        <v>7</v>
      </c>
      <c r="C21" s="7">
        <v>300000</v>
      </c>
      <c r="D21" s="7" t="s">
        <v>263</v>
      </c>
      <c r="E21" s="5" t="s">
        <v>264</v>
      </c>
    </row>
    <row r="22" spans="1:5" ht="31.5" x14ac:dyDescent="0.25">
      <c r="A22" s="5" t="s">
        <v>331</v>
      </c>
      <c r="B22" s="6" t="s">
        <v>7</v>
      </c>
      <c r="C22" s="7">
        <v>200000</v>
      </c>
      <c r="D22" s="7" t="s">
        <v>263</v>
      </c>
      <c r="E22" s="5" t="s">
        <v>264</v>
      </c>
    </row>
    <row r="23" spans="1:5" ht="63" x14ac:dyDescent="0.25">
      <c r="A23" s="5" t="s">
        <v>332</v>
      </c>
      <c r="B23" s="6" t="s">
        <v>7</v>
      </c>
      <c r="C23" s="7">
        <v>100000</v>
      </c>
      <c r="D23" s="7" t="s">
        <v>263</v>
      </c>
      <c r="E23" s="5" t="s">
        <v>264</v>
      </c>
    </row>
    <row r="24" spans="1:5" ht="31.5" x14ac:dyDescent="0.25">
      <c r="A24" s="5" t="s">
        <v>333</v>
      </c>
      <c r="B24" s="6" t="s">
        <v>7</v>
      </c>
      <c r="C24" s="7">
        <v>120000</v>
      </c>
      <c r="D24" s="7" t="s">
        <v>263</v>
      </c>
      <c r="E24" s="5" t="s">
        <v>264</v>
      </c>
    </row>
    <row r="25" spans="1:5" ht="31.5" x14ac:dyDescent="0.25">
      <c r="A25" s="5" t="s">
        <v>334</v>
      </c>
      <c r="B25" s="6" t="s">
        <v>7</v>
      </c>
      <c r="C25" s="7">
        <v>250000</v>
      </c>
      <c r="D25" s="7" t="s">
        <v>263</v>
      </c>
      <c r="E25" s="5" t="s">
        <v>264</v>
      </c>
    </row>
    <row r="26" spans="1:5" ht="31.5" x14ac:dyDescent="0.25">
      <c r="A26" s="5" t="s">
        <v>335</v>
      </c>
      <c r="B26" s="6" t="s">
        <v>7</v>
      </c>
      <c r="C26" s="7">
        <v>300000</v>
      </c>
      <c r="D26" s="7" t="s">
        <v>263</v>
      </c>
      <c r="E26" s="5" t="s">
        <v>264</v>
      </c>
    </row>
    <row r="27" spans="1:5" ht="16.5" x14ac:dyDescent="0.3">
      <c r="B27" s="8" t="s">
        <v>24</v>
      </c>
      <c r="C27" s="9">
        <f>+SUM(C5:C26)</f>
        <v>4680000</v>
      </c>
    </row>
  </sheetData>
  <mergeCells count="1">
    <mergeCell ref="A2:E2"/>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zoomScaleNormal="100" workbookViewId="0">
      <selection activeCell="C16" activeCellId="1" sqref="C5:C9 C16"/>
    </sheetView>
  </sheetViews>
  <sheetFormatPr baseColWidth="10" defaultColWidth="78.28515625" defaultRowHeight="12.75" customHeight="1" x14ac:dyDescent="0.25"/>
  <cols>
    <col min="1" max="1" width="59.28515625" style="1" customWidth="1"/>
    <col min="2" max="2" width="52.140625" style="1" customWidth="1"/>
    <col min="3" max="3" width="28.42578125" style="1" customWidth="1"/>
    <col min="4" max="4" width="7.140625" style="1" customWidth="1"/>
    <col min="5" max="5" width="57" style="1" customWidth="1"/>
  </cols>
  <sheetData>
    <row r="1" spans="1:5" ht="15" x14ac:dyDescent="0.25"/>
    <row r="2" spans="1:5" ht="15" customHeight="1" x14ac:dyDescent="0.25">
      <c r="A2" s="37" t="s">
        <v>336</v>
      </c>
      <c r="B2" s="37"/>
      <c r="C2" s="37"/>
      <c r="D2" s="37"/>
      <c r="E2" s="37"/>
    </row>
    <row r="3" spans="1:5" ht="15" x14ac:dyDescent="0.25"/>
    <row r="4" spans="1:5" ht="16.5" x14ac:dyDescent="0.25">
      <c r="A4" s="2" t="s">
        <v>1</v>
      </c>
      <c r="B4" s="2" t="s">
        <v>2</v>
      </c>
      <c r="C4" s="3" t="s">
        <v>3</v>
      </c>
      <c r="D4" s="3" t="s">
        <v>4</v>
      </c>
      <c r="E4" s="4" t="s">
        <v>5</v>
      </c>
    </row>
    <row r="5" spans="1:5" ht="15.75" x14ac:dyDescent="0.25">
      <c r="A5" s="6" t="s">
        <v>337</v>
      </c>
      <c r="B5" s="6" t="s">
        <v>7</v>
      </c>
      <c r="C5" s="7">
        <v>360000</v>
      </c>
      <c r="D5" s="7" t="s">
        <v>268</v>
      </c>
      <c r="E5" s="5" t="s">
        <v>269</v>
      </c>
    </row>
    <row r="6" spans="1:5" ht="15.75" x14ac:dyDescent="0.25">
      <c r="A6" s="6" t="s">
        <v>338</v>
      </c>
      <c r="B6" s="6" t="s">
        <v>7</v>
      </c>
      <c r="C6" s="7">
        <v>360000</v>
      </c>
      <c r="D6" s="7" t="s">
        <v>268</v>
      </c>
      <c r="E6" s="5" t="s">
        <v>269</v>
      </c>
    </row>
    <row r="7" spans="1:5" ht="15.75" x14ac:dyDescent="0.25">
      <c r="A7" s="6" t="s">
        <v>339</v>
      </c>
      <c r="B7" s="6" t="s">
        <v>7</v>
      </c>
      <c r="C7" s="7">
        <v>600000</v>
      </c>
      <c r="D7" s="7" t="s">
        <v>268</v>
      </c>
      <c r="E7" s="5" t="s">
        <v>269</v>
      </c>
    </row>
    <row r="8" spans="1:5" ht="15.75" x14ac:dyDescent="0.25">
      <c r="A8" s="6" t="s">
        <v>340</v>
      </c>
      <c r="B8" s="6" t="s">
        <v>7</v>
      </c>
      <c r="C8" s="7">
        <v>20000</v>
      </c>
      <c r="D8" s="7" t="s">
        <v>268</v>
      </c>
      <c r="E8" s="5" t="s">
        <v>269</v>
      </c>
    </row>
    <row r="9" spans="1:5" ht="15.75" x14ac:dyDescent="0.25">
      <c r="A9" s="6" t="s">
        <v>341</v>
      </c>
      <c r="B9" s="6" t="s">
        <v>7</v>
      </c>
      <c r="C9" s="7">
        <v>960000</v>
      </c>
      <c r="D9" s="7" t="s">
        <v>268</v>
      </c>
      <c r="E9" s="5" t="s">
        <v>269</v>
      </c>
    </row>
    <row r="10" spans="1:5" ht="15.75" x14ac:dyDescent="0.25">
      <c r="A10" s="6" t="s">
        <v>342</v>
      </c>
      <c r="B10" s="6" t="s">
        <v>7</v>
      </c>
      <c r="C10" s="7">
        <v>300000</v>
      </c>
      <c r="D10" s="7" t="s">
        <v>268</v>
      </c>
      <c r="E10" s="5" t="s">
        <v>269</v>
      </c>
    </row>
    <row r="11" spans="1:5" ht="15.75" x14ac:dyDescent="0.25">
      <c r="A11" s="6" t="s">
        <v>343</v>
      </c>
      <c r="B11" s="6" t="s">
        <v>7</v>
      </c>
      <c r="C11" s="7">
        <v>1200000</v>
      </c>
      <c r="D11" s="7" t="s">
        <v>268</v>
      </c>
      <c r="E11" s="5" t="s">
        <v>269</v>
      </c>
    </row>
    <row r="12" spans="1:5" ht="15.75" x14ac:dyDescent="0.25">
      <c r="A12" s="6" t="s">
        <v>344</v>
      </c>
      <c r="B12" s="6" t="s">
        <v>7</v>
      </c>
      <c r="C12" s="7">
        <v>2040000</v>
      </c>
      <c r="D12" s="7" t="s">
        <v>268</v>
      </c>
      <c r="E12" s="5" t="s">
        <v>269</v>
      </c>
    </row>
    <row r="13" spans="1:5" ht="15.75" x14ac:dyDescent="0.25">
      <c r="A13" s="6" t="s">
        <v>345</v>
      </c>
      <c r="B13" s="6" t="s">
        <v>7</v>
      </c>
      <c r="C13" s="7">
        <v>360000</v>
      </c>
      <c r="D13" s="7" t="s">
        <v>268</v>
      </c>
      <c r="E13" s="5" t="s">
        <v>269</v>
      </c>
    </row>
    <row r="14" spans="1:5" ht="15.75" x14ac:dyDescent="0.25">
      <c r="A14" s="6" t="s">
        <v>346</v>
      </c>
      <c r="B14" s="6" t="s">
        <v>7</v>
      </c>
      <c r="C14" s="7">
        <v>660000</v>
      </c>
      <c r="D14" s="7" t="s">
        <v>268</v>
      </c>
      <c r="E14" s="5" t="s">
        <v>269</v>
      </c>
    </row>
    <row r="15" spans="1:5" ht="15.75" x14ac:dyDescent="0.25">
      <c r="A15" s="6" t="s">
        <v>347</v>
      </c>
      <c r="B15" s="6" t="s">
        <v>7</v>
      </c>
      <c r="C15" s="7">
        <v>576000</v>
      </c>
      <c r="D15" s="7" t="s">
        <v>268</v>
      </c>
      <c r="E15" s="5" t="s">
        <v>269</v>
      </c>
    </row>
    <row r="16" spans="1:5" ht="16.5" x14ac:dyDescent="0.3">
      <c r="B16" s="8" t="s">
        <v>24</v>
      </c>
      <c r="C16" s="9">
        <f>SUM(C5:C15)</f>
        <v>7436000</v>
      </c>
    </row>
  </sheetData>
  <mergeCells count="1">
    <mergeCell ref="A2:E2"/>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4"/>
  <sheetViews>
    <sheetView zoomScaleNormal="100" workbookViewId="0">
      <selection activeCell="B19" sqref="B19"/>
    </sheetView>
  </sheetViews>
  <sheetFormatPr baseColWidth="10" defaultColWidth="34.5703125" defaultRowHeight="12.75" customHeight="1" x14ac:dyDescent="0.2"/>
  <cols>
    <col min="1" max="2" width="34.5703125" style="25"/>
    <col min="3" max="3" width="24.42578125" style="25" customWidth="1"/>
    <col min="4" max="5" width="34.5703125" style="25"/>
    <col min="6" max="16384" width="34.5703125" style="26"/>
  </cols>
  <sheetData>
    <row r="2" spans="1:5" ht="15" customHeight="1" x14ac:dyDescent="0.2">
      <c r="A2" s="38" t="s">
        <v>348</v>
      </c>
      <c r="B2" s="38"/>
      <c r="C2" s="38"/>
      <c r="D2" s="38"/>
      <c r="E2" s="38"/>
    </row>
    <row r="4" spans="1:5" ht="30" x14ac:dyDescent="0.2">
      <c r="A4" s="27" t="s">
        <v>1</v>
      </c>
      <c r="B4" s="27" t="s">
        <v>2</v>
      </c>
      <c r="C4" s="28" t="s">
        <v>3</v>
      </c>
      <c r="D4" s="28" t="s">
        <v>4</v>
      </c>
      <c r="E4" s="29" t="s">
        <v>5</v>
      </c>
    </row>
    <row r="5" spans="1:5" ht="40.5" x14ac:dyDescent="0.2">
      <c r="A5" s="30" t="s">
        <v>349</v>
      </c>
      <c r="B5" s="31" t="s">
        <v>7</v>
      </c>
      <c r="C5" s="32">
        <v>750000</v>
      </c>
      <c r="D5" s="32" t="s">
        <v>268</v>
      </c>
      <c r="E5" s="30" t="s">
        <v>269</v>
      </c>
    </row>
    <row r="6" spans="1:5" ht="27" x14ac:dyDescent="0.2">
      <c r="A6" s="30" t="s">
        <v>350</v>
      </c>
      <c r="B6" s="31" t="s">
        <v>7</v>
      </c>
      <c r="C6" s="32">
        <v>9600</v>
      </c>
      <c r="D6" s="32" t="s">
        <v>263</v>
      </c>
      <c r="E6" s="30" t="s">
        <v>264</v>
      </c>
    </row>
    <row r="7" spans="1:5" ht="54" x14ac:dyDescent="0.2">
      <c r="A7" s="30" t="s">
        <v>351</v>
      </c>
      <c r="B7" s="31" t="s">
        <v>7</v>
      </c>
      <c r="C7" s="32">
        <v>1000</v>
      </c>
      <c r="D7" s="32" t="s">
        <v>268</v>
      </c>
      <c r="E7" s="30" t="s">
        <v>269</v>
      </c>
    </row>
    <row r="8" spans="1:5" ht="40.5" x14ac:dyDescent="0.2">
      <c r="A8" s="30" t="s">
        <v>352</v>
      </c>
      <c r="B8" s="31" t="s">
        <v>7</v>
      </c>
      <c r="C8" s="32">
        <v>2000</v>
      </c>
      <c r="D8" s="32" t="s">
        <v>263</v>
      </c>
      <c r="E8" s="30" t="s">
        <v>264</v>
      </c>
    </row>
    <row r="9" spans="1:5" ht="40.5" x14ac:dyDescent="0.2">
      <c r="A9" s="30" t="s">
        <v>353</v>
      </c>
      <c r="B9" s="31" t="s">
        <v>7</v>
      </c>
      <c r="C9" s="32">
        <v>35000</v>
      </c>
      <c r="D9" s="32" t="s">
        <v>263</v>
      </c>
      <c r="E9" s="30" t="s">
        <v>264</v>
      </c>
    </row>
    <row r="10" spans="1:5" ht="27" x14ac:dyDescent="0.2">
      <c r="A10" s="30" t="s">
        <v>354</v>
      </c>
      <c r="B10" s="31" t="s">
        <v>7</v>
      </c>
      <c r="C10" s="32">
        <v>150000</v>
      </c>
      <c r="D10" s="32" t="s">
        <v>268</v>
      </c>
      <c r="E10" s="30" t="s">
        <v>269</v>
      </c>
    </row>
    <row r="11" spans="1:5" ht="27" x14ac:dyDescent="0.2">
      <c r="A11" s="30" t="s">
        <v>355</v>
      </c>
      <c r="B11" s="31" t="s">
        <v>7</v>
      </c>
      <c r="C11" s="32">
        <v>50000</v>
      </c>
      <c r="D11" s="32" t="s">
        <v>268</v>
      </c>
      <c r="E11" s="30" t="s">
        <v>269</v>
      </c>
    </row>
    <row r="12" spans="1:5" ht="13.5" x14ac:dyDescent="0.2">
      <c r="A12" s="30" t="s">
        <v>356</v>
      </c>
      <c r="B12" s="31" t="s">
        <v>7</v>
      </c>
      <c r="C12" s="32">
        <v>2000000</v>
      </c>
      <c r="D12" s="32" t="s">
        <v>126</v>
      </c>
      <c r="E12" s="30" t="s">
        <v>127</v>
      </c>
    </row>
    <row r="13" spans="1:5" ht="40.5" x14ac:dyDescent="0.2">
      <c r="A13" s="30" t="s">
        <v>357</v>
      </c>
      <c r="B13" s="31" t="s">
        <v>19</v>
      </c>
      <c r="C13" s="32">
        <v>100000</v>
      </c>
      <c r="D13" s="32" t="s">
        <v>358</v>
      </c>
      <c r="E13" s="30" t="s">
        <v>359</v>
      </c>
    </row>
    <row r="14" spans="1:5" ht="15" x14ac:dyDescent="0.3">
      <c r="B14" s="33" t="s">
        <v>24</v>
      </c>
      <c r="C14" s="34">
        <f>SUM(C5:C13)</f>
        <v>3097600</v>
      </c>
    </row>
  </sheetData>
  <mergeCells count="1">
    <mergeCell ref="A2:E2"/>
  </mergeCells>
  <pageMargins left="0.7" right="0.7" top="0.75" bottom="0.75" header="0.511811023622047" footer="0.511811023622047"/>
  <pageSetup paperSize="9"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topLeftCell="A25" zoomScaleNormal="100" workbookViewId="0">
      <selection activeCell="C39" activeCellId="1" sqref="C5:C9 C39"/>
    </sheetView>
  </sheetViews>
  <sheetFormatPr baseColWidth="10" defaultColWidth="10.7109375" defaultRowHeight="12.75" customHeight="1" x14ac:dyDescent="0.25"/>
  <cols>
    <col min="1" max="1" width="111" style="1" customWidth="1"/>
    <col min="2" max="2" width="52.140625" style="1" customWidth="1"/>
    <col min="3" max="3" width="28.42578125" style="1" customWidth="1"/>
    <col min="4" max="4" width="7.140625" style="1" customWidth="1"/>
    <col min="5" max="5" width="47.140625" style="1" customWidth="1"/>
  </cols>
  <sheetData>
    <row r="1" spans="1:5" ht="15" x14ac:dyDescent="0.25"/>
    <row r="2" spans="1:5" ht="15" customHeight="1" x14ac:dyDescent="0.25">
      <c r="A2" s="37" t="s">
        <v>360</v>
      </c>
      <c r="B2" s="37"/>
      <c r="C2" s="37"/>
      <c r="D2" s="37"/>
      <c r="E2" s="37"/>
    </row>
    <row r="3" spans="1:5" ht="15" x14ac:dyDescent="0.25"/>
    <row r="4" spans="1:5" ht="16.5" x14ac:dyDescent="0.25">
      <c r="A4" s="2" t="s">
        <v>1</v>
      </c>
      <c r="B4" s="2" t="s">
        <v>2</v>
      </c>
      <c r="C4" s="3" t="s">
        <v>3</v>
      </c>
      <c r="D4" s="3" t="s">
        <v>4</v>
      </c>
      <c r="E4" s="4" t="s">
        <v>5</v>
      </c>
    </row>
    <row r="5" spans="1:5" ht="15.75" x14ac:dyDescent="0.25">
      <c r="A5" s="5" t="s">
        <v>361</v>
      </c>
      <c r="B5" s="6" t="s">
        <v>7</v>
      </c>
      <c r="C5" s="7">
        <v>4572550</v>
      </c>
      <c r="D5" s="7" t="s">
        <v>126</v>
      </c>
      <c r="E5" s="5" t="s">
        <v>127</v>
      </c>
    </row>
    <row r="6" spans="1:5" ht="15.75" x14ac:dyDescent="0.25">
      <c r="A6" s="5" t="s">
        <v>362</v>
      </c>
      <c r="B6" s="6" t="s">
        <v>7</v>
      </c>
      <c r="C6" s="7">
        <v>200000</v>
      </c>
      <c r="D6" s="7" t="s">
        <v>126</v>
      </c>
      <c r="E6" s="5" t="s">
        <v>127</v>
      </c>
    </row>
    <row r="7" spans="1:5" ht="15.75" x14ac:dyDescent="0.25">
      <c r="A7" s="5" t="s">
        <v>363</v>
      </c>
      <c r="B7" s="6" t="s">
        <v>7</v>
      </c>
      <c r="C7" s="7">
        <v>6300000</v>
      </c>
      <c r="D7" s="7" t="s">
        <v>263</v>
      </c>
      <c r="E7" s="5" t="s">
        <v>264</v>
      </c>
    </row>
    <row r="8" spans="1:5" ht="15.75" x14ac:dyDescent="0.25">
      <c r="A8" s="5" t="s">
        <v>364</v>
      </c>
      <c r="B8" s="6" t="s">
        <v>7</v>
      </c>
      <c r="C8" s="7">
        <v>1920000</v>
      </c>
      <c r="D8" s="7" t="s">
        <v>263</v>
      </c>
      <c r="E8" s="5" t="s">
        <v>264</v>
      </c>
    </row>
    <row r="9" spans="1:5" ht="15.75" x14ac:dyDescent="0.25">
      <c r="A9" s="5" t="s">
        <v>364</v>
      </c>
      <c r="B9" s="6" t="s">
        <v>7</v>
      </c>
      <c r="C9" s="7">
        <v>1560000</v>
      </c>
      <c r="D9" s="7" t="s">
        <v>263</v>
      </c>
      <c r="E9" s="5" t="s">
        <v>264</v>
      </c>
    </row>
    <row r="10" spans="1:5" ht="15.75" x14ac:dyDescent="0.25">
      <c r="A10" s="5" t="s">
        <v>365</v>
      </c>
      <c r="B10" s="6" t="s">
        <v>7</v>
      </c>
      <c r="C10" s="7">
        <v>10200000</v>
      </c>
      <c r="D10" s="7" t="s">
        <v>263</v>
      </c>
      <c r="E10" s="5" t="s">
        <v>264</v>
      </c>
    </row>
    <row r="11" spans="1:5" ht="31.5" x14ac:dyDescent="0.25">
      <c r="A11" s="5" t="s">
        <v>366</v>
      </c>
      <c r="B11" s="6" t="s">
        <v>7</v>
      </c>
      <c r="C11" s="7">
        <v>1200000</v>
      </c>
      <c r="D11" s="7" t="s">
        <v>8</v>
      </c>
      <c r="E11" s="5" t="s">
        <v>27</v>
      </c>
    </row>
    <row r="12" spans="1:5" ht="31.5" x14ac:dyDescent="0.25">
      <c r="A12" s="5" t="s">
        <v>367</v>
      </c>
      <c r="B12" s="6" t="s">
        <v>7</v>
      </c>
      <c r="C12" s="7">
        <v>2000000</v>
      </c>
      <c r="D12" s="7" t="s">
        <v>8</v>
      </c>
      <c r="E12" s="5" t="s">
        <v>27</v>
      </c>
    </row>
    <row r="13" spans="1:5" ht="15.75" x14ac:dyDescent="0.25">
      <c r="A13" s="5" t="s">
        <v>368</v>
      </c>
      <c r="B13" s="6" t="s">
        <v>7</v>
      </c>
      <c r="C13" s="7">
        <v>730000</v>
      </c>
      <c r="D13" s="7" t="s">
        <v>8</v>
      </c>
      <c r="E13" s="5" t="s">
        <v>27</v>
      </c>
    </row>
    <row r="14" spans="1:5" ht="15.75" x14ac:dyDescent="0.25">
      <c r="A14" s="5" t="s">
        <v>369</v>
      </c>
      <c r="B14" s="6" t="s">
        <v>7</v>
      </c>
      <c r="C14" s="7">
        <v>200000</v>
      </c>
      <c r="D14" s="7" t="s">
        <v>263</v>
      </c>
      <c r="E14" s="5" t="s">
        <v>264</v>
      </c>
    </row>
    <row r="15" spans="1:5" ht="15.75" x14ac:dyDescent="0.25">
      <c r="A15" s="5" t="s">
        <v>370</v>
      </c>
      <c r="B15" s="6" t="s">
        <v>7</v>
      </c>
      <c r="C15" s="7">
        <v>200000</v>
      </c>
      <c r="D15" s="7" t="s">
        <v>8</v>
      </c>
      <c r="E15" s="5" t="s">
        <v>27</v>
      </c>
    </row>
    <row r="16" spans="1:5" ht="15.75" x14ac:dyDescent="0.25">
      <c r="A16" s="5" t="s">
        <v>371</v>
      </c>
      <c r="B16" s="6" t="s">
        <v>7</v>
      </c>
      <c r="C16" s="7">
        <v>3250000</v>
      </c>
      <c r="D16" s="7" t="s">
        <v>263</v>
      </c>
      <c r="E16" s="5" t="s">
        <v>264</v>
      </c>
    </row>
    <row r="17" spans="1:5" ht="47.25" x14ac:dyDescent="0.25">
      <c r="A17" s="5" t="s">
        <v>372</v>
      </c>
      <c r="B17" s="6" t="s">
        <v>19</v>
      </c>
      <c r="C17" s="7">
        <v>400000</v>
      </c>
      <c r="D17" s="7" t="s">
        <v>20</v>
      </c>
      <c r="E17" s="5" t="s">
        <v>61</v>
      </c>
    </row>
    <row r="18" spans="1:5" ht="15.75" x14ac:dyDescent="0.25">
      <c r="A18" s="5" t="s">
        <v>373</v>
      </c>
      <c r="B18" s="6" t="s">
        <v>7</v>
      </c>
      <c r="C18" s="7">
        <v>500000</v>
      </c>
      <c r="D18" s="7" t="s">
        <v>8</v>
      </c>
      <c r="E18" s="5" t="s">
        <v>27</v>
      </c>
    </row>
    <row r="19" spans="1:5" ht="15.75" x14ac:dyDescent="0.25">
      <c r="A19" s="5" t="s">
        <v>374</v>
      </c>
      <c r="B19" s="6" t="s">
        <v>7</v>
      </c>
      <c r="C19" s="7">
        <v>500000</v>
      </c>
      <c r="D19" s="7" t="s">
        <v>8</v>
      </c>
      <c r="E19" s="5" t="s">
        <v>27</v>
      </c>
    </row>
    <row r="20" spans="1:5" ht="15.75" x14ac:dyDescent="0.25">
      <c r="A20" s="5" t="s">
        <v>375</v>
      </c>
      <c r="B20" s="6" t="s">
        <v>7</v>
      </c>
      <c r="C20" s="7">
        <v>500000</v>
      </c>
      <c r="D20" s="7" t="s">
        <v>263</v>
      </c>
      <c r="E20" s="5" t="s">
        <v>264</v>
      </c>
    </row>
    <row r="21" spans="1:5" ht="31.5" x14ac:dyDescent="0.25">
      <c r="A21" s="5" t="s">
        <v>376</v>
      </c>
      <c r="B21" s="6" t="s">
        <v>7</v>
      </c>
      <c r="C21" s="7">
        <v>500000</v>
      </c>
      <c r="D21" s="7" t="s">
        <v>8</v>
      </c>
      <c r="E21" s="5" t="s">
        <v>27</v>
      </c>
    </row>
    <row r="22" spans="1:5" ht="15.75" x14ac:dyDescent="0.25">
      <c r="A22" s="5" t="s">
        <v>377</v>
      </c>
      <c r="B22" s="6" t="s">
        <v>7</v>
      </c>
      <c r="C22" s="7">
        <v>4000000</v>
      </c>
      <c r="D22" s="7" t="s">
        <v>8</v>
      </c>
      <c r="E22" s="5" t="s">
        <v>27</v>
      </c>
    </row>
    <row r="23" spans="1:5" ht="15.75" x14ac:dyDescent="0.25">
      <c r="A23" s="5" t="s">
        <v>378</v>
      </c>
      <c r="B23" s="6" t="s">
        <v>7</v>
      </c>
      <c r="C23" s="7">
        <v>11700000</v>
      </c>
      <c r="D23" s="7" t="s">
        <v>263</v>
      </c>
      <c r="E23" s="5" t="s">
        <v>264</v>
      </c>
    </row>
    <row r="24" spans="1:5" ht="15.75" x14ac:dyDescent="0.25">
      <c r="A24" s="5" t="s">
        <v>379</v>
      </c>
      <c r="B24" s="6" t="s">
        <v>7</v>
      </c>
      <c r="C24" s="7">
        <v>6720000</v>
      </c>
      <c r="D24" s="7" t="s">
        <v>263</v>
      </c>
      <c r="E24" s="5" t="s">
        <v>264</v>
      </c>
    </row>
    <row r="25" spans="1:5" ht="15.75" x14ac:dyDescent="0.25">
      <c r="A25" s="5" t="s">
        <v>380</v>
      </c>
      <c r="B25" s="6" t="s">
        <v>7</v>
      </c>
      <c r="C25" s="7">
        <v>535000</v>
      </c>
      <c r="D25" s="7" t="s">
        <v>263</v>
      </c>
      <c r="E25" s="5" t="s">
        <v>264</v>
      </c>
    </row>
    <row r="26" spans="1:5" ht="31.5" x14ac:dyDescent="0.25">
      <c r="A26" s="5" t="s">
        <v>381</v>
      </c>
      <c r="B26" s="6" t="s">
        <v>7</v>
      </c>
      <c r="C26" s="7">
        <v>6000000</v>
      </c>
      <c r="D26" s="7" t="s">
        <v>263</v>
      </c>
      <c r="E26" s="5" t="s">
        <v>264</v>
      </c>
    </row>
    <row r="27" spans="1:5" ht="31.5" x14ac:dyDescent="0.25">
      <c r="A27" s="5" t="s">
        <v>382</v>
      </c>
      <c r="B27" s="6" t="s">
        <v>7</v>
      </c>
      <c r="C27" s="7">
        <v>4000000</v>
      </c>
      <c r="D27" s="7" t="s">
        <v>263</v>
      </c>
      <c r="E27" s="5" t="s">
        <v>264</v>
      </c>
    </row>
    <row r="28" spans="1:5" ht="15.75" x14ac:dyDescent="0.25">
      <c r="A28" s="5" t="s">
        <v>383</v>
      </c>
      <c r="B28" s="6" t="s">
        <v>19</v>
      </c>
      <c r="C28" s="7">
        <v>1000000</v>
      </c>
      <c r="D28" s="7" t="s">
        <v>20</v>
      </c>
      <c r="E28" s="5" t="s">
        <v>61</v>
      </c>
    </row>
    <row r="29" spans="1:5" ht="31.5" x14ac:dyDescent="0.25">
      <c r="A29" s="5" t="s">
        <v>384</v>
      </c>
      <c r="B29" s="6" t="s">
        <v>7</v>
      </c>
      <c r="C29" s="7">
        <v>3300000</v>
      </c>
      <c r="D29" s="7" t="s">
        <v>8</v>
      </c>
      <c r="E29" s="5" t="s">
        <v>27</v>
      </c>
    </row>
    <row r="30" spans="1:5" ht="15.75" x14ac:dyDescent="0.25">
      <c r="A30" s="5" t="s">
        <v>385</v>
      </c>
      <c r="B30" s="6" t="s">
        <v>7</v>
      </c>
      <c r="C30" s="7">
        <v>1200000</v>
      </c>
      <c r="D30" s="7" t="s">
        <v>8</v>
      </c>
      <c r="E30" s="5" t="s">
        <v>27</v>
      </c>
    </row>
    <row r="31" spans="1:5" ht="15.75" x14ac:dyDescent="0.25">
      <c r="A31" s="5" t="s">
        <v>386</v>
      </c>
      <c r="B31" s="6" t="s">
        <v>7</v>
      </c>
      <c r="C31" s="7">
        <v>200000</v>
      </c>
      <c r="D31" s="7" t="s">
        <v>8</v>
      </c>
      <c r="E31" s="5" t="s">
        <v>27</v>
      </c>
    </row>
    <row r="32" spans="1:5" ht="31.5" x14ac:dyDescent="0.25">
      <c r="A32" s="5" t="s">
        <v>387</v>
      </c>
      <c r="B32" s="6" t="s">
        <v>19</v>
      </c>
      <c r="C32" s="7">
        <v>6000000</v>
      </c>
      <c r="D32" s="7" t="s">
        <v>20</v>
      </c>
      <c r="E32" s="5" t="s">
        <v>61</v>
      </c>
    </row>
    <row r="33" spans="1:5" ht="15.75" x14ac:dyDescent="0.25">
      <c r="A33" s="5" t="s">
        <v>388</v>
      </c>
      <c r="B33" s="6" t="s">
        <v>19</v>
      </c>
      <c r="C33" s="7">
        <v>2000000</v>
      </c>
      <c r="D33" s="7" t="s">
        <v>389</v>
      </c>
      <c r="E33" s="5" t="s">
        <v>390</v>
      </c>
    </row>
    <row r="34" spans="1:5" ht="15.75" x14ac:dyDescent="0.25">
      <c r="A34" s="5" t="s">
        <v>391</v>
      </c>
      <c r="B34" s="6" t="s">
        <v>7</v>
      </c>
      <c r="C34" s="7">
        <v>2000000</v>
      </c>
      <c r="D34" s="7" t="s">
        <v>23</v>
      </c>
      <c r="E34" s="5" t="s">
        <v>65</v>
      </c>
    </row>
    <row r="35" spans="1:5" ht="15.75" x14ac:dyDescent="0.25">
      <c r="A35" s="5" t="s">
        <v>392</v>
      </c>
      <c r="B35" s="6" t="s">
        <v>7</v>
      </c>
      <c r="C35" s="7">
        <v>200000</v>
      </c>
      <c r="D35" s="7" t="s">
        <v>126</v>
      </c>
      <c r="E35" s="5" t="s">
        <v>127</v>
      </c>
    </row>
    <row r="36" spans="1:5" ht="15.75" x14ac:dyDescent="0.25">
      <c r="A36" s="5" t="s">
        <v>393</v>
      </c>
      <c r="B36" s="6" t="s">
        <v>7</v>
      </c>
      <c r="C36" s="7">
        <v>150000</v>
      </c>
      <c r="D36" s="7" t="s">
        <v>126</v>
      </c>
      <c r="E36" s="5" t="s">
        <v>127</v>
      </c>
    </row>
    <row r="37" spans="1:5" ht="78.75" x14ac:dyDescent="0.25">
      <c r="A37" s="5" t="s">
        <v>394</v>
      </c>
      <c r="B37" s="6" t="s">
        <v>7</v>
      </c>
      <c r="C37" s="7">
        <v>350000</v>
      </c>
      <c r="D37" s="7" t="s">
        <v>126</v>
      </c>
      <c r="E37" s="5" t="s">
        <v>127</v>
      </c>
    </row>
    <row r="38" spans="1:5" ht="15.75" x14ac:dyDescent="0.25">
      <c r="A38" s="5" t="s">
        <v>395</v>
      </c>
      <c r="B38" s="6" t="s">
        <v>7</v>
      </c>
      <c r="C38" s="7">
        <v>1000000</v>
      </c>
      <c r="D38" s="7" t="s">
        <v>263</v>
      </c>
      <c r="E38" s="5" t="s">
        <v>264</v>
      </c>
    </row>
    <row r="39" spans="1:5" ht="15.75" x14ac:dyDescent="0.25">
      <c r="A39" s="5" t="s">
        <v>396</v>
      </c>
      <c r="B39" s="6" t="s">
        <v>19</v>
      </c>
      <c r="C39" s="7">
        <v>500000</v>
      </c>
      <c r="D39" s="7" t="s">
        <v>20</v>
      </c>
      <c r="E39" s="5" t="s">
        <v>61</v>
      </c>
    </row>
    <row r="40" spans="1:5" ht="16.5" x14ac:dyDescent="0.3">
      <c r="B40" s="8" t="s">
        <v>24</v>
      </c>
      <c r="C40" s="9">
        <f>SUM(C5:C39)</f>
        <v>85587550</v>
      </c>
    </row>
  </sheetData>
  <mergeCells count="1">
    <mergeCell ref="A2:E2"/>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4"/>
  <sheetViews>
    <sheetView topLeftCell="A82" zoomScaleNormal="100" workbookViewId="0">
      <selection activeCell="A96" sqref="A96:XFD96"/>
    </sheetView>
  </sheetViews>
  <sheetFormatPr baseColWidth="10" defaultColWidth="10.7109375" defaultRowHeight="12.75" customHeight="1" x14ac:dyDescent="0.25"/>
  <cols>
    <col min="1" max="1" width="144.85546875" style="1" customWidth="1"/>
    <col min="2" max="2" width="52.140625" style="1" customWidth="1"/>
    <col min="3" max="3" width="28.42578125" style="1" customWidth="1"/>
    <col min="4" max="4" width="7.140625" style="1" customWidth="1"/>
    <col min="5" max="5" width="57" style="1" customWidth="1"/>
  </cols>
  <sheetData>
    <row r="1" spans="1:5" ht="15" x14ac:dyDescent="0.25"/>
    <row r="2" spans="1:5" ht="15" customHeight="1" x14ac:dyDescent="0.25">
      <c r="A2" s="37" t="s">
        <v>397</v>
      </c>
      <c r="B2" s="37"/>
      <c r="C2" s="37"/>
      <c r="D2" s="37"/>
      <c r="E2" s="37"/>
    </row>
    <row r="3" spans="1:5" ht="15" x14ac:dyDescent="0.25"/>
    <row r="4" spans="1:5" ht="16.5" x14ac:dyDescent="0.25">
      <c r="A4" s="2" t="s">
        <v>1</v>
      </c>
      <c r="B4" s="2" t="s">
        <v>2</v>
      </c>
      <c r="C4" s="3" t="s">
        <v>3</v>
      </c>
      <c r="D4" s="3" t="s">
        <v>4</v>
      </c>
      <c r="E4" s="4" t="s">
        <v>5</v>
      </c>
    </row>
    <row r="5" spans="1:5" ht="15.75" x14ac:dyDescent="0.25">
      <c r="A5" s="5" t="s">
        <v>398</v>
      </c>
      <c r="B5" s="6" t="s">
        <v>7</v>
      </c>
      <c r="C5" s="7">
        <v>41205482</v>
      </c>
      <c r="D5" s="7" t="s">
        <v>8</v>
      </c>
      <c r="E5" s="5" t="s">
        <v>27</v>
      </c>
    </row>
    <row r="6" spans="1:5" ht="15.75" x14ac:dyDescent="0.25">
      <c r="A6" s="5" t="s">
        <v>399</v>
      </c>
      <c r="B6" s="6" t="s">
        <v>19</v>
      </c>
      <c r="C6" s="7">
        <v>2800000</v>
      </c>
      <c r="D6" s="7" t="s">
        <v>400</v>
      </c>
      <c r="E6" s="5" t="s">
        <v>401</v>
      </c>
    </row>
    <row r="7" spans="1:5" ht="15.75" x14ac:dyDescent="0.25">
      <c r="A7" s="5" t="s">
        <v>402</v>
      </c>
      <c r="B7" s="6" t="s">
        <v>19</v>
      </c>
      <c r="C7" s="7">
        <v>600000</v>
      </c>
      <c r="D7" s="7" t="s">
        <v>20</v>
      </c>
      <c r="E7" s="5" t="s">
        <v>61</v>
      </c>
    </row>
    <row r="8" spans="1:5" ht="15.75" x14ac:dyDescent="0.25">
      <c r="A8" s="5" t="s">
        <v>403</v>
      </c>
      <c r="B8" s="6" t="s">
        <v>19</v>
      </c>
      <c r="C8" s="7">
        <v>3000000</v>
      </c>
      <c r="D8" s="7" t="s">
        <v>20</v>
      </c>
      <c r="E8" s="5" t="s">
        <v>61</v>
      </c>
    </row>
    <row r="9" spans="1:5" ht="15.75" x14ac:dyDescent="0.25">
      <c r="A9" s="5" t="s">
        <v>404</v>
      </c>
      <c r="B9" s="6" t="s">
        <v>19</v>
      </c>
      <c r="C9" s="7">
        <v>1400000</v>
      </c>
      <c r="D9" s="7" t="s">
        <v>20</v>
      </c>
      <c r="E9" s="5" t="s">
        <v>61</v>
      </c>
    </row>
    <row r="10" spans="1:5" ht="15.75" x14ac:dyDescent="0.25">
      <c r="A10" s="5" t="s">
        <v>405</v>
      </c>
      <c r="B10" s="6" t="s">
        <v>19</v>
      </c>
      <c r="C10" s="7">
        <v>800000</v>
      </c>
      <c r="D10" s="7" t="s">
        <v>20</v>
      </c>
      <c r="E10" s="5" t="s">
        <v>61</v>
      </c>
    </row>
    <row r="11" spans="1:5" ht="15.75" x14ac:dyDescent="0.25">
      <c r="A11" s="5" t="s">
        <v>406</v>
      </c>
      <c r="B11" s="6" t="s">
        <v>19</v>
      </c>
      <c r="C11" s="7">
        <v>1000000</v>
      </c>
      <c r="D11" s="7" t="s">
        <v>20</v>
      </c>
      <c r="E11" s="5" t="s">
        <v>61</v>
      </c>
    </row>
    <row r="12" spans="1:5" ht="15.75" x14ac:dyDescent="0.25">
      <c r="A12" s="5" t="s">
        <v>407</v>
      </c>
      <c r="B12" s="6" t="s">
        <v>19</v>
      </c>
      <c r="C12" s="7">
        <v>450000</v>
      </c>
      <c r="D12" s="7" t="s">
        <v>20</v>
      </c>
      <c r="E12" s="5" t="s">
        <v>61</v>
      </c>
    </row>
    <row r="13" spans="1:5" ht="15.75" x14ac:dyDescent="0.25">
      <c r="A13" s="5" t="s">
        <v>408</v>
      </c>
      <c r="B13" s="6" t="s">
        <v>19</v>
      </c>
      <c r="C13" s="7">
        <v>600000</v>
      </c>
      <c r="D13" s="7" t="s">
        <v>20</v>
      </c>
      <c r="E13" s="5" t="s">
        <v>61</v>
      </c>
    </row>
    <row r="14" spans="1:5" ht="15.75" x14ac:dyDescent="0.25">
      <c r="A14" s="5" t="s">
        <v>409</v>
      </c>
      <c r="B14" s="6" t="s">
        <v>19</v>
      </c>
      <c r="C14" s="7">
        <v>650000</v>
      </c>
      <c r="D14" s="7" t="s">
        <v>20</v>
      </c>
      <c r="E14" s="5" t="s">
        <v>61</v>
      </c>
    </row>
    <row r="15" spans="1:5" ht="15.75" x14ac:dyDescent="0.25">
      <c r="A15" s="5" t="s">
        <v>410</v>
      </c>
      <c r="B15" s="6" t="s">
        <v>19</v>
      </c>
      <c r="C15" s="7">
        <v>1000000</v>
      </c>
      <c r="D15" s="7" t="s">
        <v>20</v>
      </c>
      <c r="E15" s="5" t="s">
        <v>61</v>
      </c>
    </row>
    <row r="16" spans="1:5" ht="31.5" x14ac:dyDescent="0.25">
      <c r="A16" s="5" t="s">
        <v>411</v>
      </c>
      <c r="B16" s="6" t="s">
        <v>19</v>
      </c>
      <c r="C16" s="7">
        <v>2420000</v>
      </c>
      <c r="D16" s="7" t="s">
        <v>400</v>
      </c>
      <c r="E16" s="5" t="s">
        <v>401</v>
      </c>
    </row>
    <row r="17" spans="1:5" ht="15.75" x14ac:dyDescent="0.25">
      <c r="A17" s="5" t="s">
        <v>412</v>
      </c>
      <c r="B17" s="6" t="s">
        <v>19</v>
      </c>
      <c r="C17" s="7">
        <v>400000</v>
      </c>
      <c r="D17" s="7" t="s">
        <v>20</v>
      </c>
      <c r="E17" s="5" t="s">
        <v>61</v>
      </c>
    </row>
    <row r="18" spans="1:5" ht="15.75" x14ac:dyDescent="0.25">
      <c r="A18" s="5" t="s">
        <v>413</v>
      </c>
      <c r="B18" s="6" t="s">
        <v>19</v>
      </c>
      <c r="C18" s="7">
        <v>1000000</v>
      </c>
      <c r="D18" s="7" t="s">
        <v>20</v>
      </c>
      <c r="E18" s="5" t="s">
        <v>61</v>
      </c>
    </row>
    <row r="19" spans="1:5" ht="15.75" x14ac:dyDescent="0.25">
      <c r="A19" s="5" t="s">
        <v>414</v>
      </c>
      <c r="B19" s="6" t="s">
        <v>7</v>
      </c>
      <c r="C19" s="7">
        <v>400000</v>
      </c>
      <c r="D19" s="7" t="s">
        <v>8</v>
      </c>
      <c r="E19" s="5" t="s">
        <v>27</v>
      </c>
    </row>
    <row r="20" spans="1:5" ht="15.75" x14ac:dyDescent="0.25">
      <c r="A20" s="5" t="s">
        <v>415</v>
      </c>
      <c r="B20" s="6" t="s">
        <v>7</v>
      </c>
      <c r="C20" s="7">
        <v>200000</v>
      </c>
      <c r="D20" s="7" t="s">
        <v>113</v>
      </c>
      <c r="E20" s="5" t="s">
        <v>114</v>
      </c>
    </row>
    <row r="21" spans="1:5" ht="15.75" x14ac:dyDescent="0.25">
      <c r="A21" s="5" t="s">
        <v>416</v>
      </c>
      <c r="B21" s="6" t="s">
        <v>7</v>
      </c>
      <c r="C21" s="7">
        <v>150000</v>
      </c>
      <c r="D21" s="7" t="s">
        <v>113</v>
      </c>
      <c r="E21" s="5" t="s">
        <v>114</v>
      </c>
    </row>
    <row r="22" spans="1:5" ht="15.75" x14ac:dyDescent="0.25">
      <c r="A22" s="5" t="s">
        <v>417</v>
      </c>
      <c r="B22" s="6" t="s">
        <v>7</v>
      </c>
      <c r="C22" s="7">
        <v>600000</v>
      </c>
      <c r="D22" s="7" t="s">
        <v>113</v>
      </c>
      <c r="E22" s="5" t="s">
        <v>114</v>
      </c>
    </row>
    <row r="23" spans="1:5" ht="31.5" x14ac:dyDescent="0.25">
      <c r="A23" s="5" t="s">
        <v>418</v>
      </c>
      <c r="B23" s="6" t="s">
        <v>7</v>
      </c>
      <c r="C23" s="7">
        <v>650000</v>
      </c>
      <c r="D23" s="7" t="s">
        <v>113</v>
      </c>
      <c r="E23" s="5" t="s">
        <v>114</v>
      </c>
    </row>
    <row r="24" spans="1:5" ht="31.5" x14ac:dyDescent="0.25">
      <c r="A24" s="5" t="s">
        <v>419</v>
      </c>
      <c r="B24" s="6" t="s">
        <v>7</v>
      </c>
      <c r="C24" s="7">
        <v>360000</v>
      </c>
      <c r="D24" s="7" t="s">
        <v>113</v>
      </c>
      <c r="E24" s="5" t="s">
        <v>114</v>
      </c>
    </row>
    <row r="25" spans="1:5" ht="31.5" x14ac:dyDescent="0.25">
      <c r="A25" s="5" t="s">
        <v>420</v>
      </c>
      <c r="B25" s="6" t="s">
        <v>7</v>
      </c>
      <c r="C25" s="7">
        <v>210000</v>
      </c>
      <c r="D25" s="7" t="s">
        <v>113</v>
      </c>
      <c r="E25" s="5" t="s">
        <v>114</v>
      </c>
    </row>
    <row r="26" spans="1:5" ht="15.75" x14ac:dyDescent="0.25">
      <c r="A26" s="5" t="s">
        <v>421</v>
      </c>
      <c r="B26" s="6" t="s">
        <v>7</v>
      </c>
      <c r="C26" s="7">
        <v>500000</v>
      </c>
      <c r="D26" s="7" t="s">
        <v>113</v>
      </c>
      <c r="E26" s="5" t="s">
        <v>114</v>
      </c>
    </row>
    <row r="27" spans="1:5" ht="15.75" x14ac:dyDescent="0.25">
      <c r="A27" s="5" t="s">
        <v>422</v>
      </c>
      <c r="B27" s="6" t="s">
        <v>7</v>
      </c>
      <c r="C27" s="7">
        <v>200000</v>
      </c>
      <c r="D27" s="7" t="s">
        <v>16</v>
      </c>
      <c r="E27" s="5" t="s">
        <v>63</v>
      </c>
    </row>
    <row r="28" spans="1:5" ht="15.75" x14ac:dyDescent="0.25">
      <c r="A28" s="5" t="s">
        <v>423</v>
      </c>
      <c r="B28" s="6" t="s">
        <v>19</v>
      </c>
      <c r="C28" s="7">
        <v>800000</v>
      </c>
      <c r="D28" s="7" t="s">
        <v>400</v>
      </c>
      <c r="E28" s="5" t="s">
        <v>401</v>
      </c>
    </row>
    <row r="29" spans="1:5" ht="15.75" x14ac:dyDescent="0.25">
      <c r="A29" s="5" t="s">
        <v>424</v>
      </c>
      <c r="B29" s="6" t="s">
        <v>19</v>
      </c>
      <c r="C29" s="7">
        <v>1500000</v>
      </c>
      <c r="D29" s="7" t="s">
        <v>400</v>
      </c>
      <c r="E29" s="5" t="s">
        <v>401</v>
      </c>
    </row>
    <row r="30" spans="1:5" ht="15.75" x14ac:dyDescent="0.25">
      <c r="A30" s="5" t="s">
        <v>425</v>
      </c>
      <c r="B30" s="6" t="s">
        <v>7</v>
      </c>
      <c r="C30" s="7">
        <v>1485120</v>
      </c>
      <c r="D30" s="7" t="s">
        <v>56</v>
      </c>
      <c r="E30" s="5" t="s">
        <v>57</v>
      </c>
    </row>
    <row r="31" spans="1:5" ht="15.75" x14ac:dyDescent="0.25">
      <c r="A31" s="5" t="s">
        <v>426</v>
      </c>
      <c r="B31" s="6" t="s">
        <v>7</v>
      </c>
      <c r="C31" s="7">
        <v>16143546</v>
      </c>
      <c r="D31" s="7" t="s">
        <v>56</v>
      </c>
      <c r="E31" s="5" t="s">
        <v>57</v>
      </c>
    </row>
    <row r="32" spans="1:5" ht="15.75" x14ac:dyDescent="0.25">
      <c r="A32" s="5" t="s">
        <v>427</v>
      </c>
      <c r="B32" s="6" t="s">
        <v>7</v>
      </c>
      <c r="C32" s="7">
        <v>550000</v>
      </c>
      <c r="D32" s="7" t="s">
        <v>56</v>
      </c>
      <c r="E32" s="5" t="s">
        <v>57</v>
      </c>
    </row>
    <row r="33" spans="1:5" ht="15.75" x14ac:dyDescent="0.25">
      <c r="A33" s="5" t="s">
        <v>428</v>
      </c>
      <c r="B33" s="6" t="s">
        <v>7</v>
      </c>
      <c r="C33" s="7">
        <v>1119028</v>
      </c>
      <c r="D33" s="7" t="s">
        <v>56</v>
      </c>
      <c r="E33" s="5" t="s">
        <v>57</v>
      </c>
    </row>
    <row r="34" spans="1:5" ht="15.75" x14ac:dyDescent="0.25">
      <c r="A34" s="5" t="s">
        <v>429</v>
      </c>
      <c r="B34" s="6" t="s">
        <v>7</v>
      </c>
      <c r="C34" s="7">
        <v>300000</v>
      </c>
      <c r="D34" s="7" t="s">
        <v>126</v>
      </c>
      <c r="E34" s="5" t="s">
        <v>127</v>
      </c>
    </row>
    <row r="35" spans="1:5" ht="15.75" x14ac:dyDescent="0.25">
      <c r="A35" s="5" t="s">
        <v>430</v>
      </c>
      <c r="B35" s="6" t="s">
        <v>19</v>
      </c>
      <c r="C35" s="7">
        <v>500000</v>
      </c>
      <c r="D35" s="7" t="s">
        <v>431</v>
      </c>
      <c r="E35" s="5" t="s">
        <v>432</v>
      </c>
    </row>
    <row r="36" spans="1:5" ht="15.75" x14ac:dyDescent="0.25">
      <c r="A36" s="5" t="s">
        <v>433</v>
      </c>
      <c r="B36" s="6" t="s">
        <v>7</v>
      </c>
      <c r="C36" s="7">
        <v>50000</v>
      </c>
      <c r="D36" s="7" t="s">
        <v>268</v>
      </c>
      <c r="E36" s="5" t="s">
        <v>269</v>
      </c>
    </row>
    <row r="37" spans="1:5" ht="15.75" x14ac:dyDescent="0.25">
      <c r="A37" s="5" t="s">
        <v>434</v>
      </c>
      <c r="B37" s="6" t="s">
        <v>7</v>
      </c>
      <c r="C37" s="7">
        <v>172800</v>
      </c>
      <c r="D37" s="7" t="s">
        <v>8</v>
      </c>
      <c r="E37" s="5" t="s">
        <v>27</v>
      </c>
    </row>
    <row r="38" spans="1:5" ht="31.5" x14ac:dyDescent="0.25">
      <c r="A38" s="5" t="s">
        <v>435</v>
      </c>
      <c r="B38" s="6" t="s">
        <v>7</v>
      </c>
      <c r="C38" s="7">
        <v>135800</v>
      </c>
      <c r="D38" s="7" t="s">
        <v>8</v>
      </c>
      <c r="E38" s="5" t="s">
        <v>27</v>
      </c>
    </row>
    <row r="39" spans="1:5" ht="15.75" x14ac:dyDescent="0.25">
      <c r="A39" s="5" t="s">
        <v>436</v>
      </c>
      <c r="B39" s="6" t="s">
        <v>7</v>
      </c>
      <c r="C39" s="7">
        <v>57600</v>
      </c>
      <c r="D39" s="7" t="s">
        <v>8</v>
      </c>
      <c r="E39" s="5" t="s">
        <v>27</v>
      </c>
    </row>
    <row r="40" spans="1:5" ht="15.75" x14ac:dyDescent="0.25">
      <c r="A40" s="5" t="s">
        <v>437</v>
      </c>
      <c r="B40" s="6" t="s">
        <v>19</v>
      </c>
      <c r="C40" s="7">
        <v>120000</v>
      </c>
      <c r="D40" s="7" t="s">
        <v>438</v>
      </c>
      <c r="E40" s="5" t="s">
        <v>439</v>
      </c>
    </row>
    <row r="41" spans="1:5" ht="94.5" x14ac:dyDescent="0.25">
      <c r="A41" s="5" t="s">
        <v>440</v>
      </c>
      <c r="B41" s="6" t="s">
        <v>19</v>
      </c>
      <c r="C41" s="7">
        <v>400000</v>
      </c>
      <c r="D41" s="7" t="s">
        <v>438</v>
      </c>
      <c r="E41" s="5" t="s">
        <v>439</v>
      </c>
    </row>
    <row r="42" spans="1:5" ht="15.75" x14ac:dyDescent="0.25">
      <c r="A42" s="5" t="s">
        <v>441</v>
      </c>
      <c r="B42" s="6" t="s">
        <v>19</v>
      </c>
      <c r="C42" s="7">
        <v>800000</v>
      </c>
      <c r="D42" s="7" t="s">
        <v>20</v>
      </c>
      <c r="E42" s="5" t="s">
        <v>61</v>
      </c>
    </row>
    <row r="43" spans="1:5" ht="15.75" x14ac:dyDescent="0.25">
      <c r="A43" s="5" t="s">
        <v>442</v>
      </c>
      <c r="B43" s="6" t="s">
        <v>19</v>
      </c>
      <c r="C43" s="7">
        <v>500000</v>
      </c>
      <c r="D43" s="7" t="s">
        <v>20</v>
      </c>
      <c r="E43" s="5" t="s">
        <v>61</v>
      </c>
    </row>
    <row r="44" spans="1:5" ht="31.5" x14ac:dyDescent="0.25">
      <c r="A44" s="5" t="s">
        <v>443</v>
      </c>
      <c r="B44" s="6" t="s">
        <v>7</v>
      </c>
      <c r="C44" s="7">
        <v>7343586</v>
      </c>
      <c r="D44" s="7" t="s">
        <v>56</v>
      </c>
      <c r="E44" s="5" t="s">
        <v>57</v>
      </c>
    </row>
    <row r="45" spans="1:5" ht="31.5" x14ac:dyDescent="0.25">
      <c r="A45" s="5" t="s">
        <v>444</v>
      </c>
      <c r="B45" s="6" t="s">
        <v>7</v>
      </c>
      <c r="C45" s="7">
        <v>2940732</v>
      </c>
      <c r="D45" s="7" t="s">
        <v>56</v>
      </c>
      <c r="E45" s="5" t="s">
        <v>57</v>
      </c>
    </row>
    <row r="46" spans="1:5" ht="31.5" x14ac:dyDescent="0.25">
      <c r="A46" s="5" t="s">
        <v>445</v>
      </c>
      <c r="B46" s="6" t="s">
        <v>7</v>
      </c>
      <c r="C46" s="7">
        <v>8234049.5999999996</v>
      </c>
      <c r="D46" s="7" t="s">
        <v>56</v>
      </c>
      <c r="E46" s="5" t="s">
        <v>57</v>
      </c>
    </row>
    <row r="47" spans="1:5" ht="31.5" x14ac:dyDescent="0.25">
      <c r="A47" s="5" t="s">
        <v>446</v>
      </c>
      <c r="B47" s="6" t="s">
        <v>7</v>
      </c>
      <c r="C47" s="7">
        <v>3470365.98</v>
      </c>
      <c r="D47" s="7" t="s">
        <v>56</v>
      </c>
      <c r="E47" s="5" t="s">
        <v>57</v>
      </c>
    </row>
    <row r="48" spans="1:5" ht="31.5" x14ac:dyDescent="0.25">
      <c r="A48" s="5" t="s">
        <v>447</v>
      </c>
      <c r="B48" s="6" t="s">
        <v>7</v>
      </c>
      <c r="C48" s="7">
        <v>399672</v>
      </c>
      <c r="D48" s="7" t="s">
        <v>56</v>
      </c>
      <c r="E48" s="5" t="s">
        <v>57</v>
      </c>
    </row>
    <row r="49" spans="1:5" ht="31.5" x14ac:dyDescent="0.25">
      <c r="A49" s="5" t="s">
        <v>448</v>
      </c>
      <c r="B49" s="6" t="s">
        <v>7</v>
      </c>
      <c r="C49" s="7">
        <v>12460542</v>
      </c>
      <c r="D49" s="7" t="s">
        <v>8</v>
      </c>
      <c r="E49" s="5" t="s">
        <v>27</v>
      </c>
    </row>
    <row r="50" spans="1:5" ht="15.75" x14ac:dyDescent="0.25">
      <c r="A50" s="5" t="s">
        <v>449</v>
      </c>
      <c r="B50" s="6" t="s">
        <v>19</v>
      </c>
      <c r="C50" s="7">
        <v>2000000</v>
      </c>
      <c r="D50" s="7" t="s">
        <v>450</v>
      </c>
      <c r="E50" s="5" t="s">
        <v>451</v>
      </c>
    </row>
    <row r="51" spans="1:5" ht="31.5" x14ac:dyDescent="0.25">
      <c r="A51" s="5" t="s">
        <v>452</v>
      </c>
      <c r="B51" s="6" t="s">
        <v>7</v>
      </c>
      <c r="C51" s="7">
        <v>1449692</v>
      </c>
      <c r="D51" s="7" t="s">
        <v>121</v>
      </c>
      <c r="E51" s="5" t="s">
        <v>122</v>
      </c>
    </row>
    <row r="52" spans="1:5" ht="31.5" x14ac:dyDescent="0.25">
      <c r="A52" s="5" t="s">
        <v>453</v>
      </c>
      <c r="B52" s="6" t="s">
        <v>7</v>
      </c>
      <c r="C52" s="7">
        <v>686565</v>
      </c>
      <c r="D52" s="7" t="s">
        <v>121</v>
      </c>
      <c r="E52" s="5" t="s">
        <v>122</v>
      </c>
    </row>
    <row r="53" spans="1:5" ht="15.75" x14ac:dyDescent="0.25">
      <c r="A53" s="5" t="s">
        <v>454</v>
      </c>
      <c r="B53" s="6" t="s">
        <v>19</v>
      </c>
      <c r="C53" s="7">
        <v>1000000</v>
      </c>
      <c r="D53" s="7" t="s">
        <v>455</v>
      </c>
      <c r="E53" s="5" t="s">
        <v>456</v>
      </c>
    </row>
    <row r="54" spans="1:5" ht="15.75" x14ac:dyDescent="0.25">
      <c r="A54" s="5" t="s">
        <v>457</v>
      </c>
      <c r="B54" s="6" t="s">
        <v>7</v>
      </c>
      <c r="C54" s="7">
        <v>9780100</v>
      </c>
      <c r="D54" s="7" t="s">
        <v>16</v>
      </c>
      <c r="E54" s="5" t="s">
        <v>63</v>
      </c>
    </row>
    <row r="55" spans="1:5" ht="31.5" x14ac:dyDescent="0.25">
      <c r="A55" s="5" t="s">
        <v>458</v>
      </c>
      <c r="B55" s="6" t="s">
        <v>7</v>
      </c>
      <c r="C55" s="7">
        <v>400000</v>
      </c>
      <c r="D55" s="7" t="s">
        <v>113</v>
      </c>
      <c r="E55" s="5" t="s">
        <v>114</v>
      </c>
    </row>
    <row r="56" spans="1:5" ht="31.5" x14ac:dyDescent="0.25">
      <c r="A56" s="5" t="s">
        <v>459</v>
      </c>
      <c r="B56" s="6" t="s">
        <v>7</v>
      </c>
      <c r="C56" s="7">
        <v>1100000</v>
      </c>
      <c r="D56" s="7" t="s">
        <v>126</v>
      </c>
      <c r="E56" s="5" t="s">
        <v>127</v>
      </c>
    </row>
    <row r="57" spans="1:5" ht="15.75" x14ac:dyDescent="0.25">
      <c r="A57" s="5" t="s">
        <v>460</v>
      </c>
      <c r="B57" s="6" t="s">
        <v>7</v>
      </c>
      <c r="C57" s="7">
        <v>1200000</v>
      </c>
      <c r="D57" s="7" t="s">
        <v>117</v>
      </c>
      <c r="E57" s="5" t="s">
        <v>118</v>
      </c>
    </row>
    <row r="58" spans="1:5" ht="15.75" x14ac:dyDescent="0.25">
      <c r="A58" s="5" t="s">
        <v>461</v>
      </c>
      <c r="B58" s="6" t="s">
        <v>7</v>
      </c>
      <c r="C58" s="7">
        <v>5000000</v>
      </c>
      <c r="D58" s="7" t="s">
        <v>113</v>
      </c>
      <c r="E58" s="5" t="s">
        <v>114</v>
      </c>
    </row>
    <row r="59" spans="1:5" ht="15.75" x14ac:dyDescent="0.25">
      <c r="A59" s="5" t="s">
        <v>462</v>
      </c>
      <c r="B59" s="6" t="s">
        <v>7</v>
      </c>
      <c r="C59" s="7">
        <v>318</v>
      </c>
      <c r="D59" s="7" t="s">
        <v>121</v>
      </c>
      <c r="E59" s="5" t="s">
        <v>122</v>
      </c>
    </row>
    <row r="60" spans="1:5" ht="15.75" x14ac:dyDescent="0.25">
      <c r="A60" s="5" t="s">
        <v>463</v>
      </c>
      <c r="B60" s="6" t="s">
        <v>7</v>
      </c>
      <c r="C60" s="7">
        <v>70000</v>
      </c>
      <c r="D60" s="7" t="s">
        <v>121</v>
      </c>
      <c r="E60" s="5" t="s">
        <v>122</v>
      </c>
    </row>
    <row r="61" spans="1:5" ht="15.75" x14ac:dyDescent="0.25">
      <c r="A61" s="5" t="s">
        <v>464</v>
      </c>
      <c r="B61" s="6" t="s">
        <v>7</v>
      </c>
      <c r="C61" s="7">
        <v>5000</v>
      </c>
      <c r="D61" s="7" t="s">
        <v>121</v>
      </c>
      <c r="E61" s="5" t="s">
        <v>122</v>
      </c>
    </row>
    <row r="62" spans="1:5" ht="15.75" x14ac:dyDescent="0.25">
      <c r="A62" s="5" t="s">
        <v>465</v>
      </c>
      <c r="B62" s="6" t="s">
        <v>7</v>
      </c>
      <c r="C62" s="7">
        <v>625200</v>
      </c>
      <c r="D62" s="7" t="s">
        <v>126</v>
      </c>
      <c r="E62" s="5" t="s">
        <v>127</v>
      </c>
    </row>
    <row r="63" spans="1:5" ht="15.75" x14ac:dyDescent="0.25">
      <c r="A63" s="5" t="s">
        <v>466</v>
      </c>
      <c r="B63" s="6" t="s">
        <v>7</v>
      </c>
      <c r="C63" s="7">
        <v>200000</v>
      </c>
      <c r="D63" s="7" t="s">
        <v>16</v>
      </c>
      <c r="E63" s="5" t="s">
        <v>63</v>
      </c>
    </row>
    <row r="64" spans="1:5" ht="15.75" x14ac:dyDescent="0.25">
      <c r="A64" s="5" t="s">
        <v>467</v>
      </c>
      <c r="B64" s="6" t="s">
        <v>7</v>
      </c>
      <c r="C64" s="7">
        <v>800000</v>
      </c>
      <c r="D64" s="7" t="s">
        <v>113</v>
      </c>
      <c r="E64" s="5" t="s">
        <v>114</v>
      </c>
    </row>
    <row r="65" spans="1:5" ht="15.75" x14ac:dyDescent="0.25">
      <c r="A65" s="5" t="s">
        <v>468</v>
      </c>
      <c r="B65" s="6" t="s">
        <v>7</v>
      </c>
      <c r="C65" s="7">
        <v>300000</v>
      </c>
      <c r="D65" s="7" t="s">
        <v>117</v>
      </c>
      <c r="E65" s="5" t="s">
        <v>118</v>
      </c>
    </row>
    <row r="66" spans="1:5" ht="15.75" x14ac:dyDescent="0.25">
      <c r="A66" s="5" t="s">
        <v>469</v>
      </c>
      <c r="B66" s="6" t="s">
        <v>7</v>
      </c>
      <c r="C66" s="7">
        <v>4000000</v>
      </c>
      <c r="D66" s="7" t="s">
        <v>117</v>
      </c>
      <c r="E66" s="5" t="s">
        <v>118</v>
      </c>
    </row>
    <row r="67" spans="1:5" ht="15.75" x14ac:dyDescent="0.25">
      <c r="A67" s="5" t="s">
        <v>470</v>
      </c>
      <c r="B67" s="6" t="s">
        <v>7</v>
      </c>
      <c r="C67" s="7">
        <v>1300000</v>
      </c>
      <c r="D67" s="7" t="s">
        <v>117</v>
      </c>
      <c r="E67" s="5" t="s">
        <v>118</v>
      </c>
    </row>
    <row r="68" spans="1:5" ht="15.75" x14ac:dyDescent="0.25">
      <c r="A68" s="5" t="s">
        <v>471</v>
      </c>
      <c r="B68" s="6" t="s">
        <v>7</v>
      </c>
      <c r="C68" s="7">
        <v>2000000</v>
      </c>
      <c r="D68" s="7" t="s">
        <v>56</v>
      </c>
      <c r="E68" s="5" t="s">
        <v>57</v>
      </c>
    </row>
    <row r="69" spans="1:5" ht="15.75" x14ac:dyDescent="0.25">
      <c r="A69" s="5" t="s">
        <v>472</v>
      </c>
      <c r="B69" s="6" t="s">
        <v>7</v>
      </c>
      <c r="C69" s="7">
        <v>100000</v>
      </c>
      <c r="D69" s="7" t="s">
        <v>8</v>
      </c>
      <c r="E69" s="5" t="s">
        <v>27</v>
      </c>
    </row>
    <row r="70" spans="1:5" ht="15.75" x14ac:dyDescent="0.25">
      <c r="A70" s="5" t="s">
        <v>473</v>
      </c>
      <c r="B70" s="6" t="s">
        <v>7</v>
      </c>
      <c r="C70" s="7">
        <v>900000</v>
      </c>
      <c r="D70" s="7" t="s">
        <v>113</v>
      </c>
      <c r="E70" s="5" t="s">
        <v>114</v>
      </c>
    </row>
    <row r="71" spans="1:5" ht="15.75" x14ac:dyDescent="0.25">
      <c r="A71" s="5" t="s">
        <v>474</v>
      </c>
      <c r="B71" s="6" t="s">
        <v>7</v>
      </c>
      <c r="C71" s="7">
        <v>51000</v>
      </c>
      <c r="D71" s="7" t="s">
        <v>8</v>
      </c>
      <c r="E71" s="5" t="s">
        <v>27</v>
      </c>
    </row>
    <row r="72" spans="1:5" ht="15.75" x14ac:dyDescent="0.25">
      <c r="A72" s="5" t="s">
        <v>475</v>
      </c>
      <c r="B72" s="6" t="s">
        <v>7</v>
      </c>
      <c r="C72" s="7">
        <v>800000</v>
      </c>
      <c r="D72" s="7" t="s">
        <v>117</v>
      </c>
      <c r="E72" s="5" t="s">
        <v>118</v>
      </c>
    </row>
    <row r="73" spans="1:5" ht="15.75" x14ac:dyDescent="0.25">
      <c r="A73" s="5" t="s">
        <v>476</v>
      </c>
      <c r="B73" s="6" t="s">
        <v>7</v>
      </c>
      <c r="C73" s="7">
        <v>380000</v>
      </c>
      <c r="D73" s="7" t="s">
        <v>16</v>
      </c>
      <c r="E73" s="5" t="s">
        <v>63</v>
      </c>
    </row>
    <row r="74" spans="1:5" ht="15.75" x14ac:dyDescent="0.25">
      <c r="A74" s="5" t="s">
        <v>477</v>
      </c>
      <c r="B74" s="6" t="s">
        <v>7</v>
      </c>
      <c r="C74" s="7">
        <v>150000</v>
      </c>
      <c r="D74" s="7" t="s">
        <v>113</v>
      </c>
      <c r="E74" s="5" t="s">
        <v>114</v>
      </c>
    </row>
    <row r="75" spans="1:5" ht="15.75" x14ac:dyDescent="0.25">
      <c r="A75" s="5" t="s">
        <v>478</v>
      </c>
      <c r="B75" s="6" t="s">
        <v>7</v>
      </c>
      <c r="C75" s="7">
        <v>300000</v>
      </c>
      <c r="D75" s="7" t="s">
        <v>56</v>
      </c>
      <c r="E75" s="5" t="s">
        <v>57</v>
      </c>
    </row>
    <row r="76" spans="1:5" ht="15.75" x14ac:dyDescent="0.25">
      <c r="A76" s="5" t="s">
        <v>479</v>
      </c>
      <c r="B76" s="6" t="s">
        <v>7</v>
      </c>
      <c r="C76" s="7">
        <v>200000</v>
      </c>
      <c r="D76" s="7" t="s">
        <v>56</v>
      </c>
      <c r="E76" s="5" t="s">
        <v>57</v>
      </c>
    </row>
    <row r="77" spans="1:5" ht="15.75" x14ac:dyDescent="0.25">
      <c r="A77" s="5" t="s">
        <v>480</v>
      </c>
      <c r="B77" s="6" t="s">
        <v>7</v>
      </c>
      <c r="C77" s="7">
        <v>2934182.63</v>
      </c>
      <c r="D77" s="7" t="s">
        <v>121</v>
      </c>
      <c r="E77" s="5" t="s">
        <v>122</v>
      </c>
    </row>
    <row r="78" spans="1:5" ht="15.75" x14ac:dyDescent="0.25">
      <c r="A78" s="5" t="s">
        <v>481</v>
      </c>
      <c r="B78" s="6" t="s">
        <v>7</v>
      </c>
      <c r="C78" s="7">
        <v>6602511.1500000004</v>
      </c>
      <c r="D78" s="7" t="s">
        <v>121</v>
      </c>
      <c r="E78" s="5" t="s">
        <v>122</v>
      </c>
    </row>
    <row r="79" spans="1:5" ht="15.75" x14ac:dyDescent="0.25">
      <c r="A79" s="5" t="s">
        <v>482</v>
      </c>
      <c r="B79" s="6" t="s">
        <v>7</v>
      </c>
      <c r="C79" s="7">
        <v>3806571</v>
      </c>
      <c r="D79" s="7" t="s">
        <v>121</v>
      </c>
      <c r="E79" s="5" t="s">
        <v>122</v>
      </c>
    </row>
    <row r="80" spans="1:5" ht="15.75" x14ac:dyDescent="0.25">
      <c r="A80" s="5" t="s">
        <v>483</v>
      </c>
      <c r="B80" s="6" t="s">
        <v>7</v>
      </c>
      <c r="C80" s="7">
        <v>500000</v>
      </c>
      <c r="D80" s="7" t="s">
        <v>117</v>
      </c>
      <c r="E80" s="5" t="s">
        <v>118</v>
      </c>
    </row>
    <row r="81" spans="1:5" ht="15.75" x14ac:dyDescent="0.25">
      <c r="A81" s="5" t="s">
        <v>484</v>
      </c>
      <c r="B81" s="6" t="s">
        <v>7</v>
      </c>
      <c r="C81" s="7">
        <v>40000</v>
      </c>
      <c r="D81" s="7" t="s">
        <v>8</v>
      </c>
      <c r="E81" s="5" t="s">
        <v>27</v>
      </c>
    </row>
    <row r="82" spans="1:5" ht="15.75" x14ac:dyDescent="0.25">
      <c r="A82" s="5" t="s">
        <v>485</v>
      </c>
      <c r="B82" s="6" t="s">
        <v>7</v>
      </c>
      <c r="C82" s="7">
        <v>120000</v>
      </c>
      <c r="D82" s="7" t="s">
        <v>117</v>
      </c>
      <c r="E82" s="5" t="s">
        <v>118</v>
      </c>
    </row>
    <row r="83" spans="1:5" ht="15.75" x14ac:dyDescent="0.25">
      <c r="A83" s="5" t="s">
        <v>486</v>
      </c>
      <c r="B83" s="6" t="s">
        <v>7</v>
      </c>
      <c r="C83" s="7">
        <v>250000</v>
      </c>
      <c r="D83" s="7" t="s">
        <v>263</v>
      </c>
      <c r="E83" s="5" t="s">
        <v>264</v>
      </c>
    </row>
    <row r="84" spans="1:5" ht="15.75" x14ac:dyDescent="0.25">
      <c r="A84" s="5" t="s">
        <v>487</v>
      </c>
      <c r="B84" s="6" t="s">
        <v>19</v>
      </c>
      <c r="C84" s="7">
        <v>40000</v>
      </c>
      <c r="D84" s="7" t="s">
        <v>450</v>
      </c>
      <c r="E84" s="5" t="s">
        <v>451</v>
      </c>
    </row>
    <row r="85" spans="1:5" ht="15.75" x14ac:dyDescent="0.25">
      <c r="A85" s="5" t="s">
        <v>488</v>
      </c>
      <c r="B85" s="6" t="s">
        <v>7</v>
      </c>
      <c r="C85" s="7">
        <v>10000</v>
      </c>
      <c r="D85" s="7" t="s">
        <v>121</v>
      </c>
      <c r="E85" s="5" t="s">
        <v>122</v>
      </c>
    </row>
    <row r="86" spans="1:5" ht="15.75" x14ac:dyDescent="0.25">
      <c r="A86" s="5" t="s">
        <v>489</v>
      </c>
      <c r="B86" s="6" t="s">
        <v>7</v>
      </c>
      <c r="C86" s="7">
        <v>20000</v>
      </c>
      <c r="D86" s="7" t="s">
        <v>16</v>
      </c>
      <c r="E86" s="5" t="s">
        <v>63</v>
      </c>
    </row>
    <row r="87" spans="1:5" ht="15.75" x14ac:dyDescent="0.25">
      <c r="A87" s="5" t="s">
        <v>490</v>
      </c>
      <c r="B87" s="6" t="s">
        <v>7</v>
      </c>
      <c r="C87" s="7">
        <v>200000</v>
      </c>
      <c r="D87" s="7" t="s">
        <v>491</v>
      </c>
      <c r="E87" s="5" t="s">
        <v>492</v>
      </c>
    </row>
    <row r="88" spans="1:5" ht="15.75" x14ac:dyDescent="0.25">
      <c r="A88" s="5" t="s">
        <v>493</v>
      </c>
      <c r="B88" s="6" t="s">
        <v>7</v>
      </c>
      <c r="C88" s="7">
        <v>80000</v>
      </c>
      <c r="D88" s="7" t="s">
        <v>8</v>
      </c>
      <c r="E88" s="5" t="s">
        <v>27</v>
      </c>
    </row>
    <row r="89" spans="1:5" ht="15.75" x14ac:dyDescent="0.25">
      <c r="A89" s="5" t="s">
        <v>494</v>
      </c>
      <c r="B89" s="6" t="s">
        <v>19</v>
      </c>
      <c r="C89" s="7">
        <v>80000</v>
      </c>
      <c r="D89" s="7" t="s">
        <v>495</v>
      </c>
      <c r="E89" s="5" t="s">
        <v>496</v>
      </c>
    </row>
    <row r="90" spans="1:5" ht="15.75" x14ac:dyDescent="0.25">
      <c r="A90" s="5" t="s">
        <v>497</v>
      </c>
      <c r="B90" s="6" t="s">
        <v>7</v>
      </c>
      <c r="C90" s="7">
        <v>500000</v>
      </c>
      <c r="D90" s="7" t="s">
        <v>13</v>
      </c>
      <c r="E90" s="5" t="s">
        <v>59</v>
      </c>
    </row>
    <row r="91" spans="1:5" ht="15.75" x14ac:dyDescent="0.25">
      <c r="A91" s="5" t="s">
        <v>498</v>
      </c>
      <c r="B91" s="6" t="s">
        <v>7</v>
      </c>
      <c r="C91" s="7">
        <v>500000</v>
      </c>
      <c r="D91" s="7" t="s">
        <v>16</v>
      </c>
      <c r="E91" s="5" t="s">
        <v>63</v>
      </c>
    </row>
    <row r="92" spans="1:5" ht="15.75" x14ac:dyDescent="0.25">
      <c r="A92" s="5" t="s">
        <v>499</v>
      </c>
      <c r="B92" s="6" t="s">
        <v>19</v>
      </c>
      <c r="C92" s="7">
        <v>200000</v>
      </c>
      <c r="D92" s="7" t="s">
        <v>495</v>
      </c>
      <c r="E92" s="5" t="s">
        <v>496</v>
      </c>
    </row>
    <row r="93" spans="1:5" ht="15.75" x14ac:dyDescent="0.25">
      <c r="A93" s="5" t="s">
        <v>500</v>
      </c>
      <c r="B93" s="6" t="s">
        <v>7</v>
      </c>
      <c r="C93" s="7">
        <v>500000</v>
      </c>
      <c r="D93" s="7" t="s">
        <v>113</v>
      </c>
      <c r="E93" s="5" t="s">
        <v>114</v>
      </c>
    </row>
    <row r="94" spans="1:5" ht="15.75" x14ac:dyDescent="0.25">
      <c r="A94" s="5" t="s">
        <v>501</v>
      </c>
      <c r="B94" s="6" t="s">
        <v>7</v>
      </c>
      <c r="C94" s="7">
        <v>3818</v>
      </c>
      <c r="D94" s="7" t="s">
        <v>113</v>
      </c>
      <c r="E94" s="5" t="s">
        <v>114</v>
      </c>
    </row>
    <row r="95" spans="1:5" ht="15.75" x14ac:dyDescent="0.25">
      <c r="A95" s="5" t="s">
        <v>502</v>
      </c>
      <c r="B95" s="6" t="s">
        <v>7</v>
      </c>
      <c r="C95" s="7">
        <v>30000000</v>
      </c>
      <c r="D95" s="7" t="s">
        <v>117</v>
      </c>
      <c r="E95" s="5" t="s">
        <v>118</v>
      </c>
    </row>
    <row r="96" spans="1:5" ht="15.75" x14ac:dyDescent="0.25">
      <c r="A96" s="5" t="s">
        <v>503</v>
      </c>
      <c r="B96" s="6" t="s">
        <v>7</v>
      </c>
      <c r="C96" s="7">
        <v>25500</v>
      </c>
      <c r="D96" s="7" t="s">
        <v>117</v>
      </c>
      <c r="E96" s="5" t="s">
        <v>118</v>
      </c>
    </row>
    <row r="97" spans="1:5" ht="15.75" x14ac:dyDescent="0.25">
      <c r="A97" s="5" t="s">
        <v>504</v>
      </c>
      <c r="B97" s="6" t="s">
        <v>7</v>
      </c>
      <c r="C97" s="7">
        <v>500000</v>
      </c>
      <c r="D97" s="7" t="s">
        <v>491</v>
      </c>
      <c r="E97" s="5" t="s">
        <v>492</v>
      </c>
    </row>
    <row r="98" spans="1:5" ht="15.75" x14ac:dyDescent="0.25">
      <c r="A98" s="5" t="s">
        <v>505</v>
      </c>
      <c r="B98" s="6" t="s">
        <v>7</v>
      </c>
      <c r="C98" s="7">
        <v>300000</v>
      </c>
      <c r="D98" s="7" t="s">
        <v>491</v>
      </c>
      <c r="E98" s="5" t="s">
        <v>492</v>
      </c>
    </row>
    <row r="99" spans="1:5" ht="15.75" x14ac:dyDescent="0.25">
      <c r="A99" s="5" t="s">
        <v>506</v>
      </c>
      <c r="B99" s="6" t="s">
        <v>7</v>
      </c>
      <c r="C99" s="7">
        <v>450000</v>
      </c>
      <c r="D99" s="7" t="s">
        <v>491</v>
      </c>
      <c r="E99" s="5" t="s">
        <v>492</v>
      </c>
    </row>
    <row r="100" spans="1:5" ht="15.75" x14ac:dyDescent="0.25">
      <c r="A100" s="5" t="s">
        <v>507</v>
      </c>
      <c r="B100" s="6" t="s">
        <v>7</v>
      </c>
      <c r="C100" s="7">
        <v>70000</v>
      </c>
      <c r="D100" s="7" t="s">
        <v>491</v>
      </c>
      <c r="E100" s="5" t="s">
        <v>492</v>
      </c>
    </row>
    <row r="101" spans="1:5" ht="15.75" x14ac:dyDescent="0.25">
      <c r="A101" s="5" t="s">
        <v>508</v>
      </c>
      <c r="B101" s="6" t="s">
        <v>7</v>
      </c>
      <c r="C101" s="7">
        <v>10000</v>
      </c>
      <c r="D101" s="7" t="s">
        <v>491</v>
      </c>
      <c r="E101" s="5" t="s">
        <v>492</v>
      </c>
    </row>
    <row r="102" spans="1:5" ht="15.75" x14ac:dyDescent="0.25">
      <c r="A102" s="5" t="s">
        <v>509</v>
      </c>
      <c r="B102" s="6" t="s">
        <v>7</v>
      </c>
      <c r="C102" s="7">
        <v>3000000</v>
      </c>
      <c r="D102" s="7" t="s">
        <v>8</v>
      </c>
      <c r="E102" s="5" t="s">
        <v>27</v>
      </c>
    </row>
    <row r="103" spans="1:5" ht="94.5" x14ac:dyDescent="0.25">
      <c r="A103" s="5" t="s">
        <v>510</v>
      </c>
      <c r="B103" s="6" t="s">
        <v>7</v>
      </c>
      <c r="C103" s="7">
        <v>84000</v>
      </c>
      <c r="D103" s="7" t="s">
        <v>8</v>
      </c>
      <c r="E103" s="5" t="s">
        <v>27</v>
      </c>
    </row>
    <row r="104" spans="1:5" ht="16.5" x14ac:dyDescent="0.3">
      <c r="B104" s="8" t="s">
        <v>24</v>
      </c>
      <c r="C104" s="9">
        <f>SUM(C5:C103)</f>
        <v>205702781.35999998</v>
      </c>
    </row>
  </sheetData>
  <mergeCells count="1">
    <mergeCell ref="A2:E2"/>
  </mergeCell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zoomScaleNormal="100" workbookViewId="0">
      <selection activeCell="D10" activeCellId="1" sqref="C5:C9 D10"/>
    </sheetView>
  </sheetViews>
  <sheetFormatPr baseColWidth="10" defaultColWidth="10.7109375" defaultRowHeight="12.75" customHeight="1" x14ac:dyDescent="0.25"/>
  <cols>
    <col min="1" max="1" width="50" style="1" customWidth="1"/>
    <col min="2" max="2" width="37.140625" style="1" customWidth="1"/>
    <col min="3" max="3" width="37.7109375" style="1" customWidth="1"/>
    <col min="4" max="4" width="14.85546875" style="1" customWidth="1"/>
    <col min="5" max="5" width="31.140625" style="1" customWidth="1"/>
  </cols>
  <sheetData>
    <row r="1" spans="1:5" ht="15" x14ac:dyDescent="0.25"/>
    <row r="2" spans="1:5" ht="15" customHeight="1" x14ac:dyDescent="0.25">
      <c r="A2" s="37" t="s">
        <v>511</v>
      </c>
      <c r="B2" s="37"/>
      <c r="C2" s="37"/>
      <c r="D2" s="37"/>
      <c r="E2" s="37"/>
    </row>
    <row r="3" spans="1:5" ht="15" x14ac:dyDescent="0.25"/>
    <row r="4" spans="1:5" ht="33" x14ac:dyDescent="0.25">
      <c r="A4" s="2" t="s">
        <v>1</v>
      </c>
      <c r="B4" s="2" t="s">
        <v>2</v>
      </c>
      <c r="C4" s="3" t="s">
        <v>3</v>
      </c>
      <c r="D4" s="3" t="s">
        <v>4</v>
      </c>
      <c r="E4" s="4" t="s">
        <v>5</v>
      </c>
    </row>
    <row r="5" spans="1:5" ht="15.75" x14ac:dyDescent="0.25">
      <c r="A5" s="5" t="s">
        <v>512</v>
      </c>
      <c r="B5" s="6" t="s">
        <v>7</v>
      </c>
      <c r="C5" s="7">
        <v>4836000</v>
      </c>
      <c r="D5" s="7" t="s">
        <v>8</v>
      </c>
      <c r="E5" s="5" t="s">
        <v>27</v>
      </c>
    </row>
    <row r="6" spans="1:5" ht="16.5" x14ac:dyDescent="0.3">
      <c r="B6" s="8" t="s">
        <v>24</v>
      </c>
      <c r="C6" s="9">
        <v>4836000</v>
      </c>
    </row>
  </sheetData>
  <mergeCells count="1">
    <mergeCell ref="A2:E2"/>
  </mergeCell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zoomScaleNormal="100" workbookViewId="0">
      <selection activeCell="A16" sqref="A16:XFD16"/>
    </sheetView>
  </sheetViews>
  <sheetFormatPr baseColWidth="10" defaultColWidth="10.7109375" defaultRowHeight="12.75" customHeight="1" x14ac:dyDescent="0.25"/>
  <cols>
    <col min="1" max="1" width="115.5703125" style="1" customWidth="1"/>
    <col min="2" max="2" width="52.140625" style="1" customWidth="1"/>
    <col min="3" max="3" width="28.42578125" style="1" customWidth="1"/>
    <col min="4" max="4" width="7.140625" style="1" customWidth="1"/>
    <col min="5" max="5" width="27.42578125" style="1" customWidth="1"/>
  </cols>
  <sheetData>
    <row r="1" spans="1:5" ht="15" x14ac:dyDescent="0.25"/>
    <row r="2" spans="1:5" ht="15" customHeight="1" x14ac:dyDescent="0.25">
      <c r="A2" s="37" t="s">
        <v>513</v>
      </c>
      <c r="B2" s="37"/>
      <c r="C2" s="37"/>
      <c r="D2" s="37"/>
      <c r="E2" s="37"/>
    </row>
    <row r="3" spans="1:5" ht="15" x14ac:dyDescent="0.25"/>
    <row r="4" spans="1:5" ht="16.5" x14ac:dyDescent="0.25">
      <c r="A4" s="2" t="s">
        <v>1</v>
      </c>
      <c r="B4" s="2" t="s">
        <v>2</v>
      </c>
      <c r="C4" s="3" t="s">
        <v>3</v>
      </c>
      <c r="D4" s="3" t="s">
        <v>4</v>
      </c>
      <c r="E4" s="4" t="s">
        <v>5</v>
      </c>
    </row>
    <row r="5" spans="1:5" ht="15.75" x14ac:dyDescent="0.25">
      <c r="A5" s="5" t="s">
        <v>514</v>
      </c>
      <c r="B5" s="6" t="s">
        <v>7</v>
      </c>
      <c r="C5" s="7">
        <v>401027374.97548401</v>
      </c>
      <c r="D5" s="7" t="s">
        <v>515</v>
      </c>
      <c r="E5" s="5" t="s">
        <v>516</v>
      </c>
    </row>
    <row r="6" spans="1:5" ht="15.75" x14ac:dyDescent="0.25">
      <c r="A6" s="5" t="s">
        <v>517</v>
      </c>
      <c r="B6" s="6" t="s">
        <v>7</v>
      </c>
      <c r="C6" s="7">
        <v>210491041.83451599</v>
      </c>
      <c r="D6" s="7" t="s">
        <v>515</v>
      </c>
      <c r="E6" s="5" t="s">
        <v>516</v>
      </c>
    </row>
    <row r="7" spans="1:5" ht="15.75" x14ac:dyDescent="0.25">
      <c r="A7" s="5" t="s">
        <v>518</v>
      </c>
      <c r="B7" s="6" t="s">
        <v>7</v>
      </c>
      <c r="C7" s="7">
        <v>65481583.189999998</v>
      </c>
      <c r="D7" s="7" t="s">
        <v>519</v>
      </c>
      <c r="E7" s="5" t="s">
        <v>520</v>
      </c>
    </row>
    <row r="8" spans="1:5" ht="15.75" x14ac:dyDescent="0.25">
      <c r="A8" s="5" t="s">
        <v>521</v>
      </c>
      <c r="B8" s="6" t="s">
        <v>7</v>
      </c>
      <c r="C8" s="7">
        <v>171428.57</v>
      </c>
      <c r="D8" s="7" t="s">
        <v>13</v>
      </c>
      <c r="E8" s="5" t="s">
        <v>59</v>
      </c>
    </row>
    <row r="9" spans="1:5" ht="15.75" x14ac:dyDescent="0.25">
      <c r="A9" s="5" t="s">
        <v>521</v>
      </c>
      <c r="B9" s="6" t="s">
        <v>7</v>
      </c>
      <c r="C9" s="7">
        <v>171428.57</v>
      </c>
      <c r="D9" s="7" t="s">
        <v>13</v>
      </c>
      <c r="E9" s="5" t="s">
        <v>59</v>
      </c>
    </row>
    <row r="10" spans="1:5" ht="15.75" x14ac:dyDescent="0.25">
      <c r="A10" s="5" t="s">
        <v>521</v>
      </c>
      <c r="B10" s="6" t="s">
        <v>7</v>
      </c>
      <c r="C10" s="7">
        <v>171428.57</v>
      </c>
      <c r="D10" s="7" t="s">
        <v>13</v>
      </c>
      <c r="E10" s="5" t="s">
        <v>59</v>
      </c>
    </row>
    <row r="11" spans="1:5" ht="15.75" x14ac:dyDescent="0.25">
      <c r="A11" s="5" t="s">
        <v>521</v>
      </c>
      <c r="B11" s="6" t="s">
        <v>7</v>
      </c>
      <c r="C11" s="7">
        <v>85714.29</v>
      </c>
      <c r="D11" s="7" t="s">
        <v>13</v>
      </c>
      <c r="E11" s="5" t="s">
        <v>59</v>
      </c>
    </row>
    <row r="12" spans="1:5" ht="15.75" x14ac:dyDescent="0.25">
      <c r="A12" s="5" t="s">
        <v>521</v>
      </c>
      <c r="B12" s="6" t="s">
        <v>7</v>
      </c>
      <c r="C12" s="7">
        <v>141600</v>
      </c>
      <c r="D12" s="7" t="s">
        <v>13</v>
      </c>
      <c r="E12" s="5" t="s">
        <v>59</v>
      </c>
    </row>
    <row r="13" spans="1:5" ht="15.75" x14ac:dyDescent="0.25">
      <c r="A13" s="5" t="s">
        <v>522</v>
      </c>
      <c r="B13" s="6" t="s">
        <v>7</v>
      </c>
      <c r="C13" s="7">
        <v>708041.4</v>
      </c>
      <c r="D13" s="7" t="s">
        <v>13</v>
      </c>
      <c r="E13" s="5" t="s">
        <v>59</v>
      </c>
    </row>
    <row r="14" spans="1:5" ht="15.75" x14ac:dyDescent="0.25">
      <c r="A14" s="5" t="s">
        <v>523</v>
      </c>
      <c r="B14" s="6" t="s">
        <v>7</v>
      </c>
      <c r="C14" s="7">
        <v>5000000</v>
      </c>
      <c r="D14" s="7" t="s">
        <v>13</v>
      </c>
      <c r="E14" s="5" t="s">
        <v>59</v>
      </c>
    </row>
    <row r="15" spans="1:5" ht="15.75" x14ac:dyDescent="0.25">
      <c r="A15" s="5" t="s">
        <v>524</v>
      </c>
      <c r="B15" s="6" t="s">
        <v>7</v>
      </c>
      <c r="C15" s="7">
        <v>85714.29</v>
      </c>
      <c r="D15" s="7" t="s">
        <v>13</v>
      </c>
      <c r="E15" s="5" t="s">
        <v>59</v>
      </c>
    </row>
    <row r="16" spans="1:5" ht="15.75" x14ac:dyDescent="0.25">
      <c r="A16" s="5" t="s">
        <v>525</v>
      </c>
      <c r="B16" s="6" t="s">
        <v>7</v>
      </c>
      <c r="C16" s="7">
        <v>68571.429999999993</v>
      </c>
      <c r="D16" s="7" t="s">
        <v>13</v>
      </c>
      <c r="E16" s="5" t="s">
        <v>59</v>
      </c>
    </row>
    <row r="17" spans="1:5" ht="15.75" x14ac:dyDescent="0.25">
      <c r="A17" s="5" t="s">
        <v>526</v>
      </c>
      <c r="B17" s="6" t="s">
        <v>7</v>
      </c>
      <c r="C17" s="7">
        <v>470000</v>
      </c>
      <c r="D17" s="7" t="s">
        <v>8</v>
      </c>
      <c r="E17" s="5" t="s">
        <v>27</v>
      </c>
    </row>
    <row r="18" spans="1:5" ht="15.75" x14ac:dyDescent="0.25">
      <c r="A18" s="5" t="s">
        <v>527</v>
      </c>
      <c r="B18" s="6" t="s">
        <v>7</v>
      </c>
      <c r="C18" s="7">
        <v>240000</v>
      </c>
      <c r="D18" s="7" t="s">
        <v>8</v>
      </c>
      <c r="E18" s="5" t="s">
        <v>27</v>
      </c>
    </row>
    <row r="19" spans="1:5" ht="31.5" x14ac:dyDescent="0.25">
      <c r="A19" s="5" t="s">
        <v>528</v>
      </c>
      <c r="B19" s="6" t="s">
        <v>7</v>
      </c>
      <c r="C19" s="7">
        <v>728547</v>
      </c>
      <c r="D19" s="7" t="s">
        <v>13</v>
      </c>
      <c r="E19" s="5" t="s">
        <v>59</v>
      </c>
    </row>
    <row r="20" spans="1:5" ht="15.75" x14ac:dyDescent="0.25">
      <c r="A20" s="5" t="s">
        <v>529</v>
      </c>
      <c r="B20" s="6" t="s">
        <v>7</v>
      </c>
      <c r="C20" s="7">
        <v>61817.1</v>
      </c>
      <c r="D20" s="7" t="s">
        <v>13</v>
      </c>
      <c r="E20" s="5" t="s">
        <v>59</v>
      </c>
    </row>
    <row r="21" spans="1:5" ht="31.5" x14ac:dyDescent="0.25">
      <c r="A21" s="5" t="s">
        <v>530</v>
      </c>
      <c r="B21" s="6" t="s">
        <v>7</v>
      </c>
      <c r="C21" s="7">
        <v>1145586.96</v>
      </c>
      <c r="D21" s="7" t="s">
        <v>13</v>
      </c>
      <c r="E21" s="5" t="s">
        <v>59</v>
      </c>
    </row>
    <row r="22" spans="1:5" ht="31.5" x14ac:dyDescent="0.25">
      <c r="A22" s="5" t="s">
        <v>531</v>
      </c>
      <c r="B22" s="6" t="s">
        <v>7</v>
      </c>
      <c r="C22" s="7">
        <v>400000</v>
      </c>
      <c r="D22" s="7" t="s">
        <v>13</v>
      </c>
      <c r="E22" s="5" t="s">
        <v>59</v>
      </c>
    </row>
    <row r="23" spans="1:5" ht="15.75" x14ac:dyDescent="0.25">
      <c r="A23" s="5" t="s">
        <v>523</v>
      </c>
      <c r="B23" s="6" t="s">
        <v>7</v>
      </c>
      <c r="C23" s="7">
        <v>3099000</v>
      </c>
      <c r="D23" s="7" t="s">
        <v>13</v>
      </c>
      <c r="E23" s="5" t="s">
        <v>59</v>
      </c>
    </row>
    <row r="24" spans="1:5" ht="15.75" x14ac:dyDescent="0.25">
      <c r="A24" s="5" t="s">
        <v>532</v>
      </c>
      <c r="B24" s="6" t="s">
        <v>7</v>
      </c>
      <c r="C24" s="7">
        <v>1200000</v>
      </c>
      <c r="D24" s="7" t="s">
        <v>13</v>
      </c>
      <c r="E24" s="5" t="s">
        <v>59</v>
      </c>
    </row>
    <row r="25" spans="1:5" ht="15.75" x14ac:dyDescent="0.25">
      <c r="A25" s="5" t="s">
        <v>533</v>
      </c>
      <c r="B25" s="6" t="s">
        <v>7</v>
      </c>
      <c r="C25" s="7">
        <v>4000000</v>
      </c>
      <c r="D25" s="7" t="s">
        <v>13</v>
      </c>
      <c r="E25" s="5" t="s">
        <v>59</v>
      </c>
    </row>
    <row r="26" spans="1:5" ht="16.5" x14ac:dyDescent="0.3">
      <c r="B26" s="8" t="s">
        <v>24</v>
      </c>
      <c r="C26" s="9">
        <f>SUM(C5:C25)</f>
        <v>694948878.18000007</v>
      </c>
    </row>
  </sheetData>
  <autoFilter ref="D1:D25"/>
  <mergeCells count="1">
    <mergeCell ref="A2:E2"/>
  </mergeCell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zoomScaleNormal="100" workbookViewId="0">
      <selection activeCell="A2" activeCellId="1" sqref="C5:C9 A2:E2"/>
    </sheetView>
  </sheetViews>
  <sheetFormatPr baseColWidth="10" defaultColWidth="10.7109375" defaultRowHeight="12.75" customHeight="1" x14ac:dyDescent="0.25"/>
  <cols>
    <col min="1" max="1" width="71.85546875" style="1" customWidth="1"/>
    <col min="2" max="2" width="52.140625" style="1" customWidth="1"/>
    <col min="3" max="3" width="28.42578125" style="1" customWidth="1"/>
    <col min="4" max="4" width="7.140625" style="1" customWidth="1"/>
    <col min="5" max="5" width="27.42578125" style="1" customWidth="1"/>
  </cols>
  <sheetData>
    <row r="1" spans="1:5" ht="15" x14ac:dyDescent="0.25"/>
    <row r="2" spans="1:5" ht="15" customHeight="1" x14ac:dyDescent="0.25">
      <c r="A2" s="37" t="s">
        <v>534</v>
      </c>
      <c r="B2" s="37"/>
      <c r="C2" s="37"/>
      <c r="D2" s="37"/>
      <c r="E2" s="37"/>
    </row>
    <row r="3" spans="1:5" ht="15" x14ac:dyDescent="0.25"/>
    <row r="4" spans="1:5" ht="16.5" x14ac:dyDescent="0.25">
      <c r="A4" s="2" t="s">
        <v>1</v>
      </c>
      <c r="B4" s="2" t="s">
        <v>2</v>
      </c>
      <c r="C4" s="3" t="s">
        <v>3</v>
      </c>
      <c r="D4" s="3" t="s">
        <v>4</v>
      </c>
      <c r="E4" s="4" t="s">
        <v>5</v>
      </c>
    </row>
    <row r="5" spans="1:5" ht="15.75" x14ac:dyDescent="0.25">
      <c r="A5" s="5" t="s">
        <v>535</v>
      </c>
      <c r="B5" s="6" t="s">
        <v>7</v>
      </c>
      <c r="C5" s="7">
        <v>6673282.4533060398</v>
      </c>
      <c r="D5" s="7" t="s">
        <v>126</v>
      </c>
      <c r="E5" s="5" t="s">
        <v>127</v>
      </c>
    </row>
    <row r="6" spans="1:5" ht="15.75" x14ac:dyDescent="0.25">
      <c r="A6" s="5" t="s">
        <v>536</v>
      </c>
      <c r="B6" s="6" t="s">
        <v>7</v>
      </c>
      <c r="C6" s="7">
        <v>74930.189354062706</v>
      </c>
      <c r="D6" s="7" t="s">
        <v>126</v>
      </c>
      <c r="E6" s="5" t="s">
        <v>127</v>
      </c>
    </row>
    <row r="7" spans="1:5" ht="15.75" x14ac:dyDescent="0.25">
      <c r="A7" s="5" t="s">
        <v>537</v>
      </c>
      <c r="B7" s="6" t="s">
        <v>7</v>
      </c>
      <c r="C7" s="7">
        <v>800159.667249516</v>
      </c>
      <c r="D7" s="7" t="s">
        <v>126</v>
      </c>
      <c r="E7" s="5" t="s">
        <v>127</v>
      </c>
    </row>
    <row r="8" spans="1:5" ht="15.75" x14ac:dyDescent="0.25">
      <c r="A8" s="5" t="s">
        <v>538</v>
      </c>
      <c r="B8" s="6" t="s">
        <v>7</v>
      </c>
      <c r="C8" s="7">
        <v>315850.17291300802</v>
      </c>
      <c r="D8" s="7" t="s">
        <v>126</v>
      </c>
      <c r="E8" s="5" t="s">
        <v>127</v>
      </c>
    </row>
    <row r="9" spans="1:5" ht="15.75" x14ac:dyDescent="0.25">
      <c r="A9" s="5" t="s">
        <v>539</v>
      </c>
      <c r="B9" s="6" t="s">
        <v>7</v>
      </c>
      <c r="C9" s="7">
        <v>150555.24908853401</v>
      </c>
      <c r="D9" s="7" t="s">
        <v>126</v>
      </c>
      <c r="E9" s="5" t="s">
        <v>127</v>
      </c>
    </row>
    <row r="10" spans="1:5" ht="15.75" x14ac:dyDescent="0.25">
      <c r="A10" s="5" t="s">
        <v>540</v>
      </c>
      <c r="B10" s="6" t="s">
        <v>7</v>
      </c>
      <c r="C10" s="7">
        <v>72961.389942904905</v>
      </c>
      <c r="D10" s="7" t="s">
        <v>126</v>
      </c>
      <c r="E10" s="5" t="s">
        <v>127</v>
      </c>
    </row>
    <row r="11" spans="1:5" ht="15.75" x14ac:dyDescent="0.25">
      <c r="A11" s="5" t="s">
        <v>541</v>
      </c>
      <c r="B11" s="6" t="s">
        <v>7</v>
      </c>
      <c r="C11" s="7">
        <v>1285920.8089807299</v>
      </c>
      <c r="D11" s="7" t="s">
        <v>126</v>
      </c>
      <c r="E11" s="5" t="s">
        <v>127</v>
      </c>
    </row>
    <row r="12" spans="1:5" ht="15.75" x14ac:dyDescent="0.25">
      <c r="A12" s="5" t="s">
        <v>542</v>
      </c>
      <c r="B12" s="6" t="s">
        <v>7</v>
      </c>
      <c r="C12" s="7">
        <v>126340.06916520299</v>
      </c>
      <c r="D12" s="7" t="s">
        <v>126</v>
      </c>
      <c r="E12" s="5" t="s">
        <v>127</v>
      </c>
    </row>
    <row r="13" spans="1:5" ht="16.5" x14ac:dyDescent="0.3">
      <c r="B13" s="8" t="s">
        <v>24</v>
      </c>
      <c r="C13" s="9">
        <f>SUM(C2:C12)</f>
        <v>9500000</v>
      </c>
    </row>
  </sheetData>
  <mergeCells count="1">
    <mergeCell ref="A2:E2"/>
  </mergeCell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topLeftCell="A43" zoomScaleNormal="100" workbookViewId="0">
      <selection activeCell="A3" activeCellId="1" sqref="C5:C9 A3"/>
    </sheetView>
  </sheetViews>
  <sheetFormatPr baseColWidth="10" defaultColWidth="10.7109375" defaultRowHeight="12.75" customHeight="1" x14ac:dyDescent="0.25"/>
  <cols>
    <col min="1" max="1" width="50" style="1" customWidth="1"/>
    <col min="2" max="2" width="24.28515625" style="1" customWidth="1"/>
    <col min="3" max="3" width="28.42578125" style="1" customWidth="1"/>
    <col min="4" max="4" width="45.140625" style="1" customWidth="1"/>
    <col min="5" max="5" width="51.42578125" style="1" customWidth="1"/>
  </cols>
  <sheetData>
    <row r="1" spans="1:5" ht="15" x14ac:dyDescent="0.25"/>
    <row r="2" spans="1:5" ht="15" customHeight="1" x14ac:dyDescent="0.25">
      <c r="A2" s="37" t="s">
        <v>543</v>
      </c>
      <c r="B2" s="37"/>
      <c r="C2" s="37"/>
      <c r="D2" s="37"/>
      <c r="E2" s="37"/>
    </row>
    <row r="3" spans="1:5" ht="15" x14ac:dyDescent="0.25"/>
    <row r="4" spans="1:5" ht="49.5" x14ac:dyDescent="0.25">
      <c r="A4" s="2" t="s">
        <v>1</v>
      </c>
      <c r="B4" s="2" t="s">
        <v>2</v>
      </c>
      <c r="C4" s="3" t="s">
        <v>3</v>
      </c>
      <c r="D4" s="3" t="s">
        <v>4</v>
      </c>
      <c r="E4" s="4" t="s">
        <v>5</v>
      </c>
    </row>
    <row r="5" spans="1:5" ht="47.25" x14ac:dyDescent="0.25">
      <c r="A5" s="5" t="s">
        <v>544</v>
      </c>
      <c r="B5" s="6" t="s">
        <v>7</v>
      </c>
      <c r="C5" s="7">
        <v>600000</v>
      </c>
      <c r="D5" s="7" t="s">
        <v>113</v>
      </c>
      <c r="E5" s="5" t="s">
        <v>114</v>
      </c>
    </row>
    <row r="6" spans="1:5" ht="47.25" x14ac:dyDescent="0.25">
      <c r="A6" s="5" t="s">
        <v>545</v>
      </c>
      <c r="B6" s="6" t="s">
        <v>7</v>
      </c>
      <c r="C6" s="7">
        <v>480000</v>
      </c>
      <c r="D6" s="7" t="s">
        <v>113</v>
      </c>
      <c r="E6" s="5" t="s">
        <v>114</v>
      </c>
    </row>
    <row r="7" spans="1:5" ht="47.25" x14ac:dyDescent="0.25">
      <c r="A7" s="5" t="s">
        <v>546</v>
      </c>
      <c r="B7" s="6" t="s">
        <v>19</v>
      </c>
      <c r="C7" s="7">
        <v>2400000</v>
      </c>
      <c r="D7" s="7" t="s">
        <v>547</v>
      </c>
      <c r="E7" s="5" t="s">
        <v>548</v>
      </c>
    </row>
    <row r="8" spans="1:5" ht="47.25" x14ac:dyDescent="0.25">
      <c r="A8" s="5" t="s">
        <v>549</v>
      </c>
      <c r="B8" s="6" t="s">
        <v>19</v>
      </c>
      <c r="C8" s="7">
        <v>2400000</v>
      </c>
      <c r="D8" s="7" t="s">
        <v>547</v>
      </c>
      <c r="E8" s="5" t="s">
        <v>548</v>
      </c>
    </row>
    <row r="9" spans="1:5" ht="63" x14ac:dyDescent="0.25">
      <c r="A9" s="5" t="s">
        <v>550</v>
      </c>
      <c r="B9" s="6" t="s">
        <v>19</v>
      </c>
      <c r="C9" s="7">
        <v>2400000</v>
      </c>
      <c r="D9" s="7" t="s">
        <v>547</v>
      </c>
      <c r="E9" s="5" t="s">
        <v>548</v>
      </c>
    </row>
    <row r="10" spans="1:5" ht="63" x14ac:dyDescent="0.25">
      <c r="A10" s="5" t="s">
        <v>551</v>
      </c>
      <c r="B10" s="6" t="s">
        <v>19</v>
      </c>
      <c r="C10" s="7">
        <v>4200000</v>
      </c>
      <c r="D10" s="7" t="s">
        <v>547</v>
      </c>
      <c r="E10" s="5" t="s">
        <v>548</v>
      </c>
    </row>
    <row r="11" spans="1:5" ht="31.5" x14ac:dyDescent="0.25">
      <c r="A11" s="5" t="s">
        <v>552</v>
      </c>
      <c r="B11" s="6" t="s">
        <v>19</v>
      </c>
      <c r="C11" s="7">
        <v>2400000</v>
      </c>
      <c r="D11" s="7" t="s">
        <v>547</v>
      </c>
      <c r="E11" s="5" t="s">
        <v>548</v>
      </c>
    </row>
    <row r="12" spans="1:5" ht="94.5" x14ac:dyDescent="0.25">
      <c r="A12" s="5" t="s">
        <v>553</v>
      </c>
      <c r="B12" s="6" t="s">
        <v>19</v>
      </c>
      <c r="C12" s="7">
        <v>3600000</v>
      </c>
      <c r="D12" s="7" t="s">
        <v>547</v>
      </c>
      <c r="E12" s="5" t="s">
        <v>548</v>
      </c>
    </row>
    <row r="13" spans="1:5" ht="47.25" x14ac:dyDescent="0.25">
      <c r="A13" s="5" t="s">
        <v>554</v>
      </c>
      <c r="B13" s="6" t="s">
        <v>19</v>
      </c>
      <c r="C13" s="7">
        <v>4800000</v>
      </c>
      <c r="D13" s="7" t="s">
        <v>547</v>
      </c>
      <c r="E13" s="5" t="s">
        <v>548</v>
      </c>
    </row>
    <row r="14" spans="1:5" ht="47.25" x14ac:dyDescent="0.25">
      <c r="A14" s="5" t="s">
        <v>555</v>
      </c>
      <c r="B14" s="6" t="s">
        <v>19</v>
      </c>
      <c r="C14" s="7">
        <v>3000000</v>
      </c>
      <c r="D14" s="7" t="s">
        <v>547</v>
      </c>
      <c r="E14" s="5" t="s">
        <v>548</v>
      </c>
    </row>
    <row r="15" spans="1:5" ht="47.25" x14ac:dyDescent="0.25">
      <c r="A15" s="5" t="s">
        <v>556</v>
      </c>
      <c r="B15" s="6" t="s">
        <v>7</v>
      </c>
      <c r="C15" s="7">
        <v>480000</v>
      </c>
      <c r="D15" s="7" t="s">
        <v>491</v>
      </c>
      <c r="E15" s="5" t="s">
        <v>492</v>
      </c>
    </row>
    <row r="16" spans="1:5" ht="31.5" x14ac:dyDescent="0.25">
      <c r="A16" s="5" t="s">
        <v>557</v>
      </c>
      <c r="B16" s="6" t="s">
        <v>19</v>
      </c>
      <c r="C16" s="7">
        <v>1200000</v>
      </c>
      <c r="D16" s="7" t="s">
        <v>547</v>
      </c>
      <c r="E16" s="5" t="s">
        <v>548</v>
      </c>
    </row>
    <row r="17" spans="1:5" ht="63" x14ac:dyDescent="0.25">
      <c r="A17" s="5" t="s">
        <v>558</v>
      </c>
      <c r="B17" s="6" t="s">
        <v>7</v>
      </c>
      <c r="C17" s="7">
        <v>1200000</v>
      </c>
      <c r="D17" s="7" t="s">
        <v>8</v>
      </c>
      <c r="E17" s="5" t="s">
        <v>27</v>
      </c>
    </row>
    <row r="18" spans="1:5" ht="47.25" x14ac:dyDescent="0.25">
      <c r="A18" s="5" t="s">
        <v>559</v>
      </c>
      <c r="B18" s="6" t="s">
        <v>19</v>
      </c>
      <c r="C18" s="7">
        <v>10200000</v>
      </c>
      <c r="D18" s="7" t="s">
        <v>560</v>
      </c>
      <c r="E18" s="5" t="s">
        <v>561</v>
      </c>
    </row>
    <row r="19" spans="1:5" ht="31.5" x14ac:dyDescent="0.25">
      <c r="A19" s="5" t="s">
        <v>562</v>
      </c>
      <c r="B19" s="6" t="s">
        <v>7</v>
      </c>
      <c r="C19" s="7">
        <v>1800000</v>
      </c>
      <c r="D19" s="7" t="s">
        <v>126</v>
      </c>
      <c r="E19" s="5" t="s">
        <v>127</v>
      </c>
    </row>
    <row r="20" spans="1:5" ht="47.25" x14ac:dyDescent="0.25">
      <c r="A20" s="5" t="s">
        <v>563</v>
      </c>
      <c r="B20" s="6" t="s">
        <v>19</v>
      </c>
      <c r="C20" s="7">
        <v>2400000</v>
      </c>
      <c r="D20" s="7" t="s">
        <v>560</v>
      </c>
      <c r="E20" s="5" t="s">
        <v>561</v>
      </c>
    </row>
    <row r="21" spans="1:5" ht="31.5" x14ac:dyDescent="0.25">
      <c r="A21" s="5" t="s">
        <v>564</v>
      </c>
      <c r="B21" s="6" t="s">
        <v>19</v>
      </c>
      <c r="C21" s="7">
        <v>4800000</v>
      </c>
      <c r="D21" s="7" t="s">
        <v>560</v>
      </c>
      <c r="E21" s="5" t="s">
        <v>561</v>
      </c>
    </row>
    <row r="22" spans="1:5" ht="31.5" x14ac:dyDescent="0.25">
      <c r="A22" s="5" t="s">
        <v>565</v>
      </c>
      <c r="B22" s="6" t="s">
        <v>19</v>
      </c>
      <c r="C22" s="7">
        <v>5400000</v>
      </c>
      <c r="D22" s="7" t="s">
        <v>560</v>
      </c>
      <c r="E22" s="5" t="s">
        <v>561</v>
      </c>
    </row>
    <row r="23" spans="1:5" ht="63" x14ac:dyDescent="0.25">
      <c r="A23" s="5" t="s">
        <v>566</v>
      </c>
      <c r="B23" s="6" t="s">
        <v>7</v>
      </c>
      <c r="C23" s="7">
        <v>494628</v>
      </c>
      <c r="D23" s="7" t="s">
        <v>126</v>
      </c>
      <c r="E23" s="5" t="s">
        <v>127</v>
      </c>
    </row>
    <row r="24" spans="1:5" ht="47.25" x14ac:dyDescent="0.25">
      <c r="A24" s="5" t="s">
        <v>567</v>
      </c>
      <c r="B24" s="6" t="s">
        <v>7</v>
      </c>
      <c r="C24" s="7">
        <v>1365699.456</v>
      </c>
      <c r="D24" s="7" t="s">
        <v>8</v>
      </c>
      <c r="E24" s="5" t="s">
        <v>27</v>
      </c>
    </row>
    <row r="25" spans="1:5" ht="47.25" x14ac:dyDescent="0.25">
      <c r="A25" s="5" t="s">
        <v>568</v>
      </c>
      <c r="B25" s="6" t="s">
        <v>7</v>
      </c>
      <c r="C25" s="7">
        <v>516000</v>
      </c>
      <c r="D25" s="7" t="s">
        <v>8</v>
      </c>
      <c r="E25" s="5" t="s">
        <v>27</v>
      </c>
    </row>
    <row r="26" spans="1:5" ht="31.5" x14ac:dyDescent="0.25">
      <c r="A26" s="5" t="s">
        <v>569</v>
      </c>
      <c r="B26" s="6" t="s">
        <v>7</v>
      </c>
      <c r="C26" s="7">
        <v>240000</v>
      </c>
      <c r="D26" s="7" t="s">
        <v>8</v>
      </c>
      <c r="E26" s="5" t="s">
        <v>27</v>
      </c>
    </row>
    <row r="27" spans="1:5" ht="47.25" x14ac:dyDescent="0.25">
      <c r="A27" s="5" t="s">
        <v>570</v>
      </c>
      <c r="B27" s="6" t="s">
        <v>7</v>
      </c>
      <c r="C27" s="7">
        <v>375420</v>
      </c>
      <c r="D27" s="7" t="s">
        <v>8</v>
      </c>
      <c r="E27" s="5" t="s">
        <v>27</v>
      </c>
    </row>
    <row r="28" spans="1:5" ht="15.75" x14ac:dyDescent="0.25">
      <c r="A28" s="5" t="s">
        <v>571</v>
      </c>
      <c r="B28" s="6" t="s">
        <v>19</v>
      </c>
      <c r="C28" s="7">
        <v>360000</v>
      </c>
      <c r="D28" s="7" t="s">
        <v>547</v>
      </c>
      <c r="E28" s="5" t="s">
        <v>548</v>
      </c>
    </row>
    <row r="29" spans="1:5" ht="15.75" x14ac:dyDescent="0.25">
      <c r="A29" s="5" t="s">
        <v>572</v>
      </c>
      <c r="B29" s="6" t="s">
        <v>19</v>
      </c>
      <c r="C29" s="7">
        <v>120000</v>
      </c>
      <c r="D29" s="7" t="s">
        <v>547</v>
      </c>
      <c r="E29" s="5" t="s">
        <v>548</v>
      </c>
    </row>
    <row r="30" spans="1:5" ht="15.75" x14ac:dyDescent="0.25">
      <c r="A30" s="5" t="s">
        <v>573</v>
      </c>
      <c r="B30" s="6" t="s">
        <v>7</v>
      </c>
      <c r="C30" s="7">
        <v>180000</v>
      </c>
      <c r="D30" s="7" t="s">
        <v>491</v>
      </c>
      <c r="E30" s="5" t="s">
        <v>492</v>
      </c>
    </row>
    <row r="31" spans="1:5" ht="15.75" x14ac:dyDescent="0.25">
      <c r="A31" s="5" t="s">
        <v>574</v>
      </c>
      <c r="B31" s="6" t="s">
        <v>7</v>
      </c>
      <c r="C31" s="7">
        <v>180000</v>
      </c>
      <c r="D31" s="7" t="s">
        <v>113</v>
      </c>
      <c r="E31" s="5" t="s">
        <v>114</v>
      </c>
    </row>
    <row r="32" spans="1:5" ht="15.75" x14ac:dyDescent="0.25">
      <c r="A32" s="5" t="s">
        <v>575</v>
      </c>
      <c r="B32" s="6" t="s">
        <v>7</v>
      </c>
      <c r="C32" s="7">
        <v>120000</v>
      </c>
      <c r="D32" s="7" t="s">
        <v>8</v>
      </c>
      <c r="E32" s="5" t="s">
        <v>27</v>
      </c>
    </row>
    <row r="33" spans="1:5" ht="15.75" x14ac:dyDescent="0.25">
      <c r="A33" s="5" t="s">
        <v>576</v>
      </c>
      <c r="B33" s="6" t="s">
        <v>7</v>
      </c>
      <c r="C33" s="7">
        <v>120000</v>
      </c>
      <c r="D33" s="7" t="s">
        <v>16</v>
      </c>
      <c r="E33" s="5" t="s">
        <v>63</v>
      </c>
    </row>
    <row r="34" spans="1:5" ht="31.5" x14ac:dyDescent="0.25">
      <c r="A34" s="5" t="s">
        <v>577</v>
      </c>
      <c r="B34" s="6" t="s">
        <v>19</v>
      </c>
      <c r="C34" s="7">
        <v>360000</v>
      </c>
      <c r="D34" s="7" t="s">
        <v>389</v>
      </c>
      <c r="E34" s="5" t="s">
        <v>390</v>
      </c>
    </row>
    <row r="35" spans="1:5" ht="31.5" x14ac:dyDescent="0.25">
      <c r="A35" s="5" t="s">
        <v>578</v>
      </c>
      <c r="B35" s="6" t="s">
        <v>7</v>
      </c>
      <c r="C35" s="7">
        <v>148800</v>
      </c>
      <c r="D35" s="7" t="s">
        <v>8</v>
      </c>
      <c r="E35" s="5" t="s">
        <v>27</v>
      </c>
    </row>
    <row r="36" spans="1:5" ht="15.75" x14ac:dyDescent="0.25">
      <c r="A36" s="5" t="s">
        <v>579</v>
      </c>
      <c r="B36" s="6" t="s">
        <v>7</v>
      </c>
      <c r="C36" s="7">
        <v>148800</v>
      </c>
      <c r="D36" s="7" t="s">
        <v>8</v>
      </c>
      <c r="E36" s="5" t="s">
        <v>27</v>
      </c>
    </row>
    <row r="37" spans="1:5" ht="31.5" x14ac:dyDescent="0.25">
      <c r="A37" s="5" t="s">
        <v>580</v>
      </c>
      <c r="B37" s="6" t="s">
        <v>7</v>
      </c>
      <c r="C37" s="7">
        <v>96000</v>
      </c>
      <c r="D37" s="7" t="s">
        <v>8</v>
      </c>
      <c r="E37" s="5" t="s">
        <v>27</v>
      </c>
    </row>
    <row r="38" spans="1:5" ht="31.5" x14ac:dyDescent="0.25">
      <c r="A38" s="5" t="s">
        <v>581</v>
      </c>
      <c r="B38" s="6" t="s">
        <v>7</v>
      </c>
      <c r="C38" s="7">
        <v>96000</v>
      </c>
      <c r="D38" s="7" t="s">
        <v>8</v>
      </c>
      <c r="E38" s="5" t="s">
        <v>27</v>
      </c>
    </row>
    <row r="39" spans="1:5" ht="15.75" x14ac:dyDescent="0.25">
      <c r="A39" s="5" t="s">
        <v>582</v>
      </c>
      <c r="B39" s="6" t="s">
        <v>7</v>
      </c>
      <c r="C39" s="7">
        <v>96000</v>
      </c>
      <c r="D39" s="7" t="s">
        <v>8</v>
      </c>
      <c r="E39" s="5" t="s">
        <v>27</v>
      </c>
    </row>
    <row r="40" spans="1:5" ht="31.5" x14ac:dyDescent="0.25">
      <c r="A40" s="5" t="s">
        <v>583</v>
      </c>
      <c r="B40" s="6" t="s">
        <v>7</v>
      </c>
      <c r="C40" s="7">
        <v>96000</v>
      </c>
      <c r="D40" s="7" t="s">
        <v>8</v>
      </c>
      <c r="E40" s="5" t="s">
        <v>27</v>
      </c>
    </row>
    <row r="41" spans="1:5" ht="31.5" x14ac:dyDescent="0.25">
      <c r="A41" s="5" t="s">
        <v>584</v>
      </c>
      <c r="B41" s="6" t="s">
        <v>7</v>
      </c>
      <c r="C41" s="7">
        <v>96000</v>
      </c>
      <c r="D41" s="7" t="s">
        <v>8</v>
      </c>
      <c r="E41" s="5" t="s">
        <v>27</v>
      </c>
    </row>
    <row r="42" spans="1:5" ht="31.5" x14ac:dyDescent="0.25">
      <c r="A42" s="5" t="s">
        <v>585</v>
      </c>
      <c r="B42" s="6" t="s">
        <v>7</v>
      </c>
      <c r="C42" s="7">
        <v>15000</v>
      </c>
      <c r="D42" s="7" t="s">
        <v>8</v>
      </c>
      <c r="E42" s="5" t="s">
        <v>27</v>
      </c>
    </row>
    <row r="43" spans="1:5" ht="31.5" x14ac:dyDescent="0.25">
      <c r="A43" s="5" t="s">
        <v>586</v>
      </c>
      <c r="B43" s="6" t="s">
        <v>7</v>
      </c>
      <c r="C43" s="7">
        <v>407808</v>
      </c>
      <c r="D43" s="7" t="s">
        <v>8</v>
      </c>
      <c r="E43" s="5" t="s">
        <v>27</v>
      </c>
    </row>
    <row r="44" spans="1:5" ht="31.5" x14ac:dyDescent="0.25">
      <c r="A44" s="5" t="s">
        <v>587</v>
      </c>
      <c r="B44" s="6" t="s">
        <v>7</v>
      </c>
      <c r="C44" s="7">
        <v>4800000</v>
      </c>
      <c r="D44" s="7" t="s">
        <v>8</v>
      </c>
      <c r="E44" s="5" t="s">
        <v>27</v>
      </c>
    </row>
    <row r="45" spans="1:5" ht="47.25" x14ac:dyDescent="0.25">
      <c r="A45" s="5" t="s">
        <v>588</v>
      </c>
      <c r="B45" s="6" t="s">
        <v>7</v>
      </c>
      <c r="C45" s="7">
        <v>137664</v>
      </c>
      <c r="D45" s="7" t="s">
        <v>126</v>
      </c>
      <c r="E45" s="5" t="s">
        <v>127</v>
      </c>
    </row>
    <row r="46" spans="1:5" ht="31.5" x14ac:dyDescent="0.25">
      <c r="A46" s="5" t="s">
        <v>589</v>
      </c>
      <c r="B46" s="6" t="s">
        <v>7</v>
      </c>
      <c r="C46" s="7">
        <v>444000</v>
      </c>
      <c r="D46" s="7" t="s">
        <v>126</v>
      </c>
      <c r="E46" s="5" t="s">
        <v>127</v>
      </c>
    </row>
    <row r="47" spans="1:5" ht="15.75" x14ac:dyDescent="0.25">
      <c r="A47" s="5" t="s">
        <v>590</v>
      </c>
      <c r="B47" s="6" t="s">
        <v>19</v>
      </c>
      <c r="C47" s="7">
        <v>3600000</v>
      </c>
      <c r="D47" s="7" t="s">
        <v>560</v>
      </c>
      <c r="E47" s="5" t="s">
        <v>561</v>
      </c>
    </row>
    <row r="48" spans="1:5" ht="47.25" x14ac:dyDescent="0.25">
      <c r="A48" s="5" t="s">
        <v>591</v>
      </c>
      <c r="B48" s="6" t="s">
        <v>19</v>
      </c>
      <c r="C48" s="7">
        <v>1402795</v>
      </c>
      <c r="D48" s="7" t="s">
        <v>560</v>
      </c>
      <c r="E48" s="5" t="s">
        <v>561</v>
      </c>
    </row>
    <row r="49" spans="1:5" ht="31.5" x14ac:dyDescent="0.25">
      <c r="A49" s="5" t="s">
        <v>592</v>
      </c>
      <c r="B49" s="6" t="s">
        <v>7</v>
      </c>
      <c r="C49" s="7">
        <v>212500</v>
      </c>
      <c r="D49" s="7" t="s">
        <v>126</v>
      </c>
      <c r="E49" s="5" t="s">
        <v>127</v>
      </c>
    </row>
    <row r="50" spans="1:5" ht="16.5" x14ac:dyDescent="0.3">
      <c r="B50" s="8" t="s">
        <v>24</v>
      </c>
      <c r="C50" s="9">
        <f>SUM(C5:C49)</f>
        <v>69989114.456</v>
      </c>
    </row>
  </sheetData>
  <autoFilter ref="A4:E57"/>
  <mergeCells count="1">
    <mergeCell ref="A2:E2"/>
  </mergeCells>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zoomScaleNormal="100" workbookViewId="0">
      <selection activeCell="C5" sqref="C5:C9"/>
    </sheetView>
  </sheetViews>
  <sheetFormatPr baseColWidth="10" defaultColWidth="10.7109375" defaultRowHeight="12.75" customHeight="1" x14ac:dyDescent="0.25"/>
  <cols>
    <col min="1" max="1" width="50" style="1" customWidth="1"/>
    <col min="2" max="2" width="19.85546875" style="1" customWidth="1"/>
    <col min="3" max="3" width="18.42578125" style="1" customWidth="1"/>
    <col min="5" max="5" width="50.28515625" style="1" customWidth="1"/>
  </cols>
  <sheetData>
    <row r="1" spans="1:5" ht="15" x14ac:dyDescent="0.25"/>
    <row r="2" spans="1:5" ht="15" customHeight="1" x14ac:dyDescent="0.25">
      <c r="A2" s="37" t="s">
        <v>593</v>
      </c>
      <c r="B2" s="37"/>
      <c r="C2" s="37"/>
      <c r="D2" s="37"/>
      <c r="E2" s="37"/>
    </row>
    <row r="3" spans="1:5" ht="15" x14ac:dyDescent="0.25"/>
    <row r="4" spans="1:5" ht="66" x14ac:dyDescent="0.25">
      <c r="A4" s="2" t="s">
        <v>1</v>
      </c>
      <c r="B4" s="2" t="s">
        <v>2</v>
      </c>
      <c r="C4" s="3" t="s">
        <v>3</v>
      </c>
      <c r="D4" s="3" t="s">
        <v>4</v>
      </c>
      <c r="E4" s="4" t="s">
        <v>5</v>
      </c>
    </row>
    <row r="5" spans="1:5" s="14" customFormat="1" ht="47.25" x14ac:dyDescent="0.25">
      <c r="A5" s="11" t="s">
        <v>594</v>
      </c>
      <c r="B5" s="12" t="s">
        <v>7</v>
      </c>
      <c r="C5" s="13">
        <v>171428.52</v>
      </c>
      <c r="D5" s="13" t="s">
        <v>8</v>
      </c>
      <c r="E5" s="11" t="s">
        <v>27</v>
      </c>
    </row>
    <row r="6" spans="1:5" s="14" customFormat="1" ht="15.75" x14ac:dyDescent="0.25">
      <c r="A6" s="11" t="s">
        <v>595</v>
      </c>
      <c r="B6" s="12" t="s">
        <v>7</v>
      </c>
      <c r="C6" s="13">
        <v>156000</v>
      </c>
      <c r="D6" s="13" t="s">
        <v>8</v>
      </c>
      <c r="E6" s="11" t="s">
        <v>27</v>
      </c>
    </row>
    <row r="7" spans="1:5" s="14" customFormat="1" ht="31.5" x14ac:dyDescent="0.25">
      <c r="A7" s="11" t="s">
        <v>596</v>
      </c>
      <c r="B7" s="12" t="s">
        <v>7</v>
      </c>
      <c r="C7" s="13">
        <v>132000</v>
      </c>
      <c r="D7" s="13" t="s">
        <v>8</v>
      </c>
      <c r="E7" s="11" t="s">
        <v>27</v>
      </c>
    </row>
    <row r="8" spans="1:5" s="14" customFormat="1" ht="31.5" x14ac:dyDescent="0.25">
      <c r="A8" s="11" t="s">
        <v>597</v>
      </c>
      <c r="B8" s="12" t="s">
        <v>7</v>
      </c>
      <c r="C8" s="13">
        <v>132000</v>
      </c>
      <c r="D8" s="13" t="s">
        <v>8</v>
      </c>
      <c r="E8" s="11" t="s">
        <v>27</v>
      </c>
    </row>
    <row r="9" spans="1:5" s="14" customFormat="1" ht="31.5" x14ac:dyDescent="0.25">
      <c r="A9" s="11" t="s">
        <v>597</v>
      </c>
      <c r="B9" s="12" t="s">
        <v>7</v>
      </c>
      <c r="C9" s="13">
        <v>132000</v>
      </c>
      <c r="D9" s="13" t="s">
        <v>8</v>
      </c>
      <c r="E9" s="11" t="s">
        <v>27</v>
      </c>
    </row>
    <row r="10" spans="1:5" ht="31.5" x14ac:dyDescent="0.25">
      <c r="A10" s="5" t="s">
        <v>598</v>
      </c>
      <c r="B10" s="6" t="s">
        <v>7</v>
      </c>
      <c r="C10" s="7">
        <v>240000</v>
      </c>
      <c r="D10" s="7" t="s">
        <v>8</v>
      </c>
      <c r="E10" s="5" t="s">
        <v>27</v>
      </c>
    </row>
    <row r="11" spans="1:5" ht="15.75" x14ac:dyDescent="0.25">
      <c r="A11" s="5" t="s">
        <v>599</v>
      </c>
      <c r="B11" s="6" t="s">
        <v>7</v>
      </c>
      <c r="C11" s="7">
        <v>1837404</v>
      </c>
      <c r="D11" s="7" t="s">
        <v>126</v>
      </c>
      <c r="E11" s="5" t="s">
        <v>127</v>
      </c>
    </row>
    <row r="12" spans="1:5" ht="16.5" x14ac:dyDescent="0.3">
      <c r="B12" s="8" t="s">
        <v>24</v>
      </c>
      <c r="C12" s="9">
        <f>SUM(C1:C11)</f>
        <v>2800832.52</v>
      </c>
    </row>
  </sheetData>
  <mergeCells count="1">
    <mergeCell ref="A2:E2"/>
  </mergeCells>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Views>
    <sheetView topLeftCell="A44" zoomScaleNormal="100" workbookViewId="0">
      <selection activeCell="C57" activeCellId="1" sqref="C5:C9 C57"/>
    </sheetView>
  </sheetViews>
  <sheetFormatPr baseColWidth="10" defaultColWidth="10.7109375" defaultRowHeight="12.75" customHeight="1" x14ac:dyDescent="0.25"/>
  <cols>
    <col min="1" max="1" width="116.140625" style="1" customWidth="1"/>
    <col min="2" max="2" width="19.85546875" style="1" customWidth="1"/>
    <col min="3" max="3" width="17.42578125" style="1" customWidth="1"/>
    <col min="5" max="5" width="42.7109375" style="1" customWidth="1"/>
  </cols>
  <sheetData>
    <row r="1" spans="1:5" ht="15" x14ac:dyDescent="0.25"/>
    <row r="2" spans="1:5" ht="15" customHeight="1" x14ac:dyDescent="0.25">
      <c r="A2" s="37" t="s">
        <v>600</v>
      </c>
      <c r="B2" s="37"/>
      <c r="C2" s="37"/>
      <c r="D2" s="37"/>
      <c r="E2" s="37"/>
    </row>
    <row r="3" spans="1:5" ht="15" x14ac:dyDescent="0.25"/>
    <row r="4" spans="1:5" ht="66" x14ac:dyDescent="0.25">
      <c r="A4" s="2" t="s">
        <v>1</v>
      </c>
      <c r="B4" s="2" t="s">
        <v>2</v>
      </c>
      <c r="C4" s="3" t="s">
        <v>3</v>
      </c>
      <c r="D4" s="3" t="s">
        <v>4</v>
      </c>
      <c r="E4" s="4" t="s">
        <v>5</v>
      </c>
    </row>
    <row r="5" spans="1:5" ht="31.5" x14ac:dyDescent="0.25">
      <c r="A5" s="5" t="s">
        <v>601</v>
      </c>
      <c r="B5" s="6" t="s">
        <v>7</v>
      </c>
      <c r="C5" s="7">
        <v>100000</v>
      </c>
      <c r="D5" s="7" t="s">
        <v>8</v>
      </c>
      <c r="E5" s="5" t="s">
        <v>27</v>
      </c>
    </row>
    <row r="6" spans="1:5" ht="31.5" x14ac:dyDescent="0.25">
      <c r="A6" s="5" t="s">
        <v>602</v>
      </c>
      <c r="B6" s="6" t="s">
        <v>7</v>
      </c>
      <c r="C6" s="7">
        <v>300000</v>
      </c>
      <c r="D6" s="7" t="s">
        <v>13</v>
      </c>
      <c r="E6" s="5" t="s">
        <v>59</v>
      </c>
    </row>
    <row r="7" spans="1:5" ht="15.75" x14ac:dyDescent="0.25">
      <c r="A7" s="5" t="s">
        <v>603</v>
      </c>
      <c r="B7" s="6" t="s">
        <v>7</v>
      </c>
      <c r="C7" s="7">
        <v>700000</v>
      </c>
      <c r="D7" s="7" t="s">
        <v>13</v>
      </c>
      <c r="E7" s="5" t="s">
        <v>59</v>
      </c>
    </row>
    <row r="8" spans="1:5" ht="31.5" x14ac:dyDescent="0.25">
      <c r="A8" s="5" t="s">
        <v>604</v>
      </c>
      <c r="B8" s="6" t="s">
        <v>19</v>
      </c>
      <c r="C8" s="7">
        <v>400000</v>
      </c>
      <c r="D8" s="7" t="s">
        <v>20</v>
      </c>
      <c r="E8" s="5" t="s">
        <v>61</v>
      </c>
    </row>
    <row r="9" spans="1:5" ht="31.5" x14ac:dyDescent="0.25">
      <c r="A9" s="5" t="s">
        <v>605</v>
      </c>
      <c r="B9" s="6" t="s">
        <v>19</v>
      </c>
      <c r="C9" s="7">
        <v>400000</v>
      </c>
      <c r="D9" s="7" t="s">
        <v>20</v>
      </c>
      <c r="E9" s="5" t="s">
        <v>61</v>
      </c>
    </row>
    <row r="10" spans="1:5" ht="31.5" x14ac:dyDescent="0.25">
      <c r="A10" s="5" t="s">
        <v>606</v>
      </c>
      <c r="B10" s="6" t="s">
        <v>7</v>
      </c>
      <c r="C10" s="7">
        <v>300000</v>
      </c>
      <c r="D10" s="7" t="s">
        <v>16</v>
      </c>
      <c r="E10" s="5" t="s">
        <v>63</v>
      </c>
    </row>
    <row r="11" spans="1:5" ht="15.75" x14ac:dyDescent="0.25">
      <c r="A11" s="5" t="s">
        <v>607</v>
      </c>
      <c r="B11" s="6" t="s">
        <v>7</v>
      </c>
      <c r="C11" s="7">
        <v>50000</v>
      </c>
      <c r="D11" s="7" t="s">
        <v>117</v>
      </c>
      <c r="E11" s="5" t="s">
        <v>118</v>
      </c>
    </row>
    <row r="12" spans="1:5" ht="15.75" x14ac:dyDescent="0.25">
      <c r="A12" s="5" t="s">
        <v>608</v>
      </c>
      <c r="B12" s="6" t="s">
        <v>7</v>
      </c>
      <c r="C12" s="7">
        <v>150000</v>
      </c>
      <c r="D12" s="7" t="s">
        <v>117</v>
      </c>
      <c r="E12" s="5" t="s">
        <v>118</v>
      </c>
    </row>
    <row r="13" spans="1:5" ht="31.5" x14ac:dyDescent="0.25">
      <c r="A13" s="5" t="s">
        <v>609</v>
      </c>
      <c r="B13" s="6" t="s">
        <v>19</v>
      </c>
      <c r="C13" s="7">
        <v>150000</v>
      </c>
      <c r="D13" s="7" t="s">
        <v>20</v>
      </c>
      <c r="E13" s="5" t="s">
        <v>61</v>
      </c>
    </row>
    <row r="14" spans="1:5" ht="31.5" x14ac:dyDescent="0.25">
      <c r="A14" s="5" t="s">
        <v>610</v>
      </c>
      <c r="B14" s="6" t="s">
        <v>19</v>
      </c>
      <c r="C14" s="7">
        <v>60000</v>
      </c>
      <c r="D14" s="7" t="s">
        <v>20</v>
      </c>
      <c r="E14" s="5" t="s">
        <v>61</v>
      </c>
    </row>
    <row r="15" spans="1:5" ht="31.5" x14ac:dyDescent="0.25">
      <c r="A15" s="5" t="s">
        <v>611</v>
      </c>
      <c r="B15" s="6" t="s">
        <v>7</v>
      </c>
      <c r="C15" s="7">
        <v>2507000</v>
      </c>
      <c r="D15" s="7" t="s">
        <v>8</v>
      </c>
      <c r="E15" s="5" t="s">
        <v>27</v>
      </c>
    </row>
    <row r="16" spans="1:5" ht="31.5" x14ac:dyDescent="0.25">
      <c r="A16" s="5" t="s">
        <v>612</v>
      </c>
      <c r="B16" s="6" t="s">
        <v>7</v>
      </c>
      <c r="C16" s="7">
        <v>1122588</v>
      </c>
      <c r="D16" s="7" t="s">
        <v>8</v>
      </c>
      <c r="E16" s="5" t="s">
        <v>27</v>
      </c>
    </row>
    <row r="17" spans="1:5" ht="31.5" x14ac:dyDescent="0.25">
      <c r="A17" s="5" t="s">
        <v>613</v>
      </c>
      <c r="B17" s="6" t="s">
        <v>7</v>
      </c>
      <c r="C17" s="7">
        <v>240480</v>
      </c>
      <c r="D17" s="7" t="s">
        <v>8</v>
      </c>
      <c r="E17" s="5" t="s">
        <v>27</v>
      </c>
    </row>
    <row r="18" spans="1:5" ht="47.25" x14ac:dyDescent="0.25">
      <c r="A18" s="5" t="s">
        <v>614</v>
      </c>
      <c r="B18" s="6" t="s">
        <v>7</v>
      </c>
      <c r="C18" s="7">
        <v>1241174</v>
      </c>
      <c r="D18" s="7" t="s">
        <v>8</v>
      </c>
      <c r="E18" s="5" t="s">
        <v>27</v>
      </c>
    </row>
    <row r="19" spans="1:5" ht="15.75" x14ac:dyDescent="0.25">
      <c r="A19" s="5" t="s">
        <v>615</v>
      </c>
      <c r="B19" s="6" t="s">
        <v>7</v>
      </c>
      <c r="C19" s="7">
        <v>2040040</v>
      </c>
      <c r="D19" s="7" t="s">
        <v>126</v>
      </c>
      <c r="E19" s="5" t="s">
        <v>127</v>
      </c>
    </row>
    <row r="20" spans="1:5" ht="31.5" x14ac:dyDescent="0.25">
      <c r="A20" s="5" t="s">
        <v>616</v>
      </c>
      <c r="B20" s="6" t="s">
        <v>7</v>
      </c>
      <c r="C20" s="7">
        <v>864000</v>
      </c>
      <c r="D20" s="7" t="s">
        <v>126</v>
      </c>
      <c r="E20" s="5" t="s">
        <v>127</v>
      </c>
    </row>
    <row r="21" spans="1:5" ht="15.75" x14ac:dyDescent="0.25">
      <c r="A21" s="5" t="s">
        <v>617</v>
      </c>
      <c r="B21" s="6" t="s">
        <v>7</v>
      </c>
      <c r="C21" s="7">
        <v>432000</v>
      </c>
      <c r="D21" s="7" t="s">
        <v>8</v>
      </c>
      <c r="E21" s="5" t="s">
        <v>27</v>
      </c>
    </row>
    <row r="22" spans="1:5" ht="15.75" x14ac:dyDescent="0.25">
      <c r="A22" s="5" t="s">
        <v>618</v>
      </c>
      <c r="B22" s="6" t="s">
        <v>7</v>
      </c>
      <c r="C22" s="7">
        <v>148500</v>
      </c>
      <c r="D22" s="7" t="s">
        <v>8</v>
      </c>
      <c r="E22" s="5" t="s">
        <v>27</v>
      </c>
    </row>
    <row r="23" spans="1:5" ht="15.75" x14ac:dyDescent="0.25">
      <c r="A23" s="5" t="s">
        <v>619</v>
      </c>
      <c r="B23" s="6" t="s">
        <v>7</v>
      </c>
      <c r="C23" s="7">
        <v>480000</v>
      </c>
      <c r="D23" s="7" t="s">
        <v>8</v>
      </c>
      <c r="E23" s="5" t="s">
        <v>27</v>
      </c>
    </row>
    <row r="24" spans="1:5" ht="15.75" x14ac:dyDescent="0.25">
      <c r="A24" s="5" t="s">
        <v>620</v>
      </c>
      <c r="B24" s="6" t="s">
        <v>7</v>
      </c>
      <c r="C24" s="7">
        <v>3050657.28</v>
      </c>
      <c r="D24" s="7" t="s">
        <v>8</v>
      </c>
      <c r="E24" s="5" t="s">
        <v>27</v>
      </c>
    </row>
    <row r="25" spans="1:5" ht="15.75" x14ac:dyDescent="0.25">
      <c r="A25" s="5" t="s">
        <v>621</v>
      </c>
      <c r="B25" s="6" t="s">
        <v>7</v>
      </c>
      <c r="C25" s="7">
        <v>145714.32</v>
      </c>
      <c r="D25" s="7" t="s">
        <v>8</v>
      </c>
      <c r="E25" s="5" t="s">
        <v>27</v>
      </c>
    </row>
    <row r="26" spans="1:5" ht="31.5" x14ac:dyDescent="0.25">
      <c r="A26" s="5" t="s">
        <v>622</v>
      </c>
      <c r="B26" s="6" t="s">
        <v>7</v>
      </c>
      <c r="C26" s="7">
        <v>72000</v>
      </c>
      <c r="D26" s="7" t="s">
        <v>8</v>
      </c>
      <c r="E26" s="5" t="s">
        <v>27</v>
      </c>
    </row>
    <row r="27" spans="1:5" ht="31.5" x14ac:dyDescent="0.25">
      <c r="A27" s="5" t="s">
        <v>623</v>
      </c>
      <c r="B27" s="6" t="s">
        <v>7</v>
      </c>
      <c r="C27" s="7">
        <v>44571.360000000001</v>
      </c>
      <c r="D27" s="7" t="s">
        <v>8</v>
      </c>
      <c r="E27" s="5" t="s">
        <v>27</v>
      </c>
    </row>
    <row r="28" spans="1:5" ht="15.75" x14ac:dyDescent="0.25">
      <c r="A28" s="5" t="s">
        <v>624</v>
      </c>
      <c r="B28" s="6" t="s">
        <v>7</v>
      </c>
      <c r="C28" s="7">
        <v>846449.13</v>
      </c>
      <c r="D28" s="7" t="s">
        <v>8</v>
      </c>
      <c r="E28" s="5" t="s">
        <v>27</v>
      </c>
    </row>
    <row r="29" spans="1:5" ht="47.25" x14ac:dyDescent="0.25">
      <c r="A29" s="5" t="s">
        <v>625</v>
      </c>
      <c r="B29" s="6" t="s">
        <v>7</v>
      </c>
      <c r="C29" s="7">
        <v>214800</v>
      </c>
      <c r="D29" s="7" t="s">
        <v>8</v>
      </c>
      <c r="E29" s="5" t="s">
        <v>27</v>
      </c>
    </row>
    <row r="30" spans="1:5" ht="47.25" x14ac:dyDescent="0.25">
      <c r="A30" s="5" t="s">
        <v>626</v>
      </c>
      <c r="B30" s="6" t="s">
        <v>7</v>
      </c>
      <c r="C30" s="7">
        <v>96000</v>
      </c>
      <c r="D30" s="7" t="s">
        <v>8</v>
      </c>
      <c r="E30" s="5" t="s">
        <v>27</v>
      </c>
    </row>
    <row r="31" spans="1:5" ht="47.25" x14ac:dyDescent="0.25">
      <c r="A31" s="5" t="s">
        <v>627</v>
      </c>
      <c r="B31" s="6" t="s">
        <v>7</v>
      </c>
      <c r="C31" s="7">
        <v>148800</v>
      </c>
      <c r="D31" s="7" t="s">
        <v>8</v>
      </c>
      <c r="E31" s="5" t="s">
        <v>27</v>
      </c>
    </row>
    <row r="32" spans="1:5" ht="47.25" x14ac:dyDescent="0.25">
      <c r="A32" s="5" t="s">
        <v>628</v>
      </c>
      <c r="B32" s="6" t="s">
        <v>7</v>
      </c>
      <c r="C32" s="7">
        <v>72000</v>
      </c>
      <c r="D32" s="7" t="s">
        <v>8</v>
      </c>
      <c r="E32" s="5" t="s">
        <v>27</v>
      </c>
    </row>
    <row r="33" spans="1:5" ht="47.25" x14ac:dyDescent="0.25">
      <c r="A33" s="5" t="s">
        <v>629</v>
      </c>
      <c r="B33" s="6" t="s">
        <v>7</v>
      </c>
      <c r="C33" s="7">
        <v>72000</v>
      </c>
      <c r="D33" s="7" t="s">
        <v>8</v>
      </c>
      <c r="E33" s="5" t="s">
        <v>27</v>
      </c>
    </row>
    <row r="34" spans="1:5" ht="47.25" x14ac:dyDescent="0.25">
      <c r="A34" s="5" t="s">
        <v>630</v>
      </c>
      <c r="B34" s="6" t="s">
        <v>7</v>
      </c>
      <c r="C34" s="7">
        <v>72000</v>
      </c>
      <c r="D34" s="7" t="s">
        <v>8</v>
      </c>
      <c r="E34" s="5" t="s">
        <v>27</v>
      </c>
    </row>
    <row r="35" spans="1:5" ht="47.25" x14ac:dyDescent="0.25">
      <c r="A35" s="5" t="s">
        <v>631</v>
      </c>
      <c r="B35" s="6" t="s">
        <v>7</v>
      </c>
      <c r="C35" s="7">
        <v>144000</v>
      </c>
      <c r="D35" s="7" t="s">
        <v>8</v>
      </c>
      <c r="E35" s="5" t="s">
        <v>27</v>
      </c>
    </row>
    <row r="36" spans="1:5" ht="47.25" x14ac:dyDescent="0.25">
      <c r="A36" s="5" t="s">
        <v>632</v>
      </c>
      <c r="B36" s="6" t="s">
        <v>7</v>
      </c>
      <c r="C36" s="7">
        <v>120000</v>
      </c>
      <c r="D36" s="7" t="s">
        <v>8</v>
      </c>
      <c r="E36" s="5" t="s">
        <v>27</v>
      </c>
    </row>
    <row r="37" spans="1:5" ht="47.25" x14ac:dyDescent="0.25">
      <c r="A37" s="5" t="s">
        <v>633</v>
      </c>
      <c r="B37" s="6" t="s">
        <v>7</v>
      </c>
      <c r="C37" s="7">
        <v>120000</v>
      </c>
      <c r="D37" s="7" t="s">
        <v>8</v>
      </c>
      <c r="E37" s="5" t="s">
        <v>27</v>
      </c>
    </row>
    <row r="38" spans="1:5" ht="47.25" x14ac:dyDescent="0.25">
      <c r="A38" s="5" t="s">
        <v>634</v>
      </c>
      <c r="B38" s="6" t="s">
        <v>7</v>
      </c>
      <c r="C38" s="7">
        <v>96000</v>
      </c>
      <c r="D38" s="7" t="s">
        <v>8</v>
      </c>
      <c r="E38" s="5" t="s">
        <v>27</v>
      </c>
    </row>
    <row r="39" spans="1:5" ht="47.25" x14ac:dyDescent="0.25">
      <c r="A39" s="5" t="s">
        <v>635</v>
      </c>
      <c r="B39" s="6" t="s">
        <v>7</v>
      </c>
      <c r="C39" s="7">
        <v>154285.68</v>
      </c>
      <c r="D39" s="7" t="s">
        <v>8</v>
      </c>
      <c r="E39" s="5" t="s">
        <v>27</v>
      </c>
    </row>
    <row r="40" spans="1:5" ht="47.25" x14ac:dyDescent="0.25">
      <c r="A40" s="5" t="s">
        <v>636</v>
      </c>
      <c r="B40" s="6" t="s">
        <v>7</v>
      </c>
      <c r="C40" s="7">
        <v>120000</v>
      </c>
      <c r="D40" s="7" t="s">
        <v>8</v>
      </c>
      <c r="E40" s="5" t="s">
        <v>27</v>
      </c>
    </row>
    <row r="41" spans="1:5" ht="47.25" x14ac:dyDescent="0.25">
      <c r="A41" s="5" t="s">
        <v>637</v>
      </c>
      <c r="B41" s="6" t="s">
        <v>7</v>
      </c>
      <c r="C41" s="7">
        <v>96000</v>
      </c>
      <c r="D41" s="7" t="s">
        <v>8</v>
      </c>
      <c r="E41" s="5" t="s">
        <v>27</v>
      </c>
    </row>
    <row r="42" spans="1:5" ht="47.25" x14ac:dyDescent="0.25">
      <c r="A42" s="5" t="s">
        <v>638</v>
      </c>
      <c r="B42" s="6" t="s">
        <v>7</v>
      </c>
      <c r="C42" s="7">
        <v>150000</v>
      </c>
      <c r="D42" s="7" t="s">
        <v>8</v>
      </c>
      <c r="E42" s="5" t="s">
        <v>27</v>
      </c>
    </row>
    <row r="43" spans="1:5" ht="47.25" x14ac:dyDescent="0.25">
      <c r="A43" s="5" t="s">
        <v>639</v>
      </c>
      <c r="B43" s="6" t="s">
        <v>7</v>
      </c>
      <c r="C43" s="7">
        <v>240000</v>
      </c>
      <c r="D43" s="7" t="s">
        <v>8</v>
      </c>
      <c r="E43" s="5" t="s">
        <v>27</v>
      </c>
    </row>
    <row r="44" spans="1:5" ht="47.25" x14ac:dyDescent="0.25">
      <c r="A44" s="5" t="s">
        <v>640</v>
      </c>
      <c r="B44" s="6" t="s">
        <v>7</v>
      </c>
      <c r="C44" s="7">
        <v>240000</v>
      </c>
      <c r="D44" s="7" t="s">
        <v>8</v>
      </c>
      <c r="E44" s="5" t="s">
        <v>27</v>
      </c>
    </row>
    <row r="45" spans="1:5" ht="47.25" x14ac:dyDescent="0.25">
      <c r="A45" s="5" t="s">
        <v>641</v>
      </c>
      <c r="B45" s="6" t="s">
        <v>7</v>
      </c>
      <c r="C45" s="7">
        <v>150000</v>
      </c>
      <c r="D45" s="7" t="s">
        <v>8</v>
      </c>
      <c r="E45" s="5" t="s">
        <v>27</v>
      </c>
    </row>
    <row r="46" spans="1:5" ht="47.25" x14ac:dyDescent="0.25">
      <c r="A46" s="5" t="s">
        <v>642</v>
      </c>
      <c r="B46" s="6" t="s">
        <v>7</v>
      </c>
      <c r="C46" s="7">
        <v>156000</v>
      </c>
      <c r="D46" s="7" t="s">
        <v>8</v>
      </c>
      <c r="E46" s="5" t="s">
        <v>27</v>
      </c>
    </row>
    <row r="47" spans="1:5" ht="47.25" x14ac:dyDescent="0.25">
      <c r="A47" s="5" t="s">
        <v>643</v>
      </c>
      <c r="B47" s="6" t="s">
        <v>7</v>
      </c>
      <c r="C47" s="7">
        <v>145714.32</v>
      </c>
      <c r="D47" s="7" t="s">
        <v>8</v>
      </c>
      <c r="E47" s="5" t="s">
        <v>27</v>
      </c>
    </row>
    <row r="48" spans="1:5" ht="47.25" x14ac:dyDescent="0.25">
      <c r="A48" s="5" t="s">
        <v>644</v>
      </c>
      <c r="B48" s="6" t="s">
        <v>7</v>
      </c>
      <c r="C48" s="7">
        <v>108000</v>
      </c>
      <c r="D48" s="7" t="s">
        <v>8</v>
      </c>
      <c r="E48" s="5" t="s">
        <v>27</v>
      </c>
    </row>
    <row r="49" spans="1:5" ht="31.5" x14ac:dyDescent="0.25">
      <c r="A49" s="5" t="s">
        <v>645</v>
      </c>
      <c r="B49" s="6" t="s">
        <v>7</v>
      </c>
      <c r="C49" s="7">
        <v>432000</v>
      </c>
      <c r="D49" s="7" t="s">
        <v>8</v>
      </c>
      <c r="E49" s="5" t="s">
        <v>27</v>
      </c>
    </row>
    <row r="50" spans="1:5" ht="31.5" x14ac:dyDescent="0.25">
      <c r="A50" s="5" t="s">
        <v>646</v>
      </c>
      <c r="B50" s="6" t="s">
        <v>7</v>
      </c>
      <c r="C50" s="7">
        <v>240000</v>
      </c>
      <c r="D50" s="7" t="s">
        <v>8</v>
      </c>
      <c r="E50" s="5" t="s">
        <v>27</v>
      </c>
    </row>
    <row r="51" spans="1:5" ht="31.5" x14ac:dyDescent="0.25">
      <c r="A51" s="5" t="s">
        <v>647</v>
      </c>
      <c r="B51" s="6" t="s">
        <v>7</v>
      </c>
      <c r="C51" s="7">
        <v>144000</v>
      </c>
      <c r="D51" s="7" t="s">
        <v>8</v>
      </c>
      <c r="E51" s="5" t="s">
        <v>27</v>
      </c>
    </row>
    <row r="52" spans="1:5" ht="31.5" x14ac:dyDescent="0.25">
      <c r="A52" s="5" t="s">
        <v>648</v>
      </c>
      <c r="B52" s="6" t="s">
        <v>7</v>
      </c>
      <c r="C52" s="7">
        <v>360000</v>
      </c>
      <c r="D52" s="7" t="s">
        <v>8</v>
      </c>
      <c r="E52" s="5" t="s">
        <v>27</v>
      </c>
    </row>
    <row r="53" spans="1:5" ht="31.5" x14ac:dyDescent="0.25">
      <c r="A53" s="5" t="s">
        <v>649</v>
      </c>
      <c r="B53" s="6" t="s">
        <v>7</v>
      </c>
      <c r="C53" s="7">
        <v>640000</v>
      </c>
      <c r="D53" s="7" t="s">
        <v>8</v>
      </c>
      <c r="E53" s="5" t="s">
        <v>27</v>
      </c>
    </row>
    <row r="54" spans="1:5" ht="47.25" x14ac:dyDescent="0.25">
      <c r="A54" s="5" t="s">
        <v>650</v>
      </c>
      <c r="B54" s="6" t="s">
        <v>7</v>
      </c>
      <c r="C54" s="7">
        <v>960000</v>
      </c>
      <c r="D54" s="7" t="s">
        <v>8</v>
      </c>
      <c r="E54" s="5" t="s">
        <v>27</v>
      </c>
    </row>
    <row r="55" spans="1:5" ht="47.25" x14ac:dyDescent="0.25">
      <c r="A55" s="5" t="s">
        <v>651</v>
      </c>
      <c r="B55" s="6" t="s">
        <v>7</v>
      </c>
      <c r="C55" s="7">
        <v>720000</v>
      </c>
      <c r="D55" s="7" t="s">
        <v>8</v>
      </c>
      <c r="E55" s="5" t="s">
        <v>27</v>
      </c>
    </row>
    <row r="56" spans="1:5" ht="16.5" x14ac:dyDescent="0.3">
      <c r="B56" s="8" t="s">
        <v>24</v>
      </c>
      <c r="C56" s="9">
        <f>SUM(C5:C55)</f>
        <v>22056774.09</v>
      </c>
    </row>
  </sheetData>
  <mergeCells count="1">
    <mergeCell ref="A2:E2"/>
  </mergeCells>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43"/>
  <sheetViews>
    <sheetView topLeftCell="A13" zoomScaleNormal="100" workbookViewId="0">
      <selection activeCell="A34" activeCellId="1" sqref="C5:C9 A34"/>
    </sheetView>
  </sheetViews>
  <sheetFormatPr baseColWidth="10" defaultColWidth="10.7109375" defaultRowHeight="12.75" customHeight="1" x14ac:dyDescent="0.25"/>
  <cols>
    <col min="1" max="1" width="48.7109375" style="1" customWidth="1"/>
    <col min="2" max="2" width="30.42578125" style="1" customWidth="1"/>
    <col min="3" max="3" width="28.42578125" style="1" customWidth="1"/>
    <col min="4" max="4" width="7.140625" style="1" customWidth="1"/>
    <col min="5" max="5" width="44" style="1" customWidth="1"/>
  </cols>
  <sheetData>
    <row r="1" spans="1:5" ht="15" x14ac:dyDescent="0.25"/>
    <row r="2" spans="1:5" ht="15" hidden="1" customHeight="1" x14ac:dyDescent="0.25">
      <c r="A2" s="36" t="s">
        <v>652</v>
      </c>
      <c r="B2" s="36"/>
      <c r="C2" s="36"/>
      <c r="D2" s="36"/>
      <c r="E2" s="36"/>
    </row>
    <row r="3" spans="1:5" ht="15" hidden="1" x14ac:dyDescent="0.25"/>
    <row r="4" spans="1:5" ht="33" x14ac:dyDescent="0.25">
      <c r="A4" s="2" t="s">
        <v>1</v>
      </c>
      <c r="B4" s="2" t="s">
        <v>2</v>
      </c>
      <c r="C4" s="3" t="s">
        <v>3</v>
      </c>
      <c r="D4" s="3" t="s">
        <v>4</v>
      </c>
      <c r="E4" s="4" t="s">
        <v>5</v>
      </c>
    </row>
    <row r="5" spans="1:5" ht="63" x14ac:dyDescent="0.25">
      <c r="A5" s="5" t="s">
        <v>653</v>
      </c>
      <c r="B5" s="6" t="s">
        <v>7</v>
      </c>
      <c r="C5" s="7">
        <v>60000</v>
      </c>
      <c r="D5" s="7" t="s">
        <v>8</v>
      </c>
      <c r="E5" s="5" t="s">
        <v>27</v>
      </c>
    </row>
    <row r="6" spans="1:5" ht="47.25" x14ac:dyDescent="0.25">
      <c r="A6" s="5" t="s">
        <v>654</v>
      </c>
      <c r="B6" s="6" t="s">
        <v>7</v>
      </c>
      <c r="C6" s="7">
        <v>40000</v>
      </c>
      <c r="D6" s="7" t="s">
        <v>16</v>
      </c>
      <c r="E6" s="5" t="s">
        <v>63</v>
      </c>
    </row>
    <row r="7" spans="1:5" ht="47.25" x14ac:dyDescent="0.25">
      <c r="A7" s="5" t="s">
        <v>655</v>
      </c>
      <c r="B7" s="6" t="s">
        <v>7</v>
      </c>
      <c r="C7" s="7">
        <v>110000</v>
      </c>
      <c r="D7" s="7" t="s">
        <v>117</v>
      </c>
      <c r="E7" s="5" t="s">
        <v>118</v>
      </c>
    </row>
    <row r="8" spans="1:5" ht="31.5" x14ac:dyDescent="0.25">
      <c r="A8" s="5" t="s">
        <v>656</v>
      </c>
      <c r="B8" s="6" t="s">
        <v>7</v>
      </c>
      <c r="C8" s="7">
        <v>50000</v>
      </c>
      <c r="D8" s="7" t="s">
        <v>117</v>
      </c>
      <c r="E8" s="5" t="s">
        <v>118</v>
      </c>
    </row>
    <row r="9" spans="1:5" ht="15.75" x14ac:dyDescent="0.25">
      <c r="A9" s="5" t="s">
        <v>497</v>
      </c>
      <c r="B9" s="6" t="s">
        <v>7</v>
      </c>
      <c r="C9" s="7">
        <v>300000</v>
      </c>
      <c r="D9" s="7" t="s">
        <v>13</v>
      </c>
      <c r="E9" s="5" t="s">
        <v>59</v>
      </c>
    </row>
    <row r="10" spans="1:5" ht="31.5" x14ac:dyDescent="0.25">
      <c r="A10" s="5" t="s">
        <v>657</v>
      </c>
      <c r="B10" s="6" t="s">
        <v>7</v>
      </c>
      <c r="C10" s="7">
        <v>100000</v>
      </c>
      <c r="D10" s="7" t="s">
        <v>16</v>
      </c>
      <c r="E10" s="5" t="s">
        <v>63</v>
      </c>
    </row>
    <row r="11" spans="1:5" ht="47.25" x14ac:dyDescent="0.25">
      <c r="A11" s="5" t="s">
        <v>658</v>
      </c>
      <c r="B11" s="6" t="s">
        <v>7</v>
      </c>
      <c r="C11" s="7">
        <v>80000</v>
      </c>
      <c r="D11" s="7" t="s">
        <v>117</v>
      </c>
      <c r="E11" s="5" t="s">
        <v>118</v>
      </c>
    </row>
    <row r="12" spans="1:5" ht="47.25" hidden="1" x14ac:dyDescent="0.25">
      <c r="A12" s="5" t="s">
        <v>659</v>
      </c>
      <c r="B12" s="6" t="s">
        <v>19</v>
      </c>
      <c r="C12" s="7">
        <v>300000</v>
      </c>
      <c r="D12" s="7" t="s">
        <v>20</v>
      </c>
      <c r="E12" s="5" t="s">
        <v>61</v>
      </c>
    </row>
    <row r="13" spans="1:5" ht="31.5" x14ac:dyDescent="0.25">
      <c r="A13" s="5" t="s">
        <v>660</v>
      </c>
      <c r="B13" s="6" t="s">
        <v>7</v>
      </c>
      <c r="C13" s="7">
        <v>70000</v>
      </c>
      <c r="D13" s="7" t="s">
        <v>491</v>
      </c>
      <c r="E13" s="5" t="s">
        <v>492</v>
      </c>
    </row>
    <row r="14" spans="1:5" ht="47.25" hidden="1" x14ac:dyDescent="0.25">
      <c r="A14" s="5" t="s">
        <v>661</v>
      </c>
      <c r="B14" s="6" t="s">
        <v>19</v>
      </c>
      <c r="C14" s="7">
        <v>120000</v>
      </c>
      <c r="D14" s="7" t="s">
        <v>495</v>
      </c>
      <c r="E14" s="5" t="s">
        <v>496</v>
      </c>
    </row>
    <row r="15" spans="1:5" ht="47.25" x14ac:dyDescent="0.25">
      <c r="A15" s="5" t="s">
        <v>662</v>
      </c>
      <c r="B15" s="6" t="s">
        <v>7</v>
      </c>
      <c r="C15" s="7">
        <v>100000</v>
      </c>
      <c r="D15" s="7" t="s">
        <v>113</v>
      </c>
      <c r="E15" s="5" t="s">
        <v>114</v>
      </c>
    </row>
    <row r="16" spans="1:5" ht="47.25" x14ac:dyDescent="0.25">
      <c r="A16" s="5" t="s">
        <v>663</v>
      </c>
      <c r="B16" s="6" t="s">
        <v>7</v>
      </c>
      <c r="C16" s="7">
        <v>260000</v>
      </c>
      <c r="D16" s="7" t="s">
        <v>8</v>
      </c>
      <c r="E16" s="5" t="s">
        <v>27</v>
      </c>
    </row>
    <row r="17" spans="1:5" ht="31.5" x14ac:dyDescent="0.25">
      <c r="A17" s="5" t="s">
        <v>664</v>
      </c>
      <c r="B17" s="6" t="s">
        <v>7</v>
      </c>
      <c r="C17" s="7">
        <v>280000</v>
      </c>
      <c r="D17" s="7" t="s">
        <v>23</v>
      </c>
      <c r="E17" s="5" t="s">
        <v>65</v>
      </c>
    </row>
    <row r="18" spans="1:5" ht="31.5" x14ac:dyDescent="0.25">
      <c r="A18" s="5" t="s">
        <v>665</v>
      </c>
      <c r="B18" s="6" t="s">
        <v>7</v>
      </c>
      <c r="C18" s="7">
        <v>171428.64</v>
      </c>
      <c r="D18" s="7" t="s">
        <v>23</v>
      </c>
      <c r="E18" s="5" t="s">
        <v>65</v>
      </c>
    </row>
    <row r="19" spans="1:5" ht="31.5" x14ac:dyDescent="0.25">
      <c r="A19" s="5" t="s">
        <v>666</v>
      </c>
      <c r="B19" s="6" t="s">
        <v>7</v>
      </c>
      <c r="C19" s="7">
        <v>257142.9</v>
      </c>
      <c r="D19" s="7" t="s">
        <v>23</v>
      </c>
      <c r="E19" s="5" t="s">
        <v>65</v>
      </c>
    </row>
    <row r="20" spans="1:5" ht="31.5" x14ac:dyDescent="0.25">
      <c r="A20" s="5" t="s">
        <v>667</v>
      </c>
      <c r="B20" s="6" t="s">
        <v>7</v>
      </c>
      <c r="C20" s="7">
        <v>205714.94</v>
      </c>
      <c r="D20" s="7" t="s">
        <v>8</v>
      </c>
      <c r="E20" s="5" t="s">
        <v>27</v>
      </c>
    </row>
    <row r="21" spans="1:5" ht="31.5" x14ac:dyDescent="0.25">
      <c r="A21" s="5" t="s">
        <v>668</v>
      </c>
      <c r="B21" s="6" t="s">
        <v>7</v>
      </c>
      <c r="C21" s="7">
        <v>181800</v>
      </c>
      <c r="D21" s="7" t="s">
        <v>8</v>
      </c>
      <c r="E21" s="5" t="s">
        <v>27</v>
      </c>
    </row>
    <row r="22" spans="1:5" s="18" customFormat="1" ht="63" x14ac:dyDescent="0.25">
      <c r="A22" s="15" t="s">
        <v>669</v>
      </c>
      <c r="B22" s="16" t="s">
        <v>7</v>
      </c>
      <c r="C22" s="17">
        <v>1687503.9</v>
      </c>
      <c r="D22" s="17" t="s">
        <v>23</v>
      </c>
      <c r="E22" s="15" t="s">
        <v>65</v>
      </c>
    </row>
    <row r="23" spans="1:5" s="18" customFormat="1" ht="63" x14ac:dyDescent="0.25">
      <c r="A23" s="15" t="s">
        <v>670</v>
      </c>
      <c r="B23" s="16" t="s">
        <v>7</v>
      </c>
      <c r="C23" s="17">
        <v>491736</v>
      </c>
      <c r="D23" s="17" t="s">
        <v>23</v>
      </c>
      <c r="E23" s="15" t="s">
        <v>65</v>
      </c>
    </row>
    <row r="24" spans="1:5" s="18" customFormat="1" ht="94.5" x14ac:dyDescent="0.25">
      <c r="A24" s="15" t="s">
        <v>671</v>
      </c>
      <c r="B24" s="16" t="s">
        <v>7</v>
      </c>
      <c r="C24" s="17">
        <v>625408</v>
      </c>
      <c r="D24" s="17" t="s">
        <v>23</v>
      </c>
      <c r="E24" s="15" t="s">
        <v>65</v>
      </c>
    </row>
    <row r="25" spans="1:5" s="18" customFormat="1" ht="47.25" x14ac:dyDescent="0.25">
      <c r="A25" s="15" t="s">
        <v>672</v>
      </c>
      <c r="B25" s="16" t="s">
        <v>7</v>
      </c>
      <c r="C25" s="17">
        <v>1190246.3999999999</v>
      </c>
      <c r="D25" s="17" t="s">
        <v>23</v>
      </c>
      <c r="E25" s="15" t="s">
        <v>65</v>
      </c>
    </row>
    <row r="26" spans="1:5" s="18" customFormat="1" ht="94.5" x14ac:dyDescent="0.25">
      <c r="A26" s="15" t="s">
        <v>673</v>
      </c>
      <c r="B26" s="16" t="s">
        <v>7</v>
      </c>
      <c r="C26" s="17">
        <v>2335872</v>
      </c>
      <c r="D26" s="17" t="s">
        <v>23</v>
      </c>
      <c r="E26" s="15" t="s">
        <v>65</v>
      </c>
    </row>
    <row r="27" spans="1:5" s="18" customFormat="1" ht="63" x14ac:dyDescent="0.25">
      <c r="A27" s="15" t="s">
        <v>674</v>
      </c>
      <c r="B27" s="16" t="s">
        <v>7</v>
      </c>
      <c r="C27" s="17">
        <v>933296.1</v>
      </c>
      <c r="D27" s="17" t="s">
        <v>23</v>
      </c>
      <c r="E27" s="15" t="s">
        <v>65</v>
      </c>
    </row>
    <row r="28" spans="1:5" s="18" customFormat="1" ht="94.5" x14ac:dyDescent="0.25">
      <c r="A28" s="15" t="s">
        <v>675</v>
      </c>
      <c r="B28" s="16" t="s">
        <v>7</v>
      </c>
      <c r="C28" s="17">
        <v>1029503.88</v>
      </c>
      <c r="D28" s="17" t="s">
        <v>23</v>
      </c>
      <c r="E28" s="15" t="s">
        <v>65</v>
      </c>
    </row>
    <row r="29" spans="1:5" s="18" customFormat="1" ht="47.25" x14ac:dyDescent="0.25">
      <c r="A29" s="15" t="s">
        <v>676</v>
      </c>
      <c r="B29" s="16" t="s">
        <v>7</v>
      </c>
      <c r="C29" s="17">
        <v>875616</v>
      </c>
      <c r="D29" s="17" t="s">
        <v>23</v>
      </c>
      <c r="E29" s="15" t="s">
        <v>65</v>
      </c>
    </row>
    <row r="30" spans="1:5" s="18" customFormat="1" ht="94.5" x14ac:dyDescent="0.25">
      <c r="A30" s="15" t="s">
        <v>677</v>
      </c>
      <c r="B30" s="16" t="s">
        <v>7</v>
      </c>
      <c r="C30" s="17">
        <v>817935.9</v>
      </c>
      <c r="D30" s="17" t="s">
        <v>23</v>
      </c>
      <c r="E30" s="15" t="s">
        <v>65</v>
      </c>
    </row>
    <row r="31" spans="1:5" s="18" customFormat="1" ht="94.5" x14ac:dyDescent="0.25">
      <c r="A31" s="15" t="s">
        <v>678</v>
      </c>
      <c r="B31" s="16" t="s">
        <v>7</v>
      </c>
      <c r="C31" s="17">
        <v>1204224.1200000001</v>
      </c>
      <c r="D31" s="17" t="s">
        <v>23</v>
      </c>
      <c r="E31" s="15" t="s">
        <v>65</v>
      </c>
    </row>
    <row r="32" spans="1:5" s="18" customFormat="1" ht="94.5" x14ac:dyDescent="0.25">
      <c r="A32" s="15" t="s">
        <v>679</v>
      </c>
      <c r="B32" s="16" t="s">
        <v>7</v>
      </c>
      <c r="C32" s="17">
        <v>882000</v>
      </c>
      <c r="D32" s="17" t="s">
        <v>23</v>
      </c>
      <c r="E32" s="15" t="s">
        <v>65</v>
      </c>
    </row>
    <row r="33" spans="1:5" s="18" customFormat="1" ht="47.25" x14ac:dyDescent="0.25">
      <c r="A33" s="15" t="s">
        <v>680</v>
      </c>
      <c r="B33" s="16" t="s">
        <v>7</v>
      </c>
      <c r="C33" s="17">
        <v>1030959.9</v>
      </c>
      <c r="D33" s="17" t="s">
        <v>23</v>
      </c>
      <c r="E33" s="15" t="s">
        <v>65</v>
      </c>
    </row>
    <row r="34" spans="1:5" s="18" customFormat="1" ht="63" x14ac:dyDescent="0.25">
      <c r="A34" s="15" t="s">
        <v>681</v>
      </c>
      <c r="B34" s="16" t="s">
        <v>7</v>
      </c>
      <c r="C34" s="17">
        <v>1713936</v>
      </c>
      <c r="D34" s="17" t="s">
        <v>23</v>
      </c>
      <c r="E34" s="15" t="s">
        <v>65</v>
      </c>
    </row>
    <row r="35" spans="1:5" s="18" customFormat="1" ht="63" x14ac:dyDescent="0.25">
      <c r="A35" s="15" t="s">
        <v>682</v>
      </c>
      <c r="B35" s="16" t="s">
        <v>7</v>
      </c>
      <c r="C35" s="17">
        <v>696639.96</v>
      </c>
      <c r="D35" s="17" t="s">
        <v>23</v>
      </c>
      <c r="E35" s="15" t="s">
        <v>65</v>
      </c>
    </row>
    <row r="36" spans="1:5" s="18" customFormat="1" ht="63" x14ac:dyDescent="0.25">
      <c r="A36" s="15" t="s">
        <v>683</v>
      </c>
      <c r="B36" s="16" t="s">
        <v>7</v>
      </c>
      <c r="C36" s="17">
        <v>2334998.4</v>
      </c>
      <c r="D36" s="17" t="s">
        <v>23</v>
      </c>
      <c r="E36" s="15" t="s">
        <v>65</v>
      </c>
    </row>
    <row r="37" spans="1:5" s="18" customFormat="1" ht="63" x14ac:dyDescent="0.25">
      <c r="A37" s="15" t="s">
        <v>684</v>
      </c>
      <c r="B37" s="16" t="s">
        <v>7</v>
      </c>
      <c r="C37" s="17">
        <v>1156108.8</v>
      </c>
      <c r="D37" s="17" t="s">
        <v>23</v>
      </c>
      <c r="E37" s="15" t="s">
        <v>65</v>
      </c>
    </row>
    <row r="38" spans="1:5" s="18" customFormat="1" ht="63" x14ac:dyDescent="0.25">
      <c r="A38" s="15" t="s">
        <v>685</v>
      </c>
      <c r="B38" s="16" t="s">
        <v>7</v>
      </c>
      <c r="C38" s="17">
        <v>1211280</v>
      </c>
      <c r="D38" s="17" t="s">
        <v>23</v>
      </c>
      <c r="E38" s="15" t="s">
        <v>65</v>
      </c>
    </row>
    <row r="39" spans="1:5" s="18" customFormat="1" ht="63" x14ac:dyDescent="0.25">
      <c r="A39" s="15" t="s">
        <v>686</v>
      </c>
      <c r="B39" s="16" t="s">
        <v>7</v>
      </c>
      <c r="C39" s="17">
        <v>1195600</v>
      </c>
      <c r="D39" s="17" t="s">
        <v>23</v>
      </c>
      <c r="E39" s="15" t="s">
        <v>65</v>
      </c>
    </row>
    <row r="40" spans="1:5" ht="31.5" x14ac:dyDescent="0.25">
      <c r="A40" s="5" t="s">
        <v>687</v>
      </c>
      <c r="B40" s="6" t="s">
        <v>7</v>
      </c>
      <c r="C40" s="7">
        <v>3300000</v>
      </c>
      <c r="D40" s="7" t="s">
        <v>23</v>
      </c>
      <c r="E40" s="5" t="s">
        <v>65</v>
      </c>
    </row>
    <row r="41" spans="1:5" ht="31.5" x14ac:dyDescent="0.25">
      <c r="A41" s="5" t="s">
        <v>688</v>
      </c>
      <c r="B41" s="6" t="s">
        <v>7</v>
      </c>
      <c r="C41" s="7">
        <v>3300000</v>
      </c>
      <c r="D41" s="7" t="s">
        <v>23</v>
      </c>
      <c r="E41" s="5" t="s">
        <v>65</v>
      </c>
    </row>
    <row r="42" spans="1:5" ht="31.5" x14ac:dyDescent="0.25">
      <c r="A42" s="19" t="s">
        <v>689</v>
      </c>
      <c r="B42" s="20" t="s">
        <v>7</v>
      </c>
      <c r="C42" s="21">
        <v>220000</v>
      </c>
      <c r="D42" s="7" t="s">
        <v>8</v>
      </c>
      <c r="E42" s="5" t="s">
        <v>27</v>
      </c>
    </row>
    <row r="43" spans="1:5" ht="16.5" x14ac:dyDescent="0.3">
      <c r="B43" s="8" t="s">
        <v>24</v>
      </c>
      <c r="C43" s="9">
        <f>SUM(C3:C42)</f>
        <v>30918951.84</v>
      </c>
    </row>
  </sheetData>
  <autoFilter ref="D1:D42">
    <filterColumn colId="0">
      <filters>
        <filter val="612-1"/>
        <filter val="612-3"/>
        <filter val="612-4"/>
        <filter val="612-5"/>
        <filter val="613-2"/>
        <filter val="614-1"/>
        <filter val="617-3"/>
        <filter val="Poste"/>
      </filters>
    </filterColumn>
  </autoFilter>
  <mergeCells count="1">
    <mergeCell ref="A2:E2"/>
  </mergeCells>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zoomScaleNormal="100" workbookViewId="0">
      <selection activeCellId="1" sqref="C5:C9 A1"/>
    </sheetView>
  </sheetViews>
  <sheetFormatPr baseColWidth="10" defaultColWidth="10.7109375" defaultRowHeight="12.75" customHeight="1" x14ac:dyDescent="0.25"/>
  <cols>
    <col min="1" max="1" width="94" style="1" customWidth="1"/>
    <col min="2" max="2" width="19.85546875" style="1" customWidth="1"/>
    <col min="3" max="3" width="28.42578125" style="1" customWidth="1"/>
    <col min="4" max="4" width="7.140625" style="1" customWidth="1"/>
    <col min="5" max="5" width="44" style="1" customWidth="1"/>
  </cols>
  <sheetData>
    <row r="1" spans="1:5" ht="15" x14ac:dyDescent="0.25"/>
    <row r="2" spans="1:5" ht="15" customHeight="1" x14ac:dyDescent="0.25">
      <c r="A2" s="37" t="s">
        <v>690</v>
      </c>
      <c r="B2" s="37"/>
      <c r="C2" s="37"/>
      <c r="D2" s="37"/>
      <c r="E2" s="37"/>
    </row>
    <row r="3" spans="1:5" ht="15" x14ac:dyDescent="0.25"/>
    <row r="4" spans="1:5" ht="66" x14ac:dyDescent="0.25">
      <c r="A4" s="2" t="s">
        <v>1</v>
      </c>
      <c r="B4" s="2" t="s">
        <v>2</v>
      </c>
      <c r="C4" s="3" t="s">
        <v>3</v>
      </c>
      <c r="D4" s="3" t="s">
        <v>4</v>
      </c>
      <c r="E4" s="4" t="s">
        <v>5</v>
      </c>
    </row>
    <row r="5" spans="1:5" ht="15.75" x14ac:dyDescent="0.25">
      <c r="A5" s="5" t="s">
        <v>691</v>
      </c>
      <c r="B5" s="6" t="s">
        <v>7</v>
      </c>
      <c r="C5" s="7">
        <v>49800</v>
      </c>
      <c r="D5" s="7" t="s">
        <v>23</v>
      </c>
      <c r="E5" s="5" t="s">
        <v>65</v>
      </c>
    </row>
    <row r="6" spans="1:5" ht="15.75" x14ac:dyDescent="0.25">
      <c r="A6" s="5" t="s">
        <v>691</v>
      </c>
      <c r="B6" s="6" t="s">
        <v>7</v>
      </c>
      <c r="C6" s="7">
        <v>49800</v>
      </c>
      <c r="D6" s="7" t="s">
        <v>23</v>
      </c>
      <c r="E6" s="5" t="s">
        <v>65</v>
      </c>
    </row>
    <row r="7" spans="1:5" ht="15.75" x14ac:dyDescent="0.25">
      <c r="A7" s="5" t="s">
        <v>691</v>
      </c>
      <c r="B7" s="6" t="s">
        <v>7</v>
      </c>
      <c r="C7" s="7">
        <v>49800</v>
      </c>
      <c r="D7" s="7" t="s">
        <v>23</v>
      </c>
      <c r="E7" s="5" t="s">
        <v>65</v>
      </c>
    </row>
    <row r="8" spans="1:5" ht="15.75" x14ac:dyDescent="0.25">
      <c r="A8" s="5" t="s">
        <v>691</v>
      </c>
      <c r="B8" s="6" t="s">
        <v>7</v>
      </c>
      <c r="C8" s="7">
        <v>49800</v>
      </c>
      <c r="D8" s="7" t="s">
        <v>23</v>
      </c>
      <c r="E8" s="5" t="s">
        <v>65</v>
      </c>
    </row>
    <row r="9" spans="1:5" ht="15.75" x14ac:dyDescent="0.25">
      <c r="A9" s="5" t="s">
        <v>692</v>
      </c>
      <c r="B9" s="6" t="s">
        <v>7</v>
      </c>
      <c r="C9" s="7">
        <v>49800</v>
      </c>
      <c r="D9" s="7" t="s">
        <v>23</v>
      </c>
      <c r="E9" s="5" t="s">
        <v>65</v>
      </c>
    </row>
    <row r="10" spans="1:5" ht="15.75" x14ac:dyDescent="0.25">
      <c r="A10" s="5" t="s">
        <v>692</v>
      </c>
      <c r="B10" s="6" t="s">
        <v>7</v>
      </c>
      <c r="C10" s="7">
        <v>49800</v>
      </c>
      <c r="D10" s="7" t="s">
        <v>23</v>
      </c>
      <c r="E10" s="5" t="s">
        <v>65</v>
      </c>
    </row>
    <row r="11" spans="1:5" ht="15.75" x14ac:dyDescent="0.25">
      <c r="A11" s="5" t="s">
        <v>693</v>
      </c>
      <c r="B11" s="6" t="s">
        <v>7</v>
      </c>
      <c r="C11" s="7">
        <v>49800</v>
      </c>
      <c r="D11" s="7" t="s">
        <v>23</v>
      </c>
      <c r="E11" s="5" t="s">
        <v>65</v>
      </c>
    </row>
    <row r="12" spans="1:5" ht="15.75" x14ac:dyDescent="0.25">
      <c r="A12" s="5" t="s">
        <v>693</v>
      </c>
      <c r="B12" s="6" t="s">
        <v>7</v>
      </c>
      <c r="C12" s="7">
        <v>49800</v>
      </c>
      <c r="D12" s="7" t="s">
        <v>23</v>
      </c>
      <c r="E12" s="5" t="s">
        <v>65</v>
      </c>
    </row>
    <row r="13" spans="1:5" ht="15.75" x14ac:dyDescent="0.25">
      <c r="A13" s="5" t="s">
        <v>694</v>
      </c>
      <c r="B13" s="6" t="s">
        <v>7</v>
      </c>
      <c r="C13" s="7">
        <v>49800</v>
      </c>
      <c r="D13" s="7" t="s">
        <v>23</v>
      </c>
      <c r="E13" s="5" t="s">
        <v>65</v>
      </c>
    </row>
    <row r="14" spans="1:5" ht="15.75" x14ac:dyDescent="0.25">
      <c r="A14" s="5" t="s">
        <v>695</v>
      </c>
      <c r="B14" s="6" t="s">
        <v>7</v>
      </c>
      <c r="C14" s="7">
        <v>49800</v>
      </c>
      <c r="D14" s="7" t="s">
        <v>23</v>
      </c>
      <c r="E14" s="5" t="s">
        <v>65</v>
      </c>
    </row>
    <row r="15" spans="1:5" ht="15.75" x14ac:dyDescent="0.25">
      <c r="A15" s="5" t="s">
        <v>696</v>
      </c>
      <c r="B15" s="6" t="s">
        <v>7</v>
      </c>
      <c r="C15" s="7">
        <v>49800</v>
      </c>
      <c r="D15" s="7" t="s">
        <v>23</v>
      </c>
      <c r="E15" s="5" t="s">
        <v>65</v>
      </c>
    </row>
    <row r="16" spans="1:5" ht="15.75" x14ac:dyDescent="0.25">
      <c r="A16" s="5" t="s">
        <v>697</v>
      </c>
      <c r="B16" s="6" t="s">
        <v>7</v>
      </c>
      <c r="C16" s="7">
        <v>92750</v>
      </c>
      <c r="D16" s="7" t="s">
        <v>23</v>
      </c>
      <c r="E16" s="5" t="s">
        <v>65</v>
      </c>
    </row>
    <row r="17" spans="1:5" ht="15.75" x14ac:dyDescent="0.25">
      <c r="A17" s="5" t="s">
        <v>697</v>
      </c>
      <c r="B17" s="6" t="s">
        <v>7</v>
      </c>
      <c r="C17" s="7">
        <v>92750</v>
      </c>
      <c r="D17" s="7" t="s">
        <v>23</v>
      </c>
      <c r="E17" s="5" t="s">
        <v>65</v>
      </c>
    </row>
    <row r="18" spans="1:5" ht="15.75" x14ac:dyDescent="0.25">
      <c r="A18" s="5" t="s">
        <v>697</v>
      </c>
      <c r="B18" s="6" t="s">
        <v>7</v>
      </c>
      <c r="C18" s="7">
        <v>75790</v>
      </c>
      <c r="D18" s="7" t="s">
        <v>23</v>
      </c>
      <c r="E18" s="5" t="s">
        <v>65</v>
      </c>
    </row>
    <row r="19" spans="1:5" ht="15.75" x14ac:dyDescent="0.25">
      <c r="A19" s="5" t="s">
        <v>697</v>
      </c>
      <c r="B19" s="6" t="s">
        <v>7</v>
      </c>
      <c r="C19" s="7">
        <v>75790</v>
      </c>
      <c r="D19" s="7" t="s">
        <v>23</v>
      </c>
      <c r="E19" s="5" t="s">
        <v>65</v>
      </c>
    </row>
    <row r="20" spans="1:5" ht="15.75" x14ac:dyDescent="0.25">
      <c r="A20" s="5" t="s">
        <v>697</v>
      </c>
      <c r="B20" s="6" t="s">
        <v>7</v>
      </c>
      <c r="C20" s="7">
        <v>75790</v>
      </c>
      <c r="D20" s="7" t="s">
        <v>23</v>
      </c>
      <c r="E20" s="5" t="s">
        <v>65</v>
      </c>
    </row>
    <row r="21" spans="1:5" ht="15.75" x14ac:dyDescent="0.25">
      <c r="A21" s="5" t="s">
        <v>698</v>
      </c>
      <c r="B21" s="6" t="s">
        <v>7</v>
      </c>
      <c r="C21" s="7">
        <v>88400</v>
      </c>
      <c r="D21" s="7" t="s">
        <v>23</v>
      </c>
      <c r="E21" s="5" t="s">
        <v>65</v>
      </c>
    </row>
    <row r="22" spans="1:5" ht="15.75" x14ac:dyDescent="0.25">
      <c r="A22" s="5" t="s">
        <v>699</v>
      </c>
      <c r="B22" s="6" t="s">
        <v>7</v>
      </c>
      <c r="C22" s="7">
        <v>80080</v>
      </c>
      <c r="D22" s="7" t="s">
        <v>23</v>
      </c>
      <c r="E22" s="5" t="s">
        <v>65</v>
      </c>
    </row>
    <row r="23" spans="1:5" ht="15.75" x14ac:dyDescent="0.25">
      <c r="A23" s="5" t="s">
        <v>699</v>
      </c>
      <c r="B23" s="6" t="s">
        <v>7</v>
      </c>
      <c r="C23" s="7">
        <v>80080</v>
      </c>
      <c r="D23" s="7" t="s">
        <v>23</v>
      </c>
      <c r="E23" s="5" t="s">
        <v>65</v>
      </c>
    </row>
    <row r="24" spans="1:5" ht="15.75" x14ac:dyDescent="0.25">
      <c r="A24" s="5" t="s">
        <v>700</v>
      </c>
      <c r="B24" s="6" t="s">
        <v>7</v>
      </c>
      <c r="C24" s="7">
        <v>43500</v>
      </c>
      <c r="D24" s="7" t="s">
        <v>23</v>
      </c>
      <c r="E24" s="5" t="s">
        <v>65</v>
      </c>
    </row>
    <row r="25" spans="1:5" ht="15.75" x14ac:dyDescent="0.25">
      <c r="A25" s="5" t="s">
        <v>701</v>
      </c>
      <c r="B25" s="6" t="s">
        <v>7</v>
      </c>
      <c r="C25" s="7">
        <v>47300</v>
      </c>
      <c r="D25" s="7" t="s">
        <v>23</v>
      </c>
      <c r="E25" s="5" t="s">
        <v>65</v>
      </c>
    </row>
    <row r="26" spans="1:5" ht="15.75" x14ac:dyDescent="0.25">
      <c r="A26" s="5" t="s">
        <v>702</v>
      </c>
      <c r="B26" s="6" t="s">
        <v>7</v>
      </c>
      <c r="C26" s="7">
        <v>30000</v>
      </c>
      <c r="D26" s="7" t="s">
        <v>23</v>
      </c>
      <c r="E26" s="5" t="s">
        <v>65</v>
      </c>
    </row>
    <row r="27" spans="1:5" ht="15.75" x14ac:dyDescent="0.25">
      <c r="A27" s="5" t="s">
        <v>703</v>
      </c>
      <c r="B27" s="6" t="s">
        <v>7</v>
      </c>
      <c r="C27" s="7">
        <v>48000</v>
      </c>
      <c r="D27" s="7" t="s">
        <v>23</v>
      </c>
      <c r="E27" s="5" t="s">
        <v>65</v>
      </c>
    </row>
    <row r="28" spans="1:5" ht="15.75" x14ac:dyDescent="0.25">
      <c r="A28" s="5" t="s">
        <v>704</v>
      </c>
      <c r="B28" s="6" t="s">
        <v>7</v>
      </c>
      <c r="C28" s="7">
        <v>196000</v>
      </c>
      <c r="D28" s="7" t="s">
        <v>23</v>
      </c>
      <c r="E28" s="5" t="s">
        <v>65</v>
      </c>
    </row>
    <row r="29" spans="1:5" ht="15.75" x14ac:dyDescent="0.25">
      <c r="A29" s="5" t="s">
        <v>705</v>
      </c>
      <c r="B29" s="6" t="s">
        <v>7</v>
      </c>
      <c r="C29" s="7">
        <v>48000</v>
      </c>
      <c r="D29" s="7" t="s">
        <v>23</v>
      </c>
      <c r="E29" s="5" t="s">
        <v>65</v>
      </c>
    </row>
    <row r="30" spans="1:5" ht="15.75" x14ac:dyDescent="0.25">
      <c r="A30" s="5" t="s">
        <v>706</v>
      </c>
      <c r="B30" s="6" t="s">
        <v>7</v>
      </c>
      <c r="C30" s="7">
        <v>800000</v>
      </c>
      <c r="D30" s="7" t="s">
        <v>117</v>
      </c>
      <c r="E30" s="5" t="s">
        <v>118</v>
      </c>
    </row>
    <row r="31" spans="1:5" ht="16.5" x14ac:dyDescent="0.3">
      <c r="B31" s="8" t="s">
        <v>24</v>
      </c>
      <c r="C31" s="9">
        <f>SUM(C5:C30)</f>
        <v>2422030</v>
      </c>
    </row>
  </sheetData>
  <mergeCells count="1">
    <mergeCell ref="A2:E2"/>
  </mergeCells>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zoomScaleNormal="100" workbookViewId="0">
      <selection activeCell="C35" activeCellId="1" sqref="C5:C9 C35"/>
    </sheetView>
  </sheetViews>
  <sheetFormatPr baseColWidth="10" defaultColWidth="10.7109375" defaultRowHeight="12.75" customHeight="1" x14ac:dyDescent="0.25"/>
  <cols>
    <col min="1" max="1" width="72.42578125" style="1" customWidth="1"/>
    <col min="2" max="2" width="19.85546875" style="1" customWidth="1"/>
    <col min="3" max="3" width="28.42578125" style="1" customWidth="1"/>
    <col min="5" max="5" width="44" style="1" customWidth="1"/>
  </cols>
  <sheetData>
    <row r="1" spans="1:5" ht="15" x14ac:dyDescent="0.25"/>
    <row r="2" spans="1:5" ht="15" customHeight="1" x14ac:dyDescent="0.25">
      <c r="A2" s="37" t="s">
        <v>707</v>
      </c>
      <c r="B2" s="37"/>
      <c r="C2" s="37"/>
      <c r="D2" s="37"/>
      <c r="E2" s="37"/>
    </row>
    <row r="3" spans="1:5" ht="15" x14ac:dyDescent="0.25"/>
    <row r="4" spans="1:5" ht="66" x14ac:dyDescent="0.25">
      <c r="A4" s="2" t="s">
        <v>1</v>
      </c>
      <c r="B4" s="2" t="s">
        <v>2</v>
      </c>
      <c r="C4" s="3" t="s">
        <v>3</v>
      </c>
      <c r="D4" s="3" t="s">
        <v>4</v>
      </c>
      <c r="E4" s="4" t="s">
        <v>5</v>
      </c>
    </row>
    <row r="5" spans="1:5" ht="15.75" x14ac:dyDescent="0.25">
      <c r="A5" s="5" t="s">
        <v>708</v>
      </c>
      <c r="B5" s="6" t="s">
        <v>7</v>
      </c>
      <c r="C5" s="7">
        <v>4682294.41</v>
      </c>
      <c r="D5" s="7" t="s">
        <v>23</v>
      </c>
      <c r="E5" s="5" t="e">
        <f>VLOOKUP(D5,[1]Poste!E:F,2,FALSE())</f>
        <v>#N/A</v>
      </c>
    </row>
    <row r="6" spans="1:5" ht="15.75" x14ac:dyDescent="0.25">
      <c r="A6" s="5" t="s">
        <v>709</v>
      </c>
      <c r="B6" s="6" t="s">
        <v>7</v>
      </c>
      <c r="C6" s="7">
        <v>12605142.02</v>
      </c>
      <c r="D6" s="7" t="s">
        <v>23</v>
      </c>
      <c r="E6" s="5" t="e">
        <f>VLOOKUP(D6,[1]Poste!E:F,2,FALSE())</f>
        <v>#N/A</v>
      </c>
    </row>
    <row r="7" spans="1:5" ht="15.75" x14ac:dyDescent="0.25">
      <c r="A7" s="5" t="s">
        <v>710</v>
      </c>
      <c r="B7" s="6" t="s">
        <v>7</v>
      </c>
      <c r="C7" s="7">
        <v>7420680.96</v>
      </c>
      <c r="D7" s="7" t="s">
        <v>23</v>
      </c>
      <c r="E7" s="5" t="e">
        <f>VLOOKUP(D7,[1]Poste!E:F,2,FALSE())</f>
        <v>#N/A</v>
      </c>
    </row>
    <row r="8" spans="1:5" ht="15.75" x14ac:dyDescent="0.25">
      <c r="A8" s="5" t="s">
        <v>711</v>
      </c>
      <c r="B8" s="6" t="s">
        <v>7</v>
      </c>
      <c r="C8" s="7">
        <v>1752576</v>
      </c>
      <c r="D8" s="7" t="s">
        <v>23</v>
      </c>
      <c r="E8" s="5" t="e">
        <f>VLOOKUP(D8,[1]Poste!E:F,2,FALSE())</f>
        <v>#N/A</v>
      </c>
    </row>
    <row r="9" spans="1:5" ht="15.75" x14ac:dyDescent="0.25">
      <c r="A9" s="5" t="s">
        <v>712</v>
      </c>
      <c r="B9" s="6" t="s">
        <v>7</v>
      </c>
      <c r="C9" s="7">
        <v>8503622.2100000009</v>
      </c>
      <c r="D9" s="7" t="s">
        <v>23</v>
      </c>
      <c r="E9" s="5" t="e">
        <f>VLOOKUP(D9,[1]Poste!E:F,2,FALSE())</f>
        <v>#N/A</v>
      </c>
    </row>
    <row r="10" spans="1:5" ht="15.75" x14ac:dyDescent="0.25">
      <c r="A10" s="5" t="s">
        <v>713</v>
      </c>
      <c r="B10" s="6" t="s">
        <v>7</v>
      </c>
      <c r="C10" s="7">
        <v>3581536</v>
      </c>
      <c r="D10" s="7" t="s">
        <v>23</v>
      </c>
      <c r="E10" s="5" t="e">
        <f>VLOOKUP(D10,[1]Poste!E:F,2,FALSE())</f>
        <v>#N/A</v>
      </c>
    </row>
    <row r="11" spans="1:5" ht="15.75" x14ac:dyDescent="0.25">
      <c r="A11" s="5" t="s">
        <v>714</v>
      </c>
      <c r="B11" s="6" t="s">
        <v>7</v>
      </c>
      <c r="C11" s="7">
        <v>4086096</v>
      </c>
      <c r="D11" s="7" t="s">
        <v>23</v>
      </c>
      <c r="E11" s="5" t="e">
        <f>VLOOKUP(D11,[1]Poste!E:F,2,FALSE())</f>
        <v>#N/A</v>
      </c>
    </row>
    <row r="12" spans="1:5" ht="15.75" x14ac:dyDescent="0.25">
      <c r="A12" s="5" t="s">
        <v>715</v>
      </c>
      <c r="B12" s="6" t="s">
        <v>7</v>
      </c>
      <c r="C12" s="7">
        <v>4082624.04</v>
      </c>
      <c r="D12" s="7" t="s">
        <v>23</v>
      </c>
      <c r="E12" s="5" t="e">
        <f>VLOOKUP(D12,[1]Poste!E:F,2,FALSE())</f>
        <v>#N/A</v>
      </c>
    </row>
    <row r="13" spans="1:5" ht="15.75" x14ac:dyDescent="0.25">
      <c r="A13" s="5" t="s">
        <v>716</v>
      </c>
      <c r="B13" s="6" t="s">
        <v>7</v>
      </c>
      <c r="C13" s="7">
        <v>4921728</v>
      </c>
      <c r="D13" s="7" t="s">
        <v>23</v>
      </c>
      <c r="E13" s="5" t="e">
        <f>VLOOKUP(D13,[1]Poste!E:F,2,FALSE())</f>
        <v>#N/A</v>
      </c>
    </row>
    <row r="14" spans="1:5" ht="15.75" x14ac:dyDescent="0.25">
      <c r="A14" s="5" t="s">
        <v>717</v>
      </c>
      <c r="B14" s="6" t="s">
        <v>7</v>
      </c>
      <c r="C14" s="7">
        <v>3339840</v>
      </c>
      <c r="D14" s="7" t="s">
        <v>23</v>
      </c>
      <c r="E14" s="5" t="e">
        <f>VLOOKUP(D14,[1]Poste!E:F,2,FALSE())</f>
        <v>#N/A</v>
      </c>
    </row>
    <row r="15" spans="1:5" ht="15.75" x14ac:dyDescent="0.25">
      <c r="A15" s="5" t="s">
        <v>718</v>
      </c>
      <c r="B15" s="6" t="s">
        <v>7</v>
      </c>
      <c r="C15" s="7">
        <v>6400000</v>
      </c>
      <c r="D15" s="7" t="s">
        <v>23</v>
      </c>
      <c r="E15" s="5" t="e">
        <f>VLOOKUP(D15,[1]Poste!E:F,2,FALSE())</f>
        <v>#N/A</v>
      </c>
    </row>
    <row r="16" spans="1:5" ht="15.75" x14ac:dyDescent="0.25">
      <c r="A16" s="5" t="s">
        <v>719</v>
      </c>
      <c r="B16" s="6" t="s">
        <v>7</v>
      </c>
      <c r="C16" s="7">
        <v>6058751.9500000002</v>
      </c>
      <c r="D16" s="7" t="s">
        <v>23</v>
      </c>
      <c r="E16" s="5" t="e">
        <f>VLOOKUP(D16,[1]Poste!E:F,2,FALSE())</f>
        <v>#N/A</v>
      </c>
    </row>
    <row r="17" spans="1:5" ht="15.75" x14ac:dyDescent="0.25">
      <c r="A17" s="5" t="s">
        <v>720</v>
      </c>
      <c r="B17" s="6" t="s">
        <v>7</v>
      </c>
      <c r="C17" s="7">
        <v>2040000</v>
      </c>
      <c r="D17" s="7" t="s">
        <v>23</v>
      </c>
      <c r="E17" s="5" t="e">
        <f>VLOOKUP(D17,[1]Poste!E:F,2,FALSE())</f>
        <v>#N/A</v>
      </c>
    </row>
    <row r="18" spans="1:5" ht="15.75" x14ac:dyDescent="0.25">
      <c r="A18" s="5" t="s">
        <v>721</v>
      </c>
      <c r="B18" s="6" t="s">
        <v>7</v>
      </c>
      <c r="C18" s="7">
        <v>5489836.7999999998</v>
      </c>
      <c r="D18" s="7" t="s">
        <v>23</v>
      </c>
      <c r="E18" s="5" t="e">
        <f>VLOOKUP(D18,[1]Poste!E:F,2,FALSE())</f>
        <v>#N/A</v>
      </c>
    </row>
    <row r="19" spans="1:5" ht="15.75" x14ac:dyDescent="0.25">
      <c r="A19" s="5" t="s">
        <v>722</v>
      </c>
      <c r="B19" s="6" t="s">
        <v>7</v>
      </c>
      <c r="C19" s="7">
        <v>3685516.8</v>
      </c>
      <c r="D19" s="7" t="s">
        <v>23</v>
      </c>
      <c r="E19" s="5" t="e">
        <f>VLOOKUP(D19,[1]Poste!E:F,2,FALSE())</f>
        <v>#N/A</v>
      </c>
    </row>
    <row r="20" spans="1:5" ht="15.75" x14ac:dyDescent="0.25">
      <c r="A20" s="5" t="s">
        <v>723</v>
      </c>
      <c r="B20" s="6" t="s">
        <v>7</v>
      </c>
      <c r="C20" s="7">
        <v>2885702.4</v>
      </c>
      <c r="D20" s="7" t="s">
        <v>23</v>
      </c>
      <c r="E20" s="5" t="e">
        <f>VLOOKUP(D20,[1]Poste!E:F,2,FALSE())</f>
        <v>#N/A</v>
      </c>
    </row>
    <row r="21" spans="1:5" ht="15.75" x14ac:dyDescent="0.25">
      <c r="A21" s="5" t="s">
        <v>724</v>
      </c>
      <c r="B21" s="6" t="s">
        <v>7</v>
      </c>
      <c r="C21" s="7">
        <v>1835232</v>
      </c>
      <c r="D21" s="7" t="s">
        <v>23</v>
      </c>
      <c r="E21" s="5" t="e">
        <f>VLOOKUP(D21,[1]Poste!E:F,2,FALSE())</f>
        <v>#N/A</v>
      </c>
    </row>
    <row r="22" spans="1:5" ht="15.75" x14ac:dyDescent="0.25">
      <c r="A22" s="5" t="s">
        <v>725</v>
      </c>
      <c r="B22" s="6" t="s">
        <v>7</v>
      </c>
      <c r="C22" s="7">
        <v>8640000</v>
      </c>
      <c r="D22" s="7" t="s">
        <v>23</v>
      </c>
      <c r="E22" s="5" t="e">
        <f>VLOOKUP(D22,[1]Poste!E:F,2,FALSE())</f>
        <v>#N/A</v>
      </c>
    </row>
    <row r="23" spans="1:5" ht="15.75" x14ac:dyDescent="0.25">
      <c r="A23" s="5" t="s">
        <v>726</v>
      </c>
      <c r="B23" s="6" t="s">
        <v>7</v>
      </c>
      <c r="C23" s="7">
        <v>16968000</v>
      </c>
      <c r="D23" s="7" t="s">
        <v>23</v>
      </c>
      <c r="E23" s="5" t="e">
        <f>VLOOKUP(D23,[1]Poste!E:F,2,FALSE())</f>
        <v>#N/A</v>
      </c>
    </row>
    <row r="24" spans="1:5" ht="15.75" x14ac:dyDescent="0.25">
      <c r="A24" s="5" t="s">
        <v>727</v>
      </c>
      <c r="B24" s="6" t="s">
        <v>7</v>
      </c>
      <c r="C24" s="7">
        <v>24624000</v>
      </c>
      <c r="D24" s="7" t="s">
        <v>23</v>
      </c>
      <c r="E24" s="5" t="e">
        <f>VLOOKUP(D24,[1]Poste!E:F,2,FALSE())</f>
        <v>#N/A</v>
      </c>
    </row>
    <row r="25" spans="1:5" ht="15.75" x14ac:dyDescent="0.25">
      <c r="A25" s="5" t="s">
        <v>727</v>
      </c>
      <c r="B25" s="6" t="s">
        <v>7</v>
      </c>
      <c r="C25" s="7">
        <v>26280000</v>
      </c>
      <c r="D25" s="7" t="s">
        <v>23</v>
      </c>
      <c r="E25" s="5" t="e">
        <f>VLOOKUP(D25,[1]Poste!E:F,2,FALSE())</f>
        <v>#N/A</v>
      </c>
    </row>
    <row r="26" spans="1:5" ht="15.75" x14ac:dyDescent="0.25">
      <c r="A26" s="5" t="s">
        <v>728</v>
      </c>
      <c r="B26" s="6" t="s">
        <v>7</v>
      </c>
      <c r="C26" s="7">
        <v>21600000</v>
      </c>
      <c r="D26" s="7" t="s">
        <v>23</v>
      </c>
      <c r="E26" s="5" t="e">
        <f>VLOOKUP(D26,[1]Poste!E:F,2,FALSE())</f>
        <v>#N/A</v>
      </c>
    </row>
    <row r="27" spans="1:5" ht="15.75" x14ac:dyDescent="0.25">
      <c r="A27" s="5" t="s">
        <v>729</v>
      </c>
      <c r="B27" s="6" t="s">
        <v>7</v>
      </c>
      <c r="C27" s="7">
        <v>21600000</v>
      </c>
      <c r="D27" s="7" t="s">
        <v>23</v>
      </c>
      <c r="E27" s="5" t="e">
        <f>VLOOKUP(D27,[1]Poste!E:F,2,FALSE())</f>
        <v>#N/A</v>
      </c>
    </row>
    <row r="28" spans="1:5" ht="15.75" x14ac:dyDescent="0.25">
      <c r="A28" s="5" t="s">
        <v>730</v>
      </c>
      <c r="B28" s="6" t="s">
        <v>7</v>
      </c>
      <c r="C28" s="7">
        <v>21600000</v>
      </c>
      <c r="D28" s="7" t="s">
        <v>23</v>
      </c>
      <c r="E28" s="5" t="e">
        <f>VLOOKUP(D28,[1]Poste!E:F,2,FALSE())</f>
        <v>#N/A</v>
      </c>
    </row>
    <row r="29" spans="1:5" ht="15.75" x14ac:dyDescent="0.25">
      <c r="A29" s="5" t="s">
        <v>731</v>
      </c>
      <c r="B29" s="6" t="s">
        <v>7</v>
      </c>
      <c r="C29" s="7">
        <v>3504000</v>
      </c>
      <c r="D29" s="7" t="s">
        <v>23</v>
      </c>
      <c r="E29" s="5" t="e">
        <f>VLOOKUP(D29,[1]Poste!E:F,2,FALSE())</f>
        <v>#N/A</v>
      </c>
    </row>
    <row r="30" spans="1:5" ht="15.75" x14ac:dyDescent="0.25">
      <c r="A30" s="5" t="s">
        <v>732</v>
      </c>
      <c r="B30" s="6" t="s">
        <v>7</v>
      </c>
      <c r="C30" s="7">
        <v>11520000</v>
      </c>
      <c r="D30" s="7" t="s">
        <v>23</v>
      </c>
      <c r="E30" s="5" t="e">
        <f>VLOOKUP(D30,[1]Poste!E:F,2,FALSE())</f>
        <v>#N/A</v>
      </c>
    </row>
    <row r="31" spans="1:5" ht="15.75" x14ac:dyDescent="0.25">
      <c r="A31" s="5" t="s">
        <v>733</v>
      </c>
      <c r="B31" s="6" t="s">
        <v>7</v>
      </c>
      <c r="C31" s="7">
        <v>14400000</v>
      </c>
      <c r="D31" s="7" t="s">
        <v>23</v>
      </c>
      <c r="E31" s="5" t="e">
        <f>VLOOKUP(D31,[1]Poste!E:F,2,FALSE())</f>
        <v>#N/A</v>
      </c>
    </row>
    <row r="32" spans="1:5" ht="15.75" x14ac:dyDescent="0.25">
      <c r="A32" s="5" t="s">
        <v>734</v>
      </c>
      <c r="B32" s="6" t="s">
        <v>7</v>
      </c>
      <c r="C32" s="7">
        <v>8640000</v>
      </c>
      <c r="D32" s="7" t="s">
        <v>23</v>
      </c>
      <c r="E32" s="5" t="e">
        <f>VLOOKUP(D32,[1]Poste!E:F,2,FALSE())</f>
        <v>#N/A</v>
      </c>
    </row>
    <row r="33" spans="1:5" ht="15.75" x14ac:dyDescent="0.25">
      <c r="A33" s="5" t="s">
        <v>735</v>
      </c>
      <c r="B33" s="6" t="s">
        <v>7</v>
      </c>
      <c r="C33" s="7">
        <v>21600000</v>
      </c>
      <c r="D33" s="7" t="s">
        <v>23</v>
      </c>
      <c r="E33" s="5" t="e">
        <f>VLOOKUP(D33,[1]Poste!E:F,2,FALSE())</f>
        <v>#N/A</v>
      </c>
    </row>
    <row r="34" spans="1:5" ht="16.5" x14ac:dyDescent="0.3">
      <c r="B34" s="8" t="s">
        <v>24</v>
      </c>
      <c r="C34" s="9">
        <f>SUM(C3:C33)</f>
        <v>284347179.59000003</v>
      </c>
    </row>
  </sheetData>
  <mergeCells count="1">
    <mergeCell ref="A2:E2"/>
  </mergeCells>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4"/>
  <sheetViews>
    <sheetView zoomScaleNormal="100" workbookViewId="0">
      <selection activeCell="A6" activeCellId="1" sqref="C5:C9 A6"/>
    </sheetView>
  </sheetViews>
  <sheetFormatPr baseColWidth="10" defaultColWidth="10.7109375" defaultRowHeight="12.75" customHeight="1" x14ac:dyDescent="0.25"/>
  <cols>
    <col min="1" max="1" width="90.28515625" style="1" customWidth="1"/>
    <col min="2" max="2" width="52.140625" style="1" customWidth="1"/>
    <col min="3" max="3" width="28.42578125" style="1" customWidth="1"/>
    <col min="4" max="4" width="7.140625" style="1" customWidth="1"/>
    <col min="5" max="5" width="57" style="1" customWidth="1"/>
  </cols>
  <sheetData>
    <row r="1" spans="1:5" ht="15" x14ac:dyDescent="0.25"/>
    <row r="2" spans="1:5" ht="15" customHeight="1" x14ac:dyDescent="0.25">
      <c r="A2" s="37" t="s">
        <v>736</v>
      </c>
      <c r="B2" s="37"/>
      <c r="C2" s="37"/>
      <c r="D2" s="37"/>
      <c r="E2" s="37"/>
    </row>
    <row r="3" spans="1:5" ht="15" x14ac:dyDescent="0.25"/>
    <row r="4" spans="1:5" ht="16.5" x14ac:dyDescent="0.25">
      <c r="A4" s="2" t="s">
        <v>1</v>
      </c>
      <c r="B4" s="2" t="s">
        <v>2</v>
      </c>
      <c r="C4" s="3" t="s">
        <v>3</v>
      </c>
      <c r="D4" s="3" t="s">
        <v>4</v>
      </c>
      <c r="E4" s="4" t="s">
        <v>5</v>
      </c>
    </row>
    <row r="5" spans="1:5" ht="15.75" x14ac:dyDescent="0.25">
      <c r="A5" s="5" t="s">
        <v>737</v>
      </c>
      <c r="B5" s="6" t="s">
        <v>7</v>
      </c>
      <c r="C5" s="7">
        <v>12000</v>
      </c>
      <c r="D5" s="7" t="s">
        <v>8</v>
      </c>
      <c r="E5" s="5" t="s">
        <v>27</v>
      </c>
    </row>
    <row r="6" spans="1:5" ht="15.75" x14ac:dyDescent="0.25">
      <c r="A6" s="5" t="s">
        <v>738</v>
      </c>
      <c r="B6" s="6" t="s">
        <v>19</v>
      </c>
      <c r="C6" s="7">
        <v>250000</v>
      </c>
      <c r="D6" s="7" t="s">
        <v>358</v>
      </c>
      <c r="E6" s="5" t="s">
        <v>359</v>
      </c>
    </row>
    <row r="7" spans="1:5" ht="47.25" x14ac:dyDescent="0.25">
      <c r="A7" s="5" t="s">
        <v>739</v>
      </c>
      <c r="B7" s="6" t="s">
        <v>7</v>
      </c>
      <c r="C7" s="7">
        <v>753940</v>
      </c>
      <c r="D7" s="7" t="s">
        <v>113</v>
      </c>
      <c r="E7" s="5" t="s">
        <v>114</v>
      </c>
    </row>
    <row r="8" spans="1:5" ht="31.5" x14ac:dyDescent="0.25">
      <c r="A8" s="5" t="s">
        <v>740</v>
      </c>
      <c r="B8" s="6" t="s">
        <v>7</v>
      </c>
      <c r="C8" s="7">
        <v>250000</v>
      </c>
      <c r="D8" s="7" t="s">
        <v>113</v>
      </c>
      <c r="E8" s="5" t="s">
        <v>114</v>
      </c>
    </row>
    <row r="9" spans="1:5" ht="15.75" x14ac:dyDescent="0.25">
      <c r="A9" s="5" t="s">
        <v>741</v>
      </c>
      <c r="B9" s="6" t="s">
        <v>7</v>
      </c>
      <c r="C9" s="7">
        <v>600000</v>
      </c>
      <c r="D9" s="7" t="s">
        <v>8</v>
      </c>
      <c r="E9" s="5" t="s">
        <v>27</v>
      </c>
    </row>
    <row r="10" spans="1:5" ht="15.75" x14ac:dyDescent="0.25">
      <c r="A10" s="5" t="s">
        <v>742</v>
      </c>
      <c r="B10" s="6" t="s">
        <v>7</v>
      </c>
      <c r="C10" s="7">
        <v>600000</v>
      </c>
      <c r="D10" s="7" t="s">
        <v>8</v>
      </c>
      <c r="E10" s="5" t="s">
        <v>27</v>
      </c>
    </row>
    <row r="11" spans="1:5" ht="15.75" x14ac:dyDescent="0.25">
      <c r="A11" s="5" t="s">
        <v>743</v>
      </c>
      <c r="B11" s="6" t="s">
        <v>7</v>
      </c>
      <c r="C11" s="7">
        <v>600000</v>
      </c>
      <c r="D11" s="7" t="s">
        <v>8</v>
      </c>
      <c r="E11" s="5" t="s">
        <v>27</v>
      </c>
    </row>
    <row r="12" spans="1:5" ht="15.75" x14ac:dyDescent="0.25">
      <c r="A12" s="5" t="s">
        <v>744</v>
      </c>
      <c r="B12" s="6" t="s">
        <v>7</v>
      </c>
      <c r="C12" s="7">
        <v>50000</v>
      </c>
      <c r="D12" s="7" t="s">
        <v>8</v>
      </c>
      <c r="E12" s="5" t="s">
        <v>27</v>
      </c>
    </row>
    <row r="13" spans="1:5" ht="15.75" x14ac:dyDescent="0.25">
      <c r="A13" s="5" t="s">
        <v>745</v>
      </c>
      <c r="B13" s="6" t="s">
        <v>7</v>
      </c>
      <c r="C13" s="7">
        <v>51000</v>
      </c>
      <c r="D13" s="7" t="s">
        <v>113</v>
      </c>
      <c r="E13" s="5" t="s">
        <v>114</v>
      </c>
    </row>
    <row r="14" spans="1:5" ht="15.75" x14ac:dyDescent="0.25">
      <c r="A14" s="5" t="s">
        <v>746</v>
      </c>
      <c r="B14" s="6" t="s">
        <v>7</v>
      </c>
      <c r="C14" s="7">
        <v>250000</v>
      </c>
      <c r="D14" s="7" t="s">
        <v>113</v>
      </c>
      <c r="E14" s="5" t="s">
        <v>114</v>
      </c>
    </row>
    <row r="15" spans="1:5" ht="15.75" x14ac:dyDescent="0.25">
      <c r="A15" s="5" t="s">
        <v>747</v>
      </c>
      <c r="B15" s="6" t="s">
        <v>19</v>
      </c>
      <c r="C15" s="7">
        <v>150000</v>
      </c>
      <c r="D15" s="7" t="s">
        <v>358</v>
      </c>
      <c r="E15" s="5" t="s">
        <v>359</v>
      </c>
    </row>
    <row r="16" spans="1:5" ht="15.75" x14ac:dyDescent="0.25">
      <c r="A16" s="5" t="s">
        <v>748</v>
      </c>
      <c r="B16" s="6" t="s">
        <v>19</v>
      </c>
      <c r="C16" s="7">
        <v>400000</v>
      </c>
      <c r="D16" s="7" t="s">
        <v>358</v>
      </c>
      <c r="E16" s="5" t="s">
        <v>359</v>
      </c>
    </row>
    <row r="17" spans="1:5" ht="15.75" x14ac:dyDescent="0.25">
      <c r="A17" s="5" t="s">
        <v>749</v>
      </c>
      <c r="B17" s="6" t="s">
        <v>7</v>
      </c>
      <c r="C17" s="7">
        <v>500000</v>
      </c>
      <c r="D17" s="7" t="s">
        <v>8</v>
      </c>
      <c r="E17" s="5" t="s">
        <v>27</v>
      </c>
    </row>
    <row r="18" spans="1:5" ht="15.75" x14ac:dyDescent="0.25">
      <c r="A18" s="5" t="s">
        <v>750</v>
      </c>
      <c r="B18" s="6" t="s">
        <v>7</v>
      </c>
      <c r="C18" s="7">
        <v>35000</v>
      </c>
      <c r="D18" s="7" t="s">
        <v>113</v>
      </c>
      <c r="E18" s="5" t="s">
        <v>114</v>
      </c>
    </row>
    <row r="19" spans="1:5" ht="15.75" x14ac:dyDescent="0.25">
      <c r="A19" s="5" t="s">
        <v>751</v>
      </c>
      <c r="B19" s="6" t="s">
        <v>7</v>
      </c>
      <c r="C19" s="7">
        <v>20000</v>
      </c>
      <c r="D19" s="7" t="s">
        <v>126</v>
      </c>
      <c r="E19" s="5" t="s">
        <v>127</v>
      </c>
    </row>
    <row r="20" spans="1:5" ht="15.75" x14ac:dyDescent="0.25">
      <c r="A20" s="5" t="s">
        <v>752</v>
      </c>
      <c r="B20" s="6" t="s">
        <v>7</v>
      </c>
      <c r="C20" s="7">
        <v>150000</v>
      </c>
      <c r="D20" s="7" t="s">
        <v>16</v>
      </c>
      <c r="E20" s="5" t="s">
        <v>63</v>
      </c>
    </row>
    <row r="21" spans="1:5" ht="15.75" x14ac:dyDescent="0.25">
      <c r="A21" s="5" t="s">
        <v>753</v>
      </c>
      <c r="B21" s="6" t="s">
        <v>7</v>
      </c>
      <c r="C21" s="7">
        <v>400000</v>
      </c>
      <c r="D21" s="7" t="s">
        <v>8</v>
      </c>
      <c r="E21" s="5" t="s">
        <v>27</v>
      </c>
    </row>
    <row r="22" spans="1:5" ht="31.5" x14ac:dyDescent="0.25">
      <c r="A22" s="5" t="s">
        <v>754</v>
      </c>
      <c r="B22" s="6" t="s">
        <v>7</v>
      </c>
      <c r="C22" s="7">
        <v>395520</v>
      </c>
      <c r="D22" s="7" t="s">
        <v>8</v>
      </c>
      <c r="E22" s="5" t="s">
        <v>27</v>
      </c>
    </row>
    <row r="23" spans="1:5" ht="15.75" x14ac:dyDescent="0.25">
      <c r="A23" s="5" t="s">
        <v>755</v>
      </c>
      <c r="B23" s="6" t="s">
        <v>7</v>
      </c>
      <c r="C23" s="7">
        <v>250000</v>
      </c>
      <c r="D23" s="7" t="s">
        <v>8</v>
      </c>
      <c r="E23" s="5" t="s">
        <v>27</v>
      </c>
    </row>
    <row r="24" spans="1:5" ht="15.75" x14ac:dyDescent="0.25">
      <c r="A24" s="5" t="s">
        <v>756</v>
      </c>
      <c r="B24" s="6" t="s">
        <v>7</v>
      </c>
      <c r="C24" s="7">
        <v>350000</v>
      </c>
      <c r="D24" s="7" t="s">
        <v>8</v>
      </c>
      <c r="E24" s="5" t="s">
        <v>27</v>
      </c>
    </row>
    <row r="25" spans="1:5" ht="15.75" x14ac:dyDescent="0.25">
      <c r="A25" s="5" t="s">
        <v>757</v>
      </c>
      <c r="B25" s="6" t="s">
        <v>7</v>
      </c>
      <c r="C25" s="7">
        <v>150000</v>
      </c>
      <c r="D25" s="7" t="s">
        <v>126</v>
      </c>
      <c r="E25" s="5" t="s">
        <v>127</v>
      </c>
    </row>
    <row r="26" spans="1:5" ht="15.75" x14ac:dyDescent="0.25">
      <c r="A26" s="5" t="s">
        <v>758</v>
      </c>
      <c r="B26" s="6" t="s">
        <v>7</v>
      </c>
      <c r="C26" s="7">
        <v>2309000</v>
      </c>
      <c r="D26" s="7" t="s">
        <v>8</v>
      </c>
      <c r="E26" s="5" t="s">
        <v>27</v>
      </c>
    </row>
    <row r="27" spans="1:5" ht="15.75" x14ac:dyDescent="0.25">
      <c r="A27" s="5" t="s">
        <v>759</v>
      </c>
      <c r="B27" s="6" t="s">
        <v>7</v>
      </c>
      <c r="C27" s="7">
        <v>800000</v>
      </c>
      <c r="D27" s="7" t="s">
        <v>8</v>
      </c>
      <c r="E27" s="5" t="s">
        <v>27</v>
      </c>
    </row>
    <row r="28" spans="1:5" ht="15.75" x14ac:dyDescent="0.25">
      <c r="A28" s="5" t="s">
        <v>760</v>
      </c>
      <c r="B28" s="6" t="s">
        <v>7</v>
      </c>
      <c r="C28" s="7">
        <v>150000</v>
      </c>
      <c r="D28" s="7" t="s">
        <v>8</v>
      </c>
      <c r="E28" s="5" t="s">
        <v>27</v>
      </c>
    </row>
    <row r="29" spans="1:5" ht="15.75" x14ac:dyDescent="0.25">
      <c r="A29" s="5" t="s">
        <v>761</v>
      </c>
      <c r="B29" s="6" t="s">
        <v>7</v>
      </c>
      <c r="C29" s="7">
        <v>1272000</v>
      </c>
      <c r="D29" s="7" t="s">
        <v>126</v>
      </c>
      <c r="E29" s="5" t="s">
        <v>127</v>
      </c>
    </row>
    <row r="30" spans="1:5" ht="15.75" x14ac:dyDescent="0.25">
      <c r="A30" s="5" t="s">
        <v>762</v>
      </c>
      <c r="B30" s="6" t="s">
        <v>7</v>
      </c>
      <c r="C30" s="7">
        <v>500000</v>
      </c>
      <c r="D30" s="7" t="s">
        <v>126</v>
      </c>
      <c r="E30" s="5" t="s">
        <v>127</v>
      </c>
    </row>
    <row r="31" spans="1:5" ht="15.75" x14ac:dyDescent="0.25">
      <c r="A31" s="5" t="s">
        <v>763</v>
      </c>
      <c r="B31" s="6" t="s">
        <v>7</v>
      </c>
      <c r="C31" s="7">
        <v>4292550</v>
      </c>
      <c r="D31" s="7" t="s">
        <v>126</v>
      </c>
      <c r="E31" s="5" t="s">
        <v>127</v>
      </c>
    </row>
    <row r="32" spans="1:5" ht="15.75" x14ac:dyDescent="0.25">
      <c r="A32" s="5" t="s">
        <v>764</v>
      </c>
      <c r="B32" s="6" t="s">
        <v>7</v>
      </c>
      <c r="C32" s="7">
        <v>4600000</v>
      </c>
      <c r="D32" s="7" t="s">
        <v>126</v>
      </c>
      <c r="E32" s="5" t="s">
        <v>127</v>
      </c>
    </row>
    <row r="33" spans="1:5" ht="15.75" x14ac:dyDescent="0.25">
      <c r="A33" s="5" t="s">
        <v>765</v>
      </c>
      <c r="B33" s="6" t="s">
        <v>7</v>
      </c>
      <c r="C33" s="7">
        <v>350000</v>
      </c>
      <c r="D33" s="7" t="s">
        <v>126</v>
      </c>
      <c r="E33" s="5" t="s">
        <v>127</v>
      </c>
    </row>
    <row r="34" spans="1:5" ht="15.75" x14ac:dyDescent="0.25">
      <c r="A34" s="5" t="s">
        <v>766</v>
      </c>
      <c r="B34" s="6" t="s">
        <v>7</v>
      </c>
      <c r="C34" s="7">
        <v>150000</v>
      </c>
      <c r="D34" s="7" t="s">
        <v>126</v>
      </c>
      <c r="E34" s="5" t="s">
        <v>127</v>
      </c>
    </row>
    <row r="35" spans="1:5" ht="15.75" x14ac:dyDescent="0.25">
      <c r="A35" s="5" t="s">
        <v>767</v>
      </c>
      <c r="B35" s="6" t="s">
        <v>7</v>
      </c>
      <c r="C35" s="7">
        <v>150000</v>
      </c>
      <c r="D35" s="7" t="s">
        <v>126</v>
      </c>
      <c r="E35" s="5" t="s">
        <v>127</v>
      </c>
    </row>
    <row r="36" spans="1:5" ht="15.75" x14ac:dyDescent="0.25">
      <c r="A36" s="5" t="s">
        <v>768</v>
      </c>
      <c r="B36" s="6" t="s">
        <v>7</v>
      </c>
      <c r="C36" s="7">
        <v>200000</v>
      </c>
      <c r="D36" s="7" t="s">
        <v>126</v>
      </c>
      <c r="E36" s="5" t="s">
        <v>127</v>
      </c>
    </row>
    <row r="37" spans="1:5" ht="15.75" x14ac:dyDescent="0.25">
      <c r="A37" s="5" t="s">
        <v>769</v>
      </c>
      <c r="B37" s="6" t="s">
        <v>7</v>
      </c>
      <c r="C37" s="7">
        <v>40000</v>
      </c>
      <c r="D37" s="7" t="s">
        <v>126</v>
      </c>
      <c r="E37" s="5" t="s">
        <v>127</v>
      </c>
    </row>
    <row r="38" spans="1:5" ht="15.75" x14ac:dyDescent="0.25">
      <c r="A38" s="5" t="s">
        <v>770</v>
      </c>
      <c r="B38" s="6" t="s">
        <v>7</v>
      </c>
      <c r="C38" s="7">
        <v>200000</v>
      </c>
      <c r="D38" s="7" t="s">
        <v>126</v>
      </c>
      <c r="E38" s="5" t="s">
        <v>127</v>
      </c>
    </row>
    <row r="39" spans="1:5" ht="15.75" x14ac:dyDescent="0.25">
      <c r="A39" s="5" t="s">
        <v>771</v>
      </c>
      <c r="B39" s="6" t="s">
        <v>7</v>
      </c>
      <c r="C39" s="7">
        <v>200000</v>
      </c>
      <c r="D39" s="7" t="s">
        <v>126</v>
      </c>
      <c r="E39" s="5" t="s">
        <v>127</v>
      </c>
    </row>
    <row r="40" spans="1:5" ht="15.75" x14ac:dyDescent="0.25">
      <c r="A40" s="5" t="s">
        <v>772</v>
      </c>
      <c r="B40" s="6" t="s">
        <v>7</v>
      </c>
      <c r="C40" s="7">
        <v>12000000</v>
      </c>
      <c r="D40" s="7" t="s">
        <v>126</v>
      </c>
      <c r="E40" s="5" t="s">
        <v>127</v>
      </c>
    </row>
    <row r="41" spans="1:5" ht="15.75" x14ac:dyDescent="0.25">
      <c r="A41" s="5" t="s">
        <v>773</v>
      </c>
      <c r="B41" s="6" t="s">
        <v>7</v>
      </c>
      <c r="C41" s="7">
        <v>200000</v>
      </c>
      <c r="D41" s="7" t="s">
        <v>8</v>
      </c>
      <c r="E41" s="5" t="s">
        <v>27</v>
      </c>
    </row>
    <row r="42" spans="1:5" ht="15.75" x14ac:dyDescent="0.25">
      <c r="A42" s="5" t="s">
        <v>774</v>
      </c>
      <c r="B42" s="6" t="s">
        <v>7</v>
      </c>
      <c r="C42" s="7">
        <v>61000</v>
      </c>
      <c r="D42" s="7" t="s">
        <v>126</v>
      </c>
      <c r="E42" s="5" t="s">
        <v>127</v>
      </c>
    </row>
    <row r="43" spans="1:5" ht="15.75" x14ac:dyDescent="0.25">
      <c r="A43" s="5" t="s">
        <v>775</v>
      </c>
      <c r="B43" s="6" t="s">
        <v>7</v>
      </c>
      <c r="C43" s="7">
        <v>160500</v>
      </c>
      <c r="D43" s="7" t="s">
        <v>126</v>
      </c>
      <c r="E43" s="5" t="s">
        <v>127</v>
      </c>
    </row>
    <row r="44" spans="1:5" ht="15.75" x14ac:dyDescent="0.25">
      <c r="A44" s="5" t="s">
        <v>776</v>
      </c>
      <c r="B44" s="6" t="s">
        <v>7</v>
      </c>
      <c r="C44" s="7">
        <v>12000</v>
      </c>
      <c r="D44" s="7" t="s">
        <v>126</v>
      </c>
      <c r="E44" s="5" t="s">
        <v>127</v>
      </c>
    </row>
    <row r="45" spans="1:5" ht="15.75" x14ac:dyDescent="0.25">
      <c r="A45" s="5" t="s">
        <v>777</v>
      </c>
      <c r="B45" s="6" t="s">
        <v>7</v>
      </c>
      <c r="C45" s="7">
        <v>10000</v>
      </c>
      <c r="D45" s="7" t="s">
        <v>126</v>
      </c>
      <c r="E45" s="5" t="s">
        <v>127</v>
      </c>
    </row>
    <row r="46" spans="1:5" ht="31.5" x14ac:dyDescent="0.25">
      <c r="A46" s="5" t="s">
        <v>778</v>
      </c>
      <c r="B46" s="6" t="s">
        <v>19</v>
      </c>
      <c r="C46" s="7">
        <v>300000</v>
      </c>
      <c r="D46" s="7" t="s">
        <v>358</v>
      </c>
      <c r="E46" s="5" t="s">
        <v>359</v>
      </c>
    </row>
    <row r="47" spans="1:5" ht="15.75" x14ac:dyDescent="0.25">
      <c r="A47" s="5" t="s">
        <v>779</v>
      </c>
      <c r="B47" s="6" t="s">
        <v>7</v>
      </c>
      <c r="C47" s="7">
        <v>250000</v>
      </c>
      <c r="D47" s="7" t="s">
        <v>126</v>
      </c>
      <c r="E47" s="5" t="s">
        <v>127</v>
      </c>
    </row>
    <row r="48" spans="1:5" ht="15.75" x14ac:dyDescent="0.25">
      <c r="A48" s="5" t="s">
        <v>780</v>
      </c>
      <c r="B48" s="6" t="s">
        <v>7</v>
      </c>
      <c r="C48" s="7">
        <v>100000</v>
      </c>
      <c r="D48" s="7" t="s">
        <v>263</v>
      </c>
      <c r="E48" s="5" t="s">
        <v>264</v>
      </c>
    </row>
    <row r="49" spans="1:5" ht="15.75" x14ac:dyDescent="0.25">
      <c r="A49" s="5" t="s">
        <v>781</v>
      </c>
      <c r="B49" s="6" t="s">
        <v>7</v>
      </c>
      <c r="C49" s="7">
        <v>40000</v>
      </c>
      <c r="D49" s="7" t="s">
        <v>263</v>
      </c>
      <c r="E49" s="5" t="s">
        <v>264</v>
      </c>
    </row>
    <row r="50" spans="1:5" ht="15.75" x14ac:dyDescent="0.25">
      <c r="A50" s="5" t="s">
        <v>782</v>
      </c>
      <c r="B50" s="6" t="s">
        <v>7</v>
      </c>
      <c r="C50" s="7">
        <v>66000</v>
      </c>
      <c r="D50" s="7" t="s">
        <v>263</v>
      </c>
      <c r="E50" s="5" t="s">
        <v>264</v>
      </c>
    </row>
    <row r="51" spans="1:5" ht="31.5" x14ac:dyDescent="0.25">
      <c r="A51" s="5" t="s">
        <v>783</v>
      </c>
      <c r="B51" s="6" t="s">
        <v>7</v>
      </c>
      <c r="C51" s="7">
        <v>240000</v>
      </c>
      <c r="D51" s="7" t="s">
        <v>263</v>
      </c>
      <c r="E51" s="5" t="s">
        <v>264</v>
      </c>
    </row>
    <row r="52" spans="1:5" ht="15.75" x14ac:dyDescent="0.25">
      <c r="A52" s="5" t="s">
        <v>784</v>
      </c>
      <c r="B52" s="6" t="s">
        <v>7</v>
      </c>
      <c r="C52" s="7">
        <v>360000</v>
      </c>
      <c r="D52" s="7" t="s">
        <v>263</v>
      </c>
      <c r="E52" s="5" t="s">
        <v>264</v>
      </c>
    </row>
    <row r="53" spans="1:5" ht="15.75" x14ac:dyDescent="0.25">
      <c r="A53" s="5" t="s">
        <v>785</v>
      </c>
      <c r="B53" s="6" t="s">
        <v>19</v>
      </c>
      <c r="C53" s="7">
        <v>500000</v>
      </c>
      <c r="D53" s="7" t="s">
        <v>786</v>
      </c>
      <c r="E53" s="5" t="s">
        <v>787</v>
      </c>
    </row>
    <row r="54" spans="1:5" ht="16.5" x14ac:dyDescent="0.3">
      <c r="B54" s="8" t="s">
        <v>24</v>
      </c>
      <c r="C54" s="9">
        <f>SUM(C5:C53)</f>
        <v>35730510</v>
      </c>
    </row>
  </sheetData>
  <mergeCells count="1">
    <mergeCell ref="A2:E2"/>
  </mergeCells>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zoomScaleNormal="100" workbookViewId="0">
      <selection activeCell="B11" activeCellId="1" sqref="C5:C9 B11"/>
    </sheetView>
  </sheetViews>
  <sheetFormatPr baseColWidth="10" defaultColWidth="10.7109375" defaultRowHeight="12.75" customHeight="1" x14ac:dyDescent="0.25"/>
  <cols>
    <col min="1" max="1" width="114" style="1" customWidth="1"/>
    <col min="2" max="2" width="16.28515625" style="1" customWidth="1"/>
    <col min="3" max="3" width="15.85546875" style="1" customWidth="1"/>
    <col min="5" max="5" width="36.85546875" style="1" customWidth="1"/>
  </cols>
  <sheetData>
    <row r="1" spans="1:5" ht="15" x14ac:dyDescent="0.25"/>
    <row r="2" spans="1:5" ht="15" customHeight="1" x14ac:dyDescent="0.25">
      <c r="A2" s="37" t="s">
        <v>788</v>
      </c>
      <c r="B2" s="37"/>
      <c r="C2" s="37"/>
      <c r="D2" s="37"/>
      <c r="E2" s="37"/>
    </row>
    <row r="3" spans="1:5" ht="15" x14ac:dyDescent="0.25"/>
    <row r="4" spans="1:5" ht="66" x14ac:dyDescent="0.25">
      <c r="A4" s="2" t="s">
        <v>1</v>
      </c>
      <c r="B4" s="2" t="s">
        <v>2</v>
      </c>
      <c r="C4" s="3" t="s">
        <v>3</v>
      </c>
      <c r="D4" s="3" t="s">
        <v>4</v>
      </c>
      <c r="E4" s="4" t="s">
        <v>5</v>
      </c>
    </row>
    <row r="5" spans="1:5" ht="47.25" x14ac:dyDescent="0.25">
      <c r="A5" s="5" t="s">
        <v>789</v>
      </c>
      <c r="B5" s="6" t="s">
        <v>19</v>
      </c>
      <c r="C5" s="7">
        <v>1800000</v>
      </c>
      <c r="D5" s="7" t="s">
        <v>358</v>
      </c>
      <c r="E5" s="5" t="s">
        <v>359</v>
      </c>
    </row>
    <row r="6" spans="1:5" ht="47.25" x14ac:dyDescent="0.25">
      <c r="A6" s="5" t="s">
        <v>790</v>
      </c>
      <c r="B6" s="6" t="s">
        <v>7</v>
      </c>
      <c r="C6" s="7">
        <v>750000</v>
      </c>
      <c r="D6" s="7" t="s">
        <v>126</v>
      </c>
      <c r="E6" s="5" t="s">
        <v>127</v>
      </c>
    </row>
    <row r="7" spans="1:5" ht="63" x14ac:dyDescent="0.25">
      <c r="A7" s="5" t="s">
        <v>791</v>
      </c>
      <c r="B7" s="6" t="s">
        <v>19</v>
      </c>
      <c r="C7" s="7">
        <v>850000</v>
      </c>
      <c r="D7" s="7" t="s">
        <v>358</v>
      </c>
      <c r="E7" s="5" t="s">
        <v>359</v>
      </c>
    </row>
    <row r="8" spans="1:5" ht="126" x14ac:dyDescent="0.25">
      <c r="A8" s="5" t="s">
        <v>792</v>
      </c>
      <c r="B8" s="6" t="s">
        <v>7</v>
      </c>
      <c r="C8" s="7">
        <v>800000</v>
      </c>
      <c r="D8" s="7" t="s">
        <v>268</v>
      </c>
      <c r="E8" s="5" t="s">
        <v>269</v>
      </c>
    </row>
    <row r="9" spans="1:5" ht="31.5" x14ac:dyDescent="0.25">
      <c r="A9" s="5" t="s">
        <v>793</v>
      </c>
      <c r="B9" s="6" t="s">
        <v>7</v>
      </c>
      <c r="C9" s="7">
        <v>450000</v>
      </c>
      <c r="D9" s="7" t="s">
        <v>268</v>
      </c>
      <c r="E9" s="5" t="s">
        <v>269</v>
      </c>
    </row>
    <row r="10" spans="1:5" ht="31.5" x14ac:dyDescent="0.25">
      <c r="A10" s="5" t="s">
        <v>794</v>
      </c>
      <c r="B10" s="6" t="s">
        <v>7</v>
      </c>
      <c r="C10" s="7">
        <v>200000</v>
      </c>
      <c r="D10" s="7" t="s">
        <v>268</v>
      </c>
      <c r="E10" s="5" t="s">
        <v>269</v>
      </c>
    </row>
    <row r="11" spans="1:5" ht="16.5" x14ac:dyDescent="0.3">
      <c r="B11" s="8" t="s">
        <v>24</v>
      </c>
      <c r="C11" s="9">
        <f>SUM(C5:C10)</f>
        <v>4850000</v>
      </c>
    </row>
  </sheetData>
  <mergeCells count="1">
    <mergeCell ref="A2:E2"/>
  </mergeCells>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V569"/>
  <sheetViews>
    <sheetView topLeftCell="A25" zoomScaleNormal="100" workbookViewId="0">
      <selection activeCell="F25" sqref="F25"/>
    </sheetView>
  </sheetViews>
  <sheetFormatPr baseColWidth="10" defaultColWidth="10.7109375" defaultRowHeight="12.75" customHeight="1" x14ac:dyDescent="0.25"/>
  <cols>
    <col min="1" max="1" width="6" style="1" customWidth="1"/>
    <col min="2" max="2" width="50" style="1" customWidth="1"/>
    <col min="3" max="3" width="17.28515625" style="1" customWidth="1"/>
    <col min="4" max="4" width="16.140625" bestFit="1" customWidth="1"/>
    <col min="6" max="6" width="25.42578125" customWidth="1"/>
  </cols>
  <sheetData>
    <row r="1" spans="1:6" ht="66" x14ac:dyDescent="0.25">
      <c r="A1" s="2" t="s">
        <v>795</v>
      </c>
      <c r="B1" s="2" t="s">
        <v>1</v>
      </c>
      <c r="C1" s="2" t="s">
        <v>2</v>
      </c>
      <c r="D1" s="3" t="s">
        <v>3</v>
      </c>
      <c r="E1" s="3" t="s">
        <v>4</v>
      </c>
      <c r="F1" s="4" t="s">
        <v>5</v>
      </c>
    </row>
    <row r="2" spans="1:6" ht="63" x14ac:dyDescent="0.25">
      <c r="A2" s="5" t="s">
        <v>796</v>
      </c>
      <c r="B2" s="5" t="s">
        <v>797</v>
      </c>
      <c r="C2" s="6" t="s">
        <v>19</v>
      </c>
      <c r="D2" s="7">
        <v>1800000</v>
      </c>
      <c r="E2" s="7" t="s">
        <v>798</v>
      </c>
      <c r="F2" s="5" t="s">
        <v>799</v>
      </c>
    </row>
    <row r="3" spans="1:6" ht="63" x14ac:dyDescent="0.25">
      <c r="A3" s="5" t="s">
        <v>796</v>
      </c>
      <c r="B3" s="5" t="s">
        <v>800</v>
      </c>
      <c r="C3" s="6" t="s">
        <v>19</v>
      </c>
      <c r="D3" s="7">
        <v>3000000</v>
      </c>
      <c r="E3" s="7" t="s">
        <v>798</v>
      </c>
      <c r="F3" s="5" t="s">
        <v>799</v>
      </c>
    </row>
    <row r="4" spans="1:6" ht="63" x14ac:dyDescent="0.25">
      <c r="A4" s="5" t="s">
        <v>796</v>
      </c>
      <c r="B4" s="5" t="s">
        <v>801</v>
      </c>
      <c r="C4" s="6" t="s">
        <v>19</v>
      </c>
      <c r="D4" s="7">
        <v>1000000</v>
      </c>
      <c r="E4" s="7" t="s">
        <v>798</v>
      </c>
      <c r="F4" s="5" t="s">
        <v>799</v>
      </c>
    </row>
    <row r="5" spans="1:6" ht="78.75" x14ac:dyDescent="0.25">
      <c r="A5" s="5" t="s">
        <v>796</v>
      </c>
      <c r="B5" s="5" t="s">
        <v>802</v>
      </c>
      <c r="C5" s="6" t="s">
        <v>19</v>
      </c>
      <c r="D5" s="7">
        <v>3000000</v>
      </c>
      <c r="E5" s="7" t="s">
        <v>798</v>
      </c>
      <c r="F5" s="5" t="s">
        <v>799</v>
      </c>
    </row>
    <row r="6" spans="1:6" ht="63" x14ac:dyDescent="0.25">
      <c r="A6" s="5" t="s">
        <v>796</v>
      </c>
      <c r="B6" s="5" t="s">
        <v>803</v>
      </c>
      <c r="C6" s="6" t="s">
        <v>19</v>
      </c>
      <c r="D6" s="7">
        <v>3000000</v>
      </c>
      <c r="E6" s="7" t="s">
        <v>798</v>
      </c>
      <c r="F6" s="5" t="s">
        <v>799</v>
      </c>
    </row>
    <row r="7" spans="1:6" ht="63" x14ac:dyDescent="0.25">
      <c r="A7" s="5" t="s">
        <v>796</v>
      </c>
      <c r="B7" s="5" t="s">
        <v>804</v>
      </c>
      <c r="C7" s="6" t="s">
        <v>19</v>
      </c>
      <c r="D7" s="7">
        <v>4500000</v>
      </c>
      <c r="E7" s="7" t="s">
        <v>389</v>
      </c>
      <c r="F7" s="5" t="s">
        <v>390</v>
      </c>
    </row>
    <row r="8" spans="1:6" ht="63" x14ac:dyDescent="0.25">
      <c r="A8" s="5" t="s">
        <v>796</v>
      </c>
      <c r="B8" s="5" t="s">
        <v>805</v>
      </c>
      <c r="C8" s="6" t="s">
        <v>19</v>
      </c>
      <c r="D8" s="7">
        <v>800000</v>
      </c>
      <c r="E8" s="7" t="s">
        <v>798</v>
      </c>
      <c r="F8" s="5" t="s">
        <v>799</v>
      </c>
    </row>
    <row r="9" spans="1:6" ht="63" x14ac:dyDescent="0.25">
      <c r="A9" s="5" t="s">
        <v>796</v>
      </c>
      <c r="B9" s="5" t="s">
        <v>806</v>
      </c>
      <c r="C9" s="6" t="s">
        <v>19</v>
      </c>
      <c r="D9" s="7">
        <v>1000000</v>
      </c>
      <c r="E9" s="7" t="s">
        <v>798</v>
      </c>
      <c r="F9" s="5" t="s">
        <v>799</v>
      </c>
    </row>
    <row r="10" spans="1:6" ht="63" x14ac:dyDescent="0.25">
      <c r="A10" s="5" t="s">
        <v>796</v>
      </c>
      <c r="B10" s="5" t="s">
        <v>807</v>
      </c>
      <c r="C10" s="6" t="s">
        <v>19</v>
      </c>
      <c r="D10" s="7">
        <v>1200000</v>
      </c>
      <c r="E10" s="7" t="s">
        <v>798</v>
      </c>
      <c r="F10" s="5" t="s">
        <v>799</v>
      </c>
    </row>
    <row r="11" spans="1:6" ht="63" x14ac:dyDescent="0.25">
      <c r="A11" s="5" t="s">
        <v>796</v>
      </c>
      <c r="B11" s="5" t="s">
        <v>808</v>
      </c>
      <c r="C11" s="6" t="s">
        <v>7</v>
      </c>
      <c r="D11" s="7">
        <v>6500000</v>
      </c>
      <c r="E11" s="7" t="s">
        <v>491</v>
      </c>
      <c r="F11" s="5" t="s">
        <v>492</v>
      </c>
    </row>
    <row r="12" spans="1:6" ht="63" x14ac:dyDescent="0.25">
      <c r="A12" s="5" t="s">
        <v>796</v>
      </c>
      <c r="B12" s="5" t="s">
        <v>809</v>
      </c>
      <c r="C12" s="6" t="s">
        <v>7</v>
      </c>
      <c r="D12" s="7">
        <v>6500000</v>
      </c>
      <c r="E12" s="7" t="s">
        <v>491</v>
      </c>
      <c r="F12" s="5" t="s">
        <v>492</v>
      </c>
    </row>
    <row r="13" spans="1:6" ht="63" x14ac:dyDescent="0.25">
      <c r="A13" s="5" t="s">
        <v>796</v>
      </c>
      <c r="B13" s="5" t="s">
        <v>810</v>
      </c>
      <c r="C13" s="6" t="s">
        <v>7</v>
      </c>
      <c r="D13" s="7">
        <v>500000</v>
      </c>
      <c r="E13" s="7" t="s">
        <v>113</v>
      </c>
      <c r="F13" s="5" t="s">
        <v>114</v>
      </c>
    </row>
    <row r="14" spans="1:6" ht="63" x14ac:dyDescent="0.25">
      <c r="A14" s="5" t="s">
        <v>796</v>
      </c>
      <c r="B14" s="5" t="s">
        <v>811</v>
      </c>
      <c r="C14" s="6" t="s">
        <v>7</v>
      </c>
      <c r="D14" s="7">
        <v>2600000</v>
      </c>
      <c r="E14" s="7" t="s">
        <v>113</v>
      </c>
      <c r="F14" s="5" t="s">
        <v>114</v>
      </c>
    </row>
    <row r="15" spans="1:6" ht="63" x14ac:dyDescent="0.25">
      <c r="A15" s="5" t="s">
        <v>796</v>
      </c>
      <c r="B15" s="5" t="s">
        <v>812</v>
      </c>
      <c r="C15" s="6" t="s">
        <v>7</v>
      </c>
      <c r="D15" s="7">
        <v>1600000</v>
      </c>
      <c r="E15" s="7" t="s">
        <v>491</v>
      </c>
      <c r="F15" s="5" t="s">
        <v>492</v>
      </c>
    </row>
    <row r="16" spans="1:6" ht="63" x14ac:dyDescent="0.25">
      <c r="A16" s="5" t="s">
        <v>796</v>
      </c>
      <c r="B16" s="5" t="s">
        <v>813</v>
      </c>
      <c r="C16" s="6" t="s">
        <v>7</v>
      </c>
      <c r="D16" s="7">
        <v>1100000</v>
      </c>
      <c r="E16" s="7" t="s">
        <v>491</v>
      </c>
      <c r="F16" s="5" t="s">
        <v>492</v>
      </c>
    </row>
    <row r="17" spans="1:6" ht="63" x14ac:dyDescent="0.25">
      <c r="A17" s="5" t="s">
        <v>796</v>
      </c>
      <c r="B17" s="5" t="s">
        <v>814</v>
      </c>
      <c r="C17" s="6" t="s">
        <v>7</v>
      </c>
      <c r="D17" s="7">
        <v>3500000</v>
      </c>
      <c r="E17" s="7" t="s">
        <v>491</v>
      </c>
      <c r="F17" s="5" t="s">
        <v>492</v>
      </c>
    </row>
    <row r="18" spans="1:6" ht="63" x14ac:dyDescent="0.25">
      <c r="A18" s="5" t="s">
        <v>796</v>
      </c>
      <c r="B18" s="5" t="s">
        <v>815</v>
      </c>
      <c r="C18" s="6" t="s">
        <v>7</v>
      </c>
      <c r="D18" s="7">
        <v>1800000</v>
      </c>
      <c r="E18" s="7" t="s">
        <v>113</v>
      </c>
      <c r="F18" s="5" t="s">
        <v>114</v>
      </c>
    </row>
    <row r="19" spans="1:6" ht="63" x14ac:dyDescent="0.25">
      <c r="A19" s="5" t="s">
        <v>796</v>
      </c>
      <c r="B19" s="5" t="s">
        <v>816</v>
      </c>
      <c r="C19" s="6" t="s">
        <v>7</v>
      </c>
      <c r="D19" s="7">
        <v>1500000</v>
      </c>
      <c r="E19" s="7" t="s">
        <v>16</v>
      </c>
      <c r="F19" s="5" t="s">
        <v>63</v>
      </c>
    </row>
    <row r="20" spans="1:6" ht="63" x14ac:dyDescent="0.25">
      <c r="A20" s="5" t="s">
        <v>796</v>
      </c>
      <c r="B20" s="5" t="s">
        <v>817</v>
      </c>
      <c r="C20" s="6" t="s">
        <v>7</v>
      </c>
      <c r="D20" s="7">
        <v>180000</v>
      </c>
      <c r="E20" s="7" t="s">
        <v>113</v>
      </c>
      <c r="F20" s="5" t="s">
        <v>114</v>
      </c>
    </row>
    <row r="21" spans="1:6" ht="63" x14ac:dyDescent="0.25">
      <c r="A21" s="5" t="s">
        <v>796</v>
      </c>
      <c r="B21" s="5" t="s">
        <v>818</v>
      </c>
      <c r="C21" s="6" t="s">
        <v>7</v>
      </c>
      <c r="D21" s="7">
        <v>120000</v>
      </c>
      <c r="E21" s="7" t="s">
        <v>113</v>
      </c>
      <c r="F21" s="5" t="s">
        <v>114</v>
      </c>
    </row>
    <row r="22" spans="1:6" ht="63" x14ac:dyDescent="0.25">
      <c r="A22" s="5" t="s">
        <v>796</v>
      </c>
      <c r="B22" s="5" t="s">
        <v>819</v>
      </c>
      <c r="C22" s="6" t="s">
        <v>7</v>
      </c>
      <c r="D22" s="7">
        <v>250000</v>
      </c>
      <c r="E22" s="7" t="s">
        <v>8</v>
      </c>
      <c r="F22" s="5" t="s">
        <v>27</v>
      </c>
    </row>
    <row r="23" spans="1:6" ht="63" x14ac:dyDescent="0.25">
      <c r="A23" s="5" t="s">
        <v>796</v>
      </c>
      <c r="B23" s="5" t="s">
        <v>820</v>
      </c>
      <c r="C23" s="6" t="s">
        <v>7</v>
      </c>
      <c r="D23" s="7">
        <v>250000</v>
      </c>
      <c r="E23" s="7" t="s">
        <v>113</v>
      </c>
      <c r="F23" s="5" t="s">
        <v>114</v>
      </c>
    </row>
    <row r="24" spans="1:6" ht="63" x14ac:dyDescent="0.25">
      <c r="A24" s="5" t="s">
        <v>796</v>
      </c>
      <c r="B24" s="5" t="s">
        <v>821</v>
      </c>
      <c r="C24" s="6" t="s">
        <v>7</v>
      </c>
      <c r="D24" s="7">
        <v>150000</v>
      </c>
      <c r="E24" s="7" t="s">
        <v>113</v>
      </c>
      <c r="F24" s="5" t="s">
        <v>114</v>
      </c>
    </row>
    <row r="25" spans="1:6" ht="63" x14ac:dyDescent="0.25">
      <c r="A25" s="5" t="s">
        <v>796</v>
      </c>
      <c r="B25" s="5" t="s">
        <v>822</v>
      </c>
      <c r="C25" s="6" t="s">
        <v>7</v>
      </c>
      <c r="D25" s="7">
        <v>140000</v>
      </c>
      <c r="E25" s="7" t="s">
        <v>8</v>
      </c>
      <c r="F25" s="5" t="s">
        <v>27</v>
      </c>
    </row>
    <row r="26" spans="1:6" ht="63" x14ac:dyDescent="0.25">
      <c r="A26" s="5" t="s">
        <v>796</v>
      </c>
      <c r="B26" s="5" t="s">
        <v>823</v>
      </c>
      <c r="C26" s="6" t="s">
        <v>7</v>
      </c>
      <c r="D26" s="7">
        <v>250000</v>
      </c>
      <c r="E26" s="7" t="s">
        <v>113</v>
      </c>
      <c r="F26" s="5" t="s">
        <v>114</v>
      </c>
    </row>
    <row r="27" spans="1:6" ht="63" x14ac:dyDescent="0.25">
      <c r="A27" s="5" t="s">
        <v>796</v>
      </c>
      <c r="B27" s="5" t="s">
        <v>824</v>
      </c>
      <c r="C27" s="6" t="s">
        <v>7</v>
      </c>
      <c r="D27" s="7">
        <v>300000</v>
      </c>
      <c r="E27" s="7" t="s">
        <v>8</v>
      </c>
      <c r="F27" s="5" t="s">
        <v>27</v>
      </c>
    </row>
    <row r="28" spans="1:6" ht="63" x14ac:dyDescent="0.25">
      <c r="A28" s="5" t="s">
        <v>796</v>
      </c>
      <c r="B28" s="5" t="s">
        <v>825</v>
      </c>
      <c r="C28" s="6" t="s">
        <v>7</v>
      </c>
      <c r="D28" s="7">
        <v>150000</v>
      </c>
      <c r="E28" s="7" t="s">
        <v>8</v>
      </c>
      <c r="F28" s="5" t="s">
        <v>27</v>
      </c>
    </row>
    <row r="29" spans="1:6" ht="63" x14ac:dyDescent="0.25">
      <c r="A29" s="5" t="s">
        <v>796</v>
      </c>
      <c r="B29" s="5" t="s">
        <v>826</v>
      </c>
      <c r="C29" s="6" t="s">
        <v>7</v>
      </c>
      <c r="D29" s="7">
        <v>100000</v>
      </c>
      <c r="E29" s="7" t="s">
        <v>113</v>
      </c>
      <c r="F29" s="5" t="s">
        <v>114</v>
      </c>
    </row>
    <row r="30" spans="1:6" ht="63" x14ac:dyDescent="0.25">
      <c r="A30" s="5" t="s">
        <v>796</v>
      </c>
      <c r="B30" s="5" t="s">
        <v>827</v>
      </c>
      <c r="C30" s="6" t="s">
        <v>7</v>
      </c>
      <c r="D30" s="7">
        <v>30000</v>
      </c>
      <c r="E30" s="7" t="s">
        <v>113</v>
      </c>
      <c r="F30" s="5" t="s">
        <v>114</v>
      </c>
    </row>
    <row r="31" spans="1:6" ht="63" x14ac:dyDescent="0.25">
      <c r="A31" s="5" t="s">
        <v>796</v>
      </c>
      <c r="B31" s="5" t="s">
        <v>828</v>
      </c>
      <c r="C31" s="6" t="s">
        <v>7</v>
      </c>
      <c r="D31" s="7">
        <v>50000</v>
      </c>
      <c r="E31" s="7" t="s">
        <v>113</v>
      </c>
      <c r="F31" s="5" t="s">
        <v>114</v>
      </c>
    </row>
    <row r="32" spans="1:6" ht="63" x14ac:dyDescent="0.25">
      <c r="A32" s="5" t="s">
        <v>796</v>
      </c>
      <c r="B32" s="5" t="s">
        <v>829</v>
      </c>
      <c r="C32" s="6" t="s">
        <v>7</v>
      </c>
      <c r="D32" s="7">
        <v>30000</v>
      </c>
      <c r="E32" s="7" t="s">
        <v>113</v>
      </c>
      <c r="F32" s="5" t="s">
        <v>114</v>
      </c>
    </row>
    <row r="33" spans="1:6" ht="63" x14ac:dyDescent="0.25">
      <c r="A33" s="5" t="s">
        <v>796</v>
      </c>
      <c r="B33" s="5" t="s">
        <v>830</v>
      </c>
      <c r="C33" s="6" t="s">
        <v>19</v>
      </c>
      <c r="D33" s="7">
        <v>-1000000</v>
      </c>
      <c r="E33" s="7" t="s">
        <v>389</v>
      </c>
      <c r="F33" s="5" t="s">
        <v>390</v>
      </c>
    </row>
    <row r="34" spans="1:6" ht="63" x14ac:dyDescent="0.25">
      <c r="A34" s="5" t="s">
        <v>796</v>
      </c>
      <c r="B34" s="5" t="s">
        <v>830</v>
      </c>
      <c r="C34" s="6" t="s">
        <v>19</v>
      </c>
      <c r="D34" s="7">
        <v>-3000000</v>
      </c>
      <c r="E34" s="7" t="s">
        <v>798</v>
      </c>
      <c r="F34" s="5" t="s">
        <v>799</v>
      </c>
    </row>
    <row r="569" spans="22:22" ht="12.75" customHeight="1" x14ac:dyDescent="0.25">
      <c r="V569" s="35">
        <v>46195</v>
      </c>
    </row>
  </sheetData>
  <pageMargins left="0.7" right="0.7"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49"/>
  <sheetViews>
    <sheetView tabSelected="1" topLeftCell="A32" zoomScaleNormal="100" workbookViewId="0">
      <selection activeCell="F36" sqref="F36"/>
    </sheetView>
  </sheetViews>
  <sheetFormatPr baseColWidth="10" defaultColWidth="10.7109375" defaultRowHeight="12.75" customHeight="1" x14ac:dyDescent="0.25"/>
  <cols>
    <col min="1" max="1" width="6" style="1" customWidth="1"/>
    <col min="2" max="2" width="49.85546875" style="1" customWidth="1"/>
    <col min="3" max="3" width="20.85546875" style="1" customWidth="1"/>
    <col min="4" max="4" width="17.28515625" style="1" customWidth="1"/>
    <col min="5" max="5" width="8.7109375" style="1" customWidth="1"/>
    <col min="6" max="6" width="25.28515625" customWidth="1"/>
  </cols>
  <sheetData>
    <row r="1" spans="1:6" ht="66" x14ac:dyDescent="0.25">
      <c r="A1" s="2" t="s">
        <v>795</v>
      </c>
      <c r="B1" s="2" t="s">
        <v>1</v>
      </c>
      <c r="C1" s="2" t="s">
        <v>2</v>
      </c>
      <c r="D1" s="3" t="s">
        <v>3</v>
      </c>
      <c r="E1" s="3" t="s">
        <v>4</v>
      </c>
      <c r="F1" s="4" t="s">
        <v>5</v>
      </c>
    </row>
    <row r="2" spans="1:6" ht="63" x14ac:dyDescent="0.25">
      <c r="A2" s="5" t="s">
        <v>831</v>
      </c>
      <c r="B2" s="5" t="s">
        <v>832</v>
      </c>
      <c r="C2" s="6" t="s">
        <v>833</v>
      </c>
      <c r="D2" s="7">
        <v>8000000</v>
      </c>
      <c r="E2" s="7" t="s">
        <v>798</v>
      </c>
      <c r="F2" s="5" t="s">
        <v>799</v>
      </c>
    </row>
    <row r="3" spans="1:6" ht="63" x14ac:dyDescent="0.25">
      <c r="A3" s="5" t="s">
        <v>831</v>
      </c>
      <c r="B3" s="5" t="s">
        <v>834</v>
      </c>
      <c r="C3" s="6" t="s">
        <v>833</v>
      </c>
      <c r="D3" s="7">
        <v>9000000</v>
      </c>
      <c r="E3" s="7" t="s">
        <v>798</v>
      </c>
      <c r="F3" s="5" t="s">
        <v>799</v>
      </c>
    </row>
    <row r="4" spans="1:6" ht="63" x14ac:dyDescent="0.25">
      <c r="A4" s="5" t="s">
        <v>831</v>
      </c>
      <c r="B4" s="5" t="s">
        <v>835</v>
      </c>
      <c r="C4" s="6" t="s">
        <v>833</v>
      </c>
      <c r="D4" s="7">
        <v>5000000</v>
      </c>
      <c r="E4" s="7" t="s">
        <v>798</v>
      </c>
      <c r="F4" s="5" t="s">
        <v>799</v>
      </c>
    </row>
    <row r="5" spans="1:6" ht="63" x14ac:dyDescent="0.25">
      <c r="A5" s="5" t="s">
        <v>831</v>
      </c>
      <c r="B5" s="5" t="s">
        <v>836</v>
      </c>
      <c r="C5" s="6" t="s">
        <v>833</v>
      </c>
      <c r="D5" s="7">
        <v>15000000</v>
      </c>
      <c r="E5" s="7" t="s">
        <v>798</v>
      </c>
      <c r="F5" s="5" t="s">
        <v>799</v>
      </c>
    </row>
    <row r="6" spans="1:6" ht="63" x14ac:dyDescent="0.25">
      <c r="A6" s="5" t="s">
        <v>831</v>
      </c>
      <c r="B6" s="5" t="s">
        <v>837</v>
      </c>
      <c r="C6" s="6" t="s">
        <v>833</v>
      </c>
      <c r="D6" s="7">
        <v>9000000</v>
      </c>
      <c r="E6" s="7" t="s">
        <v>798</v>
      </c>
      <c r="F6" s="5" t="s">
        <v>799</v>
      </c>
    </row>
    <row r="7" spans="1:6" ht="63" x14ac:dyDescent="0.25">
      <c r="A7" s="5" t="s">
        <v>831</v>
      </c>
      <c r="B7" s="5" t="s">
        <v>838</v>
      </c>
      <c r="C7" s="6" t="s">
        <v>833</v>
      </c>
      <c r="D7" s="7">
        <v>6000000</v>
      </c>
      <c r="E7" s="7" t="s">
        <v>798</v>
      </c>
      <c r="F7" s="5" t="s">
        <v>799</v>
      </c>
    </row>
    <row r="8" spans="1:6" ht="63" x14ac:dyDescent="0.25">
      <c r="A8" s="5" t="s">
        <v>831</v>
      </c>
      <c r="B8" s="5" t="s">
        <v>839</v>
      </c>
      <c r="C8" s="6" t="s">
        <v>833</v>
      </c>
      <c r="D8" s="7">
        <v>15000000</v>
      </c>
      <c r="E8" s="7" t="s">
        <v>798</v>
      </c>
      <c r="F8" s="5" t="s">
        <v>799</v>
      </c>
    </row>
    <row r="9" spans="1:6" ht="47.25" x14ac:dyDescent="0.25">
      <c r="A9" s="5" t="s">
        <v>831</v>
      </c>
      <c r="B9" s="5" t="s">
        <v>840</v>
      </c>
      <c r="C9" s="6" t="s">
        <v>7</v>
      </c>
      <c r="D9" s="7">
        <v>500000</v>
      </c>
      <c r="E9" s="7" t="s">
        <v>13</v>
      </c>
      <c r="F9" s="5" t="s">
        <v>59</v>
      </c>
    </row>
    <row r="10" spans="1:6" ht="63" x14ac:dyDescent="0.25">
      <c r="A10" s="5" t="s">
        <v>831</v>
      </c>
      <c r="B10" s="5" t="s">
        <v>841</v>
      </c>
      <c r="C10" s="6" t="s">
        <v>833</v>
      </c>
      <c r="D10" s="7">
        <v>3500000</v>
      </c>
      <c r="E10" s="7" t="s">
        <v>798</v>
      </c>
      <c r="F10" s="5" t="s">
        <v>799</v>
      </c>
    </row>
    <row r="11" spans="1:6" ht="63" x14ac:dyDescent="0.25">
      <c r="A11" s="5" t="s">
        <v>831</v>
      </c>
      <c r="B11" s="5" t="s">
        <v>842</v>
      </c>
      <c r="C11" s="6" t="s">
        <v>833</v>
      </c>
      <c r="D11" s="7">
        <v>2000000</v>
      </c>
      <c r="E11" s="7" t="s">
        <v>798</v>
      </c>
      <c r="F11" s="5" t="s">
        <v>799</v>
      </c>
    </row>
    <row r="12" spans="1:6" ht="63" x14ac:dyDescent="0.25">
      <c r="A12" s="5" t="s">
        <v>831</v>
      </c>
      <c r="B12" s="5" t="s">
        <v>843</v>
      </c>
      <c r="C12" s="6" t="s">
        <v>833</v>
      </c>
      <c r="D12" s="7">
        <v>3000000</v>
      </c>
      <c r="E12" s="7" t="s">
        <v>798</v>
      </c>
      <c r="F12" s="5" t="s">
        <v>799</v>
      </c>
    </row>
    <row r="13" spans="1:6" ht="63" x14ac:dyDescent="0.25">
      <c r="A13" s="5" t="s">
        <v>831</v>
      </c>
      <c r="B13" s="5" t="s">
        <v>844</v>
      </c>
      <c r="C13" s="6" t="s">
        <v>833</v>
      </c>
      <c r="D13" s="7">
        <v>10000000</v>
      </c>
      <c r="E13" s="7" t="s">
        <v>798</v>
      </c>
      <c r="F13" s="5" t="s">
        <v>799</v>
      </c>
    </row>
    <row r="14" spans="1:6" ht="126" x14ac:dyDescent="0.25">
      <c r="A14" s="5" t="s">
        <v>831</v>
      </c>
      <c r="B14" s="5" t="s">
        <v>845</v>
      </c>
      <c r="C14" s="6" t="s">
        <v>7</v>
      </c>
      <c r="D14" s="7">
        <v>1000000</v>
      </c>
      <c r="E14" s="7" t="s">
        <v>113</v>
      </c>
      <c r="F14" s="5" t="s">
        <v>114</v>
      </c>
    </row>
    <row r="15" spans="1:6" ht="63" x14ac:dyDescent="0.25">
      <c r="A15" s="5" t="s">
        <v>831</v>
      </c>
      <c r="B15" s="5" t="s">
        <v>846</v>
      </c>
      <c r="C15" s="6" t="s">
        <v>833</v>
      </c>
      <c r="D15" s="7">
        <v>200000</v>
      </c>
      <c r="E15" s="7" t="s">
        <v>798</v>
      </c>
      <c r="F15" s="5" t="s">
        <v>799</v>
      </c>
    </row>
    <row r="16" spans="1:6" ht="94.5" x14ac:dyDescent="0.25">
      <c r="A16" s="5" t="s">
        <v>831</v>
      </c>
      <c r="B16" s="5" t="s">
        <v>847</v>
      </c>
      <c r="C16" s="6" t="s">
        <v>833</v>
      </c>
      <c r="D16" s="7">
        <v>3000000</v>
      </c>
      <c r="E16" s="7" t="s">
        <v>20</v>
      </c>
      <c r="F16" s="5" t="s">
        <v>61</v>
      </c>
    </row>
    <row r="17" spans="1:6" ht="78.75" x14ac:dyDescent="0.25">
      <c r="A17" s="5" t="s">
        <v>831</v>
      </c>
      <c r="B17" s="5" t="s">
        <v>848</v>
      </c>
      <c r="C17" s="6" t="s">
        <v>833</v>
      </c>
      <c r="D17" s="7">
        <v>300000</v>
      </c>
      <c r="E17" s="7" t="s">
        <v>438</v>
      </c>
      <c r="F17" s="5" t="s">
        <v>439</v>
      </c>
    </row>
    <row r="18" spans="1:6" ht="78.75" x14ac:dyDescent="0.25">
      <c r="A18" s="5" t="s">
        <v>831</v>
      </c>
      <c r="B18" s="5" t="s">
        <v>849</v>
      </c>
      <c r="C18" s="6" t="s">
        <v>833</v>
      </c>
      <c r="D18" s="7">
        <v>150000</v>
      </c>
      <c r="E18" s="7" t="s">
        <v>438</v>
      </c>
      <c r="F18" s="5" t="s">
        <v>439</v>
      </c>
    </row>
    <row r="19" spans="1:6" ht="94.5" x14ac:dyDescent="0.25">
      <c r="A19" s="5" t="s">
        <v>831</v>
      </c>
      <c r="B19" s="5" t="s">
        <v>850</v>
      </c>
      <c r="C19" s="6" t="s">
        <v>833</v>
      </c>
      <c r="D19" s="7">
        <v>7000000</v>
      </c>
      <c r="E19" s="7" t="s">
        <v>20</v>
      </c>
      <c r="F19" s="5" t="s">
        <v>61</v>
      </c>
    </row>
    <row r="20" spans="1:6" ht="94.5" x14ac:dyDescent="0.25">
      <c r="A20" s="5" t="s">
        <v>831</v>
      </c>
      <c r="B20" s="5" t="s">
        <v>851</v>
      </c>
      <c r="C20" s="6" t="s">
        <v>833</v>
      </c>
      <c r="D20" s="7">
        <v>6000000</v>
      </c>
      <c r="E20" s="7" t="s">
        <v>20</v>
      </c>
      <c r="F20" s="5" t="s">
        <v>61</v>
      </c>
    </row>
    <row r="21" spans="1:6" ht="47.25" x14ac:dyDescent="0.25">
      <c r="A21" s="5" t="s">
        <v>831</v>
      </c>
      <c r="B21" s="5" t="s">
        <v>852</v>
      </c>
      <c r="C21" s="6" t="s">
        <v>7</v>
      </c>
      <c r="D21" s="7">
        <v>150000</v>
      </c>
      <c r="E21" s="7" t="s">
        <v>8</v>
      </c>
      <c r="F21" s="5" t="s">
        <v>27</v>
      </c>
    </row>
    <row r="22" spans="1:6" ht="94.5" x14ac:dyDescent="0.25">
      <c r="A22" s="5" t="s">
        <v>831</v>
      </c>
      <c r="B22" s="5" t="s">
        <v>853</v>
      </c>
      <c r="C22" s="6" t="s">
        <v>833</v>
      </c>
      <c r="D22" s="7">
        <v>255000</v>
      </c>
      <c r="E22" s="7" t="s">
        <v>20</v>
      </c>
      <c r="F22" s="5" t="s">
        <v>61</v>
      </c>
    </row>
    <row r="23" spans="1:6" ht="78.75" x14ac:dyDescent="0.25">
      <c r="A23" s="5" t="s">
        <v>831</v>
      </c>
      <c r="B23" s="5" t="s">
        <v>854</v>
      </c>
      <c r="C23" s="6" t="s">
        <v>833</v>
      </c>
      <c r="D23" s="7">
        <v>2000000</v>
      </c>
      <c r="E23" s="7" t="s">
        <v>786</v>
      </c>
      <c r="F23" s="5" t="s">
        <v>787</v>
      </c>
    </row>
    <row r="24" spans="1:6" ht="63" x14ac:dyDescent="0.25">
      <c r="A24" s="5" t="s">
        <v>831</v>
      </c>
      <c r="B24" s="5" t="s">
        <v>855</v>
      </c>
      <c r="C24" s="6" t="s">
        <v>833</v>
      </c>
      <c r="D24" s="7">
        <v>150000</v>
      </c>
      <c r="E24" s="7" t="s">
        <v>798</v>
      </c>
      <c r="F24" s="5" t="s">
        <v>799</v>
      </c>
    </row>
    <row r="25" spans="1:6" ht="63" x14ac:dyDescent="0.25">
      <c r="A25" s="5" t="s">
        <v>831</v>
      </c>
      <c r="B25" s="5" t="s">
        <v>856</v>
      </c>
      <c r="C25" s="6" t="s">
        <v>833</v>
      </c>
      <c r="D25" s="7">
        <v>250000</v>
      </c>
      <c r="E25" s="7" t="s">
        <v>798</v>
      </c>
      <c r="F25" s="5" t="s">
        <v>799</v>
      </c>
    </row>
    <row r="26" spans="1:6" ht="47.25" x14ac:dyDescent="0.25">
      <c r="A26" s="5" t="s">
        <v>831</v>
      </c>
      <c r="B26" s="5" t="s">
        <v>857</v>
      </c>
      <c r="C26" s="6" t="s">
        <v>7</v>
      </c>
      <c r="D26" s="7">
        <v>100000</v>
      </c>
      <c r="E26" s="7" t="s">
        <v>8</v>
      </c>
      <c r="F26" s="5" t="s">
        <v>27</v>
      </c>
    </row>
    <row r="27" spans="1:6" ht="78.75" x14ac:dyDescent="0.25">
      <c r="A27" s="5" t="s">
        <v>831</v>
      </c>
      <c r="B27" s="5" t="s">
        <v>858</v>
      </c>
      <c r="C27" s="6" t="s">
        <v>833</v>
      </c>
      <c r="D27" s="7">
        <v>20000</v>
      </c>
      <c r="E27" s="7" t="s">
        <v>438</v>
      </c>
      <c r="F27" s="5" t="s">
        <v>439</v>
      </c>
    </row>
    <row r="28" spans="1:6" ht="94.5" x14ac:dyDescent="0.25">
      <c r="A28" s="5" t="s">
        <v>831</v>
      </c>
      <c r="B28" s="5" t="s">
        <v>859</v>
      </c>
      <c r="C28" s="6" t="s">
        <v>7</v>
      </c>
      <c r="D28" s="7">
        <v>450000</v>
      </c>
      <c r="E28" s="7" t="s">
        <v>113</v>
      </c>
      <c r="F28" s="5" t="s">
        <v>114</v>
      </c>
    </row>
    <row r="29" spans="1:6" ht="94.5" x14ac:dyDescent="0.25">
      <c r="A29" s="5" t="s">
        <v>831</v>
      </c>
      <c r="B29" s="5" t="s">
        <v>860</v>
      </c>
      <c r="C29" s="6" t="s">
        <v>7</v>
      </c>
      <c r="D29" s="7">
        <v>300000</v>
      </c>
      <c r="E29" s="7" t="s">
        <v>113</v>
      </c>
      <c r="F29" s="5" t="s">
        <v>114</v>
      </c>
    </row>
    <row r="30" spans="1:6" ht="47.25" x14ac:dyDescent="0.25">
      <c r="A30" s="5" t="s">
        <v>831</v>
      </c>
      <c r="B30" s="5" t="s">
        <v>861</v>
      </c>
      <c r="C30" s="6" t="s">
        <v>7</v>
      </c>
      <c r="D30" s="7">
        <v>300000</v>
      </c>
      <c r="E30" s="7" t="s">
        <v>8</v>
      </c>
      <c r="F30" s="5" t="s">
        <v>27</v>
      </c>
    </row>
    <row r="31" spans="1:6" ht="78.75" x14ac:dyDescent="0.25">
      <c r="A31" s="5" t="s">
        <v>831</v>
      </c>
      <c r="B31" s="5" t="s">
        <v>862</v>
      </c>
      <c r="C31" s="6" t="s">
        <v>833</v>
      </c>
      <c r="D31" s="7">
        <v>400000</v>
      </c>
      <c r="E31" s="7" t="s">
        <v>798</v>
      </c>
      <c r="F31" s="5" t="s">
        <v>799</v>
      </c>
    </row>
    <row r="32" spans="1:6" ht="47.25" x14ac:dyDescent="0.25">
      <c r="A32" s="5" t="s">
        <v>831</v>
      </c>
      <c r="B32" s="5" t="s">
        <v>863</v>
      </c>
      <c r="C32" s="6" t="s">
        <v>7</v>
      </c>
      <c r="D32" s="7">
        <v>150000</v>
      </c>
      <c r="E32" s="7" t="s">
        <v>8</v>
      </c>
      <c r="F32" s="5" t="s">
        <v>27</v>
      </c>
    </row>
    <row r="33" spans="1:6" ht="47.25" x14ac:dyDescent="0.25">
      <c r="A33" s="5" t="s">
        <v>831</v>
      </c>
      <c r="B33" s="5" t="s">
        <v>864</v>
      </c>
      <c r="C33" s="6" t="s">
        <v>7</v>
      </c>
      <c r="D33" s="7">
        <v>400000</v>
      </c>
      <c r="E33" s="7" t="s">
        <v>8</v>
      </c>
      <c r="F33" s="5" t="s">
        <v>27</v>
      </c>
    </row>
    <row r="34" spans="1:6" ht="47.25" x14ac:dyDescent="0.25">
      <c r="A34" s="5" t="s">
        <v>831</v>
      </c>
      <c r="B34" s="5" t="s">
        <v>865</v>
      </c>
      <c r="C34" s="6" t="s">
        <v>7</v>
      </c>
      <c r="D34" s="7">
        <v>320000</v>
      </c>
      <c r="E34" s="7" t="s">
        <v>8</v>
      </c>
      <c r="F34" s="5" t="s">
        <v>27</v>
      </c>
    </row>
    <row r="35" spans="1:6" ht="94.5" x14ac:dyDescent="0.25">
      <c r="A35" s="5" t="s">
        <v>831</v>
      </c>
      <c r="B35" s="5" t="s">
        <v>866</v>
      </c>
      <c r="C35" s="6" t="s">
        <v>7</v>
      </c>
      <c r="D35" s="7">
        <v>350000</v>
      </c>
      <c r="E35" s="7" t="s">
        <v>113</v>
      </c>
      <c r="F35" s="5" t="s">
        <v>114</v>
      </c>
    </row>
    <row r="36" spans="1:6" s="42" customFormat="1" ht="63" x14ac:dyDescent="0.25">
      <c r="A36" s="39" t="s">
        <v>831</v>
      </c>
      <c r="B36" s="39" t="s">
        <v>867</v>
      </c>
      <c r="C36" s="40" t="s">
        <v>833</v>
      </c>
      <c r="D36" s="41">
        <v>400000</v>
      </c>
      <c r="E36" s="41" t="s">
        <v>438</v>
      </c>
      <c r="F36" s="39" t="s">
        <v>439</v>
      </c>
    </row>
    <row r="37" spans="1:6" ht="63" x14ac:dyDescent="0.25">
      <c r="A37" s="5" t="s">
        <v>831</v>
      </c>
      <c r="B37" s="5" t="s">
        <v>868</v>
      </c>
      <c r="C37" s="6" t="s">
        <v>7</v>
      </c>
      <c r="D37" s="7">
        <v>3000000</v>
      </c>
      <c r="E37" s="7" t="s">
        <v>869</v>
      </c>
      <c r="F37" s="5" t="s">
        <v>870</v>
      </c>
    </row>
    <row r="38" spans="1:6" ht="63" x14ac:dyDescent="0.25">
      <c r="A38" s="5" t="s">
        <v>831</v>
      </c>
      <c r="B38" s="5" t="s">
        <v>871</v>
      </c>
      <c r="C38" s="6" t="s">
        <v>7</v>
      </c>
      <c r="D38" s="7">
        <v>2340000</v>
      </c>
      <c r="E38" s="7" t="s">
        <v>869</v>
      </c>
      <c r="F38" s="5" t="s">
        <v>870</v>
      </c>
    </row>
    <row r="39" spans="1:6" ht="63" x14ac:dyDescent="0.25">
      <c r="A39" s="5" t="s">
        <v>831</v>
      </c>
      <c r="B39" s="5" t="s">
        <v>872</v>
      </c>
      <c r="C39" s="6" t="s">
        <v>7</v>
      </c>
      <c r="D39" s="7">
        <v>66430944.359999999</v>
      </c>
      <c r="E39" s="7" t="s">
        <v>869</v>
      </c>
      <c r="F39" s="5" t="s">
        <v>870</v>
      </c>
    </row>
    <row r="40" spans="1:6" ht="63" x14ac:dyDescent="0.25">
      <c r="A40" s="5" t="s">
        <v>831</v>
      </c>
      <c r="B40" s="5" t="s">
        <v>873</v>
      </c>
      <c r="C40" s="6" t="s">
        <v>7</v>
      </c>
      <c r="D40" s="7">
        <v>18960000</v>
      </c>
      <c r="E40" s="7" t="s">
        <v>869</v>
      </c>
      <c r="F40" s="5" t="s">
        <v>870</v>
      </c>
    </row>
    <row r="41" spans="1:6" ht="63" x14ac:dyDescent="0.25">
      <c r="A41" s="5" t="s">
        <v>831</v>
      </c>
      <c r="B41" s="5" t="s">
        <v>874</v>
      </c>
      <c r="C41" s="6" t="s">
        <v>7</v>
      </c>
      <c r="D41" s="7">
        <v>1950000</v>
      </c>
      <c r="E41" s="7" t="s">
        <v>869</v>
      </c>
      <c r="F41" s="5" t="s">
        <v>870</v>
      </c>
    </row>
    <row r="42" spans="1:6" ht="63" x14ac:dyDescent="0.25">
      <c r="A42" s="5" t="s">
        <v>831</v>
      </c>
      <c r="B42" s="5" t="s">
        <v>875</v>
      </c>
      <c r="C42" s="6" t="s">
        <v>7</v>
      </c>
      <c r="D42" s="7">
        <v>11163484.99</v>
      </c>
      <c r="E42" s="7" t="s">
        <v>126</v>
      </c>
      <c r="F42" s="5" t="s">
        <v>127</v>
      </c>
    </row>
    <row r="43" spans="1:6" ht="63" x14ac:dyDescent="0.25">
      <c r="A43" s="5" t="s">
        <v>831</v>
      </c>
      <c r="B43" s="5" t="s">
        <v>876</v>
      </c>
      <c r="C43" s="6" t="s">
        <v>7</v>
      </c>
      <c r="D43" s="7">
        <v>1805904</v>
      </c>
      <c r="E43" s="7" t="s">
        <v>126</v>
      </c>
      <c r="F43" s="5" t="s">
        <v>127</v>
      </c>
    </row>
    <row r="44" spans="1:6" ht="94.5" x14ac:dyDescent="0.25">
      <c r="A44" s="5" t="s">
        <v>831</v>
      </c>
      <c r="B44" s="5" t="s">
        <v>877</v>
      </c>
      <c r="C44" s="6" t="s">
        <v>7</v>
      </c>
      <c r="D44" s="7">
        <v>838800</v>
      </c>
      <c r="E44" s="7" t="s">
        <v>113</v>
      </c>
      <c r="F44" s="5" t="s">
        <v>114</v>
      </c>
    </row>
    <row r="45" spans="1:6" ht="94.5" x14ac:dyDescent="0.25">
      <c r="A45" s="5" t="s">
        <v>831</v>
      </c>
      <c r="B45" s="5" t="s">
        <v>878</v>
      </c>
      <c r="C45" s="6" t="s">
        <v>7</v>
      </c>
      <c r="D45" s="7">
        <v>318960</v>
      </c>
      <c r="E45" s="7" t="s">
        <v>113</v>
      </c>
      <c r="F45" s="5" t="s">
        <v>114</v>
      </c>
    </row>
    <row r="46" spans="1:6" ht="47.25" x14ac:dyDescent="0.25">
      <c r="A46" s="5" t="s">
        <v>831</v>
      </c>
      <c r="B46" s="5" t="s">
        <v>879</v>
      </c>
      <c r="C46" s="6" t="s">
        <v>7</v>
      </c>
      <c r="D46" s="7">
        <v>984600</v>
      </c>
      <c r="E46" s="7" t="s">
        <v>8</v>
      </c>
      <c r="F46" s="5" t="s">
        <v>27</v>
      </c>
    </row>
    <row r="47" spans="1:6" ht="94.5" x14ac:dyDescent="0.25">
      <c r="A47" s="5" t="s">
        <v>831</v>
      </c>
      <c r="B47" s="5" t="s">
        <v>880</v>
      </c>
      <c r="C47" s="6" t="s">
        <v>7</v>
      </c>
      <c r="D47" s="7">
        <v>180000</v>
      </c>
      <c r="E47" s="7" t="s">
        <v>113</v>
      </c>
      <c r="F47" s="5" t="s">
        <v>114</v>
      </c>
    </row>
    <row r="48" spans="1:6" ht="94.5" x14ac:dyDescent="0.25">
      <c r="A48" s="5" t="s">
        <v>831</v>
      </c>
      <c r="B48" s="22" t="s">
        <v>830</v>
      </c>
      <c r="C48" s="23" t="s">
        <v>7</v>
      </c>
      <c r="D48" s="24">
        <v>-6255000</v>
      </c>
      <c r="E48" s="7" t="s">
        <v>20</v>
      </c>
      <c r="F48" s="5" t="s">
        <v>61</v>
      </c>
    </row>
    <row r="49" spans="1:6" ht="63" x14ac:dyDescent="0.25">
      <c r="A49" s="5" t="s">
        <v>831</v>
      </c>
      <c r="B49" s="22" t="s">
        <v>830</v>
      </c>
      <c r="C49" s="23" t="s">
        <v>7</v>
      </c>
      <c r="D49" s="24">
        <v>-48745000</v>
      </c>
      <c r="E49" s="7" t="s">
        <v>798</v>
      </c>
      <c r="F49" s="5" t="s">
        <v>799</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338</TotalTime>
  <Application>Microsoft Excel</Application>
  <DocSecurity>0</DocSecurity>
  <ScaleCrop>false</ScaleCrop>
  <HeadingPairs>
    <vt:vector size="4" baseType="variant">
      <vt:variant>
        <vt:lpstr>Feuilles de calcul</vt:lpstr>
      </vt:variant>
      <vt:variant>
        <vt:i4>28</vt:i4>
      </vt:variant>
      <vt:variant>
        <vt:lpstr>Plages nommées</vt:lpstr>
      </vt:variant>
      <vt:variant>
        <vt:i4>3</vt:i4>
      </vt:variant>
    </vt:vector>
  </HeadingPairs>
  <TitlesOfParts>
    <vt:vector size="31" baseType="lpstr">
      <vt:lpstr>AL MAGHERIBIA</vt:lpstr>
      <vt:lpstr>AMAZIGHIA</vt:lpstr>
      <vt:lpstr>ARRYADIA</vt:lpstr>
      <vt:lpstr>ARRYADIA ANNEXE</vt:lpstr>
      <vt:lpstr>ASSADISSA</vt:lpstr>
      <vt:lpstr>ATTAKAFIA</vt:lpstr>
      <vt:lpstr>ACHATS</vt:lpstr>
      <vt:lpstr>DACG</vt:lpstr>
      <vt:lpstr>DAR</vt:lpstr>
      <vt:lpstr>DCPA</vt:lpstr>
      <vt:lpstr>DCRI</vt:lpstr>
      <vt:lpstr>DF</vt:lpstr>
      <vt:lpstr>DJ</vt:lpstr>
      <vt:lpstr>DCMPTV</vt:lpstr>
      <vt:lpstr>DPMG</vt:lpstr>
      <vt:lpstr>DPPR</vt:lpstr>
      <vt:lpstr>DRH</vt:lpstr>
      <vt:lpstr>DROI</vt:lpstr>
      <vt:lpstr>DTSI</vt:lpstr>
      <vt:lpstr>INFO RADIO</vt:lpstr>
      <vt:lpstr>INFO TV</vt:lpstr>
      <vt:lpstr>LAAYOUNE</vt:lpstr>
      <vt:lpstr>LAAYOUNE ANNEXE</vt:lpstr>
      <vt:lpstr>PROD EXT</vt:lpstr>
      <vt:lpstr>DCRPSD</vt:lpstr>
      <vt:lpstr>RSSI</vt:lpstr>
      <vt:lpstr>TDF-DEM</vt:lpstr>
      <vt:lpstr>TDF-SITE</vt:lpstr>
      <vt:lpstr>'AL MAGHERIBIA'!Zone_d_impression</vt:lpstr>
      <vt:lpstr>AMAZIGHIA!Zone_d_impression</vt:lpstr>
      <vt:lpstr>ARRYADIA!Zone_d_impression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BOUROUIS Ayoub</dc:creator>
  <dc:description/>
  <cp:lastModifiedBy>fatimazahra LAMAALMA</cp:lastModifiedBy>
  <cp:revision>3</cp:revision>
  <cp:lastPrinted>2026-06-22T14:21:31Z</cp:lastPrinted>
  <dcterms:created xsi:type="dcterms:W3CDTF">2025-12-02T09:42:34Z</dcterms:created>
  <dcterms:modified xsi:type="dcterms:W3CDTF">2026-06-25T09:37:27Z</dcterms:modified>
  <dc:language>fr-FR</dc:language>
</cp:coreProperties>
</file>