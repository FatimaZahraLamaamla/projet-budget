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7278E7F7-8E59-4AF1-B97E-47C24A3C33D3}" xr6:coauthVersionLast="36" xr6:coauthVersionMax="36" xr10:uidLastSave="{00000000-0000-0000-0000-000000000000}"/>
  <bookViews>
    <workbookView xWindow="0" yWindow="0" windowWidth="19200" windowHeight="11480" tabRatio="499" activeTab="1" xr2:uid="{00000000-000D-0000-FFFF-FFFF00000000}"/>
  </bookViews>
  <sheets>
    <sheet name="Parametres" sheetId="1" r:id="rId1"/>
    <sheet name="ENGAGEMENTS 2026" sheetId="2" r:id="rId2"/>
    <sheet name="lignes" sheetId="3" r:id="rId3"/>
    <sheet name="Feuil1" sheetId="4" r:id="rId4"/>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workbook>
</file>

<file path=xl/calcChain.xml><?xml version="1.0" encoding="utf-8"?>
<calcChain xmlns="http://schemas.openxmlformats.org/spreadsheetml/2006/main">
  <c r="P620" i="2" l="1"/>
  <c r="N620" i="2"/>
  <c r="P619" i="2"/>
  <c r="N619" i="2"/>
  <c r="AD615" i="2"/>
  <c r="AA615" i="2"/>
  <c r="P614" i="2"/>
  <c r="N614" i="2"/>
  <c r="P608" i="2"/>
  <c r="N608" i="2"/>
  <c r="P607" i="2"/>
  <c r="AD606" i="2"/>
  <c r="AA606" i="2"/>
  <c r="AD605" i="2"/>
  <c r="AA605" i="2"/>
  <c r="P604" i="2"/>
  <c r="N604" i="2"/>
  <c r="P603" i="2"/>
  <c r="N601" i="2"/>
  <c r="AD599" i="2"/>
  <c r="AC599" i="2"/>
  <c r="AA599" i="2"/>
  <c r="AD595" i="2"/>
  <c r="AC595" i="2"/>
  <c r="AA595" i="2"/>
  <c r="P593" i="2"/>
  <c r="N593" i="2"/>
  <c r="P592" i="2"/>
  <c r="N592" i="2"/>
  <c r="AC591" i="2"/>
  <c r="AA591" i="2"/>
  <c r="Y591" i="2"/>
  <c r="P589" i="2"/>
  <c r="N589" i="2"/>
  <c r="P588" i="2"/>
  <c r="N588" i="2"/>
  <c r="P587" i="2"/>
  <c r="N587" i="2"/>
  <c r="P586" i="2"/>
  <c r="N586" i="2"/>
  <c r="P585" i="2"/>
  <c r="N585" i="2"/>
  <c r="P584" i="2"/>
  <c r="N584" i="2"/>
  <c r="P583" i="2"/>
  <c r="N583" i="2"/>
  <c r="P582" i="2"/>
  <c r="N582" i="2"/>
  <c r="AC581" i="2"/>
  <c r="AA581" i="2"/>
  <c r="Y581" i="2"/>
  <c r="P580" i="2"/>
  <c r="N580" i="2"/>
  <c r="P579" i="2"/>
  <c r="N579" i="2"/>
  <c r="P578" i="2"/>
  <c r="N578" i="2"/>
  <c r="P577" i="2"/>
  <c r="N577" i="2"/>
  <c r="P576" i="2"/>
  <c r="N576" i="2"/>
  <c r="AD575" i="2"/>
  <c r="AC575" i="2"/>
  <c r="P574" i="2"/>
  <c r="N574" i="2"/>
  <c r="P573" i="2"/>
  <c r="N573" i="2"/>
  <c r="P572" i="2"/>
  <c r="N572" i="2"/>
  <c r="AC571" i="2"/>
  <c r="AD571" i="2" s="1"/>
  <c r="AD569" i="2"/>
  <c r="AC569" i="2"/>
  <c r="AD568" i="2"/>
  <c r="AC568" i="2"/>
  <c r="P567" i="2"/>
  <c r="N567" i="2"/>
  <c r="AC565" i="2"/>
  <c r="AA565" i="2"/>
  <c r="Z565" i="2"/>
  <c r="Y565" i="2"/>
  <c r="P564" i="2"/>
  <c r="N564" i="2"/>
  <c r="P563" i="2"/>
  <c r="N563" i="2"/>
  <c r="AD562" i="2"/>
  <c r="AC562" i="2"/>
  <c r="Z562" i="2"/>
  <c r="P562" i="2"/>
  <c r="N562" i="2"/>
  <c r="AD561" i="2"/>
  <c r="AC561" i="2"/>
  <c r="P560" i="2"/>
  <c r="N560" i="2"/>
  <c r="P559" i="2"/>
  <c r="N559" i="2"/>
  <c r="P558" i="2"/>
  <c r="N558" i="2"/>
  <c r="AC557" i="2"/>
  <c r="Y557" i="2" s="1"/>
  <c r="AB557" i="2"/>
  <c r="AA557" i="2"/>
  <c r="P557" i="2"/>
  <c r="N557" i="2"/>
  <c r="AC556" i="2"/>
  <c r="AA556" i="2"/>
  <c r="Y556" i="2"/>
  <c r="AC555" i="2"/>
  <c r="AA555" i="2"/>
  <c r="Y555" i="2"/>
  <c r="AC552" i="2"/>
  <c r="P552" i="2"/>
  <c r="N552" i="2"/>
  <c r="P551" i="2"/>
  <c r="N551" i="2"/>
  <c r="P550" i="2"/>
  <c r="N550" i="2"/>
  <c r="AD549" i="2"/>
  <c r="AC549" i="2"/>
  <c r="P548" i="2"/>
  <c r="N548" i="2"/>
  <c r="P547" i="2"/>
  <c r="N547" i="2"/>
  <c r="AD546" i="2"/>
  <c r="AC546" i="2"/>
  <c r="AA546" i="2"/>
  <c r="AD545" i="2"/>
  <c r="AC545" i="2"/>
  <c r="AA545" i="2"/>
  <c r="AD544" i="2"/>
  <c r="AC544" i="2"/>
  <c r="AA544" i="2"/>
  <c r="AD543" i="2"/>
  <c r="AC543" i="2"/>
  <c r="AA543" i="2"/>
  <c r="AD542" i="2"/>
  <c r="AC542" i="2"/>
  <c r="AD541" i="2"/>
  <c r="AC541" i="2"/>
  <c r="AA541" i="2"/>
  <c r="AC540" i="2"/>
  <c r="AD540" i="2" s="1"/>
  <c r="AD539" i="2"/>
  <c r="AC539" i="2"/>
  <c r="AC538" i="2"/>
  <c r="AD538" i="2" s="1"/>
  <c r="P537" i="2"/>
  <c r="N537" i="2"/>
  <c r="AC536" i="2"/>
  <c r="AA536" i="2"/>
  <c r="Y536" i="2"/>
  <c r="AC535" i="2"/>
  <c r="AA535" i="2"/>
  <c r="Y535" i="2"/>
  <c r="AC534" i="2"/>
  <c r="Y534" i="2" s="1"/>
  <c r="AA534" i="2"/>
  <c r="AC533" i="2"/>
  <c r="Y533" i="2" s="1"/>
  <c r="AA533" i="2"/>
  <c r="AC532" i="2"/>
  <c r="AA532" i="2"/>
  <c r="Y532" i="2"/>
  <c r="AD531" i="2"/>
  <c r="AC531" i="2"/>
  <c r="AD530" i="2"/>
  <c r="AC530" i="2"/>
  <c r="AD529" i="2"/>
  <c r="AC529" i="2"/>
  <c r="AC528" i="2"/>
  <c r="Y528" i="2" s="1"/>
  <c r="AA528" i="2"/>
  <c r="AC527" i="2"/>
  <c r="AA527" i="2"/>
  <c r="Y527" i="2"/>
  <c r="AC526" i="2"/>
  <c r="AA526" i="2"/>
  <c r="Y526" i="2"/>
  <c r="AC525" i="2"/>
  <c r="Y525" i="2" s="1"/>
  <c r="AA525" i="2"/>
  <c r="AC523" i="2"/>
  <c r="Y523" i="2" s="1"/>
  <c r="AA523" i="2"/>
  <c r="AA522" i="2"/>
  <c r="Y522" i="2"/>
  <c r="AC521" i="2"/>
  <c r="AA521" i="2" s="1"/>
  <c r="AD520" i="2"/>
  <c r="AC520" i="2"/>
  <c r="Y520" i="2"/>
  <c r="AD519" i="2"/>
  <c r="Y519" i="2"/>
  <c r="AC519" i="2" s="1"/>
  <c r="AC518" i="2"/>
  <c r="AA518" i="2"/>
  <c r="Y518" i="2"/>
  <c r="AA508" i="2"/>
  <c r="Y508" i="2"/>
  <c r="AA500" i="2"/>
  <c r="AD499" i="2"/>
  <c r="AD498" i="2"/>
  <c r="AD497" i="2"/>
  <c r="AD496" i="2"/>
  <c r="AD495" i="2"/>
  <c r="AD494" i="2"/>
  <c r="AD493" i="2"/>
  <c r="AD492" i="2"/>
  <c r="AD491" i="2"/>
  <c r="AD490" i="2"/>
  <c r="AD489" i="2"/>
  <c r="AD488" i="2"/>
  <c r="AD487" i="2"/>
  <c r="AD486" i="2"/>
  <c r="AD484" i="2"/>
  <c r="Y484" i="2"/>
  <c r="AC484" i="2" s="1"/>
  <c r="AD483" i="2"/>
  <c r="AC483" i="2"/>
  <c r="AD482" i="2"/>
  <c r="AC482" i="2"/>
  <c r="AD480" i="2"/>
  <c r="AC480" i="2"/>
  <c r="AD478" i="2"/>
  <c r="AC478" i="2"/>
  <c r="AD477" i="2"/>
  <c r="AC477" i="2"/>
  <c r="AC476" i="2"/>
  <c r="AA476" i="2"/>
  <c r="Y476" i="2"/>
  <c r="AC475" i="2"/>
  <c r="AA475" i="2"/>
  <c r="Y475" i="2"/>
  <c r="AC474" i="2"/>
  <c r="AA474" i="2" s="1"/>
  <c r="AC473" i="2"/>
  <c r="Y473" i="2" s="1"/>
  <c r="AA473" i="2"/>
  <c r="AC472" i="2"/>
  <c r="AA472" i="2"/>
  <c r="Y472" i="2"/>
  <c r="AC471" i="2"/>
  <c r="AA471" i="2"/>
  <c r="Y471" i="2"/>
  <c r="AC470" i="2"/>
  <c r="Y470" i="2" s="1"/>
  <c r="AC469" i="2"/>
  <c r="Y469" i="2" s="1"/>
  <c r="AA469" i="2"/>
  <c r="AC468" i="2"/>
  <c r="AA468" i="2"/>
  <c r="Y468" i="2"/>
  <c r="AC467" i="2"/>
  <c r="AA467" i="2"/>
  <c r="Y467" i="2"/>
  <c r="AC466" i="2"/>
  <c r="AA466" i="2" s="1"/>
  <c r="AC465" i="2"/>
  <c r="Y465" i="2" s="1"/>
  <c r="AA465" i="2"/>
  <c r="AC464" i="2"/>
  <c r="AA464" i="2"/>
  <c r="Y464" i="2"/>
  <c r="AC463" i="2"/>
  <c r="AA463" i="2"/>
  <c r="Y463" i="2"/>
  <c r="AC462" i="2"/>
  <c r="Y462" i="2" s="1"/>
  <c r="AC461" i="2"/>
  <c r="Y461" i="2" s="1"/>
  <c r="AA461" i="2"/>
  <c r="AC460" i="2"/>
  <c r="AA460" i="2"/>
  <c r="Y460" i="2"/>
  <c r="AC459" i="2"/>
  <c r="AA459" i="2"/>
  <c r="Y459" i="2"/>
  <c r="AC458" i="2"/>
  <c r="AA458" i="2" s="1"/>
  <c r="AC457" i="2"/>
  <c r="Y457" i="2" s="1"/>
  <c r="AA457" i="2"/>
  <c r="AC456" i="2"/>
  <c r="AA456" i="2"/>
  <c r="Y456" i="2"/>
  <c r="AC455" i="2"/>
  <c r="AA455" i="2"/>
  <c r="Y455" i="2"/>
  <c r="AC454" i="2"/>
  <c r="Y454" i="2" s="1"/>
  <c r="AC453" i="2"/>
  <c r="Y453" i="2" s="1"/>
  <c r="AA453" i="2"/>
  <c r="AC452" i="2"/>
  <c r="AA452" i="2"/>
  <c r="Y452" i="2"/>
  <c r="AC451" i="2"/>
  <c r="AA451" i="2"/>
  <c r="Y451" i="2"/>
  <c r="AC450" i="2"/>
  <c r="AA450" i="2" s="1"/>
  <c r="AC449" i="2"/>
  <c r="Y449" i="2" s="1"/>
  <c r="AA449" i="2"/>
  <c r="AC448" i="2"/>
  <c r="AA448" i="2"/>
  <c r="Y448" i="2"/>
  <c r="AC447" i="2"/>
  <c r="AA447" i="2"/>
  <c r="Y447" i="2"/>
  <c r="AC446" i="2"/>
  <c r="Y446" i="2" s="1"/>
  <c r="AD445" i="2"/>
  <c r="P445" i="2"/>
  <c r="N445" i="2"/>
  <c r="AA444" i="2"/>
  <c r="AD444" i="2" s="1"/>
  <c r="AA443" i="2"/>
  <c r="AC443" i="2" s="1"/>
  <c r="AD442" i="2"/>
  <c r="AA442" i="2"/>
  <c r="AC442" i="2" s="1"/>
  <c r="AD441" i="2"/>
  <c r="AC441" i="2"/>
  <c r="AD440" i="2"/>
  <c r="AC440" i="2"/>
  <c r="AD439" i="2"/>
  <c r="AC439" i="2"/>
  <c r="Z439" i="2"/>
  <c r="Y439" i="2"/>
  <c r="P439" i="2"/>
  <c r="N439" i="2"/>
  <c r="AA438" i="2"/>
  <c r="AD438" i="2" s="1"/>
  <c r="AC437" i="2"/>
  <c r="AD437" i="2" s="1"/>
  <c r="AB437" i="2"/>
  <c r="AA437" i="2"/>
  <c r="AD436" i="2"/>
  <c r="AC436" i="2"/>
  <c r="AB436" i="2"/>
  <c r="AA436" i="2"/>
  <c r="AC435" i="2"/>
  <c r="AA435" i="2"/>
  <c r="Y435" i="2" s="1"/>
  <c r="P434" i="2"/>
  <c r="N434" i="2"/>
  <c r="AC433" i="2"/>
  <c r="Y433" i="2" s="1"/>
  <c r="AA433" i="2"/>
  <c r="P433" i="2"/>
  <c r="N433" i="2"/>
  <c r="P432" i="2"/>
  <c r="N432" i="2"/>
  <c r="P431" i="2"/>
  <c r="N431" i="2"/>
  <c r="AD430" i="2"/>
  <c r="Z430" i="2"/>
  <c r="Y430" i="2"/>
  <c r="AC430" i="2" s="1"/>
  <c r="P430" i="2"/>
  <c r="N430" i="2"/>
  <c r="P428" i="2"/>
  <c r="N428" i="2"/>
  <c r="AD427" i="2"/>
  <c r="Y427" i="2"/>
  <c r="AC427" i="2" s="1"/>
  <c r="P427" i="2"/>
  <c r="N427" i="2"/>
  <c r="AC426" i="2"/>
  <c r="AA426" i="2"/>
  <c r="Y426" i="2"/>
  <c r="P426" i="2"/>
  <c r="N426" i="2"/>
  <c r="P425" i="2"/>
  <c r="N425" i="2"/>
  <c r="AD424" i="2"/>
  <c r="AC424" i="2"/>
  <c r="AD423" i="2"/>
  <c r="AC423" i="2"/>
  <c r="AA422" i="2"/>
  <c r="AC422" i="2" s="1"/>
  <c r="AD422" i="2" s="1"/>
  <c r="AA418" i="2"/>
  <c r="AC418" i="2" s="1"/>
  <c r="AD418" i="2" s="1"/>
  <c r="P415" i="2"/>
  <c r="N415" i="2"/>
  <c r="AC414" i="2"/>
  <c r="Y414" i="2"/>
  <c r="P414" i="2"/>
  <c r="N414" i="2"/>
  <c r="AD413" i="2"/>
  <c r="AC413" i="2"/>
  <c r="AD412" i="2"/>
  <c r="AC412" i="2"/>
  <c r="P411" i="2"/>
  <c r="N411" i="2"/>
  <c r="AC410" i="2"/>
  <c r="Y410" i="2" s="1"/>
  <c r="AA410" i="2"/>
  <c r="P410" i="2"/>
  <c r="N410" i="2"/>
  <c r="AD404" i="2"/>
  <c r="Y404" i="2"/>
  <c r="AC404" i="2" s="1"/>
  <c r="P404" i="2"/>
  <c r="N404" i="2"/>
  <c r="AD403" i="2"/>
  <c r="Y403" i="2"/>
  <c r="AC403" i="2" s="1"/>
  <c r="P403" i="2"/>
  <c r="N403" i="2"/>
  <c r="AD402" i="2"/>
  <c r="AC402" i="2"/>
  <c r="AD401" i="2"/>
  <c r="AC401" i="2"/>
  <c r="AD400" i="2"/>
  <c r="AC400" i="2"/>
  <c r="AD399" i="2"/>
  <c r="Y399" i="2"/>
  <c r="AC399" i="2" s="1"/>
  <c r="P399" i="2"/>
  <c r="N399" i="2"/>
  <c r="AD398" i="2"/>
  <c r="Y398" i="2"/>
  <c r="AC398" i="2" s="1"/>
  <c r="AD397" i="2"/>
  <c r="AC397" i="2"/>
  <c r="AD396" i="2"/>
  <c r="Y396" i="2"/>
  <c r="AC396" i="2" s="1"/>
  <c r="P396" i="2"/>
  <c r="N396" i="2"/>
  <c r="AD395" i="2"/>
  <c r="AC395" i="2"/>
  <c r="Y395" i="2"/>
  <c r="P395" i="2"/>
  <c r="N395" i="2"/>
  <c r="AD394" i="2"/>
  <c r="AC394" i="2"/>
  <c r="AA393" i="2"/>
  <c r="AD393" i="2" s="1"/>
  <c r="AD392" i="2"/>
  <c r="AC392" i="2"/>
  <c r="AD391" i="2"/>
  <c r="AC391" i="2"/>
  <c r="AA390" i="2"/>
  <c r="AC390" i="2" s="1"/>
  <c r="AD390" i="2" s="1"/>
  <c r="AC389" i="2"/>
  <c r="Y389" i="2" s="1"/>
  <c r="AA389" i="2"/>
  <c r="P389" i="2"/>
  <c r="N389" i="2"/>
  <c r="AD388" i="2"/>
  <c r="AC388" i="2"/>
  <c r="P388" i="2"/>
  <c r="N388" i="2"/>
  <c r="AB387" i="2"/>
  <c r="AA387" i="2"/>
  <c r="AC387" i="2" s="1"/>
  <c r="AA386" i="2"/>
  <c r="AD386" i="2" s="1"/>
  <c r="AD385" i="2"/>
  <c r="AA385" i="2"/>
  <c r="AC385" i="2" s="1"/>
  <c r="AD384" i="2"/>
  <c r="AC384" i="2"/>
  <c r="AA384" i="2"/>
  <c r="AA383" i="2"/>
  <c r="AD383" i="2" s="1"/>
  <c r="AB382" i="2"/>
  <c r="AA382" i="2"/>
  <c r="AC382" i="2" s="1"/>
  <c r="AB381" i="2"/>
  <c r="AA381" i="2"/>
  <c r="AD381" i="2" s="1"/>
  <c r="AB380" i="2"/>
  <c r="AA380" i="2"/>
  <c r="AC380" i="2" s="1"/>
  <c r="P379" i="2"/>
  <c r="N379" i="2"/>
  <c r="P378" i="2"/>
  <c r="N378" i="2"/>
  <c r="P377" i="2"/>
  <c r="N377" i="2"/>
  <c r="P376" i="2"/>
  <c r="N376" i="2"/>
  <c r="AA375" i="2"/>
  <c r="Y375" i="2"/>
  <c r="AD374" i="2"/>
  <c r="AC374" i="2"/>
  <c r="AD373" i="2"/>
  <c r="Y373" i="2"/>
  <c r="AC373" i="2" s="1"/>
  <c r="P373" i="2"/>
  <c r="N373" i="2"/>
  <c r="AC372" i="2"/>
  <c r="AA372" i="2"/>
  <c r="Y372" i="2"/>
  <c r="P372" i="2"/>
  <c r="N372" i="2"/>
  <c r="AD371" i="2"/>
  <c r="AC371" i="2"/>
  <c r="Y371" i="2" s="1"/>
  <c r="AA371" i="2"/>
  <c r="P371" i="2"/>
  <c r="N371" i="2"/>
  <c r="AC370" i="2"/>
  <c r="Y370" i="2"/>
  <c r="P370" i="2"/>
  <c r="N370" i="2"/>
  <c r="AD369" i="2"/>
  <c r="AC369" i="2"/>
  <c r="AD368" i="2"/>
  <c r="AC368" i="2"/>
  <c r="AD367" i="2"/>
  <c r="AC367" i="2"/>
  <c r="AD366" i="2"/>
  <c r="AC366" i="2"/>
  <c r="AD365" i="2"/>
  <c r="Y365" i="2"/>
  <c r="AC365" i="2" s="1"/>
  <c r="P363" i="2"/>
  <c r="N363" i="2"/>
  <c r="P362" i="2"/>
  <c r="N362" i="2"/>
  <c r="AD361" i="2"/>
  <c r="AC361" i="2"/>
  <c r="AD360" i="2"/>
  <c r="AC360" i="2"/>
  <c r="P359" i="2"/>
  <c r="N359" i="2"/>
  <c r="P358" i="2"/>
  <c r="N358" i="2"/>
  <c r="AC356" i="2"/>
  <c r="Y356" i="2" s="1"/>
  <c r="AA356" i="2"/>
  <c r="AC355" i="2"/>
  <c r="Y355" i="2" s="1"/>
  <c r="AA355" i="2"/>
  <c r="AD354" i="2"/>
  <c r="Y354" i="2"/>
  <c r="AC354" i="2" s="1"/>
  <c r="P354" i="2"/>
  <c r="N354" i="2"/>
  <c r="P353" i="2"/>
  <c r="N353" i="2"/>
  <c r="AC352" i="2"/>
  <c r="AA352" i="2"/>
  <c r="Y352" i="2"/>
  <c r="P352" i="2"/>
  <c r="N352" i="2"/>
  <c r="AC351" i="2"/>
  <c r="AA351" i="2"/>
  <c r="Y351" i="2"/>
  <c r="P351" i="2"/>
  <c r="N351" i="2"/>
  <c r="AD349" i="2"/>
  <c r="AC349" i="2"/>
  <c r="AD348" i="2"/>
  <c r="Y348" i="2"/>
  <c r="AC348" i="2" s="1"/>
  <c r="P348" i="2"/>
  <c r="N348" i="2"/>
  <c r="AD347" i="2"/>
  <c r="AD346" i="2"/>
  <c r="AC346" i="2"/>
  <c r="AA346" i="2"/>
  <c r="AC345" i="2"/>
  <c r="AA345" i="2"/>
  <c r="AD345" i="2" s="1"/>
  <c r="AD344" i="2"/>
  <c r="AC344" i="2"/>
  <c r="AD343" i="2"/>
  <c r="AC343" i="2"/>
  <c r="AD342" i="2"/>
  <c r="AC342" i="2"/>
  <c r="AD341" i="2"/>
  <c r="AC341" i="2"/>
  <c r="P341" i="2"/>
  <c r="N341" i="2"/>
  <c r="AD340" i="2"/>
  <c r="AD339" i="2"/>
  <c r="AC339" i="2"/>
  <c r="Y339" i="2"/>
  <c r="AD338" i="2"/>
  <c r="AC338" i="2"/>
  <c r="AD337" i="2"/>
  <c r="AC337" i="2"/>
  <c r="AD336" i="2"/>
  <c r="AC336" i="2"/>
  <c r="AD335" i="2"/>
  <c r="AC335" i="2"/>
  <c r="AD334" i="2"/>
  <c r="AC334" i="2"/>
  <c r="Y334" i="2"/>
  <c r="P334" i="2"/>
  <c r="N334" i="2"/>
  <c r="AD333" i="2"/>
  <c r="AC333" i="2"/>
  <c r="Y333" i="2"/>
  <c r="P333" i="2"/>
  <c r="N333" i="2"/>
  <c r="P332" i="2"/>
  <c r="N332" i="2"/>
  <c r="P331" i="2"/>
  <c r="N331" i="2"/>
  <c r="AD330" i="2"/>
  <c r="Y330" i="2"/>
  <c r="AC330" i="2" s="1"/>
  <c r="P330" i="2"/>
  <c r="N330" i="2"/>
  <c r="P329" i="2"/>
  <c r="N329" i="2"/>
  <c r="P328" i="2"/>
  <c r="N328" i="2"/>
  <c r="P327" i="2"/>
  <c r="N327" i="2"/>
  <c r="AD326" i="2"/>
  <c r="Y326" i="2"/>
  <c r="AC326" i="2" s="1"/>
  <c r="P326" i="2"/>
  <c r="AD304" i="2"/>
  <c r="AC304" i="2"/>
  <c r="AA304" i="2"/>
  <c r="AD303" i="2"/>
  <c r="AC303" i="2"/>
  <c r="AA303" i="2"/>
  <c r="AC302" i="2"/>
  <c r="AA302" i="2"/>
  <c r="AD302" i="2" s="1"/>
  <c r="AC301" i="2"/>
  <c r="AA301" i="2"/>
  <c r="AD301" i="2" s="1"/>
  <c r="AD300" i="2"/>
  <c r="AC300" i="2"/>
  <c r="AA300" i="2"/>
  <c r="AD299" i="2"/>
  <c r="AC299" i="2"/>
  <c r="AA299" i="2"/>
  <c r="AC298" i="2"/>
  <c r="AA298" i="2"/>
  <c r="AD298" i="2" s="1"/>
  <c r="AC297" i="2"/>
  <c r="AA297" i="2"/>
  <c r="AD297" i="2" s="1"/>
  <c r="AD296" i="2"/>
  <c r="AC296" i="2"/>
  <c r="AA296" i="2"/>
  <c r="AD295" i="2"/>
  <c r="AC295" i="2"/>
  <c r="AA295" i="2"/>
  <c r="AC294" i="2"/>
  <c r="AA294" i="2"/>
  <c r="AD294" i="2" s="1"/>
  <c r="AC293" i="2"/>
  <c r="AA293" i="2"/>
  <c r="AD293" i="2" s="1"/>
  <c r="AD292" i="2"/>
  <c r="AC292" i="2"/>
  <c r="AA292" i="2"/>
  <c r="AD291" i="2"/>
  <c r="AC291" i="2"/>
  <c r="AA291" i="2"/>
  <c r="AC290" i="2"/>
  <c r="AA290" i="2"/>
  <c r="AD290" i="2" s="1"/>
  <c r="AC289" i="2"/>
  <c r="AA289" i="2"/>
  <c r="AD289" i="2" s="1"/>
  <c r="AD288" i="2"/>
  <c r="AC288" i="2"/>
  <c r="AA288" i="2"/>
  <c r="AD287" i="2"/>
  <c r="AC287" i="2"/>
  <c r="AA287" i="2"/>
  <c r="AC286" i="2"/>
  <c r="AA286" i="2"/>
  <c r="AD286" i="2" s="1"/>
  <c r="AC285" i="2"/>
  <c r="AA285" i="2"/>
  <c r="AD285" i="2" s="1"/>
  <c r="AD284" i="2"/>
  <c r="AC284" i="2"/>
  <c r="AA284" i="2"/>
  <c r="AD283" i="2"/>
  <c r="AC283" i="2"/>
  <c r="AA283" i="2"/>
  <c r="AC282" i="2"/>
  <c r="AA282" i="2"/>
  <c r="AD282" i="2" s="1"/>
  <c r="AC281" i="2"/>
  <c r="AA281" i="2"/>
  <c r="AD281" i="2" s="1"/>
  <c r="AD280" i="2"/>
  <c r="AC280" i="2"/>
  <c r="AA280" i="2"/>
  <c r="AD279" i="2"/>
  <c r="AC279" i="2"/>
  <c r="AA279" i="2"/>
  <c r="AC278" i="2"/>
  <c r="AA278" i="2"/>
  <c r="AD278" i="2" s="1"/>
  <c r="AC277" i="2"/>
  <c r="AA277" i="2"/>
  <c r="AD277" i="2" s="1"/>
  <c r="AD276" i="2"/>
  <c r="AC276" i="2"/>
  <c r="AA276" i="2"/>
  <c r="AD275" i="2"/>
  <c r="AC275" i="2"/>
  <c r="AA275" i="2"/>
  <c r="AC274" i="2"/>
  <c r="AA274" i="2"/>
  <c r="AD274" i="2" s="1"/>
  <c r="AC273" i="2"/>
  <c r="AA273" i="2"/>
  <c r="AD273" i="2" s="1"/>
  <c r="AD272" i="2"/>
  <c r="AC272" i="2"/>
  <c r="AA272" i="2"/>
  <c r="AD271" i="2"/>
  <c r="AC271" i="2"/>
  <c r="AA271" i="2"/>
  <c r="AC270" i="2"/>
  <c r="AA270" i="2"/>
  <c r="AD270" i="2" s="1"/>
  <c r="AC269" i="2"/>
  <c r="AA269" i="2"/>
  <c r="AD269" i="2" s="1"/>
  <c r="AD268" i="2"/>
  <c r="AC268" i="2"/>
  <c r="AA268" i="2"/>
  <c r="AD267" i="2"/>
  <c r="AC267" i="2"/>
  <c r="AA267" i="2"/>
  <c r="AC266" i="2"/>
  <c r="AA266" i="2"/>
  <c r="AD266" i="2" s="1"/>
  <c r="AC265" i="2"/>
  <c r="AA265" i="2"/>
  <c r="AD265" i="2" s="1"/>
  <c r="AD264" i="2"/>
  <c r="AC264" i="2"/>
  <c r="AA264" i="2"/>
  <c r="AD263" i="2"/>
  <c r="AC263" i="2"/>
  <c r="AA263" i="2"/>
  <c r="AC262" i="2"/>
  <c r="AA262" i="2"/>
  <c r="AD262" i="2" s="1"/>
  <c r="AC261" i="2"/>
  <c r="AA261" i="2"/>
  <c r="AD261" i="2" s="1"/>
  <c r="AD260" i="2"/>
  <c r="AC260" i="2"/>
  <c r="AA260" i="2"/>
  <c r="AD259" i="2"/>
  <c r="AC259" i="2"/>
  <c r="AA259" i="2"/>
  <c r="AC258" i="2"/>
  <c r="AA258" i="2"/>
  <c r="AD258" i="2" s="1"/>
  <c r="AC257" i="2"/>
  <c r="AA257" i="2"/>
  <c r="AD257" i="2" s="1"/>
  <c r="AD256" i="2"/>
  <c r="AC256" i="2"/>
  <c r="AA256" i="2"/>
  <c r="AC255" i="2"/>
  <c r="AA255" i="2"/>
  <c r="AD255" i="2" s="1"/>
  <c r="AC254" i="2"/>
  <c r="AA254" i="2"/>
  <c r="AD254" i="2" s="1"/>
  <c r="AC253" i="2"/>
  <c r="AA253" i="2"/>
  <c r="AD253" i="2" s="1"/>
  <c r="AD252" i="2"/>
  <c r="AC252" i="2"/>
  <c r="AA252" i="2"/>
  <c r="AD251" i="2"/>
  <c r="AC251" i="2"/>
  <c r="AA251" i="2"/>
  <c r="AC250" i="2"/>
  <c r="AA250" i="2"/>
  <c r="AD250" i="2" s="1"/>
  <c r="AC249" i="2"/>
  <c r="AA249" i="2"/>
  <c r="AD249" i="2" s="1"/>
  <c r="AD248" i="2"/>
  <c r="AC248" i="2"/>
  <c r="AA248" i="2"/>
  <c r="AC247" i="2"/>
  <c r="AA247" i="2"/>
  <c r="AD247" i="2" s="1"/>
  <c r="AC246" i="2"/>
  <c r="AA246" i="2"/>
  <c r="AD246" i="2" s="1"/>
  <c r="AC245" i="2"/>
  <c r="AA245" i="2"/>
  <c r="AD245" i="2" s="1"/>
  <c r="AD244" i="2"/>
  <c r="AC244" i="2"/>
  <c r="AA244" i="2"/>
  <c r="AD243" i="2"/>
  <c r="AC243" i="2"/>
  <c r="AA243" i="2"/>
  <c r="AC242" i="2"/>
  <c r="AA242" i="2"/>
  <c r="AD242" i="2" s="1"/>
  <c r="AC241" i="2"/>
  <c r="AA241" i="2"/>
  <c r="AD241" i="2" s="1"/>
  <c r="AD240" i="2"/>
  <c r="AC240" i="2"/>
  <c r="AA240" i="2"/>
  <c r="AC239" i="2"/>
  <c r="AA239" i="2"/>
  <c r="AD239" i="2" s="1"/>
  <c r="AC238" i="2"/>
  <c r="AA238" i="2"/>
  <c r="AD238" i="2" s="1"/>
  <c r="AD237" i="2"/>
  <c r="AC237" i="2"/>
  <c r="AA237" i="2"/>
  <c r="AD236" i="2"/>
  <c r="AC236" i="2"/>
  <c r="AA236" i="2"/>
  <c r="AD234" i="2"/>
  <c r="AC234" i="2"/>
  <c r="AA234" i="2"/>
  <c r="AC233" i="2"/>
  <c r="AA233" i="2"/>
  <c r="AD233" i="2" s="1"/>
  <c r="AC232" i="2"/>
  <c r="AA232" i="2"/>
  <c r="AD232" i="2" s="1"/>
  <c r="AD231" i="2"/>
  <c r="AC231" i="2"/>
  <c r="AA231" i="2"/>
  <c r="AC230" i="2"/>
  <c r="AA230" i="2"/>
  <c r="AD230" i="2" s="1"/>
  <c r="AC229" i="2"/>
  <c r="AA229" i="2"/>
  <c r="AD229" i="2" s="1"/>
  <c r="AD228" i="2"/>
  <c r="AC228" i="2"/>
  <c r="AA228" i="2"/>
  <c r="AD227" i="2"/>
  <c r="AC227" i="2"/>
  <c r="AA227" i="2"/>
  <c r="AD226" i="2"/>
  <c r="AC226" i="2"/>
  <c r="AA226" i="2"/>
  <c r="AC225" i="2"/>
  <c r="AA225" i="2"/>
  <c r="AD225" i="2" s="1"/>
  <c r="AC224" i="2"/>
  <c r="AA224" i="2"/>
  <c r="AD224" i="2" s="1"/>
  <c r="AD223" i="2"/>
  <c r="AC223" i="2"/>
  <c r="AA223" i="2"/>
  <c r="AC222" i="2"/>
  <c r="AA222" i="2"/>
  <c r="AD222" i="2" s="1"/>
  <c r="AC221" i="2"/>
  <c r="AA221" i="2"/>
  <c r="AD221" i="2" s="1"/>
  <c r="AD220" i="2"/>
  <c r="AC220" i="2"/>
  <c r="AA220" i="2"/>
  <c r="AD219" i="2"/>
  <c r="AC219" i="2"/>
  <c r="AA219" i="2"/>
  <c r="AD218" i="2"/>
  <c r="AC218" i="2"/>
  <c r="AA218" i="2"/>
  <c r="AC217" i="2"/>
  <c r="AA217" i="2"/>
  <c r="AD217" i="2" s="1"/>
  <c r="AC216" i="2"/>
  <c r="AA216" i="2"/>
  <c r="AD216" i="2" s="1"/>
  <c r="AD215" i="2"/>
  <c r="AC215" i="2"/>
  <c r="AA215" i="2"/>
  <c r="AC214" i="2"/>
  <c r="AA214" i="2"/>
  <c r="AD214" i="2" s="1"/>
  <c r="AC213" i="2"/>
  <c r="AA213" i="2"/>
  <c r="AD213" i="2" s="1"/>
  <c r="AC212" i="2"/>
  <c r="AA212" i="2"/>
  <c r="AD212" i="2" s="1"/>
  <c r="AD211" i="2"/>
  <c r="AC211" i="2"/>
  <c r="AA211" i="2"/>
  <c r="AD210" i="2"/>
  <c r="AC210" i="2"/>
  <c r="AA210" i="2"/>
  <c r="AC209" i="2"/>
  <c r="AA209" i="2"/>
  <c r="AD209" i="2" s="1"/>
  <c r="AC208" i="2"/>
  <c r="AA208" i="2"/>
  <c r="AD208" i="2" s="1"/>
  <c r="AD207" i="2"/>
  <c r="AC207" i="2"/>
  <c r="AA207" i="2"/>
  <c r="AD206" i="2"/>
  <c r="AC206" i="2"/>
  <c r="AA206" i="2"/>
  <c r="AC205" i="2"/>
  <c r="AA205" i="2"/>
  <c r="AD205" i="2" s="1"/>
  <c r="AC204" i="2"/>
  <c r="AA204" i="2"/>
  <c r="AD204" i="2" s="1"/>
  <c r="AD203" i="2"/>
  <c r="AC203" i="2"/>
  <c r="AA203" i="2"/>
  <c r="AD202" i="2"/>
  <c r="AC202" i="2"/>
  <c r="AA202" i="2"/>
  <c r="AC201" i="2"/>
  <c r="AA201" i="2"/>
  <c r="AD201" i="2" s="1"/>
  <c r="AC200" i="2"/>
  <c r="AA200" i="2"/>
  <c r="AD200" i="2" s="1"/>
  <c r="AD199" i="2"/>
  <c r="AC199" i="2"/>
  <c r="AA199" i="2"/>
  <c r="AD198" i="2"/>
  <c r="AC198" i="2"/>
  <c r="AA198" i="2"/>
  <c r="AC197" i="2"/>
  <c r="AA197" i="2"/>
  <c r="AD197" i="2" s="1"/>
  <c r="AC196" i="2"/>
  <c r="AA196" i="2"/>
  <c r="AD196" i="2" s="1"/>
  <c r="AC195" i="2"/>
  <c r="AA195" i="2"/>
  <c r="AD195" i="2" s="1"/>
  <c r="AD194" i="2"/>
  <c r="AC194" i="2"/>
  <c r="AA194" i="2"/>
  <c r="AC193" i="2"/>
  <c r="AA193" i="2"/>
  <c r="AD193" i="2" s="1"/>
  <c r="AC192" i="2"/>
  <c r="AA192" i="2"/>
  <c r="AD192" i="2" s="1"/>
  <c r="AD191" i="2"/>
  <c r="AC191" i="2"/>
  <c r="AA191" i="2"/>
  <c r="AD190" i="2"/>
  <c r="AC190" i="2"/>
  <c r="AA190" i="2"/>
  <c r="AC189" i="2"/>
  <c r="AA189" i="2"/>
  <c r="AD189" i="2" s="1"/>
  <c r="AC188" i="2"/>
  <c r="AA188" i="2"/>
  <c r="AD188" i="2" s="1"/>
  <c r="AC187" i="2"/>
  <c r="AA187" i="2"/>
  <c r="AD187" i="2" s="1"/>
  <c r="AD186" i="2"/>
  <c r="AC186" i="2"/>
  <c r="AA186" i="2"/>
  <c r="AC185" i="2"/>
  <c r="AA185" i="2"/>
  <c r="AD185" i="2" s="1"/>
  <c r="AC184" i="2"/>
  <c r="AA184" i="2"/>
  <c r="AD184" i="2" s="1"/>
  <c r="AD183" i="2"/>
  <c r="AC183" i="2"/>
  <c r="AA183" i="2"/>
  <c r="AD182" i="2"/>
  <c r="AC182" i="2"/>
  <c r="AA182" i="2"/>
  <c r="AC181" i="2"/>
  <c r="AA181" i="2"/>
  <c r="AD181" i="2" s="1"/>
  <c r="AC180" i="2"/>
  <c r="AA180" i="2"/>
  <c r="AD180" i="2" s="1"/>
  <c r="AC179" i="2"/>
  <c r="AA179" i="2"/>
  <c r="AD179" i="2" s="1"/>
  <c r="AD178" i="2"/>
  <c r="AC178" i="2"/>
  <c r="AA178" i="2"/>
  <c r="AC177" i="2"/>
  <c r="AA177" i="2"/>
  <c r="AD177" i="2" s="1"/>
  <c r="AC176" i="2"/>
  <c r="AA176" i="2"/>
  <c r="AD176" i="2" s="1"/>
  <c r="AD175" i="2"/>
  <c r="AC175" i="2"/>
  <c r="AA175" i="2"/>
  <c r="AD174" i="2"/>
  <c r="AC174" i="2"/>
  <c r="AA174" i="2"/>
  <c r="AC173" i="2"/>
  <c r="AA173" i="2"/>
  <c r="AD173" i="2" s="1"/>
  <c r="AC172" i="2"/>
  <c r="AA172" i="2"/>
  <c r="AD172" i="2" s="1"/>
  <c r="AC171" i="2"/>
  <c r="AA171" i="2"/>
  <c r="AD171" i="2" s="1"/>
  <c r="AD170" i="2"/>
  <c r="AC170" i="2"/>
  <c r="AA170" i="2"/>
  <c r="AC169" i="2"/>
  <c r="AA169" i="2"/>
  <c r="AD169" i="2" s="1"/>
  <c r="AC168" i="2"/>
  <c r="AA168" i="2"/>
  <c r="AD168" i="2" s="1"/>
  <c r="AD167" i="2"/>
  <c r="AC167" i="2"/>
  <c r="AA167" i="2"/>
  <c r="AD166" i="2"/>
  <c r="AC166" i="2"/>
  <c r="AA166" i="2"/>
  <c r="AC165" i="2"/>
  <c r="AA165" i="2"/>
  <c r="AD165" i="2" s="1"/>
  <c r="AC164" i="2"/>
  <c r="AA164" i="2"/>
  <c r="AD164" i="2" s="1"/>
  <c r="AC163" i="2"/>
  <c r="AA163" i="2"/>
  <c r="AD163" i="2" s="1"/>
  <c r="AD162" i="2"/>
  <c r="AC162" i="2"/>
  <c r="AA162" i="2"/>
  <c r="AC161" i="2"/>
  <c r="AA161" i="2"/>
  <c r="AD161" i="2" s="1"/>
  <c r="AC160" i="2"/>
  <c r="AA160" i="2"/>
  <c r="AD160" i="2" s="1"/>
  <c r="AD159" i="2"/>
  <c r="AC159" i="2"/>
  <c r="AA159" i="2"/>
  <c r="AD158" i="2"/>
  <c r="AC158" i="2"/>
  <c r="AA158" i="2"/>
  <c r="AC157" i="2"/>
  <c r="AA157" i="2"/>
  <c r="AD157" i="2" s="1"/>
  <c r="AC156" i="2"/>
  <c r="AA156" i="2"/>
  <c r="AD156" i="2" s="1"/>
  <c r="AC155" i="2"/>
  <c r="AA155" i="2"/>
  <c r="AD155" i="2" s="1"/>
  <c r="AD154" i="2"/>
  <c r="AC154" i="2"/>
  <c r="AA154" i="2"/>
  <c r="AC153" i="2"/>
  <c r="AA153" i="2"/>
  <c r="AD153" i="2" s="1"/>
  <c r="AC152" i="2"/>
  <c r="AA152" i="2"/>
  <c r="AD152" i="2" s="1"/>
  <c r="AD151" i="2"/>
  <c r="AC151" i="2"/>
  <c r="AA151" i="2"/>
  <c r="AD150" i="2"/>
  <c r="AC150" i="2"/>
  <c r="AA150" i="2"/>
  <c r="AC149" i="2"/>
  <c r="AA149" i="2"/>
  <c r="AD149" i="2" s="1"/>
  <c r="AC148" i="2"/>
  <c r="AA148" i="2"/>
  <c r="AD148" i="2" s="1"/>
  <c r="AC147" i="2"/>
  <c r="AA147" i="2"/>
  <c r="AD147" i="2" s="1"/>
  <c r="AD146" i="2"/>
  <c r="AC146" i="2"/>
  <c r="AA146" i="2"/>
  <c r="AC145" i="2"/>
  <c r="AA145" i="2"/>
  <c r="AD145" i="2" s="1"/>
  <c r="AC144" i="2"/>
  <c r="AA144" i="2"/>
  <c r="AD144" i="2" s="1"/>
  <c r="AD143" i="2"/>
  <c r="AC143" i="2"/>
  <c r="AA143" i="2"/>
  <c r="AD142" i="2"/>
  <c r="AC142" i="2"/>
  <c r="AA142" i="2"/>
  <c r="AC141" i="2"/>
  <c r="AA141" i="2"/>
  <c r="AD141" i="2" s="1"/>
  <c r="AC140" i="2"/>
  <c r="AA140" i="2"/>
  <c r="AD140" i="2" s="1"/>
  <c r="AC139" i="2"/>
  <c r="AA139" i="2"/>
  <c r="AD139" i="2" s="1"/>
  <c r="AD138" i="2"/>
  <c r="AC138" i="2"/>
  <c r="AA138" i="2"/>
  <c r="AC137" i="2"/>
  <c r="AA137" i="2"/>
  <c r="AD137" i="2" s="1"/>
  <c r="AC136" i="2"/>
  <c r="AA136" i="2"/>
  <c r="AD136" i="2" s="1"/>
  <c r="AD135" i="2"/>
  <c r="AC135" i="2"/>
  <c r="AA135" i="2"/>
  <c r="AD134" i="2"/>
  <c r="AC134" i="2"/>
  <c r="AA134" i="2"/>
  <c r="AC133" i="2"/>
  <c r="AA133" i="2"/>
  <c r="AD133" i="2" s="1"/>
  <c r="AC132" i="2"/>
  <c r="AA132" i="2"/>
  <c r="AD132" i="2" s="1"/>
  <c r="AC131" i="2"/>
  <c r="AA131" i="2"/>
  <c r="AD131" i="2" s="1"/>
  <c r="AD130" i="2"/>
  <c r="AC130" i="2"/>
  <c r="AA130" i="2"/>
  <c r="AC129" i="2"/>
  <c r="AA129" i="2"/>
  <c r="AD129" i="2" s="1"/>
  <c r="AC128" i="2"/>
  <c r="AA128" i="2"/>
  <c r="AD128" i="2" s="1"/>
  <c r="AD127" i="2"/>
  <c r="AC127" i="2"/>
  <c r="AA127" i="2"/>
  <c r="AD126" i="2"/>
  <c r="AC126" i="2"/>
  <c r="AA126" i="2"/>
  <c r="AC125" i="2"/>
  <c r="AA125" i="2"/>
  <c r="AD125" i="2" s="1"/>
  <c r="AC124" i="2"/>
  <c r="AA124" i="2"/>
  <c r="AD124" i="2" s="1"/>
  <c r="AC123" i="2"/>
  <c r="AA123" i="2"/>
  <c r="AD123" i="2" s="1"/>
  <c r="AD122" i="2"/>
  <c r="AC122" i="2"/>
  <c r="AA122" i="2"/>
  <c r="AC121" i="2"/>
  <c r="AA121" i="2"/>
  <c r="AD121" i="2" s="1"/>
  <c r="AA120" i="2"/>
  <c r="AC120" i="2" s="1"/>
  <c r="AD120" i="2" s="1"/>
  <c r="AA119" i="2"/>
  <c r="AC119" i="2" s="1"/>
  <c r="AD119" i="2" s="1"/>
  <c r="AD118" i="2"/>
  <c r="AC118" i="2"/>
  <c r="AA118" i="2"/>
  <c r="AA117" i="2"/>
  <c r="AC117" i="2" s="1"/>
  <c r="AD117" i="2" s="1"/>
  <c r="AA116" i="2"/>
  <c r="AC116" i="2" s="1"/>
  <c r="AD116" i="2" s="1"/>
  <c r="AA115" i="2"/>
  <c r="AC115" i="2" s="1"/>
  <c r="AD115" i="2" s="1"/>
  <c r="AC114" i="2"/>
  <c r="AD114" i="2" s="1"/>
  <c r="AA114" i="2"/>
  <c r="AC113" i="2"/>
  <c r="AD113" i="2" s="1"/>
  <c r="AA113" i="2"/>
  <c r="AA112" i="2"/>
  <c r="AC112" i="2" s="1"/>
  <c r="AD112" i="2" s="1"/>
  <c r="AA111" i="2"/>
  <c r="AC111" i="2" s="1"/>
  <c r="AD111" i="2" s="1"/>
  <c r="AD110" i="2"/>
  <c r="AC110" i="2"/>
  <c r="AA110" i="2"/>
  <c r="AA109" i="2"/>
  <c r="AC109" i="2" s="1"/>
  <c r="AD109" i="2" s="1"/>
  <c r="AA108" i="2"/>
  <c r="AC108" i="2" s="1"/>
  <c r="AD108" i="2" s="1"/>
  <c r="AA107" i="2"/>
  <c r="AC107" i="2" s="1"/>
  <c r="AD107" i="2" s="1"/>
  <c r="AD106" i="2"/>
  <c r="AC106" i="2"/>
  <c r="AA106" i="2"/>
  <c r="AC105" i="2"/>
  <c r="AA105" i="2"/>
  <c r="AD105" i="2" s="1"/>
  <c r="AC104" i="2"/>
  <c r="AA104" i="2"/>
  <c r="AD104" i="2" s="1"/>
  <c r="AD103" i="2"/>
  <c r="AC103" i="2"/>
  <c r="AA103" i="2"/>
  <c r="AD102" i="2"/>
  <c r="AC102" i="2"/>
  <c r="AD101" i="2"/>
  <c r="AC101" i="2"/>
  <c r="AA101" i="2"/>
  <c r="AD100" i="2"/>
  <c r="AC100" i="2"/>
  <c r="AA100" i="2"/>
  <c r="AD99" i="2"/>
  <c r="AC99" i="2"/>
  <c r="AA99" i="2"/>
  <c r="AD98" i="2"/>
  <c r="AC98" i="2"/>
  <c r="AA98" i="2"/>
  <c r="AD97" i="2"/>
  <c r="AC97" i="2"/>
  <c r="AA97" i="2"/>
  <c r="AD96" i="2"/>
  <c r="AC96" i="2"/>
  <c r="AA96" i="2"/>
  <c r="AD95" i="2"/>
  <c r="AC95" i="2"/>
  <c r="AA95" i="2"/>
  <c r="AD94" i="2"/>
  <c r="AC94" i="2"/>
  <c r="AA94" i="2"/>
  <c r="AD92" i="2"/>
  <c r="AC92" i="2"/>
  <c r="AA92" i="2"/>
  <c r="AD91" i="2"/>
  <c r="AC91" i="2"/>
  <c r="AA91" i="2"/>
  <c r="AD90" i="2"/>
  <c r="AC90" i="2"/>
  <c r="AA90" i="2"/>
  <c r="AD89" i="2"/>
  <c r="AC89" i="2"/>
  <c r="AA89" i="2"/>
  <c r="AD88" i="2"/>
  <c r="AC88" i="2"/>
  <c r="AA88" i="2"/>
  <c r="AD87" i="2"/>
  <c r="AC87" i="2"/>
  <c r="AD86" i="2"/>
  <c r="AC86" i="2"/>
  <c r="AD85" i="2"/>
  <c r="AC85" i="2"/>
  <c r="AA85" i="2"/>
  <c r="AD84" i="2"/>
  <c r="AC84" i="2"/>
  <c r="AA84" i="2"/>
  <c r="AD83" i="2"/>
  <c r="AC83" i="2"/>
  <c r="AA83" i="2"/>
  <c r="AD81" i="2"/>
  <c r="AC81" i="2"/>
  <c r="AA81" i="2"/>
  <c r="AD80" i="2"/>
  <c r="AC80" i="2"/>
  <c r="AA80" i="2"/>
  <c r="AD79" i="2"/>
  <c r="AC79" i="2"/>
  <c r="AA79" i="2"/>
  <c r="AD78" i="2"/>
  <c r="AC78" i="2"/>
  <c r="AA78" i="2"/>
  <c r="AD77" i="2"/>
  <c r="AC77" i="2"/>
  <c r="AA77" i="2"/>
  <c r="AD76" i="2"/>
  <c r="AC76" i="2"/>
  <c r="AA76" i="2"/>
  <c r="AD75" i="2"/>
  <c r="AC75" i="2"/>
  <c r="AA75" i="2"/>
  <c r="AD74" i="2"/>
  <c r="AC74" i="2"/>
  <c r="AA74" i="2"/>
  <c r="AD73" i="2"/>
  <c r="AC73" i="2"/>
  <c r="AA73" i="2"/>
  <c r="AD72" i="2"/>
  <c r="AC72" i="2"/>
  <c r="AA72" i="2"/>
  <c r="AD71" i="2"/>
  <c r="AC71" i="2"/>
  <c r="AA71" i="2"/>
  <c r="AD70" i="2"/>
  <c r="AC70" i="2"/>
  <c r="AA70" i="2"/>
  <c r="AD69" i="2"/>
  <c r="AC69" i="2"/>
  <c r="AA69" i="2"/>
  <c r="AD68" i="2"/>
  <c r="AC68" i="2"/>
  <c r="AA68" i="2"/>
  <c r="AD67" i="2"/>
  <c r="AC67" i="2"/>
  <c r="AA67" i="2"/>
  <c r="AD66" i="2"/>
  <c r="AC66" i="2"/>
  <c r="AA66" i="2"/>
  <c r="AD65" i="2"/>
  <c r="AC65" i="2"/>
  <c r="AA65" i="2"/>
  <c r="AD64" i="2"/>
  <c r="AC64" i="2"/>
  <c r="AA64" i="2"/>
  <c r="AD63" i="2"/>
  <c r="AC63" i="2"/>
  <c r="AA63" i="2"/>
  <c r="AD62" i="2"/>
  <c r="AC62" i="2"/>
  <c r="AA62" i="2"/>
  <c r="AD61" i="2"/>
  <c r="AC61" i="2"/>
  <c r="AA61" i="2"/>
  <c r="AD60" i="2"/>
  <c r="AC60" i="2"/>
  <c r="AA60" i="2"/>
  <c r="AD59" i="2"/>
  <c r="AC59" i="2"/>
  <c r="AA59" i="2"/>
  <c r="AD58" i="2"/>
  <c r="AC58" i="2"/>
  <c r="AA58" i="2"/>
  <c r="AD57" i="2"/>
  <c r="AC57" i="2"/>
  <c r="AA57" i="2"/>
  <c r="AD56" i="2"/>
  <c r="AC56" i="2"/>
  <c r="AA56" i="2"/>
  <c r="AD55" i="2"/>
  <c r="AC55" i="2"/>
  <c r="AA55" i="2"/>
  <c r="AD54" i="2"/>
  <c r="AC54" i="2"/>
  <c r="AA54" i="2"/>
  <c r="AD53" i="2"/>
  <c r="AC53" i="2"/>
  <c r="AA53" i="2"/>
  <c r="AD52" i="2"/>
  <c r="AC52" i="2"/>
  <c r="AA52" i="2"/>
  <c r="AD51" i="2"/>
  <c r="AC51" i="2"/>
  <c r="AA51" i="2"/>
  <c r="AD50" i="2"/>
  <c r="AC50" i="2"/>
  <c r="AA50" i="2"/>
  <c r="AD49" i="2"/>
  <c r="AC49" i="2"/>
  <c r="AA49" i="2"/>
  <c r="AD48" i="2"/>
  <c r="AC48" i="2"/>
  <c r="AA48" i="2"/>
  <c r="AD47" i="2"/>
  <c r="AC47" i="2"/>
  <c r="AA47" i="2"/>
  <c r="AD46" i="2"/>
  <c r="AC46" i="2"/>
  <c r="AA46" i="2"/>
  <c r="AD45" i="2"/>
  <c r="AC45" i="2"/>
  <c r="AA45" i="2"/>
  <c r="AD44" i="2"/>
  <c r="AC44" i="2"/>
  <c r="AA44" i="2"/>
  <c r="AD43" i="2"/>
  <c r="AC43" i="2"/>
  <c r="AA43" i="2"/>
  <c r="AD42" i="2"/>
  <c r="AC42" i="2"/>
  <c r="AA42" i="2"/>
  <c r="AD41" i="2"/>
  <c r="AC41" i="2"/>
  <c r="AA41" i="2"/>
  <c r="AD40" i="2"/>
  <c r="AC40" i="2"/>
  <c r="AA40" i="2"/>
  <c r="AD39" i="2"/>
  <c r="AC39" i="2"/>
  <c r="AA39" i="2"/>
  <c r="AD38" i="2"/>
  <c r="AC38" i="2"/>
  <c r="AA38" i="2"/>
  <c r="AD37" i="2"/>
  <c r="AC37" i="2"/>
  <c r="AA37" i="2"/>
  <c r="AD36" i="2"/>
  <c r="AC36" i="2"/>
  <c r="AA36" i="2"/>
  <c r="AD35" i="2"/>
  <c r="AC35" i="2"/>
  <c r="AA35" i="2"/>
  <c r="AD34" i="2"/>
  <c r="AC34" i="2"/>
  <c r="AA34" i="2"/>
  <c r="AD33" i="2"/>
  <c r="AC33" i="2"/>
  <c r="AA33" i="2"/>
  <c r="AD32" i="2"/>
  <c r="AC32" i="2"/>
  <c r="AA32" i="2"/>
  <c r="AD31" i="2"/>
  <c r="AC31" i="2"/>
  <c r="AA31" i="2"/>
  <c r="AD30" i="2"/>
  <c r="AC30" i="2"/>
  <c r="AA30" i="2"/>
  <c r="AD29" i="2"/>
  <c r="AC29" i="2"/>
  <c r="AA29" i="2"/>
  <c r="AD28" i="2"/>
  <c r="AC28" i="2"/>
  <c r="AA28" i="2"/>
  <c r="AD27" i="2"/>
  <c r="AC27" i="2"/>
  <c r="AA27" i="2"/>
  <c r="AD26" i="2"/>
  <c r="AC26" i="2"/>
  <c r="AA26" i="2"/>
  <c r="AD25" i="2"/>
  <c r="AC25" i="2"/>
  <c r="AA25" i="2"/>
  <c r="AD24" i="2"/>
  <c r="AC24" i="2"/>
  <c r="AA24" i="2"/>
  <c r="AD23" i="2"/>
  <c r="AC23" i="2"/>
  <c r="AA23" i="2"/>
  <c r="AD22" i="2"/>
  <c r="AC22" i="2"/>
  <c r="AA22" i="2"/>
  <c r="AD21" i="2"/>
  <c r="AC21" i="2"/>
  <c r="AA21" i="2"/>
  <c r="AD20" i="2"/>
  <c r="AC20" i="2"/>
  <c r="AA20" i="2"/>
  <c r="AD19" i="2"/>
  <c r="AC19" i="2"/>
  <c r="AA19" i="2"/>
  <c r="AD18" i="2"/>
  <c r="AC18" i="2"/>
  <c r="AA18" i="2"/>
  <c r="AD17" i="2"/>
  <c r="AC17" i="2"/>
  <c r="AA17" i="2"/>
  <c r="AD16" i="2"/>
  <c r="AC16" i="2"/>
  <c r="AA16" i="2"/>
  <c r="AD15" i="2"/>
  <c r="AC15" i="2"/>
  <c r="AA15" i="2"/>
  <c r="AD14" i="2"/>
  <c r="AC14" i="2"/>
  <c r="AA14" i="2"/>
  <c r="AD13" i="2"/>
  <c r="AC13" i="2"/>
  <c r="AA13" i="2"/>
  <c r="AD12" i="2"/>
  <c r="AC12" i="2"/>
  <c r="AA12" i="2"/>
  <c r="AD11" i="2"/>
  <c r="AC11" i="2"/>
  <c r="AA11" i="2"/>
  <c r="AD10" i="2"/>
  <c r="AC10" i="2"/>
  <c r="AA10" i="2"/>
  <c r="AD9" i="2"/>
  <c r="AC9" i="2"/>
  <c r="AA9" i="2"/>
  <c r="AD8" i="2"/>
  <c r="AC8" i="2"/>
  <c r="AA8" i="2"/>
  <c r="AD7" i="2"/>
  <c r="AC7" i="2"/>
  <c r="AA7" i="2"/>
  <c r="AD6" i="2"/>
  <c r="AC6" i="2"/>
  <c r="AA6" i="2"/>
  <c r="AD5" i="2"/>
  <c r="AC5" i="2"/>
  <c r="AA5" i="2"/>
  <c r="AD4" i="2"/>
  <c r="AC4" i="2"/>
  <c r="AA4" i="2"/>
  <c r="AD3" i="2"/>
  <c r="AC3" i="2"/>
  <c r="AB3" i="2"/>
  <c r="AA3" i="2"/>
  <c r="C48" i="1"/>
  <c r="C8" i="1"/>
  <c r="AD380" i="2" l="1"/>
  <c r="AD382" i="2"/>
  <c r="AD387" i="2"/>
  <c r="AD443" i="2"/>
  <c r="AA446" i="2"/>
  <c r="AA454" i="2"/>
  <c r="AA462" i="2"/>
  <c r="AA470" i="2"/>
  <c r="AC383" i="2"/>
  <c r="AC393" i="2"/>
  <c r="AC444" i="2"/>
  <c r="AC381" i="2"/>
  <c r="AC386" i="2"/>
  <c r="Y450" i="2"/>
  <c r="Y458" i="2"/>
  <c r="Y466" i="2"/>
  <c r="Y474" i="2"/>
  <c r="Y521" i="2"/>
</calcChain>
</file>

<file path=xl/sharedStrings.xml><?xml version="1.0" encoding="utf-8"?>
<sst xmlns="http://schemas.openxmlformats.org/spreadsheetml/2006/main" count="9871" uniqueCount="1676">
  <si>
    <t>Type de Budget</t>
  </si>
  <si>
    <t>REPORT BUDGET ANNEE ANTERIEURE</t>
  </si>
  <si>
    <t>REPORT BUDGET EXCEP  ANNEE ANTERIEURE</t>
  </si>
  <si>
    <t>Ordinaire</t>
  </si>
  <si>
    <t>Exceptionnel</t>
  </si>
  <si>
    <t>BUDGET</t>
  </si>
  <si>
    <t>FONCTIONNEMENT</t>
  </si>
  <si>
    <t>INVESTISSEMENT</t>
  </si>
  <si>
    <t>Lignes Budget Fonctionnement</t>
  </si>
  <si>
    <t>Achats de productions et de programmes: Acquis définitive Programmes TV externes</t>
  </si>
  <si>
    <t>Achats de productions et de programmes: Acquis définitive pgm Radio externes</t>
  </si>
  <si>
    <t>Achats de productions et de programmes: Achats des programmes en co-production</t>
  </si>
  <si>
    <t>Achats de productions et de programmes: Achat des programmes en production interne - personnes physiques</t>
  </si>
  <si>
    <t>Achats de droits: Achats des droits de captation</t>
  </si>
  <si>
    <t xml:space="preserve">Achats de droits: Cession de Droits de sport </t>
  </si>
  <si>
    <t>Achats de matières et fournitures consommables</t>
  </si>
  <si>
    <t xml:space="preserve">Achats non stockés de matières et fournitures </t>
  </si>
  <si>
    <t>Prestations de service: Achat d'études</t>
  </si>
  <si>
    <t xml:space="preserve">Prestations de service: Achat prestations de services locales - personnes physiques </t>
  </si>
  <si>
    <t>Prestations de service: Achat prestations de services locales - sociétés</t>
  </si>
  <si>
    <t>Prestations de service: Achat prestations de services Etrangères</t>
  </si>
  <si>
    <t>Redevances satellitaires</t>
  </si>
  <si>
    <t>Locations</t>
  </si>
  <si>
    <t>Entretien, réparation et assurance</t>
  </si>
  <si>
    <t>Honoraires et rémunération du personnel occasionnel</t>
  </si>
  <si>
    <t>Redevances et cotisations</t>
  </si>
  <si>
    <t>Déplacements, missions et réceptions</t>
  </si>
  <si>
    <t>Charges marketing et relations publiques</t>
  </si>
  <si>
    <t>Autres charges de fonctionnement</t>
  </si>
  <si>
    <t xml:space="preserve">Charges du personnel </t>
  </si>
  <si>
    <t>Charges sociales</t>
  </si>
  <si>
    <t>Charges sociales diverses</t>
  </si>
  <si>
    <t>Lignes Budget INVESTISSEMENT</t>
  </si>
  <si>
    <t>Frais d'acquisition des immobilisations</t>
  </si>
  <si>
    <t>Prestations de service à immobiliser</t>
  </si>
  <si>
    <t>Immobilisations incorporelles (logiciels, licences, etc.)</t>
  </si>
  <si>
    <t>Agencements et aménagement constructions</t>
  </si>
  <si>
    <t>Installations techniques</t>
  </si>
  <si>
    <t>Equipements de télédiffusion</t>
  </si>
  <si>
    <t>Equipements techniques</t>
  </si>
  <si>
    <t>Moblier de bureau</t>
  </si>
  <si>
    <t>Matériel de bureau</t>
  </si>
  <si>
    <t>Matériel Informatique</t>
  </si>
  <si>
    <t>Autre Matériel et mobilier de bureau</t>
  </si>
  <si>
    <t>Estimation</t>
  </si>
  <si>
    <t>MAD</t>
  </si>
  <si>
    <t>%</t>
  </si>
  <si>
    <t>Estimation Total HT</t>
  </si>
  <si>
    <t>Ecart</t>
  </si>
  <si>
    <t>MNT Partiel</t>
  </si>
  <si>
    <t>Total Marché HT</t>
  </si>
  <si>
    <t xml:space="preserve">DIRECTION </t>
  </si>
  <si>
    <t>PPA</t>
  </si>
  <si>
    <t>Marche</t>
  </si>
  <si>
    <t>TDF</t>
  </si>
  <si>
    <t>TDF -SITES</t>
  </si>
  <si>
    <t>TDF-EXP&amp;MAIN</t>
  </si>
  <si>
    <t>DG</t>
  </si>
  <si>
    <t>DCT</t>
  </si>
  <si>
    <t>RSSI</t>
  </si>
  <si>
    <t>DPMG</t>
  </si>
  <si>
    <t>DRPSD</t>
  </si>
  <si>
    <t>DINFORADIO</t>
  </si>
  <si>
    <t>ARRIYADIA</t>
  </si>
  <si>
    <t>TV LAAYOUNE</t>
  </si>
  <si>
    <t>MAGHRIBIA</t>
  </si>
  <si>
    <t>DMPTV</t>
  </si>
  <si>
    <t>TAMAZIGHT</t>
  </si>
  <si>
    <t>DINFOTV</t>
  </si>
  <si>
    <t>DA</t>
  </si>
  <si>
    <t>DRH</t>
  </si>
  <si>
    <t>DJURIDIQUE</t>
  </si>
  <si>
    <t>ASSADISSA</t>
  </si>
  <si>
    <t>ARRABIAA</t>
  </si>
  <si>
    <t>DCRI</t>
  </si>
  <si>
    <t>DROI</t>
  </si>
  <si>
    <t>DAR</t>
  </si>
  <si>
    <t>DCPA</t>
  </si>
  <si>
    <t>DACG</t>
  </si>
  <si>
    <t>DPPR</t>
  </si>
  <si>
    <t>DF</t>
  </si>
  <si>
    <t>DSI</t>
  </si>
  <si>
    <t>LIGNES BUDGETAIRES</t>
  </si>
  <si>
    <t>AOO/BC</t>
  </si>
  <si>
    <t>Aménagement et construction de bâtiments à usage technique</t>
  </si>
  <si>
    <t>Aménagement et construction de bâtiments administratifs</t>
  </si>
  <si>
    <t>Electrification et installations techniques</t>
  </si>
  <si>
    <t>Equipements audiovisuels RADIO</t>
  </si>
  <si>
    <t>Equipements audiovisuels TV</t>
  </si>
  <si>
    <t>Frais d'acquisition</t>
  </si>
  <si>
    <t>Habillage Radio</t>
  </si>
  <si>
    <t>Logiciels</t>
  </si>
  <si>
    <t>Matériel de diffusion</t>
  </si>
  <si>
    <t>Matériel de transmission</t>
  </si>
  <si>
    <t>Matériel informatique</t>
  </si>
  <si>
    <t>Mobilier de bureau</t>
  </si>
  <si>
    <t>Moyens de contribution mobiles</t>
  </si>
  <si>
    <t>Moyens mobiles</t>
  </si>
  <si>
    <t>STATUT D'ENGAGEMENT</t>
  </si>
  <si>
    <t>EN COURS DE PREENGAGEMENT</t>
  </si>
  <si>
    <t>PREENGAGE</t>
  </si>
  <si>
    <t>EN COURS D'ENGAGEMENT</t>
  </si>
  <si>
    <t>ENGAGE</t>
  </si>
  <si>
    <t>NON ENGAGE</t>
  </si>
  <si>
    <t>TYPE 1</t>
  </si>
  <si>
    <t>AOO</t>
  </si>
  <si>
    <t>AOO-M</t>
  </si>
  <si>
    <t>AOO-CT</t>
  </si>
  <si>
    <t>CA</t>
  </si>
  <si>
    <t>BCL</t>
  </si>
  <si>
    <t>BCI</t>
  </si>
  <si>
    <t>AV MARCHE</t>
  </si>
  <si>
    <t>AV CONTRAT</t>
  </si>
  <si>
    <t>DECISION</t>
  </si>
  <si>
    <t>CONTRAT</t>
  </si>
  <si>
    <t>STATUT 1</t>
  </si>
  <si>
    <t>NON ATTRIBUE</t>
  </si>
  <si>
    <t>REJET</t>
  </si>
  <si>
    <t>INFRUCTUEUX</t>
  </si>
  <si>
    <t>ANNULE</t>
  </si>
  <si>
    <t>EN SIGNATURE</t>
  </si>
  <si>
    <t>VALIDE</t>
  </si>
  <si>
    <t>TYPE DE SUPPORT D'ENGAGEMENT</t>
  </si>
  <si>
    <t>MARCHE</t>
  </si>
  <si>
    <t>STATUT SUPPORT D'ENGAGEMENT</t>
  </si>
  <si>
    <t>MONTANT</t>
  </si>
  <si>
    <t>APPROUVE</t>
  </si>
  <si>
    <t>ATTRIBUE</t>
  </si>
  <si>
    <t>PHASE AOO</t>
  </si>
  <si>
    <t>CATEGORIES</t>
  </si>
  <si>
    <t>PME</t>
  </si>
  <si>
    <t>GENERAL</t>
  </si>
  <si>
    <t>NON CONCERNE</t>
  </si>
  <si>
    <t>Nature type PPA</t>
  </si>
  <si>
    <t>Prévisionnel</t>
  </si>
  <si>
    <t>Engagé</t>
  </si>
  <si>
    <t>CONCRETISE PARTIELLEMENT</t>
  </si>
  <si>
    <t>NATURE BESOIN</t>
  </si>
  <si>
    <t>NOUVEAU BESOIN</t>
  </si>
  <si>
    <t>BESOIN RECURRENT</t>
  </si>
  <si>
    <t>RECONDUCTION</t>
  </si>
  <si>
    <t>RECONDUCTIBLE</t>
  </si>
  <si>
    <t>ANNEE LANCEMENT</t>
  </si>
  <si>
    <t>REF</t>
  </si>
  <si>
    <t>LOTS</t>
  </si>
  <si>
    <t>OBJET</t>
  </si>
  <si>
    <t>N° SUPPORT D'ENGAGEMENT</t>
  </si>
  <si>
    <t>TYPE BUDGET</t>
  </si>
  <si>
    <t>MONTANT PREENGAGE INITIAL</t>
  </si>
  <si>
    <t>ESTIMATION TTC</t>
  </si>
  <si>
    <t>ESTIMATION HT</t>
  </si>
  <si>
    <t>DEBUT REC</t>
  </si>
  <si>
    <t>FIN REC</t>
  </si>
  <si>
    <t>ADJUDICATAIRE / FRS</t>
  </si>
  <si>
    <t>ANNEE APPROBATION</t>
  </si>
  <si>
    <t>DATE DE LA FICHE</t>
  </si>
  <si>
    <t>DATE VISA</t>
  </si>
  <si>
    <t>DATE APPROB</t>
  </si>
  <si>
    <t>MONTANT MARCHE HT PART EN MAD</t>
  </si>
  <si>
    <t>MONTANT MARCHE HT PART EN DEVISES</t>
  </si>
  <si>
    <t>MONTANT MARCHE TTC  PART EN MAD</t>
  </si>
  <si>
    <t>MONTANT MARCHE TTC  PART EN DEVISES</t>
  </si>
  <si>
    <t>TOTAL MARCHE HT TOTAL ENGAGE HT</t>
  </si>
  <si>
    <t>TOTAL MARCHE TTC TOTAL ENGAGE TTC</t>
  </si>
  <si>
    <t>Remarque (archive)</t>
  </si>
  <si>
    <t>Reserve</t>
  </si>
  <si>
    <t>PREVISION PPA HT</t>
  </si>
  <si>
    <t>ECART ESTIMATION HT-PPA HT</t>
  </si>
  <si>
    <t>ECART ENGAGEMENT HT-PPA HT</t>
  </si>
  <si>
    <t>ECART ESTIMATION
eng/estim</t>
  </si>
  <si>
    <t>ECART PPA
enga/ppa</t>
  </si>
  <si>
    <t>REMARQUE</t>
  </si>
  <si>
    <t>Statut PPA (Contrat)</t>
  </si>
  <si>
    <t>EXCLUSIVITÉ</t>
  </si>
  <si>
    <t>Convention SNRT-OFPPT pour la réalisation des EAP</t>
  </si>
  <si>
    <t>01/OFPPT/SNRT/2026</t>
  </si>
  <si>
    <t>OFPPT</t>
  </si>
  <si>
    <t>« + 287 001 » - Budget PPA = 708 041,40 Dhs</t>
  </si>
  <si>
    <t>Rapproché PPA</t>
  </si>
  <si>
    <t>PV N° : 01RC2025- DCPA</t>
  </si>
  <si>
    <t>IKRAM BENNANI RTAL - Préparation et animation de l’émission «نور و بصائر"</t>
  </si>
  <si>
    <t>185 CT/SNRT/2026</t>
  </si>
  <si>
    <t xml:space="preserve">Achats de productions et de programmes
Achat des programmes en production interne </t>
  </si>
  <si>
    <t>IKRAM BENNANI RTAL</t>
  </si>
  <si>
    <t>RAS</t>
  </si>
  <si>
    <t>AMINE BENADDI - LA PREPARATION DE L'EMISSION " شباب في الواجهة"</t>
  </si>
  <si>
    <t>186 CT/SNRT/2026</t>
  </si>
  <si>
    <t>AMINE BENADDI</t>
  </si>
  <si>
    <t>MOHAMMED ALI BENMAKHLOUF - Conception et présentation de l’émission " علم و حضارة"</t>
  </si>
  <si>
    <t>190 CT/SNRT/2026</t>
  </si>
  <si>
    <t>MOHAMMED ALI BENMAKHLOUF</t>
  </si>
  <si>
    <t>ACHABI MORAD - Préparation et animation de l'émission  " مع الفاميلة"</t>
  </si>
  <si>
    <t>187 CT/SNRT/2026</t>
  </si>
  <si>
    <t>ACHABI MORAD</t>
  </si>
  <si>
    <t>MOHAMED BOUMLI - Préparation de l'émission " مع الفاميلة"</t>
  </si>
  <si>
    <t>188 CT/SNRT/2026</t>
  </si>
  <si>
    <t>MOHAMED BOUMLI</t>
  </si>
  <si>
    <t>KABBAJ SEDDIK - Coordination, préparation et supervision artistique de l’émission   " مدن عتيقة"</t>
  </si>
  <si>
    <t>189 CT/SNRT/2026</t>
  </si>
  <si>
    <t>KABBAJ SEDDIK</t>
  </si>
  <si>
    <t>PV N° : 01RC2025- DCCCA</t>
  </si>
  <si>
    <t>BELMAHEDI MOHAMED - Cadreur plateau</t>
  </si>
  <si>
    <t xml:space="preserve">Prestations de service
Achat prestations de services locales - personnes physiques </t>
  </si>
  <si>
    <t>BELMAHEDI MOHAMED</t>
  </si>
  <si>
    <t>Manque n° contrat</t>
  </si>
  <si>
    <t>BIOUD ABDELHAK – Cadreur plateau</t>
  </si>
  <si>
    <t>BIOUD ABDELHAK</t>
  </si>
  <si>
    <t>IHAB JAMAL EDDINE  - Cadreur plateau</t>
  </si>
  <si>
    <t xml:space="preserve">IHAB JAMAL EDDINE </t>
  </si>
  <si>
    <t>YOUSSEF JOUMARI  - Cadreur plateau</t>
  </si>
  <si>
    <t>MUSTAPHA SKALLI  - Cadreur plateau</t>
  </si>
  <si>
    <t>MUSTAPHA SKALLI</t>
  </si>
  <si>
    <t>YOUSSEF EL FERNANI  - Cadreur plateau</t>
  </si>
  <si>
    <t>YOUSSEF EL FERNANI</t>
  </si>
  <si>
    <t>YOUNES ZARIR - Cameraman/reporteur</t>
  </si>
  <si>
    <t>YOUNES ZARIR</t>
  </si>
  <si>
    <t>AZEDDINE ESSATOURI  - Cameraman/reporteur</t>
  </si>
  <si>
    <t>AZEDDINE ESSATOURI</t>
  </si>
  <si>
    <t>SOUFIANE ZIAT  - Cameraman/reporteur</t>
  </si>
  <si>
    <t>SOUFIANE ZIAT</t>
  </si>
  <si>
    <t>ABDELHAK EL GANTITI  - Cameraman/reporteur</t>
  </si>
  <si>
    <t>ABDELHAK EL GANTITI</t>
  </si>
  <si>
    <t>MOHAMED RAFIQ – Cadreur plateau/technicien coordinateur d’antenne TV</t>
  </si>
  <si>
    <t>MOHAMED RAFIQ</t>
  </si>
  <si>
    <t>ASMAA ADDAR - Monteur truquiste</t>
  </si>
  <si>
    <t xml:space="preserve">ASMAA ADDAR </t>
  </si>
  <si>
    <t>BAII FATIMA ZAHRA - Monteur truquiste</t>
  </si>
  <si>
    <t>BAII FATIMA ZAHRA</t>
  </si>
  <si>
    <t>DOUAA HMIMOU - Monteur truquiste</t>
  </si>
  <si>
    <t>DOUAA HMIMOU</t>
  </si>
  <si>
    <t>ROUZZAQ ANIS – Monteur truquiste /bande d’annonce</t>
  </si>
  <si>
    <t>ROUZZAQ ANIS</t>
  </si>
  <si>
    <t>SAFAE BOUHLAL -  Monteur truquiste /technicien coordinateur d’antenne TV</t>
  </si>
  <si>
    <t>SAFAE BOUHLAL</t>
  </si>
  <si>
    <t>OUSSAMA EZZABBAR - Monteur truquiste</t>
  </si>
  <si>
    <t>OUSSAMA EZZABBAR</t>
  </si>
  <si>
    <t>AMINE IMANE -  Opérateur synthétiseur</t>
  </si>
  <si>
    <t>AMINE IMANE</t>
  </si>
  <si>
    <t>BRAHIM ABASALAH  -  Opérateur synthétiseur/créateur de pages de textes et logos destinés à l’habillage au titre et au sous-titrage des programmes de l’antenne.</t>
  </si>
  <si>
    <t>BRAHIM ABASALAH</t>
  </si>
  <si>
    <t>YASSINE STITOU - Opérateur synthétiseur</t>
  </si>
  <si>
    <t>YASSINE STITOU</t>
  </si>
  <si>
    <t>RACHID ABKARI  -  Opérateur de prise de son</t>
  </si>
  <si>
    <t>RACHID ABKARI</t>
  </si>
  <si>
    <t>AMINE NEKI  -  Technicien coordinateur d'antenne TV</t>
  </si>
  <si>
    <t>AMINE NEKI</t>
  </si>
  <si>
    <t>ANISS BENRIANE  -  Technicien coordinateur d'antenne TV</t>
  </si>
  <si>
    <t>ANISS BENRIANE</t>
  </si>
  <si>
    <t>AHMED HOUBBANE  -  Journaliste présentateur TV/reporteur</t>
  </si>
  <si>
    <t>AHMED HOUBBANE</t>
  </si>
  <si>
    <t>OMAYRA MOUKRAM  -  Journaliste présentateur TV</t>
  </si>
  <si>
    <t>OMAYRA MOUKRAM</t>
  </si>
  <si>
    <t>AYOUB ADIB  -  Journaliste animateur</t>
  </si>
  <si>
    <t>AYOUB ADIB</t>
  </si>
  <si>
    <t>ABDELOUAHED INCHA-ALLAH  -  Journaliste reporteur d'image</t>
  </si>
  <si>
    <t>ABDELOUAHED INCHA-ALLAH</t>
  </si>
  <si>
    <t>SARA BELATTAR  -  Scripte</t>
  </si>
  <si>
    <t>SARA BELATTAR</t>
  </si>
  <si>
    <t>TAOUFIK EL AMRANI EL HANCHI  -  responsable site web</t>
  </si>
  <si>
    <t>TAOUFIK EL AMRANI EL HANCHI</t>
  </si>
  <si>
    <t>AHMED NAIM  -  Journaliste web sénior</t>
  </si>
  <si>
    <t>AHMED NAIM</t>
  </si>
  <si>
    <t>SAID AKDAD  -  Journaliste web</t>
  </si>
  <si>
    <t>SAID AKDAD</t>
  </si>
  <si>
    <t>JAMAL ASTAIFI  -  Journaliste web</t>
  </si>
  <si>
    <t>JAMAL ASTAIFI</t>
  </si>
  <si>
    <t>HAMZA AKIL  -  Chargé de production</t>
  </si>
  <si>
    <t>HAMZA AKIL</t>
  </si>
  <si>
    <t>RHIZLAN KORCHI  -  Habilleuse</t>
  </si>
  <si>
    <t>RHIZLAN KORCHI</t>
  </si>
  <si>
    <t>RADIF YOUSRA  -  Maquilleuse coiffeuse</t>
  </si>
  <si>
    <t>RADIF YOUSRA</t>
  </si>
  <si>
    <t>MOHAMED EL MAAMOURI  -  Graphiste</t>
  </si>
  <si>
    <t>MOHAMED EL MAAMOURI</t>
  </si>
  <si>
    <t>REDA TIZAGHTI  -  Graphiste</t>
  </si>
  <si>
    <t>REDA TIZAGHTI</t>
  </si>
  <si>
    <t>OMAR FATEH  -  Opérateur magnétoscope LSM</t>
  </si>
  <si>
    <t>OMAR FATEH</t>
  </si>
  <si>
    <t>KORICHI DRISS  -  Opérateur magnétoscope LSM</t>
  </si>
  <si>
    <t>KORICHI DRISS</t>
  </si>
  <si>
    <t>AYOUB EL MOUADEN  -  Opérateur magnétoscope LSM</t>
  </si>
  <si>
    <t>AYOUB EL MOUADEN</t>
  </si>
  <si>
    <t>YOUSSEF NAIT HAMMOU  -  Opérateur magnétoscope LSM</t>
  </si>
  <si>
    <t>YOUSSEF NAIT HAMMOU</t>
  </si>
  <si>
    <t>ABOUSAD MOHAMED  -  Opérateur magnétoscope LSM</t>
  </si>
  <si>
    <t>ABOUSAD MOHAMED</t>
  </si>
  <si>
    <t>EL KHAL ABDELMAJID  -  Commentateur</t>
  </si>
  <si>
    <t>EL KHAL ABDELMAJID</t>
  </si>
  <si>
    <t>KHALIL BOUDRA  -  Commentateur/consultant</t>
  </si>
  <si>
    <t>KHALIL BOUDRA</t>
  </si>
  <si>
    <t>SEYFAMINE AATHMANI  -  Cameraman Reporter/Graphiste</t>
  </si>
  <si>
    <t>SEYFAMINE AATHMANI</t>
  </si>
  <si>
    <t>NON</t>
  </si>
  <si>
    <t>ZINE EL ABIDINE SENHAJI  -  Operateur prise de son/Graphiste</t>
  </si>
  <si>
    <t>ZINE EL ABIDINE SENHAJI</t>
  </si>
  <si>
    <t>SAHIL MOHAMED  -  Consultant football</t>
  </si>
  <si>
    <t>SAHIL MOHAMED</t>
  </si>
  <si>
    <t>ABDELOUAHED CHAMMAMI  -  Consultant football</t>
  </si>
  <si>
    <t>ABDELOUAHED CHAMMAMI</t>
  </si>
  <si>
    <t>PVN°: 02RE2026-DCSA</t>
  </si>
  <si>
    <t>MOHAMED SAAD -cadreur plateau/technicien coordinateur d'antenne TV/Digital</t>
  </si>
  <si>
    <t>MOHAMED SAAD</t>
  </si>
  <si>
    <t>ABDELILAH AIT AHMED - Monteur truquiste /technicien coordinateur d'antenne TV</t>
  </si>
  <si>
    <t>ABDELILAH AIT AHMED</t>
  </si>
  <si>
    <t>KHALID AFIF  -  Consultant Tennis</t>
  </si>
  <si>
    <t>KHALID AFIF</t>
  </si>
  <si>
    <t>MOHSIN CHERGUI  -  Consultant omnisport</t>
  </si>
  <si>
    <t>MOHSIN CHERGUI</t>
  </si>
  <si>
    <t>PV N° : 01RC2025- DPPCCRTV</t>
  </si>
  <si>
    <t>ZERHOUNI RABIA  -  Réalisatrice : Montage, mixage, animation des émissions RD et programmation RD</t>
  </si>
  <si>
    <t>ZERHOUNI RABIA</t>
  </si>
  <si>
    <t>BENIKES KARIMA  -  Réalisatrice : Montage, mixage et programmation RD</t>
  </si>
  <si>
    <t>BENIKES KARIMA</t>
  </si>
  <si>
    <t>LAHKIM OUMAIMA  -  Programmatrice : Programmation TV (Conducteur quotidien)</t>
  </si>
  <si>
    <t>LAHKIM OUMAIMA</t>
  </si>
  <si>
    <t>DEHROUR OUSSAMA  -  Infographiste : le montage, l'infographie et la coordination du portail de la Chaîne,</t>
  </si>
  <si>
    <t>DEHROUR OUSSAMA</t>
  </si>
  <si>
    <t>NASREDDINE MOUHCINE  -  Prise de vue et Prise de son TV (OPV/OPS)</t>
  </si>
  <si>
    <t>NASREDDINE MOUHCINE</t>
  </si>
  <si>
    <t>HAJJOUJI YOUSSEF  -  Prise de vue (OPV) et le montage TV</t>
  </si>
  <si>
    <t>HAJJOUJI YOUSSEF</t>
  </si>
  <si>
    <t>DRISSI WALID  -  Prise de vue et Prise de son TV (OPV/OPS)</t>
  </si>
  <si>
    <t>DRISSI WALID</t>
  </si>
  <si>
    <t>EZ-ZHR MOHAMED  -  Prise de vue et Prise de son TV (OPV/OPS)</t>
  </si>
  <si>
    <t>EZ-ZHR MOHAMED</t>
  </si>
  <si>
    <t>ABIDA ILIAS  -  Prise de vue TV et Prise de son TV (OPV/OPS)</t>
  </si>
  <si>
    <t>ABIDA ILIAS</t>
  </si>
  <si>
    <t>ELMHAMDI BADR  -  Prise de vue et Prise de son TV (OPV/OPS)</t>
  </si>
  <si>
    <t>ELMHAMDI BADR</t>
  </si>
  <si>
    <t>BENGHABRIT ANAS  -  Animateur RD/TV : la gestion de l'antenne RD, la couverture et le reportage RD/TV</t>
  </si>
  <si>
    <t>BENGHABRIT ANAS</t>
  </si>
  <si>
    <t>TALAOUI YASSINE  -  Animateur RD/TV : la gestion de l'antenne RD, la couverture et le reportage RD/TV</t>
  </si>
  <si>
    <t>TALAOUI YASSINE</t>
  </si>
  <si>
    <t>JABRANE WAFAE  -  Animatrice : RD/TV</t>
  </si>
  <si>
    <t>JABRANE WAFAE</t>
  </si>
  <si>
    <t>MANAL LAHFAOUI  -  Programmatrice TV : le montage, la coordination du portail de la chaîne, la coordination et le suivi avec la commission scientifique et l'archivage STM.</t>
  </si>
  <si>
    <t>MANAL LAHFAOUI</t>
  </si>
  <si>
    <t>HAZMIRI OMAR  -  Réalisateur RD : montage, mixage et réalisation des émissions RD</t>
  </si>
  <si>
    <t>HAZMIRI OMAR</t>
  </si>
  <si>
    <t>EL HAJJI FARID  -  Prise de vue, prise de son, (OPV / OPS)</t>
  </si>
  <si>
    <t>EL HAJJI FARID</t>
  </si>
  <si>
    <t>CHBANI SALMA  -  La prise de vue, prise de son, (OPV / OPS), infographie, montage   et coordination du portail de la chaîne</t>
  </si>
  <si>
    <t>CHBANI SALMA</t>
  </si>
  <si>
    <t>PV N° : 01RC2025- DAR</t>
  </si>
  <si>
    <t>YOUNESS MAZZA  -  Journaliste Arabophone Sénior</t>
  </si>
  <si>
    <t xml:space="preserve">Achat prestations de services locales - personnes physiques </t>
  </si>
  <si>
    <t>YOUNESS MAZZA</t>
  </si>
  <si>
    <t>Engagé sans PPA</t>
  </si>
  <si>
    <t>PV N° : 01RC2025- DPMG</t>
  </si>
  <si>
    <t>KHALID KHIYAITA  -  Gestion de la vidéosurveillance du contrôle d'accès et la détection d'incendie</t>
  </si>
  <si>
    <t>KHALID KHIYAITA</t>
  </si>
  <si>
    <t>SAMIR EDRIOUECH  -  Travaux de plomberie</t>
  </si>
  <si>
    <t>SAMIR EDRIOUECH</t>
  </si>
  <si>
    <t>MOHAMED CHERTI  -  Métreur en BTP</t>
  </si>
  <si>
    <t>MOHAMED CHERTI</t>
  </si>
  <si>
    <t>Abonnement MAP</t>
  </si>
  <si>
    <t>Redevances et cotisations
Abonnements</t>
  </si>
  <si>
    <t>MAP</t>
  </si>
  <si>
    <t>-</t>
  </si>
  <si>
    <t>PV N° : 01RC2025- DIR</t>
  </si>
  <si>
    <t>YOUSSEF LAHLALI  -  Journaliste correspondant chargé de la préparation des magazines d'information et reportages RD et la couverture des événements internationaux</t>
  </si>
  <si>
    <t>YOUSSEF LAHLALI</t>
  </si>
  <si>
    <t>SAFI RIM  -  Journaliste, présentateur radio francophone/ anglophone</t>
  </si>
  <si>
    <t>SAFI RIM</t>
  </si>
  <si>
    <t>BENCAID KENZA  -  Journaliste et présentateur radio francophone</t>
  </si>
  <si>
    <t>BENCAID KENZA</t>
  </si>
  <si>
    <t>AHMED CHAINA  -  Journaliste, Présentateur radio amazigh/animateur de débats (expression tachelhit)</t>
  </si>
  <si>
    <t>AHMED CHAINA</t>
  </si>
  <si>
    <t>BADDOU KHALID  -  Journaliste, Présentateur radio amazigh/animateur de débats (expression tachelhit)</t>
  </si>
  <si>
    <t>BADDOU KHALID</t>
  </si>
  <si>
    <t>PV N° : 01RC2025- DITV</t>
  </si>
  <si>
    <t>EZZAHER ANASS  -  Scripte des journaux télévisés et toutes les émissions produites par la direction de l'information TV</t>
  </si>
  <si>
    <t>Prestations de service
Achat prestations de services locales - personnes physiques</t>
  </si>
  <si>
    <t>EZZAHER ANASS</t>
  </si>
  <si>
    <t>AOUAD MARIA  -  Journaliste chargée de la préparation et la réalisation des reportages news en français au journal télévisé de la chaine AL Aoula</t>
  </si>
  <si>
    <t>AOUAD MARIA</t>
  </si>
  <si>
    <t>KETTANI MOHAMMED  -  Interprète en langue des signes</t>
  </si>
  <si>
    <t>KETTANI MOHAMMED</t>
  </si>
  <si>
    <t>NOUINI NOURREDDINE  -  Coiffeur et maquilleur des animateurs et des invités participants au journal télévisé de la chaine Al Aoula</t>
  </si>
  <si>
    <t>NOUINI NOURREDDINE</t>
  </si>
  <si>
    <t>WIAM MOUDDOUN  -  Journaliste chargée de la préparation des magazines d'information, reportages, rédaction des JT et couverture du factuel</t>
  </si>
  <si>
    <t>WIAM MOUDDOUN</t>
  </si>
  <si>
    <t>HOUDA NEJJAR  -  Scripte des journaux télévisés et toutes les émissions produites par la direction de l'Information TV</t>
  </si>
  <si>
    <t>HOUDA NEJJAR</t>
  </si>
  <si>
    <t>TAHRAOUI ABDELHGANI   -  Preneur de vue chargé de la réalisation de reportages et couvertures TV dans la province d'Essaouira et régions</t>
  </si>
  <si>
    <t>TAHRAOUI ABDELHGANI</t>
  </si>
  <si>
    <t>FADILI AHMED   -  Preneur de vue chargé de la réalisation de reportages et couvertures TV dans la province d’Ifran Azrou</t>
  </si>
  <si>
    <t>FADILI AHMED</t>
  </si>
  <si>
    <t>KHALID AIT HSSAIN  -  Coiffeur et maquilleur des animateurs et des invités participants au journal télévisé de la chaine ALOULA.</t>
  </si>
  <si>
    <t>KHALID AIT HSSAIN</t>
  </si>
  <si>
    <t>SOUKAINA HACHIMI  -  Journaliste chargée de la préparation des magazines d'information, reportages, rédaction des JT et couverture du factuel</t>
  </si>
  <si>
    <t>SOUKAINA HACHIMI</t>
  </si>
  <si>
    <t>MAHDI KARRAKCHOU  -  Le montage des journaux télévisés et toutes les émissions produites par la direction de l'Information TV</t>
  </si>
  <si>
    <t>MAHDI KARRAKCHOU</t>
  </si>
  <si>
    <t>MOUNIR LAHSAIEN -  Coiffeur et maquilleur des animateurs et des invités participants au journal télévisé de la chaine Al Aoula</t>
  </si>
  <si>
    <t>MOUNIR LAHSAIEN</t>
  </si>
  <si>
    <t>EL AAZIZ ABDERRAZZAQ  -  Chef d'édition des journaux télévisés</t>
  </si>
  <si>
    <t>EL AAZIZ ABDERRAZZAQ</t>
  </si>
  <si>
    <t>BOUJOUBBOU ABDELHAKIM  -  Chef d'édition des journaux télévisés</t>
  </si>
  <si>
    <t>BOUJOUBBOU ABDELHAKIM</t>
  </si>
  <si>
    <t>MOULINE LILIA  -  Styliste, Maquilleuse et Habilleuse des journalistes et présentateurs chargés de la présentation des émissions</t>
  </si>
  <si>
    <t>MOULINE LILIA</t>
  </si>
  <si>
    <t>BOUBKER BEN GHABRIT  -  Journaliste francophone chargé de la préparation et la réalisation des reportages news en français ainsi que la présentation JT Français.</t>
  </si>
  <si>
    <t>BOUBKER BEN GHABRIT</t>
  </si>
  <si>
    <t>MOHAMED EL HAJJAM  -  Correspondant chargé de la réalisation de reportages et correspondances en matière d'Information Télévisée à partir des Etats Unies d’Amérique.</t>
  </si>
  <si>
    <t>MOHAMED EL HAJJAM</t>
  </si>
  <si>
    <t>MUSTAPHA SEHIMI -  Consultant politique chargé de l'analyse politique et le décryptage hebdomadaire des JT en langue Française</t>
  </si>
  <si>
    <t>MUSTAPHA SEHIMI</t>
  </si>
  <si>
    <t>TOSSA MUSTAPHA -  Consultant chargé de l'analyse politique et le décryptage hebdomadaire des JT en langue Française et Arabe</t>
  </si>
  <si>
    <t>TOSSA MUSTAPHA</t>
  </si>
  <si>
    <t>PV N° : 01RC2025-DCL</t>
  </si>
  <si>
    <t>SALEK BOUJDOUR -  Préparation et Présentation "HADITH ALMADINA"</t>
  </si>
  <si>
    <t>SALEK BOUJDOUR</t>
  </si>
  <si>
    <t>EL MOUGUAF AMGHAYER  -  Préparation et présentation de l'émission intitulée : " TOURATHAK LAK "</t>
  </si>
  <si>
    <t>EL MOUGUAF AMGHAYER</t>
  </si>
  <si>
    <t>YASSINE OMARI  -  Préparation quotidienne des revues de presses écrite nationale et Internationale</t>
  </si>
  <si>
    <t>YASSINE OMARI</t>
  </si>
  <si>
    <t>MAHMOUD AIYACH   -  Préparation et la présentation d'une émission produite en interne intitulée " MAA NASS "</t>
  </si>
  <si>
    <t>MAHMOUD AIYACH</t>
  </si>
  <si>
    <t>MARYAM EDDAH  -  Chargée de l'Autopromotion et de l’établissement de la grille et des conducteurs de diffusion.</t>
  </si>
  <si>
    <t>MARYAM EDDAH</t>
  </si>
  <si>
    <t>PV N° : 01RC2025-DCCMCITV</t>
  </si>
  <si>
    <t>OTHMANE RABBAH  -  Technicien infographiste</t>
  </si>
  <si>
    <t>OTHMANE RABBAH</t>
  </si>
  <si>
    <t>HIBA TOUANINA  -  Technicienne Scripte</t>
  </si>
  <si>
    <t>HIBA TOUANINA</t>
  </si>
  <si>
    <t>FATIMA ZAHRA BOUMBAREK  -  Technicienne assistante Réalisatrice</t>
  </si>
  <si>
    <t>FATIMA ZAHRA BOUMBAREK</t>
  </si>
  <si>
    <t>OUMAIMA NACHAR  -  Journaliste présentatrice</t>
  </si>
  <si>
    <t>OUMAIMA NACHAR</t>
  </si>
  <si>
    <t>NIDAL OUJIL  -  Journaliste présentatrice</t>
  </si>
  <si>
    <t>NIDAL OUJI</t>
  </si>
  <si>
    <t>ABDELLATIF AMRANI ZERIFI  -  Technicien assistant réalisateur</t>
  </si>
  <si>
    <t>ABDELLATIF AMRANI ZERIF</t>
  </si>
  <si>
    <t>LAMYAE KHOUADIR  -  Technicienne scripte</t>
  </si>
  <si>
    <t>LAMYAE KHOUADIR</t>
  </si>
  <si>
    <t>EL KARDI RAJAA  -  Journaliste présentatrice</t>
  </si>
  <si>
    <t>EL KARDI RAJAA</t>
  </si>
  <si>
    <t>JEBRANI HAYAT  -  Coiffeuse, maquilleuse</t>
  </si>
  <si>
    <t>JEBRANI HAYAT</t>
  </si>
  <si>
    <t>PV N° : 01RC2025-DCMPTV</t>
  </si>
  <si>
    <t>ZAKARIA TIBARI  -  Conception de bandes annonces pour la promotion des programmes de la grille de la chaîne Al Aoula</t>
  </si>
  <si>
    <t>ZAKARIA TIBARI</t>
  </si>
  <si>
    <t>GHEZLANE EL MERZOUGUI -  Enregistrement des voix off en arabe des bandes annonces TV et radio Al Aoula</t>
  </si>
  <si>
    <t>GHEZLANE EL MERZOUGUI</t>
  </si>
  <si>
    <t>HOUSSAM MOUILLAH  -  Monteur</t>
  </si>
  <si>
    <t>HOUSSAM MOUILLAH</t>
  </si>
  <si>
    <t>MSIOUAS MOHAMED DRISS  -  Chef de produit digital</t>
  </si>
  <si>
    <t>MSIOUAS MOHAMED DRISS</t>
  </si>
  <si>
    <t>ABDELOUAHED JABBAR  -  Monteur</t>
  </si>
  <si>
    <t>ABDELOUAHED JABBAR</t>
  </si>
  <si>
    <t>YASSINE KIRAMI  -  Monteur digital et cameraman</t>
  </si>
  <si>
    <t>YASSINE KIRAMI</t>
  </si>
  <si>
    <t>SAFAA SABRI  -  Rédactrice en arabe</t>
  </si>
  <si>
    <t>SAFAA SABR</t>
  </si>
  <si>
    <t>SARAH MAACHE  -  Rédactrice en Français</t>
  </si>
  <si>
    <t>SARAH MAACHE</t>
  </si>
  <si>
    <t>BASMA WAJIB  -  Community Manager</t>
  </si>
  <si>
    <t>BASMA WAJIB</t>
  </si>
  <si>
    <t>M’BARK AGNAOU  -  Community Manager</t>
  </si>
  <si>
    <t>M’BARK AGNAOU</t>
  </si>
  <si>
    <t>ESSAIFI MOHAMED SAMI  -  Content lead digital</t>
  </si>
  <si>
    <t xml:space="preserve">ESSAIFI MOHAMED SAMI </t>
  </si>
  <si>
    <t>HAJAR LAMRANI  -  Monteur</t>
  </si>
  <si>
    <t>HAJAR LAMRANI</t>
  </si>
  <si>
    <t>ANAS ESSAOUDI  -  Monteur</t>
  </si>
  <si>
    <t>ANAS ESSAOUDI</t>
  </si>
  <si>
    <t>IDRISS TAZARN  -  Rédacteur Web Sénior en arabe</t>
  </si>
  <si>
    <t>IDRISS TAZARN</t>
  </si>
  <si>
    <t>PV N° : 01RC2025-DPPR</t>
  </si>
  <si>
    <t>nn nouveau freelance</t>
  </si>
  <si>
    <t>NAJAT OUADIF  -  La supervision du contenu musical et la participation à la programmation musicale</t>
  </si>
  <si>
    <t>NAJAT OUADIF</t>
  </si>
  <si>
    <t>AIT AMMI HADDOU HANANE  -  Journaliste chargée de la préparation et la présentation des émissions radiophoniques</t>
  </si>
  <si>
    <t>AIT AMMI HADDOU HANANE</t>
  </si>
  <si>
    <t>ADIB EL MACHRAFI  -  Journaliste chargé de la préparation et la présentation des émissions radiophoniques</t>
  </si>
  <si>
    <t>ADIB EL MACHRAFI</t>
  </si>
  <si>
    <t>SIBARI SAIDA  -  Journaliste chargée de la préparation et la présentation des émissions radiophoniques</t>
  </si>
  <si>
    <t>SIBARI SAIDA</t>
  </si>
  <si>
    <t>HICHAM LAZREQ  -  Journaliste chargé   la préparation et la présentation des émissions radiophoniques et la programmation musicale</t>
  </si>
  <si>
    <t>HICHAM LAZREQ</t>
  </si>
  <si>
    <t>BHIRI MHAMED  -  Journaliste chargé de la préparation et l’animation de l’émission RD « INTER MATIN »</t>
  </si>
  <si>
    <t>BHIRI MHAMED</t>
  </si>
  <si>
    <t>CHRAYGANE GHIZLANE  -  Journaliste chargée de la préparation et la présentation des émissions radiophoniques</t>
  </si>
  <si>
    <t>CHRAYGANE GHIZLANE</t>
  </si>
  <si>
    <t>HANAA LAIDI  -  Journaliste chargée de la préparation et la présentation des émissions radiophoniques</t>
  </si>
  <si>
    <t>HANAA LAIDI</t>
  </si>
  <si>
    <t>MOHAMED AKOUNAD  -  Journaliste chargé de la préparation et la présentation des bulletins et flashs d’information et des émissions radiophoniques</t>
  </si>
  <si>
    <t>MOHAMED AKOUNAD</t>
  </si>
  <si>
    <t>KORCHI YOUSSEF  -  Journaliste chargé de la préparation et la présentation des bulletins et flashs d’information et des émissions radiophoniques</t>
  </si>
  <si>
    <t>KORCHI YOUSSEF</t>
  </si>
  <si>
    <t>RADOUAN WAHIDI -  Journaliste chargé de la préparation et la présentation des bulletins et flashs d’information et des émissions radiophoniques</t>
  </si>
  <si>
    <t>RADOUAN WAHID</t>
  </si>
  <si>
    <t>AL AHDI AHMED  -  Journaliste chargé de la préparation et la présentation des bulletins et flashs d’information et des émissions radiophoniques</t>
  </si>
  <si>
    <t>AL AHDI AHMED</t>
  </si>
  <si>
    <t>AZIZA EL RHAOUI  -  Journaliste chargée de la préparation et la présentation des bulletins et flashs d’information et des émissions radiophoniques</t>
  </si>
  <si>
    <t>AZIZA EL RHAOUI</t>
  </si>
  <si>
    <t>nn</t>
  </si>
  <si>
    <t>ABDERRAHMAN LOUKSANI  -  Réalisateur radio</t>
  </si>
  <si>
    <t>ABDERRAHMAN LOUKSANI</t>
  </si>
  <si>
    <t>HASSAN BENMANSOUR  -  Journaliste chargé de la préparation et la présentation des bulletins et flashs d’information et des émissions radiophoniques</t>
  </si>
  <si>
    <t>HASSAN BENMANSOUR</t>
  </si>
  <si>
    <t>ANASS EL MALHOUNI  -  Journaliste chargé de la préparation et la présentation des bulletins et flashs d’information et des émissions radiophoniques</t>
  </si>
  <si>
    <t>ANASS EL MALHOUNI</t>
  </si>
  <si>
    <t>KADIRI EL MAANA MY OMAR  -  Journaliste chargé de la préparation et la présentation des bulletins et flashs d’information et des émissions radiophoniques</t>
  </si>
  <si>
    <t>KADIRI EL MAANA MY OMAR</t>
  </si>
  <si>
    <t>ZAHRAOUI MOHAMED  -  Journaliste chargé de la préparation et la présentation des bulletins et flashs d’information et des émissions radiophoniques</t>
  </si>
  <si>
    <t>ZAHRAOUI MOHAMED</t>
  </si>
  <si>
    <t>TASAFT MOHAMMED  -  Journaliste chargé de la préparation et la présentation des bulletins et flashs d’information et des émissions radiophoniques</t>
  </si>
  <si>
    <t>TASAFT MOHAMMED</t>
  </si>
  <si>
    <t>LAHBIB AADID  -  Journaliste chargé de la préparation et la présentation des bulletins et flashs d’information et des émissions radiophoniques</t>
  </si>
  <si>
    <t xml:space="preserve">LAHBIB AADID </t>
  </si>
  <si>
    <t>FATIMATOU ERGUIBI  -  Journaliste chargée de la préparation et la présentation des bulletins et flashs d’information et des émissions radiophoniques</t>
  </si>
  <si>
    <t>FATIMATOU ERGUIBI</t>
  </si>
  <si>
    <t>MAOULAININE MOHAMED  -  Journaliste chargé de la préparation et la présentation des bulletins et flashs d’information et des émissions radiophoniques</t>
  </si>
  <si>
    <t>MAOULAININE MOHAMED</t>
  </si>
  <si>
    <t>FATMA BOUTABAA  -  Journaliste chargé de la préparation et la présentation des bulletins et flashs d’information et des émissions radiophoniques</t>
  </si>
  <si>
    <t>FATMA BOUTABAA</t>
  </si>
  <si>
    <t>ZAZA MOHAMMED  -  Journaliste chargé de la préparation et la présentation des bulletins et flashs d’information et des émissions radiophoniques</t>
  </si>
  <si>
    <t>ZAZA MOHAMMED</t>
  </si>
  <si>
    <t>SALAH ALLALI  -  Journaliste chargé de la préparation et la présentation des bulletins et flashs d’information et des émissions radiophoniques</t>
  </si>
  <si>
    <t xml:space="preserve">SALAH ALLALI </t>
  </si>
  <si>
    <t>MOHAMMED SAMADI  -  Journaliste chargé de la préparation et la présentation des bulletins et flashs d’information et des émissions radiophoniques</t>
  </si>
  <si>
    <t>MOHAMMED SAMADI</t>
  </si>
  <si>
    <t>NOUKRACHI ABDELHAMID  -  Journaliste chargé de la préparation et la présentation des bulletins et flashs d’information et des émissions radiophoniques</t>
  </si>
  <si>
    <t>NOUKRACHI ABDELHAMID</t>
  </si>
  <si>
    <t>ALLOU MOHAMED  -  Journaliste chargé de la préparation et la présentation des bulletins et flashs d’information et des émissions radiophoniques</t>
  </si>
  <si>
    <t>ALLOU MOHAMED</t>
  </si>
  <si>
    <t>EL OUARDANI ABDELMAJID   -  Journaliste chargé de la préparation et la présentation des bulletins et flashs d’information et des émissions radiophoniques</t>
  </si>
  <si>
    <t>EL OUARDANI ABDELMAJID</t>
  </si>
  <si>
    <t>LAGZANNAY KHIRA  -  Journaliste chargé de la préparation et la présentation des bulletins et flashs d’information et des émissions radiophoniques</t>
  </si>
  <si>
    <t>LAGZANNAY KHIRA</t>
  </si>
  <si>
    <t>CHOUKAR YOUSSEF  -  Opérateur prise de son</t>
  </si>
  <si>
    <t>CHOUKAR YOUSSEF</t>
  </si>
  <si>
    <t>ALIA EDIOURI  -  Journaliste chargée de la préparation et la présentation des émissions radiophoniques</t>
  </si>
  <si>
    <t>ALIA EDIOURI</t>
  </si>
  <si>
    <t>FATIMA-EZZAHRA ELYAAKOUBI  -  Journaliste chargée de la préparation et la présentation des émissions radiophoniques</t>
  </si>
  <si>
    <t>FATIMA-EZZAHRA ELYAAKOUBI</t>
  </si>
  <si>
    <t>MOUAD BOUDINA  -  Journaliste chargé de la préparation des magazines d’information, des reportages RD, la présentation des journaux parlés et flashs d’information, ainsi que la préparation et l’animation des émissions RD dans la région de Fès</t>
  </si>
  <si>
    <t>MOUAD BOUDINA</t>
  </si>
  <si>
    <t>TAHANI MOULAY ABDELILAH  -  Journaliste chargé de la préparation et la présentation des émissions radiophoniques</t>
  </si>
  <si>
    <t xml:space="preserve">TAHANI MOULAY ABDELILAH </t>
  </si>
  <si>
    <t>SAMIRA ELHADDOUCHI  -  Chroniqueuse chargée de la préparation et l’animation de l’émission RD « LA MODE »</t>
  </si>
  <si>
    <t>SAMIRA ELHADDOUCHI</t>
  </si>
  <si>
    <t>MUSTAPHA SEHIMI  -  Chroniqueur chargé de la préparation et l’animation de l’émission RD « REPERE »</t>
  </si>
  <si>
    <t>SANAA CHAABAOUI  -  Préparation et présentation d’une émission de sensibilisation à la santé psychologique</t>
  </si>
  <si>
    <t>SANAA CHAABAOUI</t>
  </si>
  <si>
    <t>MOHAMED SELHAMI -  Chroniqueur chargé de la préparation et l’animation de l’émission RD « REPERE »</t>
  </si>
  <si>
    <t>MOHAMED SELHAMI</t>
  </si>
  <si>
    <t>PV N° : 01RC2025- DRPSD</t>
  </si>
  <si>
    <t>ABIR BOUZID  -  Chargée de la gestion des conducteurs publicitaires</t>
  </si>
  <si>
    <t>ABIR BOUZID</t>
  </si>
  <si>
    <t>NAJI RABEH  -  Chargé de la gestion des écrans publicitaires</t>
  </si>
  <si>
    <t>NAJI RABEH</t>
  </si>
  <si>
    <t>MOHAMED CHARIF DJEBLI  -  Informaticien, chargé de la sécurisation des plateformes digitales de la SNRT</t>
  </si>
  <si>
    <t>MOHAMED CHARIF DJEBLI</t>
  </si>
  <si>
    <t>PV N° : 01RC2025-DRPSD-SNRTNEWS</t>
  </si>
  <si>
    <t>JAMAL EL KHANOUSSI  -  Chargé de la rédaction, de la coordination et de la production du contenu de la plateforme SNRTNEWS.</t>
  </si>
  <si>
    <t>JAMAL EL KHANOUSSI</t>
  </si>
  <si>
    <t>SALAH ELGOUMRI  -  Journaliste</t>
  </si>
  <si>
    <t xml:space="preserve">SALAH ELGOUMRI </t>
  </si>
  <si>
    <t>BOUCHRA EL AOUMARI  -  Assistante de Rédaction</t>
  </si>
  <si>
    <t>BOUCHRA EL AOUMARI</t>
  </si>
  <si>
    <t>MOHAMMED ELASRI  -  Chef Monteur</t>
  </si>
  <si>
    <t>MOHAMMED ELASRI</t>
  </si>
  <si>
    <t>MOUSSA MATROUF  -  Secrétaire de Rédaction</t>
  </si>
  <si>
    <t>MOUSSA MATROUF</t>
  </si>
  <si>
    <t>MUSTAPHA AZOUGAH  -  Secrétaire de Rédaction</t>
  </si>
  <si>
    <t>MUSTAPHA AZOUGAH</t>
  </si>
  <si>
    <t>WALID KDIDIR -  Monteur - Infographiste</t>
  </si>
  <si>
    <t>WALID KDIDIR</t>
  </si>
  <si>
    <t>HAMZA BAMMOU  -  Journaliste</t>
  </si>
  <si>
    <t>HAMZA BAMMOU</t>
  </si>
  <si>
    <t>PV N° : 01RC2025- DCPCART</t>
  </si>
  <si>
    <t>NARJISS EL GOURARI  -  Maquilleuse coiffeuse et habilleuse sénior</t>
  </si>
  <si>
    <t>NARJISS EL GOURARI</t>
  </si>
  <si>
    <t>KARIM DRISS AZIZ  -  Infographiste/Créer et gérer les playlists pour le JT</t>
  </si>
  <si>
    <t>KARIM DRISS AZIZ</t>
  </si>
  <si>
    <t>FATIMA ID -HAMOU  -  Montage Auto-Promotion et Bandes Annonces, Webmaster</t>
  </si>
  <si>
    <t>FATIMA ID -HAMOU</t>
  </si>
  <si>
    <t>YOUSSEF CHAIH  -  Pré-PAD/Assistant réalisateur</t>
  </si>
  <si>
    <t>YOUSSEF CHAIH</t>
  </si>
  <si>
    <t>CHIHAL FOUAD  -  Réalisateur</t>
  </si>
  <si>
    <t>CHIHAL FOUAD</t>
  </si>
  <si>
    <t>INSSAF BENTARKA  -  Maquilleuse coiffeuse et habilleuse</t>
  </si>
  <si>
    <t>INSSAF BENTARKA</t>
  </si>
  <si>
    <t>LAHCEN HERRAF  -  Coordinateur Archives</t>
  </si>
  <si>
    <t>LAHCEN HERRAF</t>
  </si>
  <si>
    <t>FATIMA DOUIBI  -  Maquilleuse coiffeuse et habilleuse</t>
  </si>
  <si>
    <t>FATIMA DOUIBI</t>
  </si>
  <si>
    <t>SOUAD HILALI  -  Journaliste</t>
  </si>
  <si>
    <t>SOUAD HILALI</t>
  </si>
  <si>
    <t>REDA KENZI  -  Chargé de production</t>
  </si>
  <si>
    <t>REDA KENZI</t>
  </si>
  <si>
    <t>IDRISSI BADR TAFRAOUTI  -  Technicien en OPV/OPS.</t>
  </si>
  <si>
    <t>IDRISSI BADR TAFRAOUTI</t>
  </si>
  <si>
    <t>REDA OU-OUCHEN  -  Monteur/assistant graphiste</t>
  </si>
  <si>
    <t>REDA OU-OUCHEN</t>
  </si>
  <si>
    <t>SAID BELLI  -  Réalisateur</t>
  </si>
  <si>
    <t xml:space="preserve">SAID BELLI </t>
  </si>
  <si>
    <t>BASMA OULKHCHICH  -  Journaliste</t>
  </si>
  <si>
    <t>BASMA OULKHCHICH</t>
  </si>
  <si>
    <t>FATIMA BOUSSABRI  -  Journaliste</t>
  </si>
  <si>
    <t>FATIMA BOUSSABRI</t>
  </si>
  <si>
    <t>JAMAL OUJDDOU  -  Journaliste</t>
  </si>
  <si>
    <t>JAMAL OUJDDOU</t>
  </si>
  <si>
    <t>REDOUAN SEDDEKI  -  Monteur</t>
  </si>
  <si>
    <t>REDOUAN SEDDEKI</t>
  </si>
  <si>
    <t>MOHAMED FADLAOUI  -  Commentateur des matches de football</t>
  </si>
  <si>
    <t xml:space="preserve">MOHAMED FADLAOUI </t>
  </si>
  <si>
    <t>LARBI OUAHDANI  -  Coiffeur, Maquilleur</t>
  </si>
  <si>
    <t>LARBI OUAHDANI</t>
  </si>
  <si>
    <t>BOUMCOUSI MOHAMED  -  Concepteur Animateur RD/TV</t>
  </si>
  <si>
    <t>BOUMCOUSI MOHAMED</t>
  </si>
  <si>
    <t>SALAH BOULLA  -  Chef d’édition JT</t>
  </si>
  <si>
    <t>SALAH BOULLA</t>
  </si>
  <si>
    <t>AKDIM M'BAREK  -  Concepteur Animateur RD/TV</t>
  </si>
  <si>
    <t>AKDIM M'BAREK</t>
  </si>
  <si>
    <t>MARYEM OUJOUJ  -  Régisseur d'antenne /Opérateur serveur</t>
  </si>
  <si>
    <t>MARYEM OUJOUJ</t>
  </si>
  <si>
    <t>RACHID EL MANSOURI  -  Pré PAD/ Assistant réalisateur</t>
  </si>
  <si>
    <t>RACHID EL MANSOURI</t>
  </si>
  <si>
    <t>HICHAM MADACHA  -  Consultant Politique</t>
  </si>
  <si>
    <t>HICHAM MADACHA</t>
  </si>
  <si>
    <t>MUSTAPHA AZIZI  -  Consultant Politique</t>
  </si>
  <si>
    <t>MUSTAPHA AZIZI</t>
  </si>
  <si>
    <t>HAFID EZZAHRI  -  Consultant Politique</t>
  </si>
  <si>
    <t>HAFID EZZAHRI</t>
  </si>
  <si>
    <t>SOFIA EL AMALKI  -  Journaliste</t>
  </si>
  <si>
    <t>SOFIA EL AMALKI</t>
  </si>
  <si>
    <t>TAHAR MOHAMED  -  Technicien OPV/OPS</t>
  </si>
  <si>
    <t>TAHAR MOHAMED</t>
  </si>
  <si>
    <t>SAID HASNI  -  Concepteur Animateur RD/TV</t>
  </si>
  <si>
    <t>SAID HASNI</t>
  </si>
  <si>
    <t>NAJMI NOUREDDIN  -  Concepteur Animateur RD/TV</t>
  </si>
  <si>
    <t>NAJMI NOUREDDIN</t>
  </si>
  <si>
    <t>ABEL NEZHA  -  Concepteur Animateur RD/TV</t>
  </si>
  <si>
    <t>ABEL NEZHA</t>
  </si>
  <si>
    <t>MHAMED EL FERDI  -  Concepteur Animateur RD/TV</t>
  </si>
  <si>
    <t>MHAMED EL FERDI</t>
  </si>
  <si>
    <t>ABRDAOUS NAIMA  -  Chargée de production</t>
  </si>
  <si>
    <t>ABRDAOUS NAIMA</t>
  </si>
  <si>
    <t>DARKAOUI AHLAM   -  Concepteur Animateur RD</t>
  </si>
  <si>
    <t>DARKAOUI AHLAM</t>
  </si>
  <si>
    <t>ABEL AMINA  -  Concepteur Animateur RD/TV</t>
  </si>
  <si>
    <t>ABEL AMINA</t>
  </si>
  <si>
    <t>BRAHIM IAAZA  -  Rédacteur en Tifinagh</t>
  </si>
  <si>
    <t>BRAHIM IAAZA</t>
  </si>
  <si>
    <t>MOHAMED TALEB  -  Concepteur Animateur RD</t>
  </si>
  <si>
    <t>MOHAMED TALEB</t>
  </si>
  <si>
    <t>ARJDAL ZOHRA  -  Concepteur Animateur RD/TV</t>
  </si>
  <si>
    <t>ARJDAL ZOHRA</t>
  </si>
  <si>
    <t>OUARDA KOULLIGE  -  Concepteur Animateur RD</t>
  </si>
  <si>
    <t>OUARDA KOULLIGE</t>
  </si>
  <si>
    <t>YAMINA CHOUA  -  Concepteur Animateur RD</t>
  </si>
  <si>
    <t>YAMINA CHOUA</t>
  </si>
  <si>
    <t>MOULOUD RABAH  -  Journaliste sportif</t>
  </si>
  <si>
    <t>MOULOUD RABAH</t>
  </si>
  <si>
    <t>OBTEL NAJAT  -  Gestionnaire d'antenne</t>
  </si>
  <si>
    <t>OBTEL NAJAT</t>
  </si>
  <si>
    <t>DANYAL AZAOUM  -  Concepteur Animateur RD/TV</t>
  </si>
  <si>
    <t>DANYAL AZAOUM</t>
  </si>
  <si>
    <t>OUHSSAIN ZAHRA  -  Concepteur Animateur RD/TV</t>
  </si>
  <si>
    <t>OUHSSAIN ZAHRA</t>
  </si>
  <si>
    <t>SAADIA BOUZALRHA  -  Concepteur Animateur RD/TV</t>
  </si>
  <si>
    <t>SAADIA BOUZALRHA</t>
  </si>
  <si>
    <t>MUSTAPHA BOUKRIM  -  Concepteur Animateur RD</t>
  </si>
  <si>
    <t>MUSTAPHA BOUKRIM</t>
  </si>
  <si>
    <t>FATIMA EL KABBOUD  -  Concepteur Animateur RD/TV</t>
  </si>
  <si>
    <t>FATIMA EL KABBOUD</t>
  </si>
  <si>
    <t>SAID BAJJI  -  Concepteur Animateur RD</t>
  </si>
  <si>
    <t>SAID BAJJI</t>
  </si>
  <si>
    <t>AASSID AHMED  -  Chroniqueur</t>
  </si>
  <si>
    <t>AASSID AHMED</t>
  </si>
  <si>
    <t>MOUSTAOUI MOHAMED  -  Chroniqueur</t>
  </si>
  <si>
    <t>MOUSTAOUI MOHAMED</t>
  </si>
  <si>
    <t>RACHID ABDELOIAHID  -  Journaliste sportif en charge de la préparation et l'animation des émissions ''TONOUNT" &amp; "DIMANCHE SPORT" (version Tachlhit)</t>
  </si>
  <si>
    <t>RACHID ABDELOIAHID</t>
  </si>
  <si>
    <t>SRHANE EL MOSTAFA  -  Journaliste sportif en charge de l'animation de l'émission ''LEGHA D RIADA" &amp; "DIMANCHE SPORT" (version Tamazight)</t>
  </si>
  <si>
    <t>SRHANE EL MOSTAFA</t>
  </si>
  <si>
    <t>BEN AMAR RACHID  -  Journaliste sportif en charge de l'animation de l'émission ''LEGHA D RIADA" &amp; "DIMANCHE SPORT" (version Tarifit)</t>
  </si>
  <si>
    <t>BEN AMAR RACHID</t>
  </si>
  <si>
    <t>AAMOUNE MY EL BACHIR  -  Chroniqueur</t>
  </si>
  <si>
    <t>AAMOUNE MY EL BACHIR</t>
  </si>
  <si>
    <t>PV N° : 02RC2025-DPPCCRTV</t>
  </si>
  <si>
    <t>LAHASSAN ID SAID  -  Président de la commission scientifique chargée de l’écoute, du visionnage, de la validation et de l’approbation du contenu des émissions coraniques RD et TV</t>
  </si>
  <si>
    <t>LAHASSAN ID SAID</t>
  </si>
  <si>
    <t>BOULAAMANE ABDELKAMEL  -  Membre de la commission scientifique chargée de l’écoute, du visionnage et de la validation du contenu des émissions coraniques RD et TV</t>
  </si>
  <si>
    <t>BOULAAMANE ABDELKAMEL</t>
  </si>
  <si>
    <t>EL BAHJA MOUSSA  -  Membre de la commission scientifique chargée de l’écoute, du visionnage et de la validation du contenu des émissions coraniques RD et TV</t>
  </si>
  <si>
    <t>EL BAHJA MOUSSA</t>
  </si>
  <si>
    <t>AZZOUZI HASSANE  -  Membre de la commission scientifique chargée de l’écoute, du visionnage et de la validation du contenu des émissions coraniques RD et TV</t>
  </si>
  <si>
    <t>AZZOUZI HASSANE</t>
  </si>
  <si>
    <t>LAYACHI QABBOUSSI  -  PAD RD et TV : Membre de la commission scientifique chargée de l’écoute, du visionnage des émissions coraniques RD et TV</t>
  </si>
  <si>
    <t>LAYACHI QABBOUSSI</t>
  </si>
  <si>
    <t>AMZIL ALI ABDELJALIL  -  PAD RD et TV : Membre de la commission scientifique chargée de l’écoute, du visionnage des émissions coraniques RD et TV</t>
  </si>
  <si>
    <t>AMZIL ALI ABDELJALIL</t>
  </si>
  <si>
    <t>ENNACIRI YOUSSEF  -  PAD RD et TV : Membre de la commission scientifique chargée de l’écoute, du visionnage des émissions coraniques RD et TV</t>
  </si>
  <si>
    <t>ENNACIRI YOUSSEF</t>
  </si>
  <si>
    <t>TAYEB AIT OUGHORI  -  PAD RD et TV : Membre de la commission scientifique chargée de l’écoute, du visionnage des émissions coraniques RD et TV</t>
  </si>
  <si>
    <t>TAYEB AIT OUGHOR</t>
  </si>
  <si>
    <t>HICHAM EL HLIMI  -  PAD RD et TV : Membre de la commission scientifique chargée de l’écoute, du visionnage des émissions coraniques RD et TV</t>
  </si>
  <si>
    <t>HICHAM EL HLIMI</t>
  </si>
  <si>
    <t>EL ASRI HAFSAE  -  PAD RD et TV : Membre de la commission scientifique chargée de l’écoute, du visionnage des émissions coraniques RD et TV</t>
  </si>
  <si>
    <t>EL ASRI HAFSAE</t>
  </si>
  <si>
    <t>AHMED BENMAHANE  -  PAD RD et TV : Membre de la commission scientifique chargée de l’écoute, du visionnage des lectures et des émissions coraniques RD et TV</t>
  </si>
  <si>
    <t xml:space="preserve">AHMED BENMAHANE </t>
  </si>
  <si>
    <t>EL BOUKHARI MOHAMED  -  PAD RD et TV : Membre de la commission scientifique chargée de l’écoute, du visionnage des lectures et des émissions coraniques RD et TV</t>
  </si>
  <si>
    <t>EL BOUKHARI MOHAMED</t>
  </si>
  <si>
    <t>ABDELKRIM EL BAKI ALLAH  -  PAD RD et TV : Membre de la commission scientifique chargée de l’écoute, du visionnage des lectures et des émissions coraniques RD et TV</t>
  </si>
  <si>
    <t>ABDELKRIM EL BAKI ALLAH</t>
  </si>
  <si>
    <t>DTSI</t>
  </si>
  <si>
    <t>PV N° : 02RC2025- DCT</t>
  </si>
  <si>
    <t>RIH AMAL  -  Preneur de vue</t>
  </si>
  <si>
    <t>RIH AMA</t>
  </si>
  <si>
    <t>ABDERRAZZAK MOUZAHIM  -  Preneur de vue</t>
  </si>
  <si>
    <t>ABDERRAZZAK MOUZAHIM</t>
  </si>
  <si>
    <t>AMRENSS YOUSSEF  -  Assistant cameraman</t>
  </si>
  <si>
    <t>AMRENSS YOUSSEF</t>
  </si>
  <si>
    <t>ISMAIL MESKINE  -  Assistant cameraman</t>
  </si>
  <si>
    <t>ISMAIL MESKINE</t>
  </si>
  <si>
    <t>YAHYA SKAF  -  Assistant cameraman</t>
  </si>
  <si>
    <t xml:space="preserve">YAHYA SKAF </t>
  </si>
  <si>
    <t>KABBAJ ZOUHEIR  -  Assistant cameraman</t>
  </si>
  <si>
    <t>KABBAJ ZOUHEIR</t>
  </si>
  <si>
    <t>M'RABETT AYOUB  -  Assistant cameraman</t>
  </si>
  <si>
    <t>M'RABETT AYOUB</t>
  </si>
  <si>
    <t>PV N° : 03RC2025-DPPCCRTV</t>
  </si>
  <si>
    <t>MOHAMMED TOURABI  -  Préparation et la présentation de l'émission radiophonique « ورتل القرآن ترتيلا »</t>
  </si>
  <si>
    <t>Achats de productions et de programmes
Achat des programmes en production interne - personnes physiques</t>
  </si>
  <si>
    <t xml:space="preserve">MOHAMMED TOURABI </t>
  </si>
  <si>
    <t>ABDELLATIF BOUBALA  -  Préparation et la présentation de l’émission RD « ملتقى الأطفال»</t>
  </si>
  <si>
    <t>ABDELLATIF BOUBALA</t>
  </si>
  <si>
    <t>MOSTAFA BEN HAMZA  -  Préparation et présentation de l'émission TV " الكراسي العلمية "</t>
  </si>
  <si>
    <t>MOSTAFA BEN HAMZA</t>
  </si>
  <si>
    <t>ABDERRAHIM NABOULSSI  -  Préparation et présentation de l'émission TV " الكراسي العلمية "</t>
  </si>
  <si>
    <t>ABDERRAHIM NABOULSSI</t>
  </si>
  <si>
    <t>MOHAMED RAOUGUI  -  Préparation et présentation de l'émission TV " الكراسي العلمية "</t>
  </si>
  <si>
    <t>MOHAMED RAOUGUI</t>
  </si>
  <si>
    <t>MUSTAPHA BAHIAOUI  -  Préparation et présentation de l'émission TV " الكراسي العلمية "</t>
  </si>
  <si>
    <t>MUSTAPHA BAHIAOUI</t>
  </si>
  <si>
    <t>MOHAMMED BENKIRANE  -  Préparation et présentation de l'émission TV " الكراسي العلمية "</t>
  </si>
  <si>
    <t>MOHAMMED BENKIRANE</t>
  </si>
  <si>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</si>
  <si>
    <t>SIDI ABDERAHMANE ALIOUI</t>
  </si>
  <si>
    <t>ABDELLAH ABOUATALLAH  -  Préparation et présentation de l’émission TV " الكراسي العلمية "</t>
  </si>
  <si>
    <t>ABDELLAH ABOUATALLAH</t>
  </si>
  <si>
    <t>ID SAID LAHSSAN  -  Réponse sur antenne TV aux questions des téléspectateurs à l'émission TV " يسألونك/ Réponse sur antenne RD aux questions des auditeurs à l'émission RD "يسألونك"</t>
  </si>
  <si>
    <t>ID SAID LAHSSAN</t>
  </si>
  <si>
    <t>MIFRAH EL HOUSSAIN  -  Réponse sur antenne TV aux questions des téléspectateurs à l'émission TV " يسألونك / Réponse sur antenne RD aux questions des auditeurs à l'émission RD "يسألونك"</t>
  </si>
  <si>
    <t>MIFRAH EL HOUSSAIN</t>
  </si>
  <si>
    <t>MOHAMMED EL YOUSSOUFI  -  Réponse sur antenne TV aux questions des téléspectateurs à l'émission TV " يسألونك / Réponse sur antenne RD aux questions des auditeurs à l'émission RD "يسألونك"</t>
  </si>
  <si>
    <t>MOHAMMED EL YOUSSOUFI</t>
  </si>
  <si>
    <t>ABOUZID KHADIJA  -  Réponse sur antenne TV aux questions des téléspectateurs à l'émission TV " يسألونك / Réponse sur antenne RD aux questions des auditeurs à l'émission RD "يسألونك"</t>
  </si>
  <si>
    <t>ABOUZID KHADIJA</t>
  </si>
  <si>
    <t>EL GHOLABZOURI BOUTHAINA  -  Réponse sur antenne TV aux questions des téléspectateurs à l'émission TV " يسألونك</t>
  </si>
  <si>
    <t>EL GHOLABZOURI BOUTHAINA</t>
  </si>
  <si>
    <t>MUSTAPHA ZAMEHNA  -  Réponse sur antenne TV aux questions des téléspectateurs à l'émission TV " يسألونك</t>
  </si>
  <si>
    <t>MUSTAPHA ZAMEHNA</t>
  </si>
  <si>
    <t>MOHAMMED EL KHIRAOUI  -  Préparation et la présentation l'émission RD "يسألونك"</t>
  </si>
  <si>
    <t>MOHAMMED EL KHIRAOUI</t>
  </si>
  <si>
    <t>LAYACHI QABBOUSSI  -  La préparation et présentation de l’émission TV « المسالك"</t>
  </si>
  <si>
    <t>YOUSSEF ENNACIRI  -  La préparation et la présentation de l'émission TV " السيرة النبوية قضايا وأعلام"</t>
  </si>
  <si>
    <t>YOUSSEF ENNACIRI</t>
  </si>
  <si>
    <t>LAMINE ABDERRAHIM  -  Réponse sur antenne RD aux questions des auditeurs à l'émission RD "يسألونك" / La préparation de l'émission TV "الدين و القانون"</t>
  </si>
  <si>
    <t>LAMINE ABDERRAHIM</t>
  </si>
  <si>
    <t>ZERRAD NAWAL  -  La préparation et la présentation de la capsule RD "حكم من القرآن و السنة".</t>
  </si>
  <si>
    <t>ZERRAD NAWAL</t>
  </si>
  <si>
    <t>AHMED BENMAHANE  -  La préparation et la Présentation de l'émission TV "براعم القراء" / La Préparation et la présentation de l'émission RD "مواهب التجويد"</t>
  </si>
  <si>
    <t>AHMED BENMAHANE</t>
  </si>
  <si>
    <t>FATOUHI HICHAM  -  La préparation de l'émission TV "الدين و القانون" / La présentation de la capsule RD " ''كمالات محمدية''</t>
  </si>
  <si>
    <t>FATOUHI HICHAM</t>
  </si>
  <si>
    <t>MOHAMED THAMI EL HARRAK  -  La préparation de la capsule RD " ''كمالات محمدية''</t>
  </si>
  <si>
    <t>MOHAMED THAMI EL HARRAK</t>
  </si>
  <si>
    <t>ILYASSE BENNANI  -  La préparation et la présentation de la capsule RD ''ومضات حول الثوابت''</t>
  </si>
  <si>
    <t>ILYASSE BENNANI</t>
  </si>
  <si>
    <t>HAMDAOUI FATIHA  -  La préparation et la présentation de l'émission RD "طفل يقرأ"</t>
  </si>
  <si>
    <t>HAMDAOUI FATIHA</t>
  </si>
  <si>
    <t>MOHCIN NORCH  -  La préparation et la présentation de l'émission RD "محافل السماع".</t>
  </si>
  <si>
    <t>MOHCIN NORCH</t>
  </si>
  <si>
    <t>HADDAD ZAKIA   -  La préparation et la présentation de l’émission RD"تاريخ وحضارة".</t>
  </si>
  <si>
    <t>HADDAD ZAKIA</t>
  </si>
  <si>
    <t>ILHAM CHAFIK  -  La préparation et la présentation de l'émission RD " التبليغ المبين لمعاني المرشد المعين "</t>
  </si>
  <si>
    <t>ILHAM CHAFIK</t>
  </si>
  <si>
    <t>SAID NAQCHI  -  La préparation et la présentation de l'émission TV"مع الشباب"</t>
  </si>
  <si>
    <t>SAID NAQCHI</t>
  </si>
  <si>
    <t>DINA KADIRI  -  La préparation et la présentation de l'émission TV"LES CHEMINS CROISES"</t>
  </si>
  <si>
    <t>DINA KADIRI</t>
  </si>
  <si>
    <t>EL BOUKILI AHMED  -  La préparation et la présentation de l'émission TV " الكلمة السواء"</t>
  </si>
  <si>
    <t>EL BOUKILI AHMED</t>
  </si>
  <si>
    <t>BIHI SAID  -  La préparation et la présentation de l'émission TV " قضايا التبليغ"</t>
  </si>
  <si>
    <t>BIHI SAID</t>
  </si>
  <si>
    <t>AMHARAR ILYASS  -  La préparation et la présentation de l'émission TV "LES CONSTANCES RELEGIEUSES".</t>
  </si>
  <si>
    <t xml:space="preserve">AMHARAR ILYASS </t>
  </si>
  <si>
    <t>ABDELKAMEL DINIA  -  La préparation et la présentation de l'émission RD intitulée ''مذاكرات''</t>
  </si>
  <si>
    <t>ABDELKAMEL DINIA</t>
  </si>
  <si>
    <t>WAFAE JABRANE  -  La préparation et la présentation de l'émission TV "جسور"</t>
  </si>
  <si>
    <t>WAFAE JABRANE</t>
  </si>
  <si>
    <t>ENNAJI AL AMJAD  -  La préparation et la présentation de l'émission TV ''استهلال لست وحدك''</t>
  </si>
  <si>
    <t>ENNAJI AL AMJAD</t>
  </si>
  <si>
    <t>AMINA IRAQI HOUSSAINI  -  La préparation et la présentation de l'émission RD"لحظة لصحتك"</t>
  </si>
  <si>
    <t>AMINA IRAQI HOUSSAINI</t>
  </si>
  <si>
    <t>KHALID SAQI  -  La préparation et la présentation de l'émission radiophonique intitulée ''الرسالة الخالدة''</t>
  </si>
  <si>
    <t>KHALID SAQI</t>
  </si>
  <si>
    <t>ZINEB HIDRA  -  La préparation et la présentation de l'émission TV intitulée ''لتسكنوا إليها ''</t>
  </si>
  <si>
    <t>ZINEB HIDRA</t>
  </si>
  <si>
    <t>YAMNA HAMOURI  -  La préparation et la présentation de l'émission TV intitulée ''همزة وصل ''</t>
  </si>
  <si>
    <t>YAMNA HAMOURI</t>
  </si>
  <si>
    <t>ABDESLAM JMILI  -  La préparation de l’émission TV « المقنع في علم التوقيت»</t>
  </si>
  <si>
    <t>ABDESLAM JMILI</t>
  </si>
  <si>
    <t>MOULAY ENNAJEM TAHDAOUI  -  La préparation et la présentation de l'émission TV intitulée ''الرسم القرآني ‘‘</t>
  </si>
  <si>
    <t>MOULAY ENNAJEM TAHDAOUI</t>
  </si>
  <si>
    <t>MOHAMED AIT ADDI  -  La préparation et la présentation de l'émission TV intitulée ''في ضيافة الشباب ''</t>
  </si>
  <si>
    <t>MOHAMED AIT ADDI</t>
  </si>
  <si>
    <t>ABDELLATIF TAYBI  -  La préparation et la présentation l'émission TV intitulée ''يوميات مسلم''</t>
  </si>
  <si>
    <t>ABDELLATIF TAYBI</t>
  </si>
  <si>
    <t>YOUNES BOUALAM  -  La préparation et la présentation de l'émission RD"قبس الأنوار"</t>
  </si>
  <si>
    <t>YOUNES BOUALAM</t>
  </si>
  <si>
    <t>Exécution de la production de l'émission pour femmes en PAD intitulée "LAMASATE NISAIYA"</t>
  </si>
  <si>
    <t>12CT/SNRT/2026</t>
  </si>
  <si>
    <t>Achats de productions et de programmes 
Acquis définitive Programmes TV externes 
Achats des programmes en co-production</t>
  </si>
  <si>
    <t>DUNAS PRODUCTION</t>
  </si>
  <si>
    <t>Exécution de la production de l'émission de jeux culturel en co-prod intitulée «AL FAICHE EX AL FARIH "</t>
  </si>
  <si>
    <t>16CT/SNRT/2026</t>
  </si>
  <si>
    <t>Exécution de la production de l’émission en PAD "ICHOUF A CHIBANI</t>
  </si>
  <si>
    <t>22CT/SNRT/2026</t>
  </si>
  <si>
    <t>JOWHARA TECH</t>
  </si>
  <si>
    <t>Exécution de la production du documentaire découverte sur le Sahara en PAD intitulée "AMNIR"</t>
  </si>
  <si>
    <t>15CT/SNRT/2026</t>
  </si>
  <si>
    <t>DELTA PRODUCTION</t>
  </si>
  <si>
    <t>Exécution de la production d’une série d’AMDAH NABAWIYA en PAD intitulée "BISMILAH LAHI NAMDAH"</t>
  </si>
  <si>
    <t>13CT/SNRT/2026</t>
  </si>
  <si>
    <t>LAJOUAD VISION</t>
  </si>
  <si>
    <t>Exécution de la production de   émission sur le patrimoine et la culture hassani en PAD intitulée: "MAA NAHA"</t>
  </si>
  <si>
    <t>21CT/SNRT/2026</t>
  </si>
  <si>
    <t>SAKIA PRO</t>
  </si>
  <si>
    <t>Exécution de la production de   l'émission famille en PAD intitulée "HOUZMAT RAMADAN"</t>
  </si>
  <si>
    <t>11CT/SNRT/2026</t>
  </si>
  <si>
    <t>NOUN PRODUCTION</t>
  </si>
  <si>
    <t>Exécution de la production de   l'émission de jeu  en coprod intitulée : "AL JAMAL BIMA HAMAL"</t>
  </si>
  <si>
    <t>08CT/SNRT/2026</t>
  </si>
  <si>
    <t>OUSSOUL PRODUCTION</t>
  </si>
  <si>
    <t xml:space="preserve">Exécution de la production de l’émission sur le patrimoine et la culture hassani en PAD "GHAB O JAB" </t>
  </si>
  <si>
    <t>20CT/SNRT/2026</t>
  </si>
  <si>
    <t>Exécution de la production de l’émission de sensibilisation sur la santé en PAD intitulée "SIHATOUKA FI RAMADAN"</t>
  </si>
  <si>
    <t>09CT/SNRT/2026</t>
  </si>
  <si>
    <t>MOVIE VISION SAHARA</t>
  </si>
  <si>
    <t>Exécution de la production de   l'émission culinaire en PAD intitulée "AL MAIDA SAHRAOUIYA"</t>
  </si>
  <si>
    <t>10CT/SNRT/2026</t>
  </si>
  <si>
    <t>AL JAMAL VISION</t>
  </si>
  <si>
    <t xml:space="preserve">Exécution de la production de   l'émission religieuse en PAD intitulée "KADAYA RAMADANIYA " </t>
  </si>
  <si>
    <t>14CT/SNRT/2026</t>
  </si>
  <si>
    <t>MONAFRIQUE PROD COM</t>
  </si>
  <si>
    <t>Exécution de la production d'un documentaire en PAD intitulée : « SAFAR WA ISTIKCHAF ABRA SAHRA »</t>
  </si>
  <si>
    <t>19CT/SNRT/2026</t>
  </si>
  <si>
    <t>Exécution de la production de   l'émission patrimoine en PAD intitulée " LYALI LFRIK"</t>
  </si>
  <si>
    <t>06CT/SNRT/2026</t>
  </si>
  <si>
    <t>Exécution de la production de  l'émission de jeu religieux en PAD intitulée "AL MAHDARA"</t>
  </si>
  <si>
    <t>05CT/SNRT/2026</t>
  </si>
  <si>
    <t>Exécution de la production de d’une soirée en Co Prod intitulé " LAYALI AOZAAOUANE "</t>
  </si>
  <si>
    <t>17CT/SNRT/2026</t>
  </si>
  <si>
    <t>LAAYOUNE PRO</t>
  </si>
  <si>
    <t>Exécution de la production de l’émission de jeu pour adultes en Co Prod intitulé "SIBAK AL KAWAFI"</t>
  </si>
  <si>
    <t>07CT/SNRT/2026</t>
  </si>
  <si>
    <t>Exécution de la production d’un documentaire en PAD intitulé « AMAJBOUR »</t>
  </si>
  <si>
    <t>18CT/SNRT/2026</t>
  </si>
  <si>
    <t>EXTREME MEDIA</t>
  </si>
  <si>
    <t>Souscription PORTNET – Achat forfait importateurs 50 opérations – 2026</t>
  </si>
  <si>
    <t>26000104 CT</t>
  </si>
  <si>
    <t>Redevance et cotisations
Abonnements</t>
  </si>
  <si>
    <t>PORTNET S.A</t>
  </si>
  <si>
    <t>Captation de 30 capsules « IBTIHALAT RAMADANIA », pour le mois de RAMADAN 1447, organisé et produite en interne par la SNRT.</t>
  </si>
  <si>
    <t xml:space="preserve"> 191CT/SNRT/2026</t>
  </si>
  <si>
    <t>ALI ER-RBAHY</t>
  </si>
  <si>
    <t>La location de 20 écrans Led pour la promotion des produits et services de la SNRT sur les villes de : Casablanca, Rabat, Marrakech, Agadir et Tanger ainsi que la location d’un écran géant Twin Center (Casablanca)</t>
  </si>
  <si>
    <t>FR/KR/01/2026</t>
  </si>
  <si>
    <t>FC MEDIA</t>
  </si>
  <si>
    <t>87 AOM/SNRT</t>
  </si>
  <si>
    <t>Prestation de nettoyage complète y compris les produits de nettoyage et l'entretien des locaux administratifs et techniques des services centraux et régionaux de la SNRT. (pour conclure un marché cadre).</t>
  </si>
  <si>
    <t>01M/2026</t>
  </si>
  <si>
    <t>Prestations de service
Achat prestations de services locales - sociétés</t>
  </si>
  <si>
    <t>HYATT NEGOCE SERVICE</t>
  </si>
  <si>
    <t>Montant engagé sur 11 Mois du Min (10 035 537,40)</t>
  </si>
  <si>
    <t>13AOM/SNRT</t>
  </si>
  <si>
    <t>Travaux d’aménagement des locaux technique de la SNRT a Rabat : Lot 1 : Aménagement et Agencement</t>
  </si>
  <si>
    <t>Absence Numéro AO</t>
  </si>
  <si>
    <t>Travaux d’aménagement des locaux technique de la SNRT a Rabat : Lot 2 : Electricité – Lustries – Climatisation</t>
  </si>
  <si>
    <t>41AOM/AOM</t>
  </si>
  <si>
    <t>Travaux d’aménagement et d’agencement de la Régie Publicitaire et des solutions digitales à Casablanca</t>
  </si>
  <si>
    <t>03 AOM/SNRT</t>
  </si>
  <si>
    <t>Travaux de démolition et de reconstruction d’un mur de clôture de la station régionale Radio à Oujda</t>
  </si>
  <si>
    <t>15M/2026</t>
  </si>
  <si>
    <t>OYIRI TRAVAUX</t>
  </si>
  <si>
    <t>04 AOM/SNRT</t>
  </si>
  <si>
    <t>Fourniture et installation du matériel de bureau : Photocopieurs, Fax, Toners, Drums et Fours</t>
  </si>
  <si>
    <t>Achat du consommable pour photocopieur et fax : Toners, Drums et Fours</t>
  </si>
  <si>
    <t>62 AOM/SNRT</t>
  </si>
  <si>
    <t>Travaux d’aménagement des sites de diffusion de la SNRT LAKHIAR (P.KHEMISSET) et SIDI AHMED BENRAHAL (P.SIDI BENNOUR)</t>
  </si>
  <si>
    <t>02M/2026</t>
  </si>
  <si>
    <t>ATLANTIC MULTIPOLE</t>
  </si>
  <si>
    <t>97 AOM/SNRT</t>
  </si>
  <si>
    <t>Travaux d’aménagement des sites de diffusion de JBEL TAZEKKA (P.TAZA)</t>
  </si>
  <si>
    <t>03M/2026</t>
  </si>
  <si>
    <t>MED MAN</t>
  </si>
  <si>
    <t>Publication des  insertions de la SNRT dans les deux journaux  du groupe AL ITIHAD PRESSE  à savoir : «AL ITTIHAD AL ICHTIRAKI » et « LIBERATION »</t>
  </si>
  <si>
    <t>01 CT/SNRT/2026</t>
  </si>
  <si>
    <t>Charges marketing et relations publiques
Annonces et insertions</t>
  </si>
  <si>
    <t>GROUPE AL ITTIHAD PRESSE</t>
  </si>
  <si>
    <t>Publication des insertions de la SNRT dans les journaux du groupe MAROC SOIR : le MATIN et  ASSAHRAA AL MAGHRIBIA</t>
  </si>
  <si>
    <t>02 CT/SNRT/2026</t>
  </si>
  <si>
    <t>GROUPE MAROC SOIR</t>
  </si>
  <si>
    <t>Publication des  insertions de la SNRT dans les deux journaux  du groupe BAYANE</t>
  </si>
  <si>
    <t>03 CT/SNRT/2026</t>
  </si>
  <si>
    <t>BAYANE SA</t>
  </si>
  <si>
    <t>Publication des insertions de la SNRT dans le Journal " ANNAHAR AL MAGHRIBIYA "</t>
  </si>
  <si>
    <t>04 CT/SNRT/2026</t>
  </si>
  <si>
    <t>MEDIA CONFIDENCE</t>
  </si>
  <si>
    <t>La cession exclusive à la SNRT par l'auteur des droits d'auteurs patrimoniaux et les droits de toute utilisation dérivée du concept et des images relatifs à l'émission de Télé-réalité intitulée: ''LALLA LAAROUSSA'', Reconduction N°12</t>
  </si>
  <si>
    <t>234 CT/SNRT/2026</t>
  </si>
  <si>
    <t>Achats de productions et de programmes
Acquis définitive Programmes TV externes</t>
  </si>
  <si>
    <t>PUBLIC EVENEMENT PRODUCTION</t>
  </si>
  <si>
    <t xml:space="preserve"> 29CT/SNRT/2025</t>
  </si>
  <si>
    <t>L’assurance maladie complémentaire au régime de base AMO géré par la CNOPS au profit du personnel de la SNRT</t>
  </si>
  <si>
    <t>POLICE N° 0902943</t>
  </si>
  <si>
    <t>SANLAM</t>
  </si>
  <si>
    <t>05 AOM/SNRT</t>
  </si>
  <si>
    <t>La location en longue durée de véhicule neufs sans option d’achat ainsi que les prestations qui lui sont accessoires et complémentaires pour la SNRT</t>
  </si>
  <si>
    <t>11M/2026</t>
  </si>
  <si>
    <t>Location
Location matériel transport</t>
  </si>
  <si>
    <t>MARLOC</t>
  </si>
  <si>
    <t>MT de pré engagement correspond au prorata de 06 mois et 20 jours + Location</t>
  </si>
  <si>
    <t>Consultation N° 30CT/SNRT</t>
  </si>
  <si>
    <t>Organisation de l’opération FTOUR et SHOUR au profit du personnel de la SNRT durant le mois sacré Ramadan 1447/2026</t>
  </si>
  <si>
    <t>197 CT/SNRT/2026</t>
  </si>
  <si>
    <t>GO FRESH</t>
  </si>
  <si>
    <t xml:space="preserve">Le MT engagé correspond au MAX </t>
  </si>
  <si>
    <t>Contrats de supervision technique et administrative ainsi que la coordination pour l’enregistrement de 30 capsules de la musique andalouse</t>
  </si>
  <si>
    <t>192 CT/SNRT/2026</t>
  </si>
  <si>
    <t>193 CT/SNRT/2026</t>
  </si>
  <si>
    <t>ABDESSALAM KHALOUFI</t>
  </si>
  <si>
    <t>Contrats de cessions des droits de captation enregistrement et exploitation de 30 capsules de la musique andalouse</t>
  </si>
  <si>
    <t>195 CT/SNRT/2026</t>
  </si>
  <si>
    <t>MOHAMED AMINE EL AKRAMI</t>
  </si>
  <si>
    <t>194 CT/SNRT/2026</t>
  </si>
  <si>
    <t>DAOUD STITOU</t>
  </si>
  <si>
    <t>236 CT/SNRT/2026</t>
  </si>
  <si>
    <t>ASSOCIATION AL YOUSSOUFIA LI TOURAT WA SAMAA WA TILAWA</t>
  </si>
  <si>
    <t>92 AOM/SNRT</t>
  </si>
  <si>
    <t>Acquisition de mobilier de bureau pour la SNRT</t>
  </si>
  <si>
    <t>04M/2026</t>
  </si>
  <si>
    <t>STOKAD</t>
  </si>
  <si>
    <t>CESSION AU PROFIT DE LA SNRT, LES DROITS DE LA COUVERTURE Télévisée de la compétition Sahraouiya</t>
  </si>
  <si>
    <t>237 CT/SNRT/2026</t>
  </si>
  <si>
    <t>Achats de droits
Achats de droit de sport</t>
  </si>
  <si>
    <t>OL DAKHLA</t>
  </si>
  <si>
    <t>01CT/SNRT/2026</t>
  </si>
  <si>
    <t>Achat d’espaces Publicitaires sur les réseaux sociaux Meta, Google et Tiktok pour la promotion des programmes du Ramadan 2026</t>
  </si>
  <si>
    <t>235 CT/SNRT/2026</t>
  </si>
  <si>
    <t>BIG IDEAS</t>
  </si>
  <si>
    <t>14 AOM/SNRT</t>
  </si>
  <si>
    <t>Fourniture, installation et mise en service de Blocs UpConverters</t>
  </si>
  <si>
    <t>Équipements de télédiffusion</t>
  </si>
  <si>
    <t>INTRATEL</t>
  </si>
  <si>
    <t>07 AOM/SNRT</t>
  </si>
  <si>
    <t>Fourniture, installation et mise en service des onduleurs 2 x 150 KVA type modulaires et d’un systéme de climatisation au centre de ZAER</t>
  </si>
  <si>
    <t>ELEXPERT</t>
  </si>
  <si>
    <t>08 AOM/SNRT</t>
  </si>
  <si>
    <t>Fourniture d’un nouveau groupe électrogène pour le centre de PALOMAS de puissance 200 KW/PRP, ainsi que la mise à niveau et transfert de quelques groupes électrogène entre quelques centres SNRT</t>
  </si>
  <si>
    <t>104 AOM/SNRT</t>
  </si>
  <si>
    <t>Fourniture et mise en service d’équipements de captation vidéo et de prise de son destinés aux besoins de production des chaînes de la SNRT</t>
  </si>
  <si>
    <t>05 M/2026</t>
  </si>
  <si>
    <t>Équipements techniques</t>
  </si>
  <si>
    <t>NYA AUDIO VIDEO</t>
  </si>
  <si>
    <t>COTISATIONS PART ANNONCEURS</t>
  </si>
  <si>
    <t>CIRAD</t>
  </si>
  <si>
    <t>475
476</t>
  </si>
  <si>
    <t>CONTRIBUTION AUX FRAIS DE LA MESURE D'AUDIENCE TV</t>
  </si>
  <si>
    <t>CIAUMED</t>
  </si>
  <si>
    <t>Hébergement de la plateforme SNRTNEWS et la plateforme BOTOLA-Web, mobile (Android et IOS) et TV hors contenu video</t>
  </si>
  <si>
    <t>497 CT/SNRT</t>
  </si>
  <si>
    <t>Prestation de services
Achat prestations de services locales - sociétés</t>
  </si>
  <si>
    <t>ATLAS HOSTER</t>
  </si>
  <si>
    <t>Création de capsules digitales pour SNRT News</t>
  </si>
  <si>
    <t>Assistance et maintenance de la Solution BI</t>
  </si>
  <si>
    <t>Numéro AO + Date visa</t>
  </si>
  <si>
    <t>26000001 CL</t>
  </si>
  <si>
    <t>Travaux d’impression pour la mise en scène de l’émission « MOSABAQAT ALQURAN ALKARIM » pour l’année 1447/2026</t>
  </si>
  <si>
    <t>TETSOUL SERVICES</t>
  </si>
  <si>
    <t>26000002 CL</t>
  </si>
  <si>
    <t>Achat de trophées pour l’émission  « MOSABAQAT ALQURAN ALKARIM » pour l’année 1447/2026</t>
  </si>
  <si>
    <t>TELTAY TRADING</t>
  </si>
  <si>
    <t>Acquisition et travaux d'installation de trois ascenseur dans le bâtiment de la SNRT à Rabat et Casablanca</t>
  </si>
  <si>
    <t>Annulé</t>
  </si>
  <si>
    <t>Acquisition et travaux d'installation d’un ascenseur dans le batiment de la SNRT NEWS à Casablanca</t>
  </si>
  <si>
    <t>Numéro AO + Date Fiche et Visa</t>
  </si>
  <si>
    <t>le sponsoring du Festival "Mawazine Rytmes du monde" éditions 2024-2025-2026</t>
  </si>
  <si>
    <t>001220623/CT-SNRT</t>
  </si>
  <si>
    <t>ASSOCIATION MAROC CULTURES</t>
  </si>
  <si>
    <t>Achat d’espace publicitaires sur la presse digitale et la presse écrite pour la promotion des programmes de Ramadan 2026</t>
  </si>
  <si>
    <t>325 CT/SNRT/2026</t>
  </si>
  <si>
    <t>ADWEB MAROC</t>
  </si>
  <si>
    <t>R,A,S</t>
  </si>
  <si>
    <t>26000003 CL</t>
  </si>
  <si>
    <t>Réalisation d’une étude marketing pour le compte de la SNRT</t>
  </si>
  <si>
    <t>LMS-CSA</t>
  </si>
  <si>
    <t>26000004 CL</t>
  </si>
  <si>
    <t>Acquisition de cachet pour les besoins des différents entité de la SNRT pour l’année 2026</t>
  </si>
  <si>
    <t>REPRO MASTER</t>
  </si>
  <si>
    <t>26000005 CL</t>
  </si>
  <si>
    <t>Impression numérique 4 couleurs de cartes de visites pour les besoins des différentes entités de la SNRT durant l’année 2026</t>
  </si>
  <si>
    <t>26000006 CL</t>
  </si>
  <si>
    <t>Rupture de jeune et repas de Shour du personnel de la SNRT TV Laâyoune, Centre Émetteur TV/FM Laâyoune et Station Régionale du Radio Laâyoune du mois sacré de RAMADAN 1447/2026</t>
  </si>
  <si>
    <t>STE JAMAA ANNAOUI</t>
  </si>
  <si>
    <t>15 AOM/SNRT</t>
  </si>
  <si>
    <t>La fourniture et la mise en service de serveurs haute performance destinés aux applications d’intelligence artificielle et d’apprentissage automatique pour les besoins de la SNRT</t>
  </si>
  <si>
    <t>Matériel informatiques</t>
  </si>
  <si>
    <t>La fourniture et la mise en service d’infrastructures informatiques haute performance pour les applications d’intelligences artificielle pour les besoins de la SNRT</t>
  </si>
  <si>
    <t>11 AOM/SNRT</t>
  </si>
  <si>
    <t>La fourniture d’une solution DLP « Data Loss Prevention »pour les besoins de la SNRT</t>
  </si>
  <si>
    <t>12M/2026</t>
  </si>
  <si>
    <t>MODCOD</t>
  </si>
  <si>
    <t>96 AOM/SNRT</t>
  </si>
  <si>
    <t>Fourniture de convertisseurs « Electrique/ Optique » - « Optique/ Electrique » bidirectionnels pour les signaux électriques SDI, ASI et IP.</t>
  </si>
  <si>
    <t>06M/2026</t>
  </si>
  <si>
    <t>MOYANO MAROC</t>
  </si>
  <si>
    <t>La souscription par la SNRT aux services de mesures d’audience suivants : Planview TV, Radiomat, Fichier Mediapilot, OTVY, Souscription à 21 cibles spécifiques, FICHIER BI, Intégration de la Chaîne Tamazight à Planview, Fichier Mediapilot RADIO</t>
  </si>
  <si>
    <t>001/2026</t>
  </si>
  <si>
    <t>MAROCMETRIE</t>
  </si>
  <si>
    <t>Adhésion à l’EGTA année 2026</t>
  </si>
  <si>
    <t>EGTA</t>
  </si>
  <si>
    <t>R.A.S</t>
  </si>
  <si>
    <t>09 AOM/SNRT</t>
  </si>
  <si>
    <t>Acquisition de matériel technique et informatique pour l’extension de l’outil digital de gestion des ressources techniques et humaines de l’exploitation et de la maintenance</t>
  </si>
  <si>
    <t>75AOM/SNRT</t>
  </si>
  <si>
    <t>Fourniture, installation et mise en service de climatiseurs de type armoire de puissance frigorifique 48000 Btu</t>
  </si>
  <si>
    <t>07M/2026</t>
  </si>
  <si>
    <t>SIDATE BRAHIM TECHNO</t>
  </si>
  <si>
    <t>58AOM/SNRT/2026</t>
  </si>
  <si>
    <t>Extension et mise à jour de la solution de la vidéosurveillance de la SNRT à Rabat et Casablanca</t>
  </si>
  <si>
    <t>N° AO + PME ? + DATE FICHE</t>
  </si>
  <si>
    <t>Extension et mise à jour de la solution de la vidéosurveillance de la SNRT à Station TV LAAYOUNE</t>
  </si>
  <si>
    <t>Convention conclus avec OIAS STATES BOADCASTING</t>
  </si>
  <si>
    <t>26000039CT</t>
  </si>
  <si>
    <t>OIAS STATES BROADCASTING</t>
  </si>
  <si>
    <t>Convention conclus avec ASBU</t>
  </si>
  <si>
    <t>26000156CT</t>
  </si>
  <si>
    <t>ASBU</t>
  </si>
  <si>
    <t>Cotisation annuelle CIRTEF au titre de l’année 2026</t>
  </si>
  <si>
    <t>26000047CT</t>
  </si>
  <si>
    <t>CIRTEF</t>
  </si>
  <si>
    <t>Cotisation annuelle EBU au titre de l’année 2026</t>
  </si>
  <si>
    <t>26000038CT</t>
  </si>
  <si>
    <t>EBU</t>
  </si>
  <si>
    <t>Cotisation annuelle de l’UAR au titre de l’année 2026</t>
  </si>
  <si>
    <t>26000036CT</t>
  </si>
  <si>
    <t>UAR</t>
  </si>
  <si>
    <t>Cotisation annuelle de l’URTI au titre de l’année 2026</t>
  </si>
  <si>
    <t>26000048CT</t>
  </si>
  <si>
    <t>URTI</t>
  </si>
  <si>
    <t>Cotisation annuelle 2026</t>
  </si>
  <si>
    <t>26000035CT</t>
  </si>
  <si>
    <t>COPEAM</t>
  </si>
  <si>
    <t>02AOM/SNRT</t>
  </si>
  <si>
    <t>Achat de fourniture de Bureau destiné à la SNRT</t>
  </si>
  <si>
    <t>EQUIPEMENT GHAZIA</t>
  </si>
  <si>
    <t>Achat de Papier Fort A4 destiné à la SNRT</t>
  </si>
  <si>
    <t>PRINTYMA</t>
  </si>
  <si>
    <t>Contrats conclus avec la FRM d’ESCRIME</t>
  </si>
  <si>
    <t>01-SNRT/FRMES-2026</t>
  </si>
  <si>
    <t>FRM d’ESCRIME</t>
  </si>
  <si>
    <t>Contrats conclus avec la FRM DE TENNIS</t>
  </si>
  <si>
    <t>01-SNRT/FRMT-2026</t>
  </si>
  <si>
    <t>FRM DE TENNIS</t>
  </si>
  <si>
    <t>Contrats conclus avec la FRM DE KARATE</t>
  </si>
  <si>
    <t>01-SNRT/FRMK-2026</t>
  </si>
  <si>
    <t>FRM DE KARATE</t>
  </si>
  <si>
    <t>Frais technique de production des matches amicaux MAROC vs EQUATEUR et MAROC vs PARAGUAY</t>
  </si>
  <si>
    <t>01-SNRT-MEDIALUSO-2026</t>
  </si>
  <si>
    <t>MEDIALUSO</t>
  </si>
  <si>
    <t>Souscription par la SNRT au service de mesures d’audience Radiomat, ainsi que la souscription au service bandes annonce</t>
  </si>
  <si>
    <t>002/2026</t>
  </si>
  <si>
    <t>12AOM/SNRT</t>
  </si>
  <si>
    <t>Désherbage des sites de la snrt : TEMARA et ZAER</t>
  </si>
  <si>
    <t>14M/2026</t>
  </si>
  <si>
    <t>CCOPERATIVE COOPVERT</t>
  </si>
  <si>
    <t>Désherbage des sites de la snrt : Casablanca (Ain Chok et Roche noire)</t>
  </si>
  <si>
    <t>13M/2026</t>
  </si>
  <si>
    <t>LAZI VERT</t>
  </si>
  <si>
    <t>PV N° : 01NV2026-DCPA</t>
  </si>
  <si>
    <t>MOULAY DRISS ABOUELFADEL – Préparation, supervision, suivi et rédaction des commentaires pour une nouvelle série documentaire sur l’environnement marin produite en interne</t>
  </si>
  <si>
    <t>MOULAY DRISS ABOUELFADEL</t>
  </si>
  <si>
    <t>26000012 CL</t>
  </si>
  <si>
    <t>La fourniture de toners d’impression pour les besoins de la SNRT</t>
  </si>
  <si>
    <t>Achat de matière et fourniture consommable</t>
  </si>
  <si>
    <t>MONDOFFICE</t>
  </si>
  <si>
    <t>100 AOM/SNRT</t>
  </si>
  <si>
    <t>La fourniture et installation des radômes pour le feeder du centre émetteur Radio AM de Foum El Oued à Laayoune</t>
  </si>
  <si>
    <t>09M/2026</t>
  </si>
  <si>
    <t>26000018 CL</t>
  </si>
  <si>
    <t xml:space="preserve">Travaux d’aménagement </t>
  </si>
  <si>
    <t>MDFICATION</t>
  </si>
  <si>
    <t>26000019 CL</t>
  </si>
  <si>
    <t>Hébergement en pension compléte des invités marocains et étrangers dans le cadre du tournage des émission TV de la SNRT</t>
  </si>
  <si>
    <t>FIKRINVEST-HO (NJ HOTEL)</t>
  </si>
  <si>
    <t>26000015 CL</t>
  </si>
  <si>
    <t>Achat des piles pour les besoins de différentes entités de la SNRT</t>
  </si>
  <si>
    <t>BURIM</t>
  </si>
  <si>
    <t>84 AOM/SNRT</t>
  </si>
  <si>
    <t>Optimisation et amélioration de la stratégie de référencement et maintenance de la plateforme web SNRT news</t>
  </si>
  <si>
    <t>BE IN BE OUT</t>
  </si>
  <si>
    <t>N° Marché + Date Approbation</t>
  </si>
  <si>
    <t>78 AOM/SNRT</t>
  </si>
  <si>
    <t>Travaux de pose de faux planchers et séparation vitrée à la salle technique du centre SNRT d’Ain Chock</t>
  </si>
  <si>
    <t>08M/2026</t>
  </si>
  <si>
    <t>DIFFUSION D'EURONEWS EN DIRECT OU EN DIFFERE L'UTILISATION DE CERTAINS CONTENUS AVEC OU SON LOGO, ECHANGES D'INFO, UTILISATION DES TALENTS ET MARQUES EURONEWS</t>
  </si>
  <si>
    <t>Prestations de service
Achat prestations de services étrangères</t>
  </si>
  <si>
    <t>EURONEWS</t>
  </si>
  <si>
    <t>l'abonnement aux services media (reuters vidéo et reurters live service-RLS- via WNE linear delivery</t>
  </si>
  <si>
    <t>REMA 398</t>
  </si>
  <si>
    <t>REUTERS LIMITED</t>
  </si>
  <si>
    <t>MAP?</t>
  </si>
  <si>
    <t>Définir les domaines et les conditions générales de collaboration entre la DGM et la SNRT pour la fourniture des informations météorologiques en matière de donnée et de prévisions météorologiques</t>
  </si>
  <si>
    <t>01/2023/SNRT-DGM</t>
  </si>
  <si>
    <t>DGM</t>
  </si>
  <si>
    <t>Acquisition des droits de diffusions des actualités, reportages radiophoniques et télévisuels</t>
  </si>
  <si>
    <t>La fourniture à la SNRT des services : Pack « Broadcast » pour la confection de Programmes TV et Pack « Digital » pour la confection de Programmes numériques et usage direct sur les Supports Digitaux Web</t>
  </si>
  <si>
    <t>001310323/CT-SNRT</t>
  </si>
  <si>
    <t>AFP</t>
  </si>
  <si>
    <t>20 AOM/SNRT</t>
  </si>
  <si>
    <t>Préstation de blanchisserie du linge et services associés au profit des journalistes présentateurs du Journal Télévisé (JT) de la chaine Al Aoula de la SNRT-Rabat</t>
  </si>
  <si>
    <t>PRESSING CLAIRE ECO</t>
  </si>
  <si>
    <t>19 AOM/SNRT</t>
  </si>
  <si>
    <t>Fourniture, installation et mise en service de dix stations DVB-T/T2 de puissance 500 W rms et d'une station DVB-T/T2 de 1KW rms, fonctionnant en mode (2+1) dans la bande [474-690] MHz, avec triplexeurs RF et accessoires</t>
  </si>
  <si>
    <t>Publié le 14/04/2026</t>
  </si>
  <si>
    <t>La location d’une salle de féte pour le tournage de productions internes de la chaîne Al Aoula – SNRT (30 épisodes de Musique Andalouse)</t>
  </si>
  <si>
    <t>378 CT/SNRT/2026</t>
  </si>
  <si>
    <t>KZ</t>
  </si>
  <si>
    <t>06 CT/SNRT/2026</t>
  </si>
  <si>
    <t>La préparation, la livraison et le service d’un repas et d’une pause-café, au profit des participants aux productions internes de la SNRT</t>
  </si>
  <si>
    <t>390 CT/SNRT/2026</t>
  </si>
  <si>
    <t>18 AOM/SNRT</t>
  </si>
  <si>
    <t>Fourniture des modules et pièces de rechanges hydrauliques et électriques pour les émetteurs de diffusion TNT et FM</t>
  </si>
  <si>
    <t>NEURO MEDIA</t>
  </si>
  <si>
    <t>01 AOM/SNRT</t>
  </si>
  <si>
    <t>Entretien et maintenance des équipement électriques, électroniques des climatiseurs aux centres de diffusion y compris la fourniture des pièces de rechange</t>
  </si>
  <si>
    <t>L’acquisition des droits de diffusion des combats de TAEKWONDO saison – 2026 -</t>
  </si>
  <si>
    <t>SILVER SPRING MEDIA AB*</t>
  </si>
  <si>
    <t>N° + Date Approbation</t>
  </si>
  <si>
    <t>L’acquisition des droits de diffusion des combats de KARATE saison – 2026 -</t>
  </si>
  <si>
    <t>Contrats conclus avec la FRM de HANDBALL</t>
  </si>
  <si>
    <t>01-SNRT/FRMHB-2026</t>
  </si>
  <si>
    <t>FRM HANDBALL</t>
  </si>
  <si>
    <t>achat des droits sportifs du championnat du monde d'athlétisme (2024-2029)</t>
  </si>
  <si>
    <t>002020124/CT-SNRT</t>
  </si>
  <si>
    <t>la Couverture, production retransmission et diffusion audiovisuelle de tous les événements Tennis : Grand prix Hassan II; grand prix SAR la Princesse Lalla Meryem; coupe Davis au titres des années 2023; 2024; 2025; 2026; 2027; 2028</t>
  </si>
  <si>
    <t>472 CT/SNRT/2023</t>
  </si>
  <si>
    <t>FRMT</t>
  </si>
  <si>
    <t>La cession exclusive à la SNRT des droits d'exploitation audiovisuelle des manifestations, compétitions et/ou évènements spotifs dont la FRMF détient les droits saisons 2022/2023;2023/2024; 2024/2025; 2025/2026</t>
  </si>
  <si>
    <t>612 CT/SNRT/2022</t>
  </si>
  <si>
    <t>FRMF</t>
  </si>
  <si>
    <t>Contrats conclus avec la FRM de RUGBY</t>
  </si>
  <si>
    <t>01-SNRT/FRMR-2026</t>
  </si>
  <si>
    <t>FRM RUGBY</t>
  </si>
  <si>
    <t>La cession au profit de la SNRT des droits de captation et de diffusion des actualités et la couverture télévisée de la 15éme édition du Festival de Fiction TV de Meknès qui se tiendra du 03 au 07 avril 2026</t>
  </si>
  <si>
    <t>385 CT/SNRT/2026</t>
  </si>
  <si>
    <t>Achats de droits 
Achats des droits de captation</t>
  </si>
  <si>
    <t>Association le spectacle libre</t>
  </si>
  <si>
    <t>La publication des insertions de la SNRT dans la revue de la gendarmerie royale</t>
  </si>
  <si>
    <t>386 CT/SNRT/2026</t>
  </si>
  <si>
    <t>MEDIAREP</t>
  </si>
  <si>
    <t>21 AOM/SNRT</t>
  </si>
  <si>
    <t>La fourniture et la mise en service d'équipement informatiques les besoins de SNRT new de la SNRT</t>
  </si>
  <si>
    <t>21AOM/SNRT</t>
  </si>
  <si>
    <t>La fourniture de consommables d'impression pour les besoins de SNRT News de la SNRT</t>
  </si>
  <si>
    <t>06 AOM/SNRT</t>
  </si>
  <si>
    <t>La fourniture de consommables d'impression pour la SNRT</t>
  </si>
  <si>
    <t>EQUIPEMENT BADR</t>
  </si>
  <si>
    <t>La fourniture et la mise en service d'accessoires,pièces de rechange et outillage informatique pour les besoins de la SNRT</t>
  </si>
  <si>
    <t>26000021 CL</t>
  </si>
  <si>
    <t>Étude des travaux d’aménagement de la nouvelle station radio de Tétouane</t>
  </si>
  <si>
    <t>Frais d’acquisition des immobilisation</t>
  </si>
  <si>
    <t>BLACKLINE STUDIO</t>
  </si>
  <si>
    <t xml:space="preserve">Annulé </t>
  </si>
  <si>
    <t>10 AOM/SNRT</t>
  </si>
  <si>
    <t>La fourniture et la mise en service des équipements d’éclairage pour les besoins de la production de la SNRT</t>
  </si>
  <si>
    <t>23 AOM/SNRT</t>
  </si>
  <si>
    <t>La fourniture et la mise en service d'une solution de transport des communications intercom via des coules audio IP BROADCAST pour les besoins des unités mobiles de la SNRT</t>
  </si>
  <si>
    <t>26 AOM/SNRT</t>
  </si>
  <si>
    <t>Fourniture et mise en service d’équipements audio vidéo au profit de la DCRPSD de la SNRT</t>
  </si>
  <si>
    <t>27 AOM/SNRT</t>
  </si>
  <si>
    <t>La fourniture de supports d’enregistrement et de lecture pour les besoins des chaines TV de la SNRT</t>
  </si>
  <si>
    <t>LTS NETWORK</t>
  </si>
  <si>
    <t>17AOM/SNRT</t>
  </si>
  <si>
    <t>Élaboration des études techniques et suivi des travaux d’achèvement d’installation d’un pylone auto-stable de 30+10m de hauteur au site SNRT TANAKOUB (P.CHEFCHAOUEN)</t>
  </si>
  <si>
    <t>Date de VISA</t>
  </si>
  <si>
    <t>La couverture, production, retransmission et diffusion audiovisuelle de toutes les compétitions de VOLLEY BALL – Saison 2026-</t>
  </si>
  <si>
    <t>01-SNRT/FRMVB-2026</t>
  </si>
  <si>
    <t>FRM VEOLLEY BALL</t>
  </si>
  <si>
    <t>Acquisition des droits de diffusion télévisuelle du programme intitulé « FIGHT SPIRIT »</t>
  </si>
  <si>
    <t>388 CT/SNRT/2026</t>
  </si>
  <si>
    <t>ATLAS MEDIA ORGANISATION</t>
  </si>
  <si>
    <t>Acquisition des droits de diffusion télévisuelle de 90 matchs du programme intitulé « OLYMPIC SOCCER FIVE »</t>
  </si>
  <si>
    <t>387 CT/SNRT/2026</t>
  </si>
  <si>
    <t>MABC</t>
  </si>
  <si>
    <t>La couverture, la transmission et la transmission et la diffusion audiovisuelle du tournoi de football international 7 Cup de Marrakech qui se tiendra du 07/05 au 10/05/2026</t>
  </si>
  <si>
    <t>389 CT/SNRT/2026</t>
  </si>
  <si>
    <t>N LAKAY</t>
  </si>
  <si>
    <t>102 AOM/SNRT</t>
  </si>
  <si>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</si>
  <si>
    <t>10M/2026</t>
  </si>
  <si>
    <t>RFE BROADCAST</t>
  </si>
  <si>
    <t xml:space="preserve">26000020 CL </t>
  </si>
  <si>
    <t>Entretien et maintenance du poste de livraison et de transformation MT/BT au centre de diffusion SNRT d’AIN CHOCK</t>
  </si>
  <si>
    <t>SOGENELEC</t>
  </si>
  <si>
    <t xml:space="preserve">26000023 CL </t>
  </si>
  <si>
    <t>Réparation et Maintenance du groupe électrogène au centre SNRT de DAKHLA</t>
  </si>
  <si>
    <t>BEHWY SARL</t>
  </si>
  <si>
    <t>PV N° : 01NV2026- DITV</t>
  </si>
  <si>
    <t>MOHAMED-MOURAD KHETTA  -  Journaliste sportif chargé de réaliser des couvertures et reportages liés au sport et à l’actualité diverse au journal télévisé</t>
  </si>
  <si>
    <t>MOHAMED-MOURAD KHETTA</t>
  </si>
  <si>
    <t>SAFAE NOURY  -  Journaliste sportif chargé de réaliser des couvertures et reportages liés au sport et à l’actualité diverse au journal télévisé</t>
  </si>
  <si>
    <t>SAFAE NOURY</t>
  </si>
  <si>
    <t>OBAID HARRAS  -  Journaliste sportif chargé de réaliser des couvertures et reportages liés au sport et à l’actualité diverse au journal télévisé</t>
  </si>
  <si>
    <t>OBAID HARRAS</t>
  </si>
  <si>
    <t>28 AOM/SNRT</t>
  </si>
  <si>
    <t>Suite a AO 15 = INFRUCTUEUX</t>
  </si>
  <si>
    <t xml:space="preserve">Location d’immeuble </t>
  </si>
  <si>
    <t>BENBAREK SALAH</t>
  </si>
  <si>
    <t>MICHELE "AZIZA LEBOUC "</t>
  </si>
  <si>
    <t>SALIMA BELGHMI-KOUHEN</t>
  </si>
  <si>
    <t>FATIMA BENABDALLAH</t>
  </si>
  <si>
    <t>BENBAREK JAMAL EDDINE</t>
  </si>
  <si>
    <t>NOUZHA BENBAREK</t>
  </si>
  <si>
    <t>KARIM BELGHMI</t>
  </si>
  <si>
    <t>MOHAMMED KAMAL BELGHMI</t>
  </si>
  <si>
    <t>BENCHAKROUN ADNANE ET CONSORTS</t>
  </si>
  <si>
    <t>SOUAD BENBAREK</t>
  </si>
  <si>
    <t>GUESSOUS FETTOUMA</t>
  </si>
  <si>
    <t xml:space="preserve">MOHAMMED LAHLOU ET CONSORTS </t>
  </si>
  <si>
    <t xml:space="preserve">LAMARTI AHMED BEN HASSAN ET CONSORT </t>
  </si>
  <si>
    <t>IMMO MHM</t>
  </si>
  <si>
    <t>SOUMAYA LOUDYI</t>
  </si>
  <si>
    <t>BTISSAM JAKHOUKH</t>
  </si>
  <si>
    <t>TARIK JAKHOUKH</t>
  </si>
  <si>
    <t>BADER-EDDINE  JAKHOUKH</t>
  </si>
  <si>
    <t>ANOUAR  JAKHOUKH</t>
  </si>
  <si>
    <t>NADIA LYOUSSI</t>
  </si>
  <si>
    <t xml:space="preserve">RAZAMA MOHAMED </t>
  </si>
  <si>
    <t>BEIDA M BAREK</t>
  </si>
  <si>
    <t xml:space="preserve">SOCIETE MEDITERRAC </t>
  </si>
  <si>
    <t>SOUKAINA AHL- CHEIKH</t>
  </si>
  <si>
    <t xml:space="preserve">GHLANA BOUHRIGUA </t>
  </si>
  <si>
    <t xml:space="preserve">ABDELHAFID EL AZHARI </t>
  </si>
  <si>
    <t xml:space="preserve">MOHAMED SALEM HAMOU OU ALI </t>
  </si>
  <si>
    <t xml:space="preserve">SOCIETE CIVILE LEOPARDI </t>
  </si>
  <si>
    <t>Location long durée de véhicule neufs sans option d’achat ainsi que les prestations qui lui sont accessoires et complémentaires pour la SNRT</t>
  </si>
  <si>
    <t>32M/2022</t>
  </si>
  <si>
    <t>WAFA LLD</t>
  </si>
  <si>
    <t>Location de véhicules neufs avec chauffeurs pour le transport permanent et régulier du personnel de la SNRT</t>
  </si>
  <si>
    <t>19M/2023</t>
  </si>
  <si>
    <t>GM2 TOURS</t>
  </si>
  <si>
    <t>11M/2021</t>
  </si>
  <si>
    <t>MARLOC EUROPCAR</t>
  </si>
  <si>
    <t>Jusqu’a 11 Juin 2026</t>
  </si>
  <si>
    <t>20M/2023</t>
  </si>
  <si>
    <t>ANFGOU TOURS</t>
  </si>
  <si>
    <t xml:space="preserve">Prestation de nettoyage complète y compris les produits de nettoyage et l'entretien des locaux administratifs et techniques des services centraux et régionaux de la SNRT. </t>
  </si>
  <si>
    <t>02M/2023</t>
  </si>
  <si>
    <t>Facture réelle</t>
  </si>
  <si>
    <t>97M/2023</t>
  </si>
  <si>
    <t>40M/2024</t>
  </si>
  <si>
    <t>Sécurité  et gardiennage Siège &amp; centres régionaux</t>
  </si>
  <si>
    <t>19M/2025</t>
  </si>
  <si>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</si>
  <si>
    <t>470 CT/SNRT/2025</t>
  </si>
  <si>
    <t>ARRIBAT TECHNOLOGY</t>
  </si>
  <si>
    <t xml:space="preserve">L'achat de carburant par "carbucarte" à lecture électronique pour les véhicules de la SNRT </t>
  </si>
  <si>
    <t>Convention N° 392CT/SNRT/2025</t>
  </si>
  <si>
    <t>Achats non stockés de matières et fournitures</t>
  </si>
  <si>
    <t>AFRIQUIA SMDC</t>
  </si>
  <si>
    <t>La couverture en termes d'assurance multirisque automobile pour l'ensemble du Par Auto de la SNRT Contrat N° FL 11202102045593/01/2025 + Assurance des nouveaux tracteurs acquis, ainsi les tracteurs en cours d'acquisition par la Direction technique.</t>
  </si>
  <si>
    <t>FL 11202102045593/01/2025</t>
  </si>
  <si>
    <t>L’abonnement d’accès des données de traçabilité en ligne de la flotte automobile SNRT avec boitiers GPS  + acquisition des boitier pour les nouveaux véhicules</t>
  </si>
  <si>
    <t xml:space="preserve">Acquisition et Recharge des Tags télépéage par la SNRT (JAWAZ) </t>
  </si>
  <si>
    <t>Convention N°52/18/S</t>
  </si>
  <si>
    <t>ADM</t>
  </si>
  <si>
    <t xml:space="preserve">Contrat de la boite postale </t>
  </si>
  <si>
    <t>Couverture en termes d’assurance pour le bris de machine concernant les régies montées sur véhicules roulants – Contrat N° 0302220000247</t>
  </si>
  <si>
    <t>Contrat Barid el Maghreb - Contrat N° 07/2020 BP</t>
  </si>
  <si>
    <t>07/2020 BP</t>
  </si>
  <si>
    <t>Contrat d'AMANA  -  Contrat N° CL03733</t>
  </si>
  <si>
    <t>CL03733</t>
  </si>
  <si>
    <t>Contrat d'acquisition billeterie Aérienne -  Convention N° 505CT/SNRT/2024</t>
  </si>
  <si>
    <t>505CT/SNRT/2024</t>
  </si>
  <si>
    <t>Assurance multirisque professionnelle</t>
  </si>
  <si>
    <t>Parking Twin center DRPSD</t>
  </si>
  <si>
    <t>INWI</t>
  </si>
  <si>
    <t>MAROC TELECOM</t>
  </si>
  <si>
    <t>ORANGE</t>
  </si>
  <si>
    <t>Occupation temporaire eaux et forets</t>
  </si>
  <si>
    <t>Location</t>
  </si>
  <si>
    <t>contrat location collectivités ethniques</t>
  </si>
  <si>
    <t>Assurer personnellement au service médical de la SNRT, un service de vingt heures (20 heures) par mois</t>
  </si>
  <si>
    <t>760/SNRT/2017</t>
  </si>
  <si>
    <t>DOCTEUR BOUBKER ABOUZAHIR</t>
  </si>
  <si>
    <t>MEDECIN DE TRAVAIL- Docteur inscrite au tableau de l'ordre des médecins (Région Rabat-Nord)-</t>
  </si>
  <si>
    <t>06/SNRT/2011</t>
  </si>
  <si>
    <t>OUAFAA FAHSI</t>
  </si>
  <si>
    <t>07/SNRT/2011</t>
  </si>
  <si>
    <t>ZAKARIA BENSAOUD</t>
  </si>
  <si>
    <t>MEDECIN DE TRAVAIL -Docteur inscrite au tableau de l'ordre des médecins (Région Rabat-Nord)-</t>
  </si>
  <si>
    <t>08/SNRT/2011</t>
  </si>
  <si>
    <t>ABDELHAMID KHADRI</t>
  </si>
  <si>
    <t>Traitement de la Paie</t>
  </si>
  <si>
    <t>JDE : 19000754</t>
  </si>
  <si>
    <t>TGR</t>
  </si>
  <si>
    <t>322/2001</t>
  </si>
  <si>
    <t>SOMEIGE</t>
  </si>
  <si>
    <t>Determiner les termes et conditions par lesquels la SNRT " SPONSOR  SILVER "  du Nationnal Performmances Tour des éditions 2025,2026 et 2027</t>
  </si>
  <si>
    <t>001270125/CT-SNRT</t>
  </si>
  <si>
    <t>ASSOCIATION DU TROPHEE HASSAN II</t>
  </si>
  <si>
    <t>FRAIS DE SYNDICAT DU TWIN CENTER</t>
  </si>
  <si>
    <t>JDE : 21000030</t>
  </si>
  <si>
    <t>SYNDICAT DES PROPRIETAIRES DU TWIN CENTR</t>
  </si>
  <si>
    <t>l’acquisition des droits de diffusion de SPORT NEWS REPORTING (2024 – 2029).</t>
  </si>
  <si>
    <t>004070224/CT-SNRT</t>
  </si>
  <si>
    <t>SNTV</t>
  </si>
  <si>
    <t>L’acquisition des droits de diffusion des compétitions de Judo 2025</t>
  </si>
  <si>
    <t>004270125/CT-SNRT</t>
  </si>
  <si>
    <t>SILVER SPRING MEDIA AB</t>
  </si>
  <si>
    <t>Achats des droits de diffusion des compétitions du championnat de la ligue africaine du Basket Ball 10 000/année</t>
  </si>
  <si>
    <t>003020425/CT-SNRT</t>
  </si>
  <si>
    <t>BALP</t>
  </si>
  <si>
    <t>Abonnement au service de production virtuelle basé sur l'intelligence artificielle de Huawei Cloud ''MetaStudio'' pour les besoins de la SNRT.</t>
  </si>
  <si>
    <t>472 CT/SNRT/2025</t>
  </si>
  <si>
    <t>ONE CLOUD</t>
  </si>
  <si>
    <t>Abonnement  "Google Workspace"</t>
  </si>
  <si>
    <t>427 CT/SNRT/2024</t>
  </si>
  <si>
    <t>NPONE SARL</t>
  </si>
  <si>
    <t>Abonnement au service de synthése vocale basée sur les voix Text-To-Speech de Google Cloud AI pour les besoins de la SNRT.</t>
  </si>
  <si>
    <t>471 CT/SNRT/2025</t>
  </si>
  <si>
    <t>Services (transcodage, segmentation et streaming Live sur internet) pour les chaînes TV et Radio de la SNRT.</t>
  </si>
  <si>
    <t>389 CT/SNRT/2025</t>
  </si>
  <si>
    <t>EASYBROADCAST</t>
  </si>
  <si>
    <t xml:space="preserve"> Consultant s’engage à accomplir une mission de conseil, d’étude et d’expertise, au profit de la SNRT.</t>
  </si>
  <si>
    <t>445 CT/SNRT/2025</t>
  </si>
  <si>
    <t>TALBI AUDIT ET CONSEIL</t>
  </si>
  <si>
    <t>Abonnement à la base de données ARTEMIS</t>
  </si>
  <si>
    <t>ARTEMIS</t>
  </si>
  <si>
    <t>Consultations portant sur des problématiques spécifiques liées aux domaines comptable, fiscal et social</t>
  </si>
  <si>
    <t>404 CT/SNRT/2023</t>
  </si>
  <si>
    <t>EL JERARI AUDIT CONSEIL</t>
  </si>
  <si>
    <t>Prestation de conseil juridique au profit de la SNRT</t>
  </si>
  <si>
    <t>529 CT/SNRT/2022</t>
  </si>
  <si>
    <t>AB LAW</t>
  </si>
  <si>
    <t xml:space="preserve"> Prestation satellitaire Nilesat</t>
  </si>
  <si>
    <t>NILESAT</t>
  </si>
  <si>
    <t>Prestation satellitaire Arabsat</t>
  </si>
  <si>
    <t>ARABSAT</t>
  </si>
  <si>
    <t>Prestation satellitaire Es'hailsat</t>
  </si>
  <si>
    <t>ES'HAILSAT</t>
  </si>
  <si>
    <t>Prestation satellitaire Eutelsat</t>
  </si>
  <si>
    <t>EUTELSAT</t>
  </si>
  <si>
    <t>Prestation GlobeCast</t>
  </si>
  <si>
    <t>GlobeCast</t>
  </si>
  <si>
    <t xml:space="preserve">Redevances d'assignation de fréquences </t>
  </si>
  <si>
    <t>ANRT</t>
  </si>
  <si>
    <t>Redevance pour assignation de fréquences TV, Redevance pour assignation de fréquences RD et Redevance pour assignation de fréquences radio</t>
  </si>
  <si>
    <t>HACA</t>
  </si>
  <si>
    <t>La maintenance périodique du systéme de calcul de couverture TV et FM</t>
  </si>
  <si>
    <t>47M/SNRT/2023</t>
  </si>
  <si>
    <t>LS TELECOM</t>
  </si>
  <si>
    <t>Etude et assistance technique aux travaux d'essais d'expertises et de conrole des ouvrages (Pylones, Tours, Batiments)</t>
  </si>
  <si>
    <t>82M/SNRT/2023</t>
  </si>
  <si>
    <t>LPEE</t>
  </si>
  <si>
    <t>Maintenance de la solution exustante de ka chaine radio info-trafic</t>
  </si>
  <si>
    <t>31M/SNRT/2022</t>
  </si>
  <si>
    <t>PHF COM</t>
  </si>
  <si>
    <t>La maintenance préventive et curative de la plateforme soft de  codage et de pultiplexage des ouvrages (Pylones, Tours, Batiments)</t>
  </si>
  <si>
    <t>91M/SNRT/2023</t>
  </si>
  <si>
    <t>Location et infogérance de plateforme publiques d'hébergement "Cloud" et fourniture des services associés.</t>
  </si>
  <si>
    <t>31M/SNRT/2024</t>
  </si>
  <si>
    <t>Prestations de maintenance du progiciel de gestion des ressources humaines AGIRH</t>
  </si>
  <si>
    <t>Prestations fonctionnelles et techniques du progiciel de gestion intégré de la SNRT: JDEWARDS</t>
  </si>
  <si>
    <t>Contrat de service de support (SLA) du Système de Production News « News Room » de la SNRT.</t>
  </si>
  <si>
    <t>51M/SNRT/2022</t>
  </si>
  <si>
    <t>Souscription à un abonnement annuel de licences de logiciels de montage et de graphisme pour les besoins des chaines TV de la SNRT.</t>
  </si>
  <si>
    <t>22M/SNRT/2023</t>
  </si>
  <si>
    <t>30 AOM/SNRT</t>
  </si>
  <si>
    <t>La fourniture et la mise en service de serveurs pour renouvellement de serveurs d’enregistrement et de replay pour les besoins de la production TV des manifestations sportives</t>
  </si>
  <si>
    <t>PV N° 02RE2025-DPPCCRTV</t>
  </si>
  <si>
    <t>HAKIM KHIZRAN  -  Préparation et présentation de l’émission RD الابتهالات</t>
  </si>
  <si>
    <t>HAKIM KHIZRAN</t>
  </si>
  <si>
    <t>HICHAM EL HLIMI -  Préparation et présentation de l’émission RD في حضرة زوايا</t>
  </si>
  <si>
    <t>Acquisition des droits de diffusion de reportages télévisuels sur l’actualité à Bruxelles</t>
  </si>
  <si>
    <t>391 CT/SNRT</t>
  </si>
  <si>
    <t>NET PROD</t>
  </si>
  <si>
    <t>Acquisition des droits de diffusion de reportages télévisuels sur l’actualité en Palestine</t>
  </si>
  <si>
    <t>392 CT/SNRT</t>
  </si>
  <si>
    <t>ALAM NEWS CO.FOR MEDIA PRODUCTION</t>
  </si>
  <si>
    <t xml:space="preserve">Location de Deux unipoles LED entrée/sortie Casablanca Technopark au niveau du pont a Haubans </t>
  </si>
  <si>
    <t>FR/KR/02/2026</t>
  </si>
  <si>
    <t>PV N° : 01RE2026- DPPCCRTV</t>
  </si>
  <si>
    <t>IMAD ZAOUI – Programmateur TV : conducteur quotidien, montage, coordination et suivi avec la commission technique TV</t>
  </si>
  <si>
    <t>IMAD ZAOUI</t>
  </si>
  <si>
    <t>AICHA CHAFAI – Animateur RD/TV : les gestion de l’antenne RD, la couverture et le reportage RD/TV</t>
  </si>
  <si>
    <t>AICHA CHAFAI</t>
  </si>
  <si>
    <t>AMINE MARZOUKI – Programmation TV (conducteur quotidien)</t>
  </si>
  <si>
    <t>AMINE MARZOUKI</t>
  </si>
  <si>
    <t>YOUSSEF ESBAISS – Programmatrice TV : le montage, la coordination et le suivi avec la commission scinetiifique, l’archive STM et la coordination du portail de la chaine</t>
  </si>
  <si>
    <t>YOUSSEF ESBAISS</t>
  </si>
  <si>
    <t>61AOM/SNRT</t>
  </si>
  <si>
    <t>Maintenance et entretien des appareils de climatisation (Pièce et main d’œuvre) : Rabat et Casablanca</t>
  </si>
  <si>
    <t xml:space="preserve">N° AO et DATE VALIDATION </t>
  </si>
  <si>
    <t>31 AOM/SNRT</t>
  </si>
  <si>
    <t>Fourniture de commutateurs de flux transport stream</t>
  </si>
  <si>
    <t>Consultation N° 08CT/SNRT/2026</t>
  </si>
  <si>
    <t>Agencement d’un stand de 66 M2 au Salon International de l’Édition et du livre (SIEL) ainsi que l’organisation de 05 récéptions pour 40 personnes</t>
  </si>
  <si>
    <t>394 CT/SNRT/2026</t>
  </si>
  <si>
    <t>KI VISION</t>
  </si>
  <si>
    <t>32 AOM/SNRT</t>
  </si>
  <si>
    <t>Publié le 19/03/2026</t>
  </si>
  <si>
    <t>33 AOM/SNRT</t>
  </si>
  <si>
    <t>Suite annuléation AO 15</t>
  </si>
  <si>
    <t>34 AOM/SNRT</t>
  </si>
  <si>
    <t>Souscription à des abonnements annuels de licences de logiciels de création de contenu et outils basés sur l’intelligence artificielle au profit de la DCRPSD</t>
  </si>
  <si>
    <t>01RE2026-DCCCA</t>
  </si>
  <si>
    <t>SAMIR BENCHEKROUN – CONSULTANT EN MATCHS DE FOOTBALL</t>
  </si>
  <si>
    <t>SAMIR BENCHEKROUN</t>
  </si>
  <si>
    <t>01RE2026-DCPCART</t>
  </si>
  <si>
    <t>SAIDA EL ALAOUI – JOURNALISTE</t>
  </si>
  <si>
    <t>SAIDA EL ALAOUI</t>
  </si>
  <si>
    <t>Cession des droits de diffusion des actualités et la couverture télévisée de la 14éme édition du Festival International du Film de Dakhla,  qui se tiendra du 06 au 12 Juin 2026,</t>
  </si>
  <si>
    <t>398 CT/SNRT/2026</t>
  </si>
  <si>
    <t>ASSOCIATION D'ANIMATION CULTURELLE ET ARTISTIQUE DES PROVINCES DU SUD</t>
  </si>
  <si>
    <t>26000024 CL</t>
  </si>
  <si>
    <t>Fourniture et mise en service de systèmes de commande sans fils pour optique de caméra pour les besoins des unités mobiles de la SNRT</t>
  </si>
  <si>
    <t>37 AOM/SNRT</t>
  </si>
  <si>
    <t>L'élaboration du Schéma Directeur des Systèmes d'information (SDSI) de la Société Nationale de Radiodiffusion et de Télévision.</t>
  </si>
  <si>
    <t>38 AOM/SNRT</t>
  </si>
  <si>
    <t>La fourniture et la mise en service de lecteurs LTO destinés aux besoins d’archivage de la SNRT</t>
  </si>
  <si>
    <t>39 AOM/SNRT</t>
  </si>
  <si>
    <t>Fourniture, installation, paramétrage et mise en service de batteries pour onduleurs existants de marque EATON déployés au siége SNRT à Rabat</t>
  </si>
  <si>
    <t>54AOM/SNRT</t>
  </si>
  <si>
    <t>Élaboration des études techniques et suivi des travaux d’installation d’un pylône auto-stable de 55m de hauteur au site SNRT TAOURIRT (P.TAOURIRT)</t>
  </si>
  <si>
    <t xml:space="preserve">PV N° : 01RE2025-DCPA </t>
  </si>
  <si>
    <t>AZIZ BENISSAAD – Ecriture de commentaires de l’émission interne « الغالية بلادي »</t>
  </si>
  <si>
    <t>AZIZ BENISSAAD</t>
  </si>
  <si>
    <t>36 AOM/SNRT</t>
  </si>
  <si>
    <t>Achat d’habillement pour le personnel de la SNRT (Journalistes, Caméramen, Techniciens et Chauffeurs</t>
  </si>
  <si>
    <t>59AOM/SNRT</t>
  </si>
  <si>
    <t>Élaboration de la cartographie des risques de la SNRT et déploiement du dispositif de suivi et de mise à jour y afférent</t>
  </si>
  <si>
    <t>60AOM/SNRT</t>
  </si>
  <si>
    <t>Location de supports d’affichage urbain 4X3 pour la SNRT</t>
  </si>
  <si>
    <t>26000002 CI</t>
  </si>
  <si>
    <t>Conception d’un décor virtuel pour la chaine Arryadia avec des éléments de réalité augmentée (RA) destinée  à accompagner la couverture de la CAN féminine</t>
  </si>
  <si>
    <t>ASKI-DA CREATIVE</t>
  </si>
  <si>
    <t>SANS PV</t>
  </si>
  <si>
    <t>MOHAMMED BENDIAB – Consiltant Golf</t>
  </si>
  <si>
    <t>MOHAMMED BENDIAB</t>
  </si>
  <si>
    <t>ancien13AOM/SNRT</t>
  </si>
  <si>
    <t>Entretien et remises en état du système de verrouillage et de protection de la cabine d’antenne du centre AM de Sbaa Aioune</t>
  </si>
  <si>
    <t>Acquisition de vignettes pour l’entretien et la réparation des véhicules de la SNRT</t>
  </si>
  <si>
    <t>Convention N° 5913</t>
  </si>
  <si>
    <t>SNTL</t>
  </si>
  <si>
    <t>La publication des insertions de la SNRT dans le supports : « le jardin des Hespérides »</t>
  </si>
  <si>
    <t>393 CT/SNRT/2026</t>
  </si>
  <si>
    <t>AGENCE PROMOTION DAKHLA</t>
  </si>
  <si>
    <t>LINA BOUFARDOU – Journaliste francophone, présentatrice et animatrice de débats sur la chaine Inter.</t>
  </si>
  <si>
    <t>LINA BOUFARDOU</t>
  </si>
  <si>
    <t>Achats des droits sportifs Match Maroc vs Norvège (Retenue à la source à la charge de la SNRT)</t>
  </si>
  <si>
    <t>FANZONE STUDIOS</t>
  </si>
  <si>
    <t>45AOM/SNRT/2026</t>
  </si>
  <si>
    <t>Peinture des facades et des locaux de la SNRT</t>
  </si>
  <si>
    <t>22 AOM/SNRT</t>
  </si>
  <si>
    <t>PV N° : 02NV2026- DITV</t>
  </si>
  <si>
    <t>BELHAISSI YOUSSEF – La préparation et la présentation des emissions politiques</t>
  </si>
  <si>
    <t>BELHAISSI YOUSSEF</t>
  </si>
  <si>
    <t>52 AOM/SNRT</t>
  </si>
  <si>
    <t>La fourniture et la mise en service de véhicules fourgon aménagés en rayonnage pour les besoins de la production de la SNRT</t>
  </si>
  <si>
    <t>46 AOM/SNRT</t>
  </si>
  <si>
    <t>Renouvellement des licences de la solution de gestion financière pour les besoins de la SNRT</t>
  </si>
  <si>
    <t>16 AOM/SNRT</t>
  </si>
  <si>
    <t>La numérisation des anciennes archives télévisuelles stockées sur des supports analogiques de type cassette U-MATIC pour les besoins des archives TV de la SNRT</t>
  </si>
  <si>
    <t>51 AOM</t>
  </si>
  <si>
    <t>Fourniture des modules et pièces de rechange pour les émetteurs FM de marque RVR</t>
  </si>
  <si>
    <t>Fourniture des modules et pièces de rechange pour les émetteurs FM 10 KW et 5 KW de marque RFE</t>
  </si>
  <si>
    <t>La captation et la cession exclusive pour le compte de la SNRT des droits de diffusion des concerts du Festival Gnaoua et Musiques du Monde</t>
  </si>
  <si>
    <t>A3 COMMUNICATION</t>
  </si>
  <si>
    <t>47 AOM</t>
  </si>
  <si>
    <t>Fourniture des modules et piéces de rechange pour les émetteurs TNT de puissance 250 Watts de marque EUROTEK</t>
  </si>
  <si>
    <t>Fourniture des modules et piéces de rechange des émetteurs TNT de marque ITELSIS</t>
  </si>
  <si>
    <t>Fourniture des modules et piéces de rechange des émetteurs TNT de marque EGATEL de puissance 10KW</t>
  </si>
  <si>
    <t>29 AOM</t>
  </si>
  <si>
    <t>La fourniture et la mise en service d'encodeurs et décodeurs SRT pour les besoins des unités mobiles de la SNRT</t>
  </si>
  <si>
    <t>44 AOM</t>
  </si>
  <si>
    <t>35 AOM</t>
  </si>
  <si>
    <t>49 AOM</t>
  </si>
  <si>
    <t>La maintenance de messagerie Lotus Notes/Domino</t>
  </si>
  <si>
    <t>48 AOM</t>
  </si>
  <si>
    <t>Prestation de maintenance et assitance /  Support du logiciel de gestion des campagnes publicitaires des support TV et Radio de la SNRT</t>
  </si>
  <si>
    <t>25 AOM/SNRT</t>
  </si>
  <si>
    <t>SUITE AO INFRUCTUEUX</t>
  </si>
  <si>
    <t>26000042 CL</t>
  </si>
  <si>
    <t>Fourniture de materiel de diffusion</t>
  </si>
  <si>
    <t>LYSMA SYSTÈME</t>
  </si>
  <si>
    <t>50 AOM/SNRT</t>
  </si>
  <si>
    <t>Fourniture, installation et mise en service d'un nouveau groupe électrogène de puissance 200KW/PRP pour le centre SNRT de PALOMAS (P.EL HOCEIMA), ainsi que le transfert de quelques groupes électrogènes entre des centres SNRT y compris leurs mises à niveau</t>
  </si>
  <si>
    <t>53 AOM/SNRT</t>
  </si>
  <si>
    <t>26000049 CL</t>
  </si>
  <si>
    <t>Désherbage elagage deraninage des arbres de centre emetteur radio AM de Sebaa Aioune</t>
  </si>
  <si>
    <t>HOUSSADIM</t>
  </si>
  <si>
    <t>26000050 CL</t>
  </si>
  <si>
    <t>Désherbage elagage deraninage des arbres de centre emetteur radio AM d'Oujda</t>
  </si>
  <si>
    <t>26000047 CL</t>
  </si>
  <si>
    <t>Fourniture et mise en service de cartes graphiques pour applications de calcul intensif et d'intelligence artificielle pour les besoins de la SNRT</t>
  </si>
  <si>
    <t>26000044 CL</t>
  </si>
  <si>
    <t>Réparation et maintenance du Poste de transformation MT/BT haut de poteau type H61 50KVA au site SNRT de LAKSIBA (P.BENI MELLAL)</t>
  </si>
  <si>
    <t>26000043 CL</t>
  </si>
  <si>
    <t>LOT n°1: Etude des travaux d'aménagement du nouveau siège de la radio de Tétouane</t>
  </si>
  <si>
    <t>MES ETUDES</t>
  </si>
  <si>
    <t>26000052 CL</t>
  </si>
  <si>
    <t>Désherbage elagage deraninage des arbres de centre emetteur radio AM d'Ait Melloul</t>
  </si>
  <si>
    <t>EXCELIACOM CONTRACTORS</t>
  </si>
  <si>
    <t>26000554 CT</t>
  </si>
  <si>
    <t>Frais technique pour la coupe du monde FIFA 2026</t>
  </si>
  <si>
    <t>Achats de droits</t>
  </si>
  <si>
    <t>HOST BROADCAST SERVICES-HBS</t>
  </si>
  <si>
    <t>43AOM/SNRT</t>
  </si>
  <si>
    <t>Elaboration des études techniques et suivi des travaux d'aménagement de l'ancien site de diffusion TV/FM de la SNRT à Jbel Hammat Moulay Hachem (P.Midelt)</t>
  </si>
  <si>
    <t>Elaboration des études techniques et suivi des travaux de construction du site de diffusion TV/FM de la SNRT à Msissi(P.Tinghir)</t>
  </si>
  <si>
    <t>56AOM/SNRT</t>
  </si>
  <si>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</si>
  <si>
    <t>55AOM/SNRT</t>
  </si>
  <si>
    <t>26000048 CL</t>
  </si>
  <si>
    <t>Désherbage elagage deracinage des arbres de centre de télédiffusion TV/FM Cap spartel</t>
  </si>
  <si>
    <t>26000051 CL</t>
  </si>
  <si>
    <t>Entretien et réparation de mobilier pour l'emission "CHABAB FI AL WAJIHA" au studio Ain Chok à Casablanca</t>
  </si>
  <si>
    <t>BEST PRODUCTION</t>
  </si>
  <si>
    <t>24AOM/SNRT/2026</t>
  </si>
  <si>
    <t>Achat de maquillage des animateurs pour TV LAAYOUNE.</t>
  </si>
  <si>
    <t>57AOM/SNRT/2026</t>
  </si>
  <si>
    <t>ALI ER-RBAHY-Supervision technique et administratif et coordination</t>
  </si>
  <si>
    <t>Achats de productions et de programmes</t>
  </si>
  <si>
    <t>ABDESLAM KHALOUFI-Supervision technique et administratif et coordination</t>
  </si>
  <si>
    <t>ABDESLAM KHALOUFI</t>
  </si>
  <si>
    <t>NADIA EL MECHRAFI-Le droit d'enregistrement de diffusion et d'exploitation de 10 séances de musique gharnati</t>
  </si>
  <si>
    <t>NADIA EL MECHRAFI</t>
  </si>
  <si>
    <t>317 073,17</t>
  </si>
  <si>
    <t>ASSOCIATION AHMED PIRO DE MUSIQUE GHARNATI-Le droit d'enregistrement de diffusion et d'exploitation de 10 séances de musique gharnati</t>
  </si>
  <si>
    <t>ASSOCIATION AHMED PIRO DE MUSIQUE GHARNATI-</t>
  </si>
  <si>
    <t>PV N01RE2026-DPMG</t>
  </si>
  <si>
    <t>YOUSSEF EL MANSOUR-Metreur en BTP</t>
  </si>
  <si>
    <t>YOUSSEF ELMANSOUR</t>
  </si>
  <si>
    <t>PV EN COURS DE SIGNATURE</t>
  </si>
  <si>
    <t>40AOM/SNRT/2026</t>
  </si>
  <si>
    <t>La fourniture et la mise en service de logiciels et de licences de solutions IT pour les besoins de la Société Nationale de Radiodiffusion et de Télévision</t>
  </si>
  <si>
    <t>26000057 CL</t>
  </si>
  <si>
    <t>Publications des comptes annuels de la SNRT 2025 au Bulletin Officiel</t>
  </si>
  <si>
    <t>Directions de l'imprimerie officel</t>
  </si>
  <si>
    <t>26000564 CT</t>
  </si>
  <si>
    <t>MAHJOUB BEN-SI-ALI - Journaliste chargé de la préparation et la présentation des bulletins et flashs d'information des èmissions RD</t>
  </si>
  <si>
    <t>MAHJOUB BEN -SI-ALI</t>
  </si>
  <si>
    <t>26000565 CT</t>
  </si>
  <si>
    <t>FATIMA ZOHRA BOUSKRAOUI-Journaliste chargé de la préparation et la présentation des bulletins et flashs d'information des èmissions RD</t>
  </si>
  <si>
    <t>26000565CT</t>
  </si>
  <si>
    <t>FATIMA ZOHRA BOUSKRAOUI</t>
  </si>
  <si>
    <t>26000566 CT</t>
  </si>
  <si>
    <t>MEHDI EL ATIFI - Journaliste chargé de la préparation et la présentation des bulletins et flashs d'information des èmissions RD</t>
  </si>
  <si>
    <t>MEHDI EL ATIFI</t>
  </si>
  <si>
    <t>63AOM/SNRT/2026</t>
  </si>
  <si>
    <t>Fourniture et mise en service d'équipements audio vidéo au profit de la Direction de la Régie Publicitaire et Solutions Digitales de la Société Nationale de la Radiodiffusion et de la Télévision</t>
  </si>
  <si>
    <t>64AOM/SNRT/2026</t>
  </si>
  <si>
    <t>Compte</t>
  </si>
  <si>
    <t>Libellé</t>
  </si>
  <si>
    <t>212-1</t>
  </si>
  <si>
    <t>212-2</t>
  </si>
  <si>
    <t>221-1</t>
  </si>
  <si>
    <t>231-1</t>
  </si>
  <si>
    <t>Terrains</t>
  </si>
  <si>
    <t>232-2</t>
  </si>
  <si>
    <t>233-1</t>
  </si>
  <si>
    <t>233-2</t>
  </si>
  <si>
    <t xml:space="preserve">Matériel et outillage </t>
  </si>
  <si>
    <t>233-3</t>
  </si>
  <si>
    <t>233-4</t>
  </si>
  <si>
    <t>235-1</t>
  </si>
  <si>
    <t>235-2</t>
  </si>
  <si>
    <t>235-3</t>
  </si>
  <si>
    <t>235-4</t>
  </si>
  <si>
    <t>Autres Matériel et mobilier de bureau</t>
  </si>
  <si>
    <t>612-1-1</t>
  </si>
  <si>
    <t>Acquis définitive Programmes TV externes</t>
  </si>
  <si>
    <t>612-1-3</t>
  </si>
  <si>
    <t>Achat des programmes en production interne</t>
  </si>
  <si>
    <t>612-1-4</t>
  </si>
  <si>
    <t>Achats des programmes en co-production</t>
  </si>
  <si>
    <t>612-2-1</t>
  </si>
  <si>
    <t>Achats des droits de captation</t>
  </si>
  <si>
    <t>612-2-2</t>
  </si>
  <si>
    <t xml:space="preserve">Cession de Droits de sport </t>
  </si>
  <si>
    <t>612-3-2</t>
  </si>
  <si>
    <t>Achats des pièces de rechange</t>
  </si>
  <si>
    <t>612-3-3</t>
  </si>
  <si>
    <t>Fournitures de bureau et fournitures informatiques</t>
  </si>
  <si>
    <t>612-3-4</t>
  </si>
  <si>
    <t>Autres Matières et fournitures consommables</t>
  </si>
  <si>
    <t>612-4-2</t>
  </si>
  <si>
    <t>Achats de carburants</t>
  </si>
  <si>
    <t>612-4-3</t>
  </si>
  <si>
    <t>Achats Petit outillage &amp; petit équipement</t>
  </si>
  <si>
    <t>612-4-4</t>
  </si>
  <si>
    <t>Achat fournitures (entretien, fournitures de bureau et fournitures informatiques)</t>
  </si>
  <si>
    <t>612-5-1</t>
  </si>
  <si>
    <t xml:space="preserve">Achats d'études </t>
  </si>
  <si>
    <t>612-5-2</t>
  </si>
  <si>
    <t>Achat prestations de services locales - sociétés</t>
  </si>
  <si>
    <t>612-5-3</t>
  </si>
  <si>
    <t>612-5-4</t>
  </si>
  <si>
    <t>Achat prestations services Etrangères</t>
  </si>
  <si>
    <t>612-6-1</t>
  </si>
  <si>
    <t xml:space="preserve">Achat prestations satellitaires </t>
  </si>
  <si>
    <t>613-1-1</t>
  </si>
  <si>
    <t>Location de terrains et constructions</t>
  </si>
  <si>
    <t>613-1-4</t>
  </si>
  <si>
    <t>Location matériel transport</t>
  </si>
  <si>
    <t>613-2-1</t>
  </si>
  <si>
    <t>Entr&amp;réparat biens immoblier</t>
  </si>
  <si>
    <t>613-2-2</t>
  </si>
  <si>
    <t>Entr&amp;réparat biens mobilier</t>
  </si>
  <si>
    <t>613-2-3</t>
  </si>
  <si>
    <t>Entretien et réparation matériel transport</t>
  </si>
  <si>
    <t>613-2-4</t>
  </si>
  <si>
    <t>Entretien et réparation matériel&amp;outillage</t>
  </si>
  <si>
    <t>613-2-5</t>
  </si>
  <si>
    <t>Entretien et maintenance matériel Informatiq &amp; logiciels</t>
  </si>
  <si>
    <t>613-2-6</t>
  </si>
  <si>
    <t xml:space="preserve">Assurances </t>
  </si>
  <si>
    <t>613-3-2</t>
  </si>
  <si>
    <t>Honoraires</t>
  </si>
  <si>
    <t>613-3-3</t>
  </si>
  <si>
    <t>Frais d'actes et contentieux</t>
  </si>
  <si>
    <t>613-4-2</t>
  </si>
  <si>
    <t>Autres redevances</t>
  </si>
  <si>
    <t>613-4-3</t>
  </si>
  <si>
    <t xml:space="preserve">Documentation </t>
  </si>
  <si>
    <t>613-4-4</t>
  </si>
  <si>
    <t>Abonnements</t>
  </si>
  <si>
    <t>613-4-5</t>
  </si>
  <si>
    <t>Cotisations</t>
  </si>
  <si>
    <t>614-1-1</t>
  </si>
  <si>
    <t>Mission au Maroc</t>
  </si>
  <si>
    <t>614-1-2</t>
  </si>
  <si>
    <t>Mission à l'étranger</t>
  </si>
  <si>
    <t>614-1-3</t>
  </si>
  <si>
    <t>Réceptions</t>
  </si>
  <si>
    <t>614-2-1</t>
  </si>
  <si>
    <t>Annonces et insertions</t>
  </si>
  <si>
    <t>614-2-2</t>
  </si>
  <si>
    <t>Charges de publicité</t>
  </si>
  <si>
    <t>614-2-3</t>
  </si>
  <si>
    <t>Autres charges de relations publiques</t>
  </si>
  <si>
    <t>614-3-1</t>
  </si>
  <si>
    <t>Frais postaux</t>
  </si>
  <si>
    <t>614-3-2</t>
  </si>
  <si>
    <t>Téléphone &amp; internet</t>
  </si>
  <si>
    <t>614-3-4</t>
  </si>
  <si>
    <t>Transport du personnel</t>
  </si>
  <si>
    <t>614-3-5</t>
  </si>
  <si>
    <t>Autres transports</t>
  </si>
  <si>
    <t>617-1-1</t>
  </si>
  <si>
    <t>Salaires de bases +rappels</t>
  </si>
  <si>
    <t>617-1-2</t>
  </si>
  <si>
    <t xml:space="preserve">Primes et indemnités </t>
  </si>
  <si>
    <t>617-2</t>
  </si>
  <si>
    <t>617-3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</si>
</sst>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 _€"/>
    <numFmt numFmtId="165" formatCode="0\ %"/>
    <numFmt numFmtId="166" formatCode="_-* #,##0.00\ _€_-;\-* #,##0.00\ _€_-;_-* \-??\ _€_-;_-@_-"/>
    <numFmt numFmtId="167" formatCode="_(* #,##0.00_);_(* \(#,##0.00\);_(* \-??_);_(@_)"/>
    <numFmt numFmtId="168" formatCode="#,##0.00\ [$MAD]"/>
    <numFmt numFmtId="169" formatCode="#.##0\.00"/>
    <numFmt numFmtId="170" formatCode="[$د.م.‏-1801]\ #,##0.00;[Red][$د.م.‏-1801]\ #,##0.00\-"/>
    <numFmt numFmtId="171" formatCode="_-* #,##0.00_-;\-* #,##0.00_-;_-* \-??_-;_-@_-"/>
    <numFmt numFmtId="172" formatCode="_-* #,##0.00\ _D_H_-;\-* #,##0.00\ _D_H_-;_-* \-??\ _D_H_-;_-@_-"/>
  </numFmts>
  <fonts count="25" x14ac:knownFonts="1">
    <font>
      <sz val="11"/>
      <color theme="1"/>
      <name val="Calibri"/>
      <family val="2"/>
      <charset val="1"/>
    </font>
    <font>
      <u/>
      <sz val="11"/>
      <color theme="10"/>
      <name val="Calibri"/>
      <family val="2"/>
      <charset val="1"/>
    </font>
    <font>
      <sz val="10"/>
      <color theme="3"/>
      <name val="Calibri"/>
      <family val="2"/>
      <charset val="1"/>
    </font>
    <font>
      <sz val="10"/>
      <color theme="1"/>
      <name val="Arial"/>
      <family val="2"/>
      <charset val="1"/>
    </font>
    <font>
      <sz val="11"/>
      <color theme="0"/>
      <name val="Calibri"/>
      <family val="2"/>
      <charset val="1"/>
    </font>
    <font>
      <sz val="10"/>
      <color theme="1"/>
      <name val="Calibri"/>
      <family val="2"/>
      <charset val="1"/>
    </font>
    <font>
      <sz val="10"/>
      <name val="Calibri"/>
      <family val="2"/>
      <charset val="1"/>
    </font>
    <font>
      <b/>
      <sz val="11"/>
      <color theme="0"/>
      <name val="Calibri"/>
      <family val="2"/>
      <charset val="1"/>
    </font>
    <font>
      <b/>
      <sz val="11"/>
      <color theme="0" tint="-0.14999847407452621"/>
      <name val="Calibri"/>
      <family val="2"/>
      <charset val="1"/>
    </font>
    <font>
      <b/>
      <sz val="11"/>
      <color theme="1"/>
      <name val="Calibri"/>
      <family val="2"/>
      <charset val="1"/>
    </font>
    <font>
      <sz val="11"/>
      <color theme="1"/>
      <name val="Times New Roman"/>
      <family val="1"/>
      <charset val="1"/>
    </font>
    <font>
      <b/>
      <sz val="11"/>
      <color theme="1"/>
      <name val="Times New Roman"/>
      <family val="1"/>
      <charset val="1"/>
    </font>
    <font>
      <sz val="11"/>
      <color theme="1"/>
      <name val="Calibri"/>
      <family val="2"/>
      <charset val="1"/>
    </font>
    <font>
      <sz val="10"/>
      <color theme="1"/>
      <name val="Calibri"/>
      <family val="2"/>
    </font>
    <font>
      <sz val="10"/>
      <color theme="3"/>
      <name val="Arial"/>
      <family val="2"/>
      <scheme val="minor"/>
    </font>
    <font>
      <b/>
      <sz val="10"/>
      <color theme="1"/>
      <name val="Calibri"/>
      <family val="2"/>
    </font>
    <font>
      <sz val="10"/>
      <color theme="3"/>
      <name val="Calibri"/>
      <family val="2"/>
    </font>
    <font>
      <b/>
      <sz val="10"/>
      <color rgb="FFFFFFFF"/>
      <name val="Calibri"/>
      <family val="2"/>
    </font>
    <font>
      <b/>
      <sz val="11"/>
      <color theme="1"/>
      <name val="Calibri"/>
      <family val="2"/>
    </font>
    <font>
      <sz val="10"/>
      <color theme="1"/>
      <name val="Calibri"/>
    </font>
    <font>
      <b/>
      <sz val="10"/>
      <color theme="1"/>
      <name val="Calibri"/>
    </font>
    <font>
      <b/>
      <sz val="10"/>
      <color rgb="FFFFFFFF"/>
      <name val="Calibri"/>
    </font>
    <font>
      <b/>
      <sz val="10"/>
      <color rgb="FF9C0006"/>
      <name val="Calibri"/>
    </font>
    <font>
      <b/>
      <sz val="10"/>
      <color rgb="FF006100"/>
      <name val="Calibri"/>
    </font>
    <font>
      <b/>
      <sz val="10"/>
      <color rgb="FF9C0006"/>
      <name val="Calibri"/>
    </font>
  </fonts>
  <fills count="26">
    <fill>
      <patternFill patternType="none"/>
    </fill>
    <fill>
      <patternFill patternType="gray125"/>
    </fill>
    <fill>
      <patternFill patternType="solid">
        <fgColor theme="0" tint="-0.499984740745262"/>
        <bgColor rgb="FF8497B0"/>
      </patternFill>
    </fill>
    <fill>
      <patternFill patternType="solid">
        <fgColor theme="0" tint="-4.9989318521683403E-2"/>
        <bgColor rgb="FFDEEBF7"/>
      </patternFill>
    </fill>
    <fill>
      <patternFill patternType="solid">
        <fgColor theme="0" tint="-0.14999847407452621"/>
        <bgColor rgb="FFD0CECE"/>
      </patternFill>
    </fill>
    <fill>
      <patternFill patternType="solid">
        <fgColor theme="0" tint="-0.34998626667073579"/>
        <bgColor rgb="FF8497B0"/>
      </patternFill>
    </fill>
    <fill>
      <patternFill patternType="solid">
        <fgColor theme="0"/>
        <bgColor rgb="FFF2F2F2"/>
      </patternFill>
    </fill>
    <fill>
      <patternFill patternType="solid">
        <fgColor theme="3" tint="0.39988402966399123"/>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theme="5" tint="0.39997558519241921"/>
        <bgColor indexed="64"/>
      </patternFill>
    </fill>
    <fill>
      <patternFill patternType="solid">
        <fgColor theme="5" tint="0.39997558519241921"/>
        <bgColor rgb="FFFFFF00"/>
      </patternFill>
    </fill>
    <fill>
      <patternFill patternType="solid">
        <fgColor theme="5" tint="0.39997558519241921"/>
        <bgColor rgb="FF8497B0"/>
      </patternFill>
    </fill>
    <fill>
      <patternFill patternType="solid">
        <fgColor rgb="FF2E75B6"/>
        <bgColor rgb="FFA6A6A6"/>
      </patternFill>
    </fill>
    <fill>
      <patternFill patternType="solid">
        <fgColor rgb="FFFDE9EA"/>
      </patternFill>
    </fill>
    <fill>
      <patternFill patternType="solid">
        <fgColor rgb="FFC6EFCE"/>
      </patternFill>
    </fill>
    <fill>
      <patternFill patternType="solid">
        <fgColor rgb="FFFDE9EA"/>
      </patternFill>
    </fill>
  </fills>
  <borders count="18">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theme="0" tint="-0.34998626667073579"/>
      </left>
      <right style="thin">
        <color theme="0" tint="-0.34998626667073579"/>
      </right>
      <top/>
      <bottom/>
      <diagonal/>
    </border>
  </borders>
  <cellStyleXfs count="16">
    <xf numFmtId="0" fontId="0" fillId="0" borderId="0"/>
    <xf numFmtId="167" fontId="12" fillId="0" borderId="0"/>
    <xf numFmtId="165" fontId="12" fillId="0" borderId="0"/>
    <xf numFmtId="0" fontId="1" fillId="0" borderId="0"/>
    <xf numFmtId="166" fontId="12" fillId="0" borderId="0"/>
    <xf numFmtId="166" fontId="12" fillId="0" borderId="0"/>
    <xf numFmtId="166" fontId="12" fillId="0" borderId="0"/>
    <xf numFmtId="171" fontId="12" fillId="0" borderId="0"/>
    <xf numFmtId="171" fontId="12" fillId="0" borderId="0"/>
    <xf numFmtId="166" fontId="12" fillId="0" borderId="0"/>
    <xf numFmtId="172" fontId="12" fillId="0" borderId="0"/>
    <xf numFmtId="0" fontId="2" fillId="0" borderId="0">
      <alignment horizontal="center" vertical="center" wrapText="1"/>
    </xf>
    <xf numFmtId="0" fontId="3" fillId="0" borderId="0"/>
    <xf numFmtId="0" fontId="2" fillId="0" borderId="0">
      <alignment horizontal="center" vertical="center" wrapText="1"/>
    </xf>
    <xf numFmtId="0" fontId="12" fillId="0" borderId="0"/>
    <xf numFmtId="0" fontId="14" fillId="0" borderId="0">
      <alignment horizontal="center" vertical="center" wrapText="1"/>
    </xf>
  </cellStyleXfs>
  <cellXfs count="252">
    <xf numFmtId="0" fontId="0" fillId="0" borderId="0" xfId="0"/>
    <xf numFmtId="0" fontId="0" fillId="0" borderId="0" xfId="0"/>
    <xf numFmtId="0" fontId="4" fillId="2" borderId="0" xfId="0" applyFont="1" applyFill="1"/>
    <xf numFmtId="0" fontId="5" fillId="3" borderId="1" xfId="0" applyFont="1" applyFill="1" applyBorder="1"/>
    <xf numFmtId="0" fontId="5" fillId="4" borderId="2" xfId="0" applyFont="1" applyFill="1" applyBorder="1"/>
    <xf numFmtId="0" fontId="6" fillId="4" borderId="2" xfId="0" applyFont="1" applyFill="1" applyBorder="1"/>
    <xf numFmtId="0" fontId="5" fillId="4" borderId="0" xfId="0" applyFont="1" applyFill="1"/>
    <xf numFmtId="0" fontId="7" fillId="5" borderId="0" xfId="0" applyFont="1" applyFill="1"/>
    <xf numFmtId="0" fontId="5" fillId="6" borderId="0" xfId="0" applyFont="1" applyFill="1"/>
    <xf numFmtId="0" fontId="5" fillId="3" borderId="0" xfId="0" applyFont="1" applyFill="1"/>
    <xf numFmtId="0" fontId="7" fillId="2" borderId="0" xfId="0" applyFont="1" applyFill="1"/>
    <xf numFmtId="0" fontId="5" fillId="4" borderId="1" xfId="0" applyFont="1" applyFill="1" applyBorder="1"/>
    <xf numFmtId="0" fontId="5" fillId="3" borderId="2" xfId="0" applyFont="1" applyFill="1" applyBorder="1"/>
    <xf numFmtId="0" fontId="8" fillId="7" borderId="7"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0" fillId="0" borderId="0" xfId="0" applyAlignment="1">
      <alignment horizontal="center" wrapText="1"/>
    </xf>
    <xf numFmtId="0" fontId="9"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left" vertical="center" wrapText="1"/>
    </xf>
    <xf numFmtId="0" fontId="9" fillId="0" borderId="0" xfId="0" applyFont="1" applyAlignment="1">
      <alignment horizontal="center" wrapText="1"/>
    </xf>
    <xf numFmtId="0" fontId="0" fillId="0" borderId="0" xfId="0" applyAlignment="1">
      <alignment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10" fillId="0" borderId="0" xfId="0" applyFont="1" applyAlignment="1">
      <alignment horizontal="center" vertical="center" wrapText="1"/>
    </xf>
    <xf numFmtId="0" fontId="9" fillId="0" borderId="9" xfId="0" applyFont="1" applyBorder="1" applyAlignment="1">
      <alignment horizontal="center" vertical="center" wrapText="1"/>
    </xf>
    <xf numFmtId="0" fontId="0" fillId="0" borderId="9" xfId="0" applyBorder="1" applyAlignment="1">
      <alignment horizontal="center" wrapText="1"/>
    </xf>
    <xf numFmtId="0" fontId="9" fillId="0" borderId="9" xfId="0" applyFont="1" applyBorder="1" applyAlignment="1">
      <alignment horizontal="center" wrapText="1"/>
    </xf>
    <xf numFmtId="0" fontId="0" fillId="0" borderId="9" xfId="0" applyBorder="1" applyAlignment="1">
      <alignment horizontal="left" vertical="center" wrapText="1"/>
    </xf>
    <xf numFmtId="0" fontId="0" fillId="0" borderId="9" xfId="0" applyBorder="1" applyAlignment="1">
      <alignment wrapText="1"/>
    </xf>
    <xf numFmtId="14" fontId="0" fillId="0" borderId="9" xfId="0" applyNumberFormat="1" applyBorder="1" applyAlignment="1">
      <alignment horizontal="center" vertical="center" wrapText="1"/>
    </xf>
    <xf numFmtId="0" fontId="9" fillId="11" borderId="9" xfId="0" applyFont="1" applyFill="1" applyBorder="1"/>
    <xf numFmtId="0" fontId="9" fillId="0" borderId="9" xfId="0" applyFont="1" applyBorder="1" applyAlignment="1">
      <alignment horizontal="left"/>
    </xf>
    <xf numFmtId="14" fontId="0" fillId="0" borderId="9" xfId="0" applyNumberFormat="1" applyBorder="1" applyAlignment="1">
      <alignment vertical="center" wrapText="1"/>
    </xf>
    <xf numFmtId="0" fontId="0" fillId="12" borderId="0" xfId="0" applyFill="1"/>
    <xf numFmtId="0" fontId="0" fillId="0" borderId="9" xfId="0" applyBorder="1"/>
    <xf numFmtId="0" fontId="0" fillId="19" borderId="0" xfId="0" applyFill="1" applyAlignment="1">
      <alignment horizontal="center" vertical="center" wrapText="1"/>
    </xf>
    <xf numFmtId="0" fontId="0" fillId="19" borderId="0" xfId="0" applyFill="1"/>
    <xf numFmtId="0" fontId="13" fillId="8" borderId="13" xfId="0" applyFont="1" applyFill="1" applyBorder="1" applyAlignment="1">
      <alignment horizontal="center" vertical="center" wrapText="1"/>
    </xf>
    <xf numFmtId="14" fontId="13" fillId="0" borderId="9" xfId="0" applyNumberFormat="1" applyFont="1" applyBorder="1" applyAlignment="1">
      <alignment horizontal="center" vertical="center" wrapText="1"/>
    </xf>
    <xf numFmtId="0" fontId="13" fillId="15" borderId="1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13"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0" borderId="13" xfId="0" applyFont="1" applyFill="1" applyBorder="1" applyAlignment="1">
      <alignment horizontal="center" vertical="center" wrapText="1"/>
    </xf>
    <xf numFmtId="0" fontId="13" fillId="19" borderId="9" xfId="0" applyFont="1" applyFill="1" applyBorder="1" applyAlignment="1">
      <alignment horizontal="center" vertical="center" wrapText="1"/>
    </xf>
    <xf numFmtId="0" fontId="13" fillId="19" borderId="9" xfId="0" applyFont="1" applyFill="1" applyBorder="1" applyAlignment="1">
      <alignment horizontal="left" vertical="center" wrapText="1"/>
    </xf>
    <xf numFmtId="0" fontId="15" fillId="19" borderId="9" xfId="0" applyFont="1" applyFill="1" applyBorder="1" applyAlignment="1">
      <alignment horizontal="center" vertical="center" wrapText="1"/>
    </xf>
    <xf numFmtId="0" fontId="15" fillId="19" borderId="9" xfId="0" applyFont="1" applyFill="1" applyBorder="1" applyAlignment="1">
      <alignment horizontal="left" vertical="center" wrapText="1"/>
    </xf>
    <xf numFmtId="0" fontId="13" fillId="14" borderId="13"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12" borderId="9" xfId="0" applyFont="1" applyFill="1" applyBorder="1" applyAlignment="1">
      <alignment horizontal="center" vertical="center" wrapText="1"/>
    </xf>
    <xf numFmtId="0" fontId="13" fillId="12" borderId="13" xfId="0" applyFont="1" applyFill="1" applyBorder="1" applyAlignment="1">
      <alignment horizontal="center" vertical="center" wrapText="1"/>
    </xf>
    <xf numFmtId="0" fontId="13" fillId="17" borderId="9" xfId="0" applyFont="1" applyFill="1" applyBorder="1" applyAlignment="1">
      <alignment horizontal="center" vertical="center" wrapText="1"/>
    </xf>
    <xf numFmtId="0" fontId="13" fillId="12" borderId="14" xfId="0" applyFont="1" applyFill="1" applyBorder="1" applyAlignment="1">
      <alignment horizontal="center" vertical="center" wrapText="1"/>
    </xf>
    <xf numFmtId="0" fontId="13" fillId="0" borderId="12" xfId="0" applyFont="1" applyBorder="1" applyAlignment="1">
      <alignment horizontal="left" vertical="center" wrapText="1"/>
    </xf>
    <xf numFmtId="0" fontId="15" fillId="0" borderId="12" xfId="0" applyFont="1" applyBorder="1" applyAlignment="1">
      <alignment horizontal="center" vertical="center" wrapText="1"/>
    </xf>
    <xf numFmtId="0" fontId="15" fillId="0" borderId="12" xfId="0" applyFont="1" applyBorder="1" applyAlignment="1">
      <alignment horizontal="left" vertical="center" wrapText="1"/>
    </xf>
    <xf numFmtId="0" fontId="13" fillId="0" borderId="9" xfId="0" applyFont="1" applyBorder="1" applyAlignment="1">
      <alignment horizontal="left" vertical="center" wrapText="1"/>
    </xf>
    <xf numFmtId="0" fontId="15" fillId="0" borderId="9" xfId="0" applyFont="1" applyBorder="1" applyAlignment="1">
      <alignment horizontal="center" vertical="center" wrapText="1"/>
    </xf>
    <xf numFmtId="0" fontId="15" fillId="0" borderId="9" xfId="0" applyFont="1" applyBorder="1" applyAlignment="1">
      <alignment horizontal="left" vertical="center" wrapText="1"/>
    </xf>
    <xf numFmtId="0" fontId="17" fillId="22" borderId="13" xfId="0" applyFont="1" applyFill="1" applyBorder="1" applyAlignment="1">
      <alignment horizontal="center" vertical="center" wrapText="1"/>
    </xf>
    <xf numFmtId="14" fontId="17" fillId="22" borderId="9" xfId="0" applyNumberFormat="1" applyFont="1" applyFill="1" applyBorder="1" applyAlignment="1">
      <alignment horizontal="center" vertical="center" wrapText="1"/>
    </xf>
    <xf numFmtId="0" fontId="17" fillId="22" borderId="9" xfId="1" applyNumberFormat="1" applyFont="1" applyFill="1" applyBorder="1" applyAlignment="1">
      <alignment horizontal="center" vertical="center" wrapText="1"/>
    </xf>
    <xf numFmtId="0" fontId="17" fillId="22" borderId="10" xfId="0" applyFont="1" applyFill="1" applyBorder="1" applyAlignment="1">
      <alignment horizontal="center" vertical="center" wrapText="1"/>
    </xf>
    <xf numFmtId="0" fontId="13" fillId="9" borderId="9" xfId="0" applyFont="1" applyFill="1" applyBorder="1" applyAlignment="1">
      <alignment horizontal="left" vertical="center" wrapText="1"/>
    </xf>
    <xf numFmtId="0" fontId="13" fillId="20" borderId="9" xfId="0" applyFont="1" applyFill="1" applyBorder="1" applyAlignment="1">
      <alignment horizontal="left" vertical="center" wrapText="1"/>
    </xf>
    <xf numFmtId="0" fontId="13" fillId="18" borderId="9" xfId="0" applyFont="1" applyFill="1" applyBorder="1" applyAlignment="1">
      <alignment horizontal="left" vertical="center" wrapText="1"/>
    </xf>
    <xf numFmtId="0" fontId="13" fillId="12" borderId="9" xfId="0" applyFont="1" applyFill="1" applyBorder="1" applyAlignment="1">
      <alignment horizontal="left" vertical="center" wrapText="1"/>
    </xf>
    <xf numFmtId="14" fontId="13" fillId="0" borderId="12" xfId="0" applyNumberFormat="1" applyFont="1" applyBorder="1" applyAlignment="1">
      <alignment horizontal="left" vertical="center" wrapText="1"/>
    </xf>
    <xf numFmtId="14" fontId="13" fillId="0" borderId="9" xfId="0" applyNumberFormat="1" applyFont="1" applyBorder="1" applyAlignment="1">
      <alignment horizontal="left" vertical="center" wrapText="1"/>
    </xf>
    <xf numFmtId="14" fontId="13" fillId="19" borderId="9" xfId="0" applyNumberFormat="1" applyFont="1" applyFill="1" applyBorder="1" applyAlignment="1">
      <alignment horizontal="left" vertical="center" wrapText="1"/>
    </xf>
    <xf numFmtId="14" fontId="13" fillId="9" borderId="9" xfId="0" applyNumberFormat="1" applyFont="1" applyFill="1" applyBorder="1" applyAlignment="1">
      <alignment horizontal="left" vertical="center" wrapText="1"/>
    </xf>
    <xf numFmtId="14" fontId="13" fillId="12" borderId="9" xfId="0" applyNumberFormat="1" applyFont="1" applyFill="1" applyBorder="1" applyAlignment="1">
      <alignment horizontal="left" vertical="center" wrapText="1"/>
    </xf>
    <xf numFmtId="0" fontId="13" fillId="2" borderId="9" xfId="0" applyFont="1" applyFill="1" applyBorder="1" applyAlignment="1">
      <alignment horizontal="left" vertical="center" wrapText="1"/>
    </xf>
    <xf numFmtId="0" fontId="16" fillId="0" borderId="9" xfId="0" applyFont="1" applyBorder="1" applyAlignment="1">
      <alignment horizontal="left" vertical="center"/>
    </xf>
    <xf numFmtId="0" fontId="13" fillId="0" borderId="0" xfId="0" applyFont="1" applyAlignment="1">
      <alignment horizontal="left" vertical="center"/>
    </xf>
    <xf numFmtId="0" fontId="13" fillId="0" borderId="0" xfId="0" applyFont="1" applyAlignment="1">
      <alignment horizontal="left" vertical="center" wrapText="1"/>
    </xf>
    <xf numFmtId="14" fontId="13" fillId="2" borderId="9" xfId="0" applyNumberFormat="1" applyFont="1" applyFill="1" applyBorder="1" applyAlignment="1">
      <alignment horizontal="center" vertical="center" wrapText="1"/>
    </xf>
    <xf numFmtId="14" fontId="15" fillId="2" borderId="9" xfId="1" applyNumberFormat="1" applyFont="1" applyFill="1" applyBorder="1" applyAlignment="1">
      <alignment horizontal="center" vertical="center" wrapText="1"/>
    </xf>
    <xf numFmtId="14" fontId="15" fillId="21" borderId="9" xfId="1" applyNumberFormat="1" applyFont="1" applyFill="1" applyBorder="1" applyAlignment="1">
      <alignment horizontal="center" vertical="center" wrapText="1"/>
    </xf>
    <xf numFmtId="14" fontId="15" fillId="2" borderId="12" xfId="1" applyNumberFormat="1"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20" borderId="9" xfId="0" applyNumberFormat="1" applyFont="1" applyFill="1" applyBorder="1" applyAlignment="1">
      <alignment horizontal="center" vertical="center" wrapText="1"/>
    </xf>
    <xf numFmtId="14" fontId="15" fillId="17" borderId="9" xfId="0" applyNumberFormat="1" applyFont="1" applyFill="1" applyBorder="1" applyAlignment="1">
      <alignment horizontal="center" vertical="center" wrapText="1"/>
    </xf>
    <xf numFmtId="14" fontId="15" fillId="0" borderId="9" xfId="1" applyNumberFormat="1" applyFont="1" applyBorder="1" applyAlignment="1">
      <alignment horizontal="center" vertical="center" wrapText="1"/>
    </xf>
    <xf numFmtId="14" fontId="15" fillId="0" borderId="12" xfId="0" applyNumberFormat="1" applyFont="1" applyBorder="1" applyAlignment="1">
      <alignment horizontal="center" vertical="center" wrapText="1"/>
    </xf>
    <xf numFmtId="14" fontId="15" fillId="0" borderId="9" xfId="0" applyNumberFormat="1" applyFont="1" applyBorder="1" applyAlignment="1">
      <alignment horizontal="center" vertical="center" wrapText="1"/>
    </xf>
    <xf numFmtId="14" fontId="15" fillId="17" borderId="12" xfId="0" applyNumberFormat="1" applyFont="1" applyFill="1" applyBorder="1" applyAlignment="1">
      <alignment horizontal="center" vertical="center" wrapText="1"/>
    </xf>
    <xf numFmtId="14" fontId="15" fillId="19" borderId="9" xfId="0" applyNumberFormat="1" applyFont="1" applyFill="1" applyBorder="1" applyAlignment="1">
      <alignment horizontal="center" vertical="center" wrapText="1"/>
    </xf>
    <xf numFmtId="0" fontId="19" fillId="12" borderId="14" xfId="0" applyFont="1" applyFill="1" applyBorder="1" applyAlignment="1">
      <alignment horizontal="center" vertical="center" wrapText="1"/>
    </xf>
    <xf numFmtId="0" fontId="20" fillId="0" borderId="12" xfId="0" applyFont="1" applyBorder="1" applyAlignment="1">
      <alignment horizontal="center" vertical="center" wrapText="1"/>
    </xf>
    <xf numFmtId="14" fontId="19" fillId="0" borderId="12" xfId="0" applyNumberFormat="1" applyFont="1" applyBorder="1" applyAlignment="1">
      <alignment horizontal="left" vertical="center" wrapText="1"/>
    </xf>
    <xf numFmtId="0" fontId="19" fillId="0" borderId="12" xfId="0" applyFont="1" applyBorder="1" applyAlignment="1">
      <alignment horizontal="left" vertical="center" wrapText="1"/>
    </xf>
    <xf numFmtId="0" fontId="19" fillId="0" borderId="12" xfId="0" applyFont="1" applyBorder="1" applyAlignment="1">
      <alignment horizontal="center" vertical="center" wrapText="1"/>
    </xf>
    <xf numFmtId="0" fontId="20" fillId="0" borderId="12" xfId="0" applyFont="1" applyBorder="1" applyAlignment="1">
      <alignment horizontal="left" vertical="center" wrapText="1"/>
    </xf>
    <xf numFmtId="14" fontId="20" fillId="2" borderId="12" xfId="1" applyNumberFormat="1" applyFont="1" applyFill="1" applyBorder="1" applyAlignment="1">
      <alignment horizontal="center" vertical="center" wrapText="1"/>
    </xf>
    <xf numFmtId="14" fontId="19" fillId="0" borderId="12" xfId="0" applyNumberFormat="1" applyFont="1" applyBorder="1" applyAlignment="1">
      <alignment horizontal="center" vertical="center" wrapText="1"/>
    </xf>
    <xf numFmtId="14" fontId="20" fillId="17" borderId="12" xfId="0" applyNumberFormat="1" applyFont="1" applyFill="1" applyBorder="1" applyAlignment="1">
      <alignment horizontal="center" vertical="center" wrapText="1"/>
    </xf>
    <xf numFmtId="14" fontId="20" fillId="0" borderId="15" xfId="0" applyNumberFormat="1" applyFont="1" applyBorder="1" applyAlignment="1">
      <alignment horizontal="center" vertical="center" wrapText="1"/>
    </xf>
    <xf numFmtId="14" fontId="13" fillId="0" borderId="12" xfId="0" applyNumberFormat="1" applyFont="1" applyBorder="1" applyAlignment="1">
      <alignment horizontal="center" vertical="center" wrapText="1"/>
    </xf>
    <xf numFmtId="14" fontId="15" fillId="0" borderId="15" xfId="0" applyNumberFormat="1" applyFont="1" applyBorder="1" applyAlignment="1">
      <alignment horizontal="center" vertical="center" wrapText="1"/>
    </xf>
    <xf numFmtId="0" fontId="19" fillId="12" borderId="0" xfId="0" applyFont="1" applyFill="1" applyAlignment="1">
      <alignment vertical="center"/>
    </xf>
    <xf numFmtId="0" fontId="19" fillId="0" borderId="9" xfId="0" applyFont="1" applyBorder="1" applyAlignment="1">
      <alignment vertical="center"/>
    </xf>
    <xf numFmtId="0" fontId="15" fillId="2" borderId="9" xfId="1" applyNumberFormat="1" applyFont="1" applyFill="1" applyBorder="1" applyAlignment="1">
      <alignment horizontal="center" vertical="center" wrapText="1"/>
    </xf>
    <xf numFmtId="164" fontId="4" fillId="2" borderId="0" xfId="1" applyNumberFormat="1" applyFont="1" applyFill="1"/>
    <xf numFmtId="165" fontId="4" fillId="2" borderId="0" xfId="2" applyFont="1" applyFill="1" applyAlignment="1">
      <alignment horizontal="center"/>
    </xf>
    <xf numFmtId="164" fontId="5" fillId="3" borderId="0" xfId="1" applyNumberFormat="1" applyFont="1" applyFill="1"/>
    <xf numFmtId="165" fontId="5" fillId="3" borderId="0" xfId="2" applyFont="1" applyFill="1" applyAlignment="1">
      <alignment horizontal="center"/>
    </xf>
    <xf numFmtId="164" fontId="5" fillId="4" borderId="0" xfId="1" applyNumberFormat="1" applyFont="1" applyFill="1"/>
    <xf numFmtId="165" fontId="5" fillId="4" borderId="0" xfId="2" applyFont="1" applyFill="1" applyAlignment="1">
      <alignment horizontal="center"/>
    </xf>
    <xf numFmtId="166" fontId="0" fillId="0" borderId="0" xfId="0" applyNumberFormat="1"/>
    <xf numFmtId="164" fontId="7" fillId="5" borderId="3" xfId="1" applyNumberFormat="1" applyFont="1" applyFill="1" applyBorder="1"/>
    <xf numFmtId="165" fontId="7" fillId="5" borderId="3" xfId="2" applyFont="1" applyFill="1" applyBorder="1" applyAlignment="1">
      <alignment horizontal="center"/>
    </xf>
    <xf numFmtId="164" fontId="7" fillId="2" borderId="3" xfId="1" applyNumberFormat="1" applyFont="1" applyFill="1" applyBorder="1"/>
    <xf numFmtId="165" fontId="7" fillId="2" borderId="3" xfId="2" applyFont="1" applyFill="1" applyBorder="1" applyAlignment="1">
      <alignment horizontal="center"/>
    </xf>
    <xf numFmtId="164" fontId="5" fillId="4" borderId="4" xfId="1" applyNumberFormat="1" applyFont="1" applyFill="1" applyBorder="1"/>
    <xf numFmtId="164" fontId="5" fillId="3" borderId="5" xfId="1" applyNumberFormat="1" applyFont="1" applyFill="1" applyBorder="1"/>
    <xf numFmtId="164" fontId="5" fillId="4" borderId="5" xfId="1" applyNumberFormat="1" applyFont="1" applyFill="1" applyBorder="1"/>
    <xf numFmtId="164" fontId="0" fillId="0" borderId="0" xfId="0" applyNumberFormat="1" applyAlignment="1">
      <alignment horizontal="left" vertical="center" wrapText="1"/>
    </xf>
    <xf numFmtId="164" fontId="9" fillId="0" borderId="0" xfId="1" applyNumberFormat="1" applyFont="1" applyAlignment="1">
      <alignment vertical="center" wrapText="1"/>
    </xf>
    <xf numFmtId="164" fontId="0" fillId="0" borderId="0" xfId="1" applyNumberFormat="1" applyFont="1" applyAlignment="1">
      <alignment vertical="center" wrapText="1"/>
    </xf>
    <xf numFmtId="164" fontId="18" fillId="0" borderId="0" xfId="0" applyNumberFormat="1" applyFont="1" applyAlignment="1">
      <alignment horizontal="center" vertical="center" wrapText="1"/>
    </xf>
    <xf numFmtId="164" fontId="18" fillId="0" borderId="0" xfId="1" applyNumberFormat="1" applyFont="1" applyAlignment="1">
      <alignment vertical="center" wrapText="1"/>
    </xf>
    <xf numFmtId="164" fontId="18" fillId="0" borderId="0" xfId="1" applyNumberFormat="1" applyFont="1" applyAlignment="1">
      <alignment horizontal="center" vertical="center" wrapText="1"/>
    </xf>
    <xf numFmtId="165" fontId="0" fillId="0" borderId="0" xfId="2" applyFont="1" applyAlignment="1">
      <alignment horizontal="center" vertical="center" wrapText="1"/>
    </xf>
    <xf numFmtId="164" fontId="17" fillId="22" borderId="9" xfId="1" applyNumberFormat="1" applyFont="1" applyFill="1" applyBorder="1" applyAlignment="1">
      <alignment horizontal="center" vertical="center" wrapText="1"/>
    </xf>
    <xf numFmtId="165" fontId="17" fillId="22" borderId="11" xfId="2" applyFont="1" applyFill="1" applyBorder="1" applyAlignment="1">
      <alignment horizontal="center" vertical="center" wrapText="1"/>
    </xf>
    <xf numFmtId="165" fontId="21" fillId="22" borderId="17" xfId="2" applyFont="1" applyFill="1" applyBorder="1" applyAlignment="1">
      <alignment horizontal="center" vertical="center" wrapText="1"/>
    </xf>
    <xf numFmtId="164" fontId="15" fillId="2" borderId="9" xfId="1" applyNumberFormat="1" applyFont="1" applyFill="1" applyBorder="1" applyAlignment="1">
      <alignment horizontal="right" vertical="center" wrapText="1"/>
    </xf>
    <xf numFmtId="164" fontId="15" fillId="0" borderId="9" xfId="0" applyNumberFormat="1" applyFont="1" applyBorder="1" applyAlignment="1">
      <alignment horizontal="right" vertical="center" wrapText="1"/>
    </xf>
    <xf numFmtId="164" fontId="13" fillId="0" borderId="9" xfId="0" applyNumberFormat="1" applyFont="1" applyBorder="1" applyAlignment="1">
      <alignment horizontal="right" vertical="center" wrapText="1"/>
    </xf>
    <xf numFmtId="164" fontId="15" fillId="0" borderId="9" xfId="1" applyNumberFormat="1" applyFont="1" applyBorder="1" applyAlignment="1">
      <alignment horizontal="right" vertical="center" wrapText="1"/>
    </xf>
    <xf numFmtId="0" fontId="22" fillId="23" borderId="0" xfId="0" applyFont="1" applyFill="1" applyAlignment="1">
      <alignment horizontal="center" vertical="center"/>
    </xf>
    <xf numFmtId="164" fontId="15" fillId="12" borderId="9" xfId="0" applyNumberFormat="1" applyFont="1" applyFill="1" applyBorder="1" applyAlignment="1">
      <alignment horizontal="right" vertical="center" wrapText="1"/>
    </xf>
    <xf numFmtId="164" fontId="13" fillId="19" borderId="9" xfId="0" applyNumberFormat="1" applyFont="1" applyFill="1" applyBorder="1" applyAlignment="1">
      <alignment horizontal="right" vertical="center" wrapText="1"/>
    </xf>
    <xf numFmtId="164" fontId="15" fillId="19" borderId="9" xfId="0" applyNumberFormat="1" applyFont="1" applyFill="1" applyBorder="1" applyAlignment="1">
      <alignment horizontal="right" vertical="center" wrapText="1"/>
    </xf>
    <xf numFmtId="164" fontId="15" fillId="9" borderId="9" xfId="0" applyNumberFormat="1" applyFont="1" applyFill="1" applyBorder="1" applyAlignment="1">
      <alignment horizontal="right" vertical="center" wrapText="1"/>
    </xf>
    <xf numFmtId="164" fontId="15" fillId="0" borderId="12" xfId="0" applyNumberFormat="1" applyFont="1" applyBorder="1" applyAlignment="1">
      <alignment horizontal="right" vertical="center" wrapText="1"/>
    </xf>
    <xf numFmtId="164" fontId="15" fillId="2" borderId="9" xfId="0" applyNumberFormat="1" applyFont="1" applyFill="1" applyBorder="1" applyAlignment="1">
      <alignment horizontal="right" vertical="center" wrapText="1"/>
    </xf>
    <xf numFmtId="164" fontId="13" fillId="0" borderId="12" xfId="0" applyNumberFormat="1" applyFont="1" applyBorder="1" applyAlignment="1">
      <alignment horizontal="right" vertical="center" wrapText="1"/>
    </xf>
    <xf numFmtId="164" fontId="15" fillId="0" borderId="12" xfId="1" applyNumberFormat="1" applyFont="1" applyBorder="1" applyAlignment="1">
      <alignment horizontal="right" vertical="center" wrapText="1"/>
    </xf>
    <xf numFmtId="164" fontId="15" fillId="2" borderId="12" xfId="1" applyNumberFormat="1" applyFont="1" applyFill="1" applyBorder="1" applyAlignment="1">
      <alignment horizontal="right" vertical="center" wrapText="1"/>
    </xf>
    <xf numFmtId="164" fontId="15" fillId="0" borderId="15" xfId="0" applyNumberFormat="1" applyFont="1" applyBorder="1" applyAlignment="1">
      <alignment horizontal="right" vertical="center" wrapText="1"/>
    </xf>
    <xf numFmtId="164" fontId="20" fillId="2" borderId="12" xfId="1" applyNumberFormat="1" applyFont="1" applyFill="1" applyBorder="1" applyAlignment="1">
      <alignment horizontal="right" vertical="center" wrapText="1"/>
    </xf>
    <xf numFmtId="164" fontId="20" fillId="0" borderId="15" xfId="0" applyNumberFormat="1" applyFont="1" applyBorder="1" applyAlignment="1">
      <alignment horizontal="right" vertical="center" wrapText="1"/>
    </xf>
    <xf numFmtId="164" fontId="20" fillId="0" borderId="16" xfId="0" applyNumberFormat="1" applyFont="1" applyBorder="1" applyAlignment="1">
      <alignment horizontal="right" vertical="center" wrapText="1"/>
    </xf>
    <xf numFmtId="164" fontId="20" fillId="0" borderId="16" xfId="1" applyNumberFormat="1" applyFont="1" applyBorder="1" applyAlignment="1">
      <alignment horizontal="right" vertical="center" wrapText="1"/>
    </xf>
    <xf numFmtId="164" fontId="20" fillId="0" borderId="14" xfId="1" applyNumberFormat="1" applyFont="1" applyBorder="1" applyAlignment="1">
      <alignment horizontal="right" vertical="center" wrapText="1"/>
    </xf>
    <xf numFmtId="164" fontId="15" fillId="0" borderId="16" xfId="0" applyNumberFormat="1" applyFont="1" applyBorder="1" applyAlignment="1">
      <alignment horizontal="right" vertical="center" wrapText="1"/>
    </xf>
    <xf numFmtId="164" fontId="15" fillId="0" borderId="16" xfId="1" applyNumberFormat="1" applyFont="1" applyBorder="1" applyAlignment="1">
      <alignment horizontal="right" vertical="center" wrapText="1"/>
    </xf>
    <xf numFmtId="164" fontId="15" fillId="0" borderId="14" xfId="1" applyNumberFormat="1" applyFont="1" applyBorder="1" applyAlignment="1">
      <alignment horizontal="right" vertical="center" wrapText="1"/>
    </xf>
    <xf numFmtId="164" fontId="11" fillId="0" borderId="9" xfId="1" applyNumberFormat="1" applyFont="1" applyBorder="1" applyAlignment="1">
      <alignment horizontal="center" vertical="center" wrapText="1"/>
    </xf>
    <xf numFmtId="164" fontId="9" fillId="0" borderId="9" xfId="1" applyNumberFormat="1" applyFont="1" applyBorder="1" applyAlignment="1">
      <alignment vertical="center" wrapText="1"/>
    </xf>
    <xf numFmtId="164" fontId="0" fillId="0" borderId="9" xfId="1" applyNumberFormat="1" applyFont="1" applyBorder="1" applyAlignment="1">
      <alignment vertical="center" wrapText="1"/>
    </xf>
    <xf numFmtId="164" fontId="18" fillId="0" borderId="9" xfId="0" applyNumberFormat="1" applyFont="1" applyBorder="1" applyAlignment="1">
      <alignment horizontal="center" vertical="center" wrapText="1"/>
    </xf>
    <xf numFmtId="164" fontId="18" fillId="0" borderId="9" xfId="1" applyNumberFormat="1" applyFont="1" applyBorder="1" applyAlignment="1">
      <alignment vertical="center" wrapText="1"/>
    </xf>
    <xf numFmtId="164" fontId="18" fillId="0" borderId="9" xfId="1" applyNumberFormat="1" applyFont="1" applyBorder="1" applyAlignment="1">
      <alignment horizontal="center" vertical="center" wrapText="1"/>
    </xf>
    <xf numFmtId="165" fontId="0" fillId="0" borderId="9" xfId="2" applyFont="1" applyBorder="1" applyAlignment="1">
      <alignment horizontal="center" vertical="center" wrapText="1"/>
    </xf>
    <xf numFmtId="164" fontId="11" fillId="0" borderId="0" xfId="1" applyNumberFormat="1" applyFont="1" applyAlignment="1">
      <alignment horizontal="center" vertical="center" wrapText="1"/>
    </xf>
    <xf numFmtId="167" fontId="5" fillId="3" borderId="4" xfId="1" applyFont="1" applyFill="1" applyBorder="1" applyAlignment="1">
      <alignment horizontal="center"/>
    </xf>
    <xf numFmtId="167" fontId="5" fillId="6" borderId="3" xfId="1" applyFont="1" applyFill="1" applyBorder="1" applyAlignment="1">
      <alignment horizontal="center"/>
    </xf>
    <xf numFmtId="167" fontId="5" fillId="3" borderId="3" xfId="1" applyFont="1" applyFill="1" applyBorder="1" applyAlignment="1">
      <alignment horizontal="center"/>
    </xf>
    <xf numFmtId="167" fontId="0" fillId="0" borderId="0" xfId="1" applyFont="1" applyAlignment="1">
      <alignment horizontal="center" vertical="center" wrapText="1"/>
    </xf>
    <xf numFmtId="168" fontId="0" fillId="0" borderId="0" xfId="1" applyNumberFormat="1" applyFont="1" applyAlignment="1">
      <alignment vertical="center" wrapText="1"/>
    </xf>
    <xf numFmtId="168" fontId="9" fillId="0" borderId="0" xfId="1" applyNumberFormat="1" applyFont="1" applyAlignment="1">
      <alignment vertical="center" wrapText="1"/>
    </xf>
    <xf numFmtId="167" fontId="0" fillId="0" borderId="0" xfId="1" applyFont="1" applyAlignment="1">
      <alignment vertical="center" wrapText="1"/>
    </xf>
    <xf numFmtId="167" fontId="0" fillId="0" borderId="0" xfId="1" applyFont="1" applyAlignment="1">
      <alignment wrapText="1"/>
    </xf>
    <xf numFmtId="167" fontId="17" fillId="22" borderId="10" xfId="1" applyFont="1" applyFill="1" applyBorder="1" applyAlignment="1">
      <alignment horizontal="center" vertical="center" wrapText="1"/>
    </xf>
    <xf numFmtId="168" fontId="17" fillId="22" borderId="9" xfId="1" applyNumberFormat="1" applyFont="1" applyFill="1" applyBorder="1" applyAlignment="1">
      <alignment horizontal="center" vertical="center" wrapText="1"/>
    </xf>
    <xf numFmtId="167" fontId="15" fillId="2" borderId="9" xfId="1" applyFont="1" applyFill="1" applyBorder="1" applyAlignment="1">
      <alignment horizontal="left" vertical="center" wrapText="1"/>
    </xf>
    <xf numFmtId="169" fontId="15" fillId="2" borderId="9" xfId="1" applyNumberFormat="1" applyFont="1" applyFill="1" applyBorder="1" applyAlignment="1">
      <alignment horizontal="right" vertical="center" wrapText="1"/>
    </xf>
    <xf numFmtId="167" fontId="13" fillId="0" borderId="9" xfId="1" applyFont="1" applyBorder="1" applyAlignment="1">
      <alignment horizontal="center" vertical="center" wrapText="1"/>
    </xf>
    <xf numFmtId="169" fontId="13" fillId="0" borderId="0" xfId="0" applyNumberFormat="1" applyFont="1" applyAlignment="1">
      <alignment horizontal="right" vertical="center" wrapText="1"/>
    </xf>
    <xf numFmtId="169" fontId="13" fillId="0" borderId="0" xfId="1" applyNumberFormat="1" applyFont="1" applyAlignment="1">
      <alignment horizontal="right" vertical="center" wrapText="1"/>
    </xf>
    <xf numFmtId="169" fontId="13" fillId="0" borderId="0" xfId="2" applyNumberFormat="1" applyFont="1" applyAlignment="1">
      <alignment horizontal="right" vertical="center" wrapText="1"/>
    </xf>
    <xf numFmtId="170" fontId="13" fillId="9" borderId="9" xfId="0" applyNumberFormat="1" applyFont="1" applyFill="1" applyBorder="1" applyAlignment="1">
      <alignment horizontal="left" vertical="center" wrapText="1"/>
    </xf>
    <xf numFmtId="168" fontId="19" fillId="0" borderId="0" xfId="1" applyNumberFormat="1" applyFont="1" applyAlignment="1">
      <alignment horizontal="center" vertical="center" wrapText="1"/>
    </xf>
    <xf numFmtId="167" fontId="10" fillId="0" borderId="0" xfId="1" applyFont="1" applyAlignment="1">
      <alignment horizontal="center" vertical="center" wrapText="1"/>
    </xf>
    <xf numFmtId="167" fontId="15" fillId="2" borderId="9" xfId="1" applyFont="1" applyFill="1" applyBorder="1" applyAlignment="1">
      <alignment horizontal="center" vertical="center" wrapText="1"/>
    </xf>
    <xf numFmtId="170" fontId="13" fillId="10" borderId="9" xfId="0" applyNumberFormat="1" applyFont="1" applyFill="1" applyBorder="1" applyAlignment="1">
      <alignment horizontal="left" vertical="center" wrapText="1"/>
    </xf>
    <xf numFmtId="167" fontId="15" fillId="0" borderId="9" xfId="1" applyFont="1" applyBorder="1" applyAlignment="1">
      <alignment horizontal="left" vertical="center" wrapText="1"/>
    </xf>
    <xf numFmtId="168" fontId="11" fillId="0" borderId="0" xfId="1" applyNumberFormat="1" applyFont="1" applyAlignment="1">
      <alignment vertical="center" wrapText="1"/>
    </xf>
    <xf numFmtId="168" fontId="19" fillId="0" borderId="0" xfId="1" applyNumberFormat="1" applyFont="1" applyAlignment="1">
      <alignment vertical="center" wrapText="1"/>
    </xf>
    <xf numFmtId="167" fontId="10" fillId="0" borderId="0" xfId="1" applyFont="1" applyAlignment="1">
      <alignment vertical="center" wrapText="1"/>
    </xf>
    <xf numFmtId="167" fontId="10" fillId="0" borderId="0" xfId="1" applyFont="1" applyAlignment="1">
      <alignment wrapText="1"/>
    </xf>
    <xf numFmtId="169" fontId="13" fillId="0" borderId="9" xfId="0" applyNumberFormat="1" applyFont="1" applyBorder="1" applyAlignment="1">
      <alignment horizontal="right" vertical="center" wrapText="1"/>
    </xf>
    <xf numFmtId="167" fontId="15" fillId="9" borderId="9" xfId="1" applyFont="1" applyFill="1" applyBorder="1" applyAlignment="1">
      <alignment horizontal="left" vertical="center" wrapText="1"/>
    </xf>
    <xf numFmtId="170" fontId="13" fillId="2" borderId="9" xfId="0" applyNumberFormat="1" applyFont="1" applyFill="1" applyBorder="1" applyAlignment="1">
      <alignment horizontal="left" vertical="center" wrapText="1"/>
    </xf>
    <xf numFmtId="168" fontId="13" fillId="0" borderId="0" xfId="1" applyNumberFormat="1" applyFont="1" applyAlignment="1">
      <alignment vertical="center" wrapText="1"/>
    </xf>
    <xf numFmtId="169" fontId="13" fillId="19" borderId="9" xfId="0" applyNumberFormat="1" applyFont="1" applyFill="1" applyBorder="1" applyAlignment="1">
      <alignment horizontal="right" vertical="center" wrapText="1"/>
    </xf>
    <xf numFmtId="167" fontId="13" fillId="19" borderId="9" xfId="1" applyFont="1" applyFill="1" applyBorder="1" applyAlignment="1">
      <alignment horizontal="center" vertical="center" wrapText="1"/>
    </xf>
    <xf numFmtId="170" fontId="13" fillId="20" borderId="9" xfId="0" applyNumberFormat="1" applyFont="1" applyFill="1" applyBorder="1" applyAlignment="1">
      <alignment horizontal="left" vertical="center" wrapText="1"/>
    </xf>
    <xf numFmtId="168" fontId="9" fillId="19" borderId="0" xfId="1" applyNumberFormat="1" applyFont="1" applyFill="1" applyAlignment="1">
      <alignment vertical="center" wrapText="1"/>
    </xf>
    <xf numFmtId="168" fontId="19" fillId="19" borderId="0" xfId="1" applyNumberFormat="1" applyFont="1" applyFill="1" applyAlignment="1">
      <alignment vertical="center" wrapText="1"/>
    </xf>
    <xf numFmtId="167" fontId="0" fillId="19" borderId="0" xfId="1" applyFont="1" applyFill="1" applyAlignment="1">
      <alignment vertical="center" wrapText="1"/>
    </xf>
    <xf numFmtId="167" fontId="0" fillId="19" borderId="0" xfId="1" applyFont="1" applyFill="1" applyAlignment="1">
      <alignment wrapText="1"/>
    </xf>
    <xf numFmtId="170" fontId="13" fillId="13" borderId="9" xfId="0" applyNumberFormat="1" applyFont="1" applyFill="1" applyBorder="1" applyAlignment="1">
      <alignment horizontal="left" vertical="center" wrapText="1"/>
    </xf>
    <xf numFmtId="169" fontId="15" fillId="0" borderId="9" xfId="1" applyNumberFormat="1" applyFont="1" applyBorder="1" applyAlignment="1">
      <alignment horizontal="right" vertical="center" wrapText="1"/>
    </xf>
    <xf numFmtId="170" fontId="13" fillId="0" borderId="9" xfId="0" applyNumberFormat="1" applyFont="1" applyBorder="1" applyAlignment="1">
      <alignment horizontal="left" vertical="center" wrapText="1"/>
    </xf>
    <xf numFmtId="167" fontId="13" fillId="0" borderId="12" xfId="1" applyFont="1" applyBorder="1" applyAlignment="1">
      <alignment horizontal="center" vertical="center" wrapText="1"/>
    </xf>
    <xf numFmtId="168" fontId="11" fillId="0" borderId="0" xfId="1" applyNumberFormat="1" applyFont="1" applyAlignment="1">
      <alignment horizontal="center" vertical="center" wrapText="1"/>
    </xf>
    <xf numFmtId="170" fontId="13" fillId="10" borderId="9" xfId="0" applyNumberFormat="1" applyFont="1" applyFill="1" applyBorder="1" applyAlignment="1">
      <alignment horizontal="center" vertical="center" wrapText="1"/>
    </xf>
    <xf numFmtId="168" fontId="15" fillId="0" borderId="0" xfId="1" applyNumberFormat="1" applyFont="1" applyAlignment="1">
      <alignment vertical="center" wrapText="1"/>
    </xf>
    <xf numFmtId="167" fontId="13" fillId="0" borderId="0" xfId="1" applyFont="1" applyAlignment="1">
      <alignment horizontal="center" vertical="center" wrapText="1"/>
    </xf>
    <xf numFmtId="170" fontId="13" fillId="10" borderId="0" xfId="0" applyNumberFormat="1" applyFont="1" applyFill="1" applyAlignment="1">
      <alignment horizontal="left" vertical="center" wrapText="1"/>
    </xf>
    <xf numFmtId="169" fontId="13" fillId="0" borderId="12" xfId="0" applyNumberFormat="1" applyFont="1" applyBorder="1" applyAlignment="1">
      <alignment horizontal="right" vertical="center" wrapText="1"/>
    </xf>
    <xf numFmtId="170" fontId="13" fillId="10" borderId="12" xfId="0" applyNumberFormat="1" applyFont="1" applyFill="1" applyBorder="1" applyAlignment="1">
      <alignment horizontal="center" vertical="center" wrapText="1"/>
    </xf>
    <xf numFmtId="168" fontId="15" fillId="0" borderId="9" xfId="1" applyNumberFormat="1" applyFont="1" applyBorder="1" applyAlignment="1">
      <alignment vertical="center" wrapText="1"/>
    </xf>
    <xf numFmtId="169" fontId="13" fillId="0" borderId="9" xfId="1" applyNumberFormat="1" applyFont="1" applyBorder="1" applyAlignment="1">
      <alignment horizontal="right" vertical="center" wrapText="1"/>
    </xf>
    <xf numFmtId="169" fontId="15" fillId="16" borderId="9" xfId="1" applyNumberFormat="1" applyFont="1" applyFill="1" applyBorder="1" applyAlignment="1">
      <alignment horizontal="right" vertical="center" wrapText="1"/>
    </xf>
    <xf numFmtId="170" fontId="13" fillId="0" borderId="9" xfId="0" applyNumberFormat="1" applyFont="1" applyBorder="1" applyAlignment="1">
      <alignment horizontal="center" vertical="center" wrapText="1"/>
    </xf>
    <xf numFmtId="169" fontId="15" fillId="0" borderId="12" xfId="1" applyNumberFormat="1" applyFont="1" applyBorder="1" applyAlignment="1">
      <alignment horizontal="right" vertical="center" wrapText="1"/>
    </xf>
    <xf numFmtId="168" fontId="15" fillId="0" borderId="12" xfId="1" applyNumberFormat="1" applyFont="1" applyBorder="1" applyAlignment="1">
      <alignment vertical="center" wrapText="1"/>
    </xf>
    <xf numFmtId="169" fontId="13" fillId="0" borderId="12" xfId="1" applyNumberFormat="1" applyFont="1" applyBorder="1" applyAlignment="1">
      <alignment horizontal="right" vertical="center" wrapText="1"/>
    </xf>
    <xf numFmtId="170" fontId="13" fillId="10" borderId="12" xfId="0" applyNumberFormat="1" applyFont="1" applyFill="1" applyBorder="1" applyAlignment="1">
      <alignment horizontal="left" vertical="center" wrapText="1"/>
    </xf>
    <xf numFmtId="169" fontId="15" fillId="2" borderId="12" xfId="1" applyNumberFormat="1" applyFont="1" applyFill="1" applyBorder="1" applyAlignment="1">
      <alignment horizontal="right" vertical="center" wrapText="1"/>
    </xf>
    <xf numFmtId="167" fontId="13" fillId="0" borderId="14" xfId="1" applyFont="1" applyBorder="1" applyAlignment="1">
      <alignment horizontal="center" vertical="center" wrapText="1"/>
    </xf>
    <xf numFmtId="169" fontId="20" fillId="2" borderId="12" xfId="1" applyNumberFormat="1" applyFont="1" applyFill="1" applyBorder="1" applyAlignment="1">
      <alignment horizontal="right" vertical="center" wrapText="1"/>
    </xf>
    <xf numFmtId="167" fontId="19" fillId="0" borderId="14" xfId="1" applyFont="1" applyBorder="1" applyAlignment="1">
      <alignment horizontal="center" vertical="center" wrapText="1"/>
    </xf>
    <xf numFmtId="170" fontId="19" fillId="10" borderId="12" xfId="1" applyNumberFormat="1" applyFont="1" applyFill="1" applyBorder="1" applyAlignment="1">
      <alignment horizontal="center" vertical="center" wrapText="1"/>
    </xf>
    <xf numFmtId="168" fontId="20" fillId="0" borderId="12" xfId="1" applyNumberFormat="1" applyFont="1" applyBorder="1" applyAlignment="1">
      <alignment vertical="center" wrapText="1"/>
    </xf>
    <xf numFmtId="169" fontId="19" fillId="0" borderId="12" xfId="1" applyNumberFormat="1" applyFont="1" applyBorder="1" applyAlignment="1">
      <alignment horizontal="right" vertical="center" wrapText="1"/>
    </xf>
    <xf numFmtId="169" fontId="19" fillId="0" borderId="12" xfId="2" applyNumberFormat="1" applyFont="1" applyBorder="1" applyAlignment="1">
      <alignment horizontal="right" vertical="center" wrapText="1"/>
    </xf>
    <xf numFmtId="170" fontId="19" fillId="10" borderId="12" xfId="0" applyNumberFormat="1" applyFont="1" applyFill="1" applyBorder="1" applyAlignment="1">
      <alignment horizontal="left" vertical="center" wrapText="1"/>
    </xf>
    <xf numFmtId="168" fontId="19" fillId="0" borderId="9" xfId="1" applyNumberFormat="1" applyFont="1" applyBorder="1" applyAlignment="1">
      <alignment vertical="center" wrapText="1"/>
    </xf>
    <xf numFmtId="167" fontId="0" fillId="0" borderId="9" xfId="1" applyFont="1" applyBorder="1" applyAlignment="1">
      <alignment vertical="center" wrapText="1"/>
    </xf>
    <xf numFmtId="167" fontId="0" fillId="0" borderId="9" xfId="1" applyFont="1" applyBorder="1" applyAlignment="1">
      <alignment wrapText="1"/>
    </xf>
    <xf numFmtId="170" fontId="13" fillId="10" borderId="12" xfId="1" applyNumberFormat="1" applyFont="1" applyFill="1" applyBorder="1" applyAlignment="1">
      <alignment horizontal="center" vertical="center" wrapText="1"/>
    </xf>
    <xf numFmtId="169" fontId="13" fillId="0" borderId="12" xfId="2" applyNumberFormat="1" applyFont="1" applyBorder="1" applyAlignment="1">
      <alignment horizontal="right" vertical="center" wrapText="1"/>
    </xf>
    <xf numFmtId="168" fontId="9" fillId="0" borderId="9" xfId="1" applyNumberFormat="1" applyFont="1" applyBorder="1" applyAlignment="1">
      <alignment vertical="center" wrapText="1"/>
    </xf>
    <xf numFmtId="167" fontId="0" fillId="0" borderId="9" xfId="1" applyFont="1" applyBorder="1" applyAlignment="1">
      <alignment horizontal="center" vertical="center" wrapText="1"/>
    </xf>
    <xf numFmtId="168" fontId="0" fillId="0" borderId="9" xfId="1" applyNumberFormat="1" applyFont="1" applyBorder="1" applyAlignment="1">
      <alignment vertical="center" wrapText="1"/>
    </xf>
    <xf numFmtId="168" fontId="22" fillId="23" borderId="0" xfId="1" applyNumberFormat="1" applyFont="1" applyFill="1" applyAlignment="1">
      <alignment horizontal="center" vertical="center"/>
    </xf>
    <xf numFmtId="168" fontId="22" fillId="23" borderId="9" xfId="1" applyNumberFormat="1" applyFont="1" applyFill="1" applyBorder="1" applyAlignment="1">
      <alignment horizontal="center" vertical="center"/>
    </xf>
    <xf numFmtId="0" fontId="17" fillId="22" borderId="9" xfId="0" applyFont="1" applyFill="1" applyBorder="1" applyAlignment="1">
      <alignment horizontal="center" vertical="center" wrapText="1"/>
    </xf>
    <xf numFmtId="0" fontId="13" fillId="0" borderId="9" xfId="0" applyFont="1"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13" fillId="0" borderId="12" xfId="0" applyFont="1" applyBorder="1" applyAlignment="1">
      <alignment horizontal="center" vertical="center" wrapText="1"/>
    </xf>
    <xf numFmtId="164" fontId="0" fillId="0" borderId="0" xfId="1" applyNumberFormat="1" applyFont="1"/>
    <xf numFmtId="165" fontId="0" fillId="0" borderId="0" xfId="2" applyFont="1" applyAlignment="1">
      <alignment horizontal="center"/>
    </xf>
    <xf numFmtId="168" fontId="23" fillId="24" borderId="0" xfId="1" applyNumberFormat="1" applyFont="1" applyFill="1" applyAlignment="1">
      <alignment horizontal="center" vertical="center"/>
    </xf>
    <xf numFmtId="168" fontId="24" fillId="25" borderId="0" xfId="1" applyNumberFormat="1" applyFont="1" applyFill="1" applyAlignment="1">
      <alignment horizontal="center" vertical="center"/>
    </xf>
    <xf numFmtId="0" fontId="23" fillId="24" borderId="0" xfId="0" applyFont="1" applyFill="1" applyAlignment="1">
      <alignment horizontal="center" vertical="center"/>
    </xf>
    <xf numFmtId="0" fontId="24" fillId="25" borderId="0" xfId="0" applyFont="1" applyFill="1" applyAlignment="1">
      <alignment horizontal="center" vertical="center"/>
    </xf>
    <xf numFmtId="0" fontId="23" fillId="24" borderId="9" xfId="0" applyFont="1" applyFill="1" applyBorder="1" applyAlignment="1">
      <alignment horizontal="center" vertical="center"/>
    </xf>
    <xf numFmtId="168" fontId="24" fillId="25" borderId="9" xfId="1" applyNumberFormat="1" applyFont="1" applyFill="1" applyBorder="1" applyAlignment="1">
      <alignment horizontal="center" vertical="center"/>
    </xf>
    <xf numFmtId="168" fontId="8" fillId="7" borderId="6" xfId="1" applyNumberFormat="1" applyFont="1" applyFill="1" applyBorder="1" applyAlignment="1">
      <alignment horizontal="left" vertical="center" wrapText="1"/>
    </xf>
    <xf numFmtId="164" fontId="0" fillId="0" borderId="0" xfId="1" applyNumberFormat="1" applyFont="1"/>
    <xf numFmtId="165" fontId="0" fillId="0" borderId="0" xfId="2" applyFont="1" applyAlignment="1">
      <alignment horizontal="center"/>
    </xf>
  </cellXfs>
  <cellStyles count="16">
    <cellStyle name="Lien hypertexte 2" xfId="3" xr:uid="{00000000-0005-0000-0000-000003000000}"/>
    <cellStyle name="Milliers" xfId="1" builtinId="3"/>
    <cellStyle name="Milliers 10" xfId="4" xr:uid="{00000000-0005-0000-0000-000004000000}"/>
    <cellStyle name="Milliers 2" xfId="5" xr:uid="{00000000-0005-0000-0000-000005000000}"/>
    <cellStyle name="Milliers 2 2" xfId="6" xr:uid="{00000000-0005-0000-0000-000006000000}"/>
    <cellStyle name="Milliers 2 3" xfId="7" xr:uid="{00000000-0005-0000-0000-000007000000}"/>
    <cellStyle name="Milliers 3" xfId="8" xr:uid="{00000000-0005-0000-0000-000008000000}"/>
    <cellStyle name="Milliers 3 2" xfId="9" xr:uid="{00000000-0005-0000-0000-000009000000}"/>
    <cellStyle name="Milliers 4" xfId="10" xr:uid="{00000000-0005-0000-0000-00000A000000}"/>
    <cellStyle name="Normal" xfId="0" builtinId="0"/>
    <cellStyle name="Normal 10" xfId="15" xr:uid="{00000000-0005-0000-0000-00000F000000}"/>
    <cellStyle name="Normal 11" xfId="11" xr:uid="{00000000-0005-0000-0000-00000B000000}"/>
    <cellStyle name="Normal 2" xfId="12" xr:uid="{00000000-0005-0000-0000-00000C000000}"/>
    <cellStyle name="Normal 4" xfId="13" xr:uid="{00000000-0005-0000-0000-00000D000000}"/>
    <cellStyle name="Normal 5" xfId="14" xr:uid="{00000000-0005-0000-0000-00000E000000}"/>
    <cellStyle name="Pourcentage" xfId="2" builtinId="5"/>
  </cellStyles>
  <dxfs count="512">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trike val="0"/>
        <condense val="0"/>
        <extend val="0"/>
        <outline val="0"/>
        <shadow val="0"/>
        <vertAlign val="baseline"/>
        <sz val="10"/>
        <color theme="1"/>
        <name val="Calibri"/>
      </font>
      <numFmt numFmtId="170" formatCode="[$د.م.‏-1801]\ #,##0.00;[Red][$د.م.‏-1801]\ #,##0.00\-"/>
      <fill>
        <patternFill patternType="solid">
          <fgColor rgb="FF70AD47"/>
          <bgColor rgb="FF77BC65"/>
        </patternFill>
      </fill>
      <alignment horizontal="lef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9" formatCode="#.##0\.00"/>
      <alignment horizontal="right" vertical="center" wrapText="1"/>
      <border outline="0">
        <left style="thin">
          <color auto="1"/>
        </left>
        <right style="thin">
          <color auto="1"/>
        </right>
        <top style="thin">
          <color auto="1"/>
        </top>
        <bottom style="thin">
          <color auto="1"/>
        </bottom>
      </border>
      <protection locked="1" hidden="0"/>
    </dxf>
    <dxf>
      <font>
        <strike val="0"/>
        <outline val="0"/>
        <shadow val="0"/>
        <vertAlign val="baseline"/>
        <sz val="10"/>
        <name val="Calibri"/>
      </font>
      <numFmt numFmtId="169"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9"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9"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9" formatCode="#.##0\.00"/>
      <alignment horizontal="righ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8" formatCode="#,##0.00\ [$MAD]"/>
      <alignment horizontal="general"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70" formatCode="[$د.م.‏-1801]\ #,##0.00;[Red][$د.م.‏-1801]\ #,##0.00\-"/>
      <fill>
        <patternFill patternType="solid">
          <fgColor rgb="FF70AD47"/>
          <bgColor rgb="FF77BC65"/>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style="thin">
          <color auto="1"/>
        </left>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alignment horizontal="center" vertical="center" wrapText="1"/>
      <border outline="0">
        <left style="thin">
          <color auto="1"/>
        </left>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indexed="64"/>
          <bgColor theme="0"/>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9" formatCode="#.##0\.00"/>
      <fill>
        <patternFill patternType="solid">
          <fgColor rgb="FF8497B0"/>
          <bgColor theme="0" tint="-0.499984740745262"/>
        </patternFill>
      </fill>
      <alignment horizontal="righ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9" formatCode="#.##0\.00"/>
      <fill>
        <patternFill patternType="solid">
          <fgColor rgb="FF8497B0"/>
          <bgColor theme="0" tint="-0.499984740745262"/>
        </patternFill>
      </fill>
      <alignment horizontal="righ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fill>
        <patternFill>
          <fgColor indexed="64"/>
          <bgColor indexed="65"/>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strike val="0"/>
        <outline val="0"/>
        <shadow val="0"/>
        <vertAlign val="baseline"/>
        <sz val="10"/>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fill>
        <patternFill patternType="solid">
          <fgColor indexed="64"/>
          <bgColor rgb="FFFFFF00"/>
        </patternFill>
      </fill>
      <alignment horizontal="center" vertical="center" wrapText="1"/>
      <border outline="0">
        <left/>
        <right style="thin">
          <color auto="1"/>
        </right>
        <top style="thin">
          <color auto="1"/>
        </top>
        <bottom style="thin">
          <color auto="1"/>
        </bottom>
      </border>
      <protection locked="1" hidden="0"/>
    </dxf>
    <dxf>
      <border outline="0">
        <left style="thin">
          <color auto="1"/>
        </left>
        <bottom style="thin">
          <color auto="1"/>
        </bottom>
      </border>
    </dxf>
    <dxf>
      <font>
        <strike val="0"/>
        <outline val="0"/>
        <shadow val="0"/>
        <vertAlign val="baseline"/>
        <sz val="10"/>
        <name val="Calibri"/>
      </font>
      <alignment vertical="center"/>
    </dxf>
    <dxf>
      <font>
        <b/>
        <strike val="0"/>
        <condense val="0"/>
        <extend val="0"/>
        <outline val="0"/>
        <shadow val="0"/>
        <vertAlign val="baseline"/>
        <sz val="10"/>
        <color rgb="FFFFFFFF"/>
        <name val="Calibri"/>
      </font>
      <fill>
        <patternFill patternType="solid">
          <fgColor rgb="FFA6A6A6"/>
          <bgColor rgb="FF2E75B6"/>
        </patternFill>
      </fill>
      <alignment horizontal="center" vertical="center" wrapText="1"/>
      <border outline="0">
        <left style="thin">
          <color theme="0" tint="-0.34998626667073579"/>
        </left>
        <right style="thin">
          <color theme="0" tint="-0.34998626667073579"/>
        </right>
        <top/>
        <bottom/>
      </border>
      <protection locked="1" hidden="0"/>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27:B135" totalsRowShown="0">
  <autoFilter ref="A127:B135" xr:uid="{00000000-0009-0000-0100-000001000000}"/>
  <tableColumns count="2">
    <tableColumn id="1" xr3:uid="{00000000-0010-0000-0000-000001000000}" name="STATUT SUPPORT D'ENGAGEMENT"/>
    <tableColumn id="2" xr3:uid="{00000000-0010-0000-0000-000002000000}" name="MONTA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ngagements2026Juillet" displayName="Engagements2026Juillet" ref="A1:AN620" totalsRowShown="0" headerRowDxfId="63" dataDxfId="62" tableBorderDxfId="61" headerRowCellStyle="Pourcentage">
  <autoFilter ref="A1:AN620" xr:uid="{00000000-0009-0000-0100-000002000000}">
    <filterColumn colId="3">
      <filters>
        <filter val="CONTRAT"/>
      </filters>
    </filterColumn>
    <filterColumn colId="39">
      <filters>
        <filter val="Engagé sans PPA"/>
      </filters>
    </filterColumn>
  </autoFilter>
  <tableColumns count="40">
    <tableColumn id="1" xr3:uid="{00000000-0010-0000-0100-000001000000}" name="ANNEE LANCEMENT" dataDxfId="60"/>
    <tableColumn id="2" xr3:uid="{00000000-0010-0000-0100-000002000000}" name="DIRECTION " dataDxfId="59"/>
    <tableColumn id="3" xr3:uid="{00000000-0010-0000-0100-000003000000}" name="REF" dataDxfId="58"/>
    <tableColumn id="4" xr3:uid="{00000000-0010-0000-0100-000004000000}" name="BCI" dataDxfId="57"/>
    <tableColumn id="5" xr3:uid="{00000000-0010-0000-0100-000005000000}" name="LOTS" dataDxfId="56"/>
    <tableColumn id="6" xr3:uid="{00000000-0010-0000-0100-000006000000}" name="OBJET" dataDxfId="55"/>
    <tableColumn id="7" xr3:uid="{00000000-0010-0000-0100-000007000000}" name="STATUT 1" dataDxfId="54"/>
    <tableColumn id="8" xr3:uid="{00000000-0010-0000-0100-000008000000}" name="STATUT SUPPORT D'ENGAGEMENT" dataDxfId="53"/>
    <tableColumn id="9" xr3:uid="{00000000-0010-0000-0100-000009000000}" name="N° SUPPORT D'ENGAGEMENT" dataDxfId="52"/>
    <tableColumn id="10" xr3:uid="{00000000-0010-0000-0100-00000A000000}" name="CATEGORIES" dataDxfId="51"/>
    <tableColumn id="11" xr3:uid="{00000000-0010-0000-0100-00000B000000}" name="TYPE BUDGET" dataDxfId="50"/>
    <tableColumn id="12" xr3:uid="{00000000-0010-0000-0100-00000C000000}" name="BUDGET" dataDxfId="49"/>
    <tableColumn id="13" xr3:uid="{00000000-0010-0000-0100-00000D000000}" name="LIGNES BUDGETAIRES" dataDxfId="48"/>
    <tableColumn id="14" xr3:uid="{00000000-0010-0000-0100-00000E000000}" name="MONTANT PREENGAGE INITIAL" dataDxfId="47" dataCellStyle="Milliers"/>
    <tableColumn id="15" xr3:uid="{00000000-0010-0000-0100-00000F000000}" name="ESTIMATION TTC" dataDxfId="46" dataCellStyle="Milliers"/>
    <tableColumn id="16" xr3:uid="{00000000-0010-0000-0100-000010000000}" name="ESTIMATION HT" dataDxfId="45" dataCellStyle="Milliers"/>
    <tableColumn id="17" xr3:uid="{00000000-0010-0000-0100-000011000000}" name="NATURE BESOIN" dataDxfId="44"/>
    <tableColumn id="18" xr3:uid="{00000000-0010-0000-0100-000012000000}" name="DEBUT REC" dataDxfId="43" dataCellStyle="Milliers"/>
    <tableColumn id="19" xr3:uid="{00000000-0010-0000-0100-000013000000}" name="FIN REC" dataDxfId="42" dataCellStyle="Milliers"/>
    <tableColumn id="20" xr3:uid="{00000000-0010-0000-0100-000014000000}" name="ADJUDICATAIRE / FRS" dataDxfId="41"/>
    <tableColumn id="21" xr3:uid="{00000000-0010-0000-0100-000015000000}" name="ANNEE APPROBATION" dataDxfId="40"/>
    <tableColumn id="22" xr3:uid="{00000000-0010-0000-0100-000016000000}" name="DATE DE LA FICHE" dataDxfId="39"/>
    <tableColumn id="23" xr3:uid="{00000000-0010-0000-0100-000017000000}" name="DATE VISA" dataDxfId="38" dataCellStyle="Milliers"/>
    <tableColumn id="24" xr3:uid="{00000000-0010-0000-0100-000018000000}" name="DATE APPROB" dataDxfId="37"/>
    <tableColumn id="25" xr3:uid="{00000000-0010-0000-0100-000019000000}" name="MONTANT MARCHE HT PART EN MAD" dataDxfId="36"/>
    <tableColumn id="26" xr3:uid="{00000000-0010-0000-0100-00001A000000}" name="MONTANT MARCHE HT PART EN DEVISES" dataDxfId="35"/>
    <tableColumn id="27" xr3:uid="{00000000-0010-0000-0100-00001B000000}" name="MONTANT MARCHE TTC  PART EN MAD" dataDxfId="34"/>
    <tableColumn id="28" xr3:uid="{00000000-0010-0000-0100-00001C000000}" name="MONTANT MARCHE TTC  PART EN DEVISES" dataDxfId="33"/>
    <tableColumn id="29" xr3:uid="{00000000-0010-0000-0100-00001D000000}" name="TOTAL MARCHE HT TOTAL ENGAGE HT" dataDxfId="32"/>
    <tableColumn id="30" xr3:uid="{00000000-0010-0000-0100-00001E000000}" name="TOTAL MARCHE TTC TOTAL ENGAGE TTC" dataDxfId="31"/>
    <tableColumn id="31" xr3:uid="{00000000-0010-0000-0100-00001F000000}" name="STATUT D'ENGAGEMENT" dataDxfId="30" dataCellStyle="Milliers"/>
    <tableColumn id="32" xr3:uid="{00000000-0010-0000-0100-000020000000}" name="Remarque (archive)" dataDxfId="29"/>
    <tableColumn id="33" xr3:uid="{00000000-0010-0000-0100-000021000000}" name="Reserve" dataDxfId="28" dataCellStyle="Milliers"/>
    <tableColumn id="34" xr3:uid="{00000000-0010-0000-0100-000022000000}" name="PREVISION PPA HT" dataDxfId="27" dataCellStyle="Milliers"/>
    <tableColumn id="35" xr3:uid="{00000000-0010-0000-0100-000023000000}" name="ECART ESTIMATION HT-PPA HT" dataDxfId="26" dataCellStyle="Milliers"/>
    <tableColumn id="36" xr3:uid="{00000000-0010-0000-0100-000024000000}" name="ECART ENGAGEMENT HT-PPA HT" dataDxfId="25" dataCellStyle="Milliers"/>
    <tableColumn id="37" xr3:uid="{00000000-0010-0000-0100-000025000000}" name="ECART ESTIMATION_x000a_eng/estim" dataDxfId="24"/>
    <tableColumn id="38" xr3:uid="{00000000-0010-0000-0100-000026000000}" name="ECART PPA_x000a_enga/ppa" dataDxfId="23" dataCellStyle="Milliers"/>
    <tableColumn id="39" xr3:uid="{00000000-0010-0000-0100-000027000000}" name="REMARQUE" dataDxfId="22"/>
    <tableColumn id="40" xr3:uid="{00000000-0010-0000-0100-000028000000}" name="Statut PPA (Contrat)"/>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150"/>
  <sheetViews>
    <sheetView showGridLines="0" topLeftCell="A46" zoomScale="85" zoomScaleNormal="85" workbookViewId="0">
      <selection activeCell="A68" sqref="A68"/>
    </sheetView>
  </sheetViews>
  <sheetFormatPr baseColWidth="10" defaultColWidth="10.7265625" defaultRowHeight="15" customHeight="1" x14ac:dyDescent="0.35"/>
  <cols>
    <col min="1" max="1" width="91.453125" style="1" customWidth="1"/>
    <col min="2" max="2" width="16.7265625" style="241" customWidth="1"/>
    <col min="3" max="3" width="15.7265625" style="242" customWidth="1"/>
    <col min="4" max="4" width="5.1796875" style="1" customWidth="1"/>
    <col min="6" max="6" width="56.26953125" style="1" customWidth="1"/>
    <col min="7" max="7" width="29.7265625" style="1" customWidth="1"/>
  </cols>
  <sheetData>
    <row r="1" spans="1:3" ht="14.5" customHeight="1" x14ac:dyDescent="0.35">
      <c r="A1" s="2" t="s">
        <v>0</v>
      </c>
      <c r="B1" s="106"/>
      <c r="C1" s="107"/>
    </row>
    <row r="2" spans="1:3" ht="14.5" customHeight="1" x14ac:dyDescent="0.35">
      <c r="A2" s="3" t="s">
        <v>1</v>
      </c>
      <c r="B2" s="4"/>
      <c r="C2" s="4"/>
    </row>
    <row r="3" spans="1:3" ht="14.5" customHeight="1" x14ac:dyDescent="0.35">
      <c r="A3" s="5" t="s">
        <v>2</v>
      </c>
      <c r="B3" s="6"/>
      <c r="C3" s="6"/>
    </row>
    <row r="4" spans="1:3" ht="14.5" customHeight="1" x14ac:dyDescent="0.35">
      <c r="A4" s="3" t="s">
        <v>3</v>
      </c>
      <c r="B4" s="3"/>
      <c r="C4" s="3"/>
    </row>
    <row r="5" spans="1:3" ht="14.5" customHeight="1" x14ac:dyDescent="0.35">
      <c r="A5" s="4" t="s">
        <v>4</v>
      </c>
      <c r="B5" s="4"/>
      <c r="C5" s="4"/>
    </row>
    <row r="6" spans="1:3" ht="14.5" customHeight="1" x14ac:dyDescent="0.35">
      <c r="A6" s="2" t="s">
        <v>5</v>
      </c>
      <c r="B6" s="106"/>
      <c r="C6" s="107"/>
    </row>
    <row r="7" spans="1:3" ht="14.5" customHeight="1" x14ac:dyDescent="0.35">
      <c r="A7" s="9" t="s">
        <v>6</v>
      </c>
      <c r="B7" s="108"/>
      <c r="C7" s="109"/>
    </row>
    <row r="8" spans="1:3" ht="14.5" customHeight="1" x14ac:dyDescent="0.35">
      <c r="A8" s="6" t="s">
        <v>7</v>
      </c>
      <c r="B8" s="110"/>
      <c r="C8" s="111">
        <f>IFERROR(B8/(B7+B8),0)</f>
        <v>0</v>
      </c>
    </row>
    <row r="9" spans="1:3" ht="14.5" customHeight="1" x14ac:dyDescent="0.35">
      <c r="A9" s="2" t="s">
        <v>8</v>
      </c>
      <c r="B9" s="106"/>
      <c r="C9" s="107"/>
    </row>
    <row r="10" spans="1:3" ht="14.5" customHeight="1" x14ac:dyDescent="0.35">
      <c r="A10" s="3" t="s">
        <v>9</v>
      </c>
      <c r="B10" s="3"/>
      <c r="C10" s="3"/>
    </row>
    <row r="11" spans="1:3" ht="14.5" customHeight="1" x14ac:dyDescent="0.35">
      <c r="A11" s="4" t="s">
        <v>10</v>
      </c>
      <c r="B11" s="4"/>
      <c r="C11" s="4"/>
    </row>
    <row r="12" spans="1:3" ht="14.5" customHeight="1" x14ac:dyDescent="0.35">
      <c r="A12" s="3" t="s">
        <v>11</v>
      </c>
      <c r="B12" s="3"/>
      <c r="C12" s="3"/>
    </row>
    <row r="13" spans="1:3" ht="14.5" customHeight="1" x14ac:dyDescent="0.35">
      <c r="A13" s="4" t="s">
        <v>12</v>
      </c>
      <c r="B13" s="4"/>
      <c r="C13" s="4"/>
    </row>
    <row r="14" spans="1:3" ht="14.5" customHeight="1" x14ac:dyDescent="0.35">
      <c r="A14" s="3" t="s">
        <v>13</v>
      </c>
      <c r="B14" s="3"/>
      <c r="C14" s="3"/>
    </row>
    <row r="15" spans="1:3" ht="14.5" customHeight="1" x14ac:dyDescent="0.35">
      <c r="A15" s="4" t="s">
        <v>14</v>
      </c>
      <c r="B15" s="4"/>
      <c r="C15" s="4"/>
    </row>
    <row r="16" spans="1:3" ht="14.5" customHeight="1" x14ac:dyDescent="0.35">
      <c r="A16" s="3" t="s">
        <v>15</v>
      </c>
      <c r="B16" s="3"/>
      <c r="C16" s="3"/>
    </row>
    <row r="17" spans="1:3" ht="14.5" customHeight="1" x14ac:dyDescent="0.35">
      <c r="A17" s="4" t="s">
        <v>16</v>
      </c>
      <c r="B17" s="4"/>
      <c r="C17" s="4"/>
    </row>
    <row r="18" spans="1:3" ht="14.5" customHeight="1" x14ac:dyDescent="0.35">
      <c r="A18" s="3" t="s">
        <v>17</v>
      </c>
      <c r="B18" s="3"/>
      <c r="C18" s="3"/>
    </row>
    <row r="19" spans="1:3" ht="14.5" customHeight="1" x14ac:dyDescent="0.35">
      <c r="A19" s="4" t="s">
        <v>18</v>
      </c>
      <c r="B19" s="4"/>
      <c r="C19" s="4"/>
    </row>
    <row r="20" spans="1:3" ht="14.5" customHeight="1" x14ac:dyDescent="0.35">
      <c r="A20" s="3" t="s">
        <v>19</v>
      </c>
      <c r="B20" s="3"/>
      <c r="C20" s="3"/>
    </row>
    <row r="21" spans="1:3" ht="14.5" customHeight="1" x14ac:dyDescent="0.35">
      <c r="A21" s="4" t="s">
        <v>20</v>
      </c>
      <c r="B21" s="4"/>
      <c r="C21" s="4"/>
    </row>
    <row r="22" spans="1:3" ht="14.5" customHeight="1" x14ac:dyDescent="0.35">
      <c r="A22" s="3" t="s">
        <v>21</v>
      </c>
      <c r="B22" s="3"/>
      <c r="C22" s="3"/>
    </row>
    <row r="23" spans="1:3" ht="14.5" customHeight="1" x14ac:dyDescent="0.35">
      <c r="A23" s="4" t="s">
        <v>22</v>
      </c>
      <c r="B23" s="4"/>
      <c r="C23" s="4"/>
    </row>
    <row r="24" spans="1:3" ht="14.5" customHeight="1" x14ac:dyDescent="0.35">
      <c r="A24" s="3" t="s">
        <v>23</v>
      </c>
      <c r="B24" s="3"/>
      <c r="C24" s="3"/>
    </row>
    <row r="25" spans="1:3" ht="14.5" customHeight="1" x14ac:dyDescent="0.35">
      <c r="A25" s="4" t="s">
        <v>24</v>
      </c>
      <c r="B25" s="4"/>
      <c r="C25" s="4"/>
    </row>
    <row r="26" spans="1:3" ht="14.5" customHeight="1" x14ac:dyDescent="0.35">
      <c r="A26" s="3" t="s">
        <v>25</v>
      </c>
      <c r="B26" s="3"/>
      <c r="C26" s="3"/>
    </row>
    <row r="27" spans="1:3" ht="14.5" customHeight="1" x14ac:dyDescent="0.35">
      <c r="A27" s="4" t="s">
        <v>26</v>
      </c>
      <c r="B27" s="4"/>
      <c r="C27" s="4"/>
    </row>
    <row r="28" spans="1:3" ht="14.5" customHeight="1" x14ac:dyDescent="0.35">
      <c r="A28" s="3" t="s">
        <v>27</v>
      </c>
      <c r="B28" s="3"/>
      <c r="C28" s="3"/>
    </row>
    <row r="29" spans="1:3" ht="14.5" customHeight="1" x14ac:dyDescent="0.35">
      <c r="A29" s="4" t="s">
        <v>28</v>
      </c>
      <c r="B29" s="4"/>
      <c r="C29" s="4"/>
    </row>
    <row r="30" spans="1:3" ht="14.5" customHeight="1" x14ac:dyDescent="0.35">
      <c r="A30" s="3" t="s">
        <v>29</v>
      </c>
      <c r="B30" s="3"/>
      <c r="C30" s="3"/>
    </row>
    <row r="31" spans="1:3" ht="14.5" customHeight="1" x14ac:dyDescent="0.35">
      <c r="A31" s="4" t="s">
        <v>30</v>
      </c>
      <c r="B31" s="4"/>
      <c r="C31" s="4"/>
    </row>
    <row r="32" spans="1:3" ht="14.5" customHeight="1" x14ac:dyDescent="0.35">
      <c r="A32" s="3" t="s">
        <v>31</v>
      </c>
      <c r="B32" s="3"/>
      <c r="C32" s="3"/>
    </row>
    <row r="33" spans="1:4" ht="14.5" customHeight="1" x14ac:dyDescent="0.35">
      <c r="A33" s="2" t="s">
        <v>32</v>
      </c>
      <c r="B33" s="106"/>
      <c r="C33" s="107"/>
    </row>
    <row r="34" spans="1:4" ht="14.5" customHeight="1" x14ac:dyDescent="0.35">
      <c r="A34" s="4" t="s">
        <v>33</v>
      </c>
      <c r="B34" s="3"/>
      <c r="C34" s="3"/>
    </row>
    <row r="35" spans="1:4" ht="14.5" customHeight="1" x14ac:dyDescent="0.35">
      <c r="A35" s="3" t="s">
        <v>34</v>
      </c>
      <c r="B35" s="4"/>
      <c r="C35" s="4"/>
    </row>
    <row r="36" spans="1:4" ht="14.5" customHeight="1" x14ac:dyDescent="0.35">
      <c r="A36" s="4" t="s">
        <v>35</v>
      </c>
      <c r="B36" s="3"/>
      <c r="C36" s="3"/>
    </row>
    <row r="37" spans="1:4" ht="14.5" customHeight="1" x14ac:dyDescent="0.35">
      <c r="A37" s="3" t="s">
        <v>36</v>
      </c>
      <c r="B37" s="4"/>
      <c r="C37" s="4"/>
    </row>
    <row r="38" spans="1:4" ht="14.5" customHeight="1" x14ac:dyDescent="0.35">
      <c r="A38" s="4" t="s">
        <v>37</v>
      </c>
      <c r="B38" s="3"/>
      <c r="C38" s="3"/>
    </row>
    <row r="39" spans="1:4" ht="14.5" customHeight="1" x14ac:dyDescent="0.35">
      <c r="A39" s="3" t="s">
        <v>38</v>
      </c>
      <c r="B39" s="4"/>
      <c r="C39" s="4"/>
    </row>
    <row r="40" spans="1:4" ht="14.5" customHeight="1" x14ac:dyDescent="0.35">
      <c r="A40" s="4" t="s">
        <v>39</v>
      </c>
      <c r="B40" s="3"/>
      <c r="C40" s="3"/>
    </row>
    <row r="41" spans="1:4" ht="14.5" customHeight="1" x14ac:dyDescent="0.35">
      <c r="A41" s="3" t="s">
        <v>40</v>
      </c>
      <c r="B41" s="4"/>
      <c r="C41" s="4"/>
    </row>
    <row r="42" spans="1:4" ht="14.5" customHeight="1" x14ac:dyDescent="0.35">
      <c r="A42" s="4" t="s">
        <v>41</v>
      </c>
      <c r="B42" s="3"/>
      <c r="C42" s="3"/>
    </row>
    <row r="43" spans="1:4" ht="14.5" customHeight="1" x14ac:dyDescent="0.35">
      <c r="A43" s="3" t="s">
        <v>42</v>
      </c>
      <c r="B43" s="4"/>
      <c r="C43" s="4"/>
    </row>
    <row r="44" spans="1:4" ht="14.5" customHeight="1" x14ac:dyDescent="0.35">
      <c r="A44" s="4" t="s">
        <v>43</v>
      </c>
      <c r="B44" s="3"/>
      <c r="C44" s="3"/>
    </row>
    <row r="45" spans="1:4" ht="14.5" customHeight="1" x14ac:dyDescent="0.35">
      <c r="A45" s="2" t="s">
        <v>44</v>
      </c>
      <c r="B45" s="106" t="s">
        <v>45</v>
      </c>
      <c r="C45" s="107" t="s">
        <v>46</v>
      </c>
    </row>
    <row r="46" spans="1:4" ht="14.5" customHeight="1" x14ac:dyDescent="0.35">
      <c r="A46" s="6" t="s">
        <v>47</v>
      </c>
      <c r="B46" s="110"/>
      <c r="C46" s="111"/>
      <c r="D46" s="112"/>
    </row>
    <row r="47" spans="1:4" ht="14.5" customHeight="1" x14ac:dyDescent="0.35">
      <c r="A47" s="9" t="s">
        <v>48</v>
      </c>
      <c r="B47" s="108"/>
      <c r="C47" s="109"/>
    </row>
    <row r="48" spans="1:4" ht="14.5" customHeight="1" x14ac:dyDescent="0.35">
      <c r="A48" s="6" t="s">
        <v>49</v>
      </c>
      <c r="B48" s="110"/>
      <c r="C48" s="111">
        <f>IFERROR(MTP/MTT,0)</f>
        <v>0</v>
      </c>
    </row>
    <row r="49" spans="1:3" ht="14.5" customHeight="1" x14ac:dyDescent="0.35">
      <c r="A49" s="9" t="s">
        <v>50</v>
      </c>
      <c r="B49" s="108"/>
      <c r="C49" s="109"/>
    </row>
    <row r="50" spans="1:3" ht="14.5" customHeight="1" x14ac:dyDescent="0.35">
      <c r="A50" s="7" t="s">
        <v>51</v>
      </c>
      <c r="B50" s="113" t="s">
        <v>52</v>
      </c>
      <c r="C50" s="114" t="s">
        <v>53</v>
      </c>
    </row>
    <row r="51" spans="1:3" ht="14.5" customHeight="1" x14ac:dyDescent="0.35">
      <c r="A51" s="3" t="s">
        <v>54</v>
      </c>
      <c r="B51" s="161"/>
      <c r="C51" s="161"/>
    </row>
    <row r="52" spans="1:3" ht="14.5" customHeight="1" x14ac:dyDescent="0.35">
      <c r="A52" s="8" t="s">
        <v>55</v>
      </c>
      <c r="B52" s="162"/>
      <c r="C52" s="162"/>
    </row>
    <row r="53" spans="1:3" ht="14.5" customHeight="1" x14ac:dyDescent="0.35">
      <c r="A53" s="3" t="s">
        <v>56</v>
      </c>
      <c r="B53" s="161"/>
      <c r="C53" s="161"/>
    </row>
    <row r="54" spans="1:3" ht="14.5" customHeight="1" x14ac:dyDescent="0.35">
      <c r="A54" s="9" t="s">
        <v>57</v>
      </c>
      <c r="B54" s="163"/>
      <c r="C54" s="163"/>
    </row>
    <row r="55" spans="1:3" ht="14.5" customHeight="1" x14ac:dyDescent="0.35">
      <c r="A55" s="8" t="s">
        <v>58</v>
      </c>
      <c r="B55" s="162"/>
      <c r="C55" s="162"/>
    </row>
    <row r="56" spans="1:3" ht="14.5" customHeight="1" x14ac:dyDescent="0.35">
      <c r="A56" s="3" t="s">
        <v>59</v>
      </c>
      <c r="B56" s="161"/>
      <c r="C56" s="161"/>
    </row>
    <row r="57" spans="1:3" ht="14.5" customHeight="1" x14ac:dyDescent="0.35">
      <c r="A57" s="8" t="s">
        <v>60</v>
      </c>
      <c r="B57" s="162"/>
      <c r="C57" s="162"/>
    </row>
    <row r="58" spans="1:3" ht="14.5" customHeight="1" x14ac:dyDescent="0.35">
      <c r="A58" s="3" t="s">
        <v>61</v>
      </c>
      <c r="B58" s="161"/>
      <c r="C58" s="161"/>
    </row>
    <row r="59" spans="1:3" ht="14.5" customHeight="1" x14ac:dyDescent="0.35">
      <c r="A59" s="8" t="s">
        <v>62</v>
      </c>
      <c r="B59" s="162"/>
      <c r="C59" s="162"/>
    </row>
    <row r="60" spans="1:3" ht="14.5" customHeight="1" x14ac:dyDescent="0.35">
      <c r="A60" s="3" t="s">
        <v>63</v>
      </c>
      <c r="B60" s="161"/>
      <c r="C60" s="161"/>
    </row>
    <row r="61" spans="1:3" ht="14.5" customHeight="1" x14ac:dyDescent="0.35">
      <c r="A61" s="8" t="s">
        <v>64</v>
      </c>
      <c r="B61" s="162"/>
      <c r="C61" s="162"/>
    </row>
    <row r="62" spans="1:3" ht="14.5" customHeight="1" x14ac:dyDescent="0.35">
      <c r="A62" s="3" t="s">
        <v>65</v>
      </c>
      <c r="B62" s="161"/>
      <c r="C62" s="161"/>
    </row>
    <row r="63" spans="1:3" ht="14.5" customHeight="1" x14ac:dyDescent="0.35">
      <c r="A63" s="8" t="s">
        <v>66</v>
      </c>
      <c r="B63" s="162"/>
      <c r="C63" s="162"/>
    </row>
    <row r="64" spans="1:3" ht="14.5" customHeight="1" x14ac:dyDescent="0.35">
      <c r="A64" s="3" t="s">
        <v>67</v>
      </c>
      <c r="B64" s="161"/>
      <c r="C64" s="161"/>
    </row>
    <row r="65" spans="1:3" ht="14.5" customHeight="1" x14ac:dyDescent="0.35">
      <c r="A65" s="8" t="s">
        <v>68</v>
      </c>
      <c r="B65" s="162"/>
      <c r="C65" s="162"/>
    </row>
    <row r="66" spans="1:3" ht="14.5" customHeight="1" x14ac:dyDescent="0.35">
      <c r="A66" s="3" t="s">
        <v>69</v>
      </c>
      <c r="B66" s="161"/>
      <c r="C66" s="161"/>
    </row>
    <row r="67" spans="1:3" ht="14.5" customHeight="1" x14ac:dyDescent="0.35">
      <c r="A67" s="8" t="s">
        <v>70</v>
      </c>
      <c r="B67" s="162"/>
      <c r="C67" s="162"/>
    </row>
    <row r="68" spans="1:3" ht="14.5" customHeight="1" x14ac:dyDescent="0.35">
      <c r="A68" s="8" t="s">
        <v>71</v>
      </c>
      <c r="B68" s="162"/>
      <c r="C68" s="162"/>
    </row>
    <row r="69" spans="1:3" ht="14.5" customHeight="1" x14ac:dyDescent="0.35">
      <c r="A69" s="3" t="s">
        <v>72</v>
      </c>
      <c r="B69" s="161"/>
      <c r="C69" s="161"/>
    </row>
    <row r="70" spans="1:3" ht="14.5" customHeight="1" x14ac:dyDescent="0.35">
      <c r="A70" s="8" t="s">
        <v>73</v>
      </c>
      <c r="B70" s="162"/>
      <c r="C70" s="162"/>
    </row>
    <row r="71" spans="1:3" ht="14.5" customHeight="1" x14ac:dyDescent="0.35">
      <c r="A71" s="3" t="s">
        <v>74</v>
      </c>
      <c r="B71" s="161"/>
      <c r="C71" s="161"/>
    </row>
    <row r="72" spans="1:3" ht="14.5" customHeight="1" x14ac:dyDescent="0.35">
      <c r="A72" s="8" t="s">
        <v>75</v>
      </c>
      <c r="B72" s="162"/>
      <c r="C72" s="162"/>
    </row>
    <row r="73" spans="1:3" ht="14.5" customHeight="1" x14ac:dyDescent="0.35">
      <c r="A73" s="3" t="s">
        <v>76</v>
      </c>
      <c r="B73" s="161"/>
      <c r="C73" s="161"/>
    </row>
    <row r="74" spans="1:3" ht="14.5" customHeight="1" x14ac:dyDescent="0.35">
      <c r="A74" s="8" t="s">
        <v>77</v>
      </c>
      <c r="B74" s="162"/>
      <c r="C74" s="162"/>
    </row>
    <row r="75" spans="1:3" ht="14.5" customHeight="1" x14ac:dyDescent="0.35">
      <c r="A75" s="3" t="s">
        <v>78</v>
      </c>
      <c r="B75" s="161"/>
      <c r="C75" s="161"/>
    </row>
    <row r="76" spans="1:3" ht="14.5" customHeight="1" x14ac:dyDescent="0.35">
      <c r="A76" s="8" t="s">
        <v>79</v>
      </c>
      <c r="B76" s="162"/>
      <c r="C76" s="162"/>
    </row>
    <row r="77" spans="1:3" ht="14.5" customHeight="1" x14ac:dyDescent="0.35">
      <c r="A77" s="3" t="s">
        <v>80</v>
      </c>
      <c r="B77" s="161"/>
      <c r="C77" s="161"/>
    </row>
    <row r="78" spans="1:3" ht="14.5" customHeight="1" x14ac:dyDescent="0.35">
      <c r="A78" s="8" t="s">
        <v>81</v>
      </c>
      <c r="B78" s="162"/>
      <c r="C78" s="162"/>
    </row>
    <row r="79" spans="1:3" ht="14.5" customHeight="1" x14ac:dyDescent="0.35">
      <c r="A79" s="10" t="s">
        <v>82</v>
      </c>
      <c r="B79" s="115" t="s">
        <v>52</v>
      </c>
      <c r="C79" s="116" t="s">
        <v>83</v>
      </c>
    </row>
    <row r="80" spans="1:3" ht="14.5" customHeight="1" x14ac:dyDescent="0.35">
      <c r="A80" s="11" t="s">
        <v>84</v>
      </c>
      <c r="B80" s="117"/>
      <c r="C80" s="117"/>
    </row>
    <row r="81" spans="1:3" ht="14.5" customHeight="1" x14ac:dyDescent="0.35">
      <c r="A81" s="12" t="s">
        <v>85</v>
      </c>
      <c r="B81" s="118"/>
      <c r="C81" s="118"/>
    </row>
    <row r="82" spans="1:3" ht="14.5" customHeight="1" x14ac:dyDescent="0.35">
      <c r="A82" s="4" t="s">
        <v>86</v>
      </c>
      <c r="B82" s="119"/>
      <c r="C82" s="119"/>
    </row>
    <row r="83" spans="1:3" ht="14.5" customHeight="1" x14ac:dyDescent="0.35">
      <c r="A83" s="12" t="s">
        <v>87</v>
      </c>
      <c r="B83" s="118"/>
      <c r="C83" s="118"/>
    </row>
    <row r="84" spans="1:3" ht="14.5" customHeight="1" x14ac:dyDescent="0.35">
      <c r="A84" s="4" t="s">
        <v>88</v>
      </c>
      <c r="B84" s="119"/>
      <c r="C84" s="119"/>
    </row>
    <row r="85" spans="1:3" ht="14.5" customHeight="1" x14ac:dyDescent="0.35">
      <c r="A85" s="12" t="s">
        <v>89</v>
      </c>
      <c r="B85" s="118"/>
      <c r="C85" s="118"/>
    </row>
    <row r="86" spans="1:3" ht="14.5" customHeight="1" x14ac:dyDescent="0.35">
      <c r="A86" s="4" t="s">
        <v>90</v>
      </c>
      <c r="B86" s="119"/>
      <c r="C86" s="119"/>
    </row>
    <row r="87" spans="1:3" ht="14.5" customHeight="1" x14ac:dyDescent="0.35">
      <c r="A87" s="12" t="s">
        <v>91</v>
      </c>
      <c r="B87" s="118"/>
      <c r="C87" s="118"/>
    </row>
    <row r="88" spans="1:3" ht="14.5" customHeight="1" x14ac:dyDescent="0.35">
      <c r="A88" s="4" t="s">
        <v>41</v>
      </c>
      <c r="B88" s="119"/>
      <c r="C88" s="119"/>
    </row>
    <row r="89" spans="1:3" ht="14.5" customHeight="1" x14ac:dyDescent="0.35">
      <c r="A89" s="12" t="s">
        <v>92</v>
      </c>
      <c r="B89" s="118"/>
      <c r="C89" s="118"/>
    </row>
    <row r="90" spans="1:3" ht="14.5" customHeight="1" x14ac:dyDescent="0.35">
      <c r="A90" s="4" t="s">
        <v>93</v>
      </c>
      <c r="B90" s="119"/>
      <c r="C90" s="119"/>
    </row>
    <row r="91" spans="1:3" ht="14.5" customHeight="1" x14ac:dyDescent="0.35">
      <c r="A91" s="12" t="s">
        <v>94</v>
      </c>
      <c r="B91" s="118"/>
      <c r="C91" s="118"/>
    </row>
    <row r="92" spans="1:3" ht="14.5" customHeight="1" x14ac:dyDescent="0.35">
      <c r="A92" s="4" t="s">
        <v>95</v>
      </c>
      <c r="B92" s="119"/>
      <c r="C92" s="119"/>
    </row>
    <row r="93" spans="1:3" ht="14.5" customHeight="1" x14ac:dyDescent="0.35">
      <c r="A93" s="12" t="s">
        <v>96</v>
      </c>
      <c r="B93" s="118"/>
      <c r="C93" s="118"/>
    </row>
    <row r="94" spans="1:3" ht="14.5" customHeight="1" x14ac:dyDescent="0.35">
      <c r="A94" s="4" t="s">
        <v>97</v>
      </c>
      <c r="B94" s="119"/>
      <c r="C94" s="119"/>
    </row>
    <row r="95" spans="1:3" ht="13.9" customHeight="1" x14ac:dyDescent="0.35">
      <c r="A95" s="249" t="s">
        <v>98</v>
      </c>
      <c r="B95" s="250"/>
      <c r="C95" s="251"/>
    </row>
    <row r="96" spans="1:3" ht="14.5" customHeight="1" x14ac:dyDescent="0.35">
      <c r="A96" s="118" t="s">
        <v>99</v>
      </c>
      <c r="B96" s="118"/>
      <c r="C96" s="118"/>
    </row>
    <row r="97" spans="1:3" ht="14.5" customHeight="1" x14ac:dyDescent="0.35">
      <c r="A97" s="119" t="s">
        <v>100</v>
      </c>
      <c r="B97" s="119"/>
      <c r="C97" s="119"/>
    </row>
    <row r="98" spans="1:3" ht="14.5" customHeight="1" x14ac:dyDescent="0.35">
      <c r="A98" s="118" t="s">
        <v>101</v>
      </c>
      <c r="B98" s="118"/>
      <c r="C98" s="118"/>
    </row>
    <row r="99" spans="1:3" ht="14.5" customHeight="1" x14ac:dyDescent="0.35">
      <c r="A99" s="119" t="s">
        <v>102</v>
      </c>
      <c r="B99" s="119"/>
      <c r="C99" s="119"/>
    </row>
    <row r="100" spans="1:3" ht="14.5" customHeight="1" x14ac:dyDescent="0.35">
      <c r="A100" s="118" t="s">
        <v>103</v>
      </c>
      <c r="B100" s="118"/>
      <c r="C100" s="118"/>
    </row>
    <row r="101" spans="1:3" ht="13.9" customHeight="1" x14ac:dyDescent="0.35">
      <c r="A101" s="249" t="s">
        <v>104</v>
      </c>
      <c r="B101" s="250"/>
      <c r="C101" s="251"/>
    </row>
    <row r="102" spans="1:3" ht="14.5" customHeight="1" x14ac:dyDescent="0.35">
      <c r="A102" s="118" t="s">
        <v>105</v>
      </c>
      <c r="B102" s="118"/>
      <c r="C102" s="118"/>
    </row>
    <row r="103" spans="1:3" ht="14.5" customHeight="1" x14ac:dyDescent="0.35">
      <c r="A103" s="119" t="s">
        <v>106</v>
      </c>
      <c r="B103" s="119"/>
      <c r="C103" s="119"/>
    </row>
    <row r="104" spans="1:3" ht="14.5" customHeight="1" x14ac:dyDescent="0.35">
      <c r="A104" s="118" t="s">
        <v>107</v>
      </c>
      <c r="B104" s="118"/>
      <c r="C104" s="118"/>
    </row>
    <row r="105" spans="1:3" ht="14.5" customHeight="1" x14ac:dyDescent="0.35">
      <c r="A105" s="119" t="s">
        <v>108</v>
      </c>
      <c r="B105" s="119"/>
      <c r="C105" s="119"/>
    </row>
    <row r="106" spans="1:3" ht="14.5" customHeight="1" x14ac:dyDescent="0.35">
      <c r="A106" s="118" t="s">
        <v>109</v>
      </c>
      <c r="B106" s="118"/>
      <c r="C106" s="118"/>
    </row>
    <row r="107" spans="1:3" ht="14.5" customHeight="1" x14ac:dyDescent="0.35">
      <c r="A107" s="119" t="s">
        <v>110</v>
      </c>
      <c r="B107" s="119"/>
      <c r="C107" s="119"/>
    </row>
    <row r="108" spans="1:3" ht="14.5" customHeight="1" x14ac:dyDescent="0.35">
      <c r="A108" s="118" t="s">
        <v>111</v>
      </c>
      <c r="B108" s="119"/>
      <c r="C108" s="119"/>
    </row>
    <row r="109" spans="1:3" ht="14.5" customHeight="1" x14ac:dyDescent="0.35">
      <c r="A109" s="119" t="s">
        <v>112</v>
      </c>
      <c r="B109" s="119"/>
      <c r="C109" s="119"/>
    </row>
    <row r="110" spans="1:3" ht="14.5" customHeight="1" x14ac:dyDescent="0.35">
      <c r="A110" s="118" t="s">
        <v>113</v>
      </c>
      <c r="B110" s="119"/>
      <c r="C110" s="119"/>
    </row>
    <row r="111" spans="1:3" ht="14.5" customHeight="1" x14ac:dyDescent="0.35">
      <c r="A111" s="119" t="s">
        <v>114</v>
      </c>
      <c r="B111" s="118"/>
      <c r="C111" s="118"/>
    </row>
    <row r="112" spans="1:3" ht="13.9" customHeight="1" x14ac:dyDescent="0.35">
      <c r="A112" s="249" t="s">
        <v>115</v>
      </c>
      <c r="B112" s="250"/>
      <c r="C112" s="251"/>
    </row>
    <row r="113" spans="1:3" ht="14.5" customHeight="1" x14ac:dyDescent="0.35">
      <c r="A113" s="118" t="s">
        <v>116</v>
      </c>
      <c r="B113" s="118"/>
      <c r="C113" s="118"/>
    </row>
    <row r="114" spans="1:3" ht="14.5" customHeight="1" x14ac:dyDescent="0.35">
      <c r="A114" s="119" t="s">
        <v>117</v>
      </c>
      <c r="B114" s="119"/>
      <c r="C114" s="119"/>
    </row>
    <row r="115" spans="1:3" ht="14.5" customHeight="1" x14ac:dyDescent="0.35">
      <c r="A115" s="118" t="s">
        <v>118</v>
      </c>
      <c r="B115" s="118"/>
      <c r="C115" s="118"/>
    </row>
    <row r="116" spans="1:3" ht="14.5" customHeight="1" x14ac:dyDescent="0.35">
      <c r="A116" s="119" t="s">
        <v>119</v>
      </c>
      <c r="B116" s="119"/>
      <c r="C116" s="119"/>
    </row>
    <row r="117" spans="1:3" ht="14.5" customHeight="1" x14ac:dyDescent="0.35">
      <c r="A117" s="118" t="s">
        <v>120</v>
      </c>
      <c r="B117" s="118"/>
      <c r="C117" s="118"/>
    </row>
    <row r="118" spans="1:3" ht="14.5" customHeight="1" x14ac:dyDescent="0.35">
      <c r="A118" s="119" t="s">
        <v>121</v>
      </c>
      <c r="B118" s="119"/>
      <c r="C118" s="119"/>
    </row>
    <row r="119" spans="1:3" ht="14.5" customHeight="1" x14ac:dyDescent="0.35">
      <c r="A119" s="13" t="s">
        <v>122</v>
      </c>
    </row>
    <row r="120" spans="1:3" ht="14.5" customHeight="1" x14ac:dyDescent="0.35">
      <c r="A120" s="119" t="s">
        <v>123</v>
      </c>
      <c r="B120" s="119"/>
      <c r="C120" s="119"/>
    </row>
    <row r="121" spans="1:3" ht="14.5" customHeight="1" x14ac:dyDescent="0.35">
      <c r="A121" s="118" t="s">
        <v>111</v>
      </c>
      <c r="B121" s="118"/>
      <c r="C121" s="118"/>
    </row>
    <row r="122" spans="1:3" ht="14.5" customHeight="1" x14ac:dyDescent="0.35">
      <c r="A122" s="118" t="s">
        <v>112</v>
      </c>
      <c r="B122" s="118"/>
      <c r="C122" s="118"/>
    </row>
    <row r="123" spans="1:3" ht="14.5" customHeight="1" x14ac:dyDescent="0.35">
      <c r="A123" s="119" t="s">
        <v>113</v>
      </c>
      <c r="B123" s="119"/>
      <c r="C123" s="119"/>
    </row>
    <row r="124" spans="1:3" ht="14.5" customHeight="1" x14ac:dyDescent="0.35">
      <c r="A124" s="118" t="s">
        <v>109</v>
      </c>
      <c r="B124" s="118"/>
      <c r="C124" s="118"/>
    </row>
    <row r="125" spans="1:3" ht="14.5" customHeight="1" x14ac:dyDescent="0.35">
      <c r="A125" s="119" t="s">
        <v>110</v>
      </c>
      <c r="B125" s="119"/>
      <c r="C125" s="119"/>
    </row>
    <row r="126" spans="1:3" ht="14.5" customHeight="1" x14ac:dyDescent="0.35">
      <c r="A126" s="118" t="s">
        <v>114</v>
      </c>
      <c r="B126" s="118"/>
      <c r="C126" s="118"/>
    </row>
    <row r="127" spans="1:3" ht="14.5" customHeight="1" x14ac:dyDescent="0.35">
      <c r="A127" s="13" t="s">
        <v>124</v>
      </c>
      <c r="B127" s="241" t="s">
        <v>125</v>
      </c>
    </row>
    <row r="128" spans="1:3" ht="14.5" customHeight="1" x14ac:dyDescent="0.35">
      <c r="A128" s="119" t="s">
        <v>126</v>
      </c>
      <c r="B128" s="119"/>
      <c r="C128" s="119"/>
    </row>
    <row r="129" spans="1:3" ht="14.5" customHeight="1" x14ac:dyDescent="0.35">
      <c r="A129" s="118" t="s">
        <v>127</v>
      </c>
      <c r="B129" s="118"/>
      <c r="C129" s="118"/>
    </row>
    <row r="130" spans="1:3" ht="14.5" customHeight="1" x14ac:dyDescent="0.35">
      <c r="A130" s="119" t="s">
        <v>116</v>
      </c>
      <c r="B130" s="119"/>
      <c r="C130" s="119"/>
    </row>
    <row r="131" spans="1:3" ht="14.5" customHeight="1" x14ac:dyDescent="0.35">
      <c r="A131" s="118" t="s">
        <v>117</v>
      </c>
      <c r="B131" s="118"/>
      <c r="C131" s="118"/>
    </row>
    <row r="132" spans="1:3" ht="14.5" customHeight="1" x14ac:dyDescent="0.35">
      <c r="A132" s="119" t="s">
        <v>118</v>
      </c>
      <c r="B132" s="119"/>
      <c r="C132" s="119"/>
    </row>
    <row r="133" spans="1:3" ht="14.5" customHeight="1" x14ac:dyDescent="0.35">
      <c r="A133" s="118" t="s">
        <v>119</v>
      </c>
      <c r="B133" s="118"/>
      <c r="C133" s="118"/>
    </row>
    <row r="134" spans="1:3" ht="14.5" customHeight="1" x14ac:dyDescent="0.35">
      <c r="A134" s="119" t="s">
        <v>128</v>
      </c>
      <c r="B134" s="119"/>
      <c r="C134" s="119"/>
    </row>
    <row r="135" spans="1:3" ht="14.5" customHeight="1" x14ac:dyDescent="0.35">
      <c r="A135" s="118" t="s">
        <v>120</v>
      </c>
      <c r="B135" s="118"/>
      <c r="C135" s="118"/>
    </row>
    <row r="136" spans="1:3" ht="14.5" customHeight="1" x14ac:dyDescent="0.35">
      <c r="A136" s="14" t="s">
        <v>129</v>
      </c>
    </row>
    <row r="137" spans="1:3" ht="14.5" customHeight="1" x14ac:dyDescent="0.35">
      <c r="A137" s="119" t="s">
        <v>130</v>
      </c>
      <c r="B137" s="119"/>
      <c r="C137" s="119"/>
    </row>
    <row r="138" spans="1:3" ht="14.5" customHeight="1" x14ac:dyDescent="0.35">
      <c r="A138" s="118" t="s">
        <v>131</v>
      </c>
      <c r="B138" s="118"/>
      <c r="C138" s="118"/>
    </row>
    <row r="139" spans="1:3" ht="14.5" customHeight="1" x14ac:dyDescent="0.35">
      <c r="A139" s="119" t="s">
        <v>132</v>
      </c>
      <c r="B139" s="119"/>
      <c r="C139" s="119"/>
    </row>
    <row r="140" spans="1:3" ht="14.5" customHeight="1" x14ac:dyDescent="0.35">
      <c r="A140" s="118"/>
      <c r="B140" s="118"/>
      <c r="C140" s="118"/>
    </row>
    <row r="141" spans="1:3" ht="14.5" customHeight="1" x14ac:dyDescent="0.35">
      <c r="A141" s="14" t="s">
        <v>133</v>
      </c>
    </row>
    <row r="142" spans="1:3" ht="14.5" customHeight="1" x14ac:dyDescent="0.35">
      <c r="A142" s="119" t="s">
        <v>134</v>
      </c>
      <c r="B142" s="119"/>
      <c r="C142" s="119"/>
    </row>
    <row r="143" spans="1:3" ht="14.5" customHeight="1" x14ac:dyDescent="0.35">
      <c r="A143" s="118" t="s">
        <v>135</v>
      </c>
      <c r="B143" s="118"/>
      <c r="C143" s="118"/>
    </row>
    <row r="144" spans="1:3" ht="14.5" customHeight="1" x14ac:dyDescent="0.35">
      <c r="A144" s="119" t="s">
        <v>136</v>
      </c>
      <c r="B144" s="119"/>
      <c r="C144" s="119"/>
    </row>
    <row r="145" spans="1:3" ht="14.5" customHeight="1" x14ac:dyDescent="0.35">
      <c r="A145" s="14" t="s">
        <v>137</v>
      </c>
      <c r="B145" s="118"/>
      <c r="C145" s="118"/>
    </row>
    <row r="146" spans="1:3" ht="14.5" customHeight="1" x14ac:dyDescent="0.35">
      <c r="A146" s="108" t="s">
        <v>138</v>
      </c>
      <c r="B146" s="108"/>
      <c r="C146" s="108"/>
    </row>
    <row r="147" spans="1:3" ht="14.5" customHeight="1" x14ac:dyDescent="0.35">
      <c r="A147" s="108" t="s">
        <v>139</v>
      </c>
      <c r="B147" s="108"/>
      <c r="C147" s="108"/>
    </row>
    <row r="148" spans="1:3" ht="14.5" customHeight="1" x14ac:dyDescent="0.35">
      <c r="A148" s="108" t="s">
        <v>140</v>
      </c>
      <c r="B148" s="108"/>
      <c r="C148" s="108"/>
    </row>
    <row r="149" spans="1:3" ht="14.5" customHeight="1" x14ac:dyDescent="0.35">
      <c r="A149" s="108" t="s">
        <v>141</v>
      </c>
      <c r="B149" s="108"/>
      <c r="C149" s="108"/>
    </row>
    <row r="150" spans="1:3" ht="14.5" customHeight="1" x14ac:dyDescent="0.35">
      <c r="A150" s="14" t="s">
        <v>133</v>
      </c>
    </row>
  </sheetData>
  <mergeCells count="3">
    <mergeCell ref="A112:C112"/>
    <mergeCell ref="A95:C95"/>
    <mergeCell ref="A101:C101"/>
  </mergeCell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T847"/>
  <sheetViews>
    <sheetView showGridLines="0" tabSelected="1" zoomScale="90" zoomScaleNormal="90" workbookViewId="0">
      <pane xSplit="3" ySplit="1" topLeftCell="D83" activePane="bottomRight" state="frozen"/>
      <selection pane="topRight" activeCell="D1" sqref="D1"/>
      <selection pane="bottomLeft" activeCell="A2" sqref="A2"/>
      <selection pane="bottomRight" activeCell="F85" sqref="F85"/>
    </sheetView>
  </sheetViews>
  <sheetFormatPr baseColWidth="10" defaultColWidth="11.54296875" defaultRowHeight="13.9" customHeight="1" x14ac:dyDescent="0.35"/>
  <cols>
    <col min="1" max="1" width="15.81640625" style="239" customWidth="1"/>
    <col min="2" max="2" width="13.54296875" style="239" customWidth="1"/>
    <col min="3" max="3" width="20.453125" style="15" customWidth="1"/>
    <col min="4" max="4" width="14" style="15" customWidth="1"/>
    <col min="5" max="5" width="15" style="239" customWidth="1"/>
    <col min="6" max="6" width="63.453125" style="18" customWidth="1"/>
    <col min="7" max="7" width="15" style="15" customWidth="1"/>
    <col min="8" max="8" width="17.1796875" style="16" customWidth="1"/>
    <col min="9" max="9" width="17.54296875" style="17" customWidth="1"/>
    <col min="10" max="10" width="13.54296875" style="239" customWidth="1"/>
    <col min="11" max="11" width="24.7265625" style="239" customWidth="1"/>
    <col min="12" max="12" width="25.26953125" style="19" customWidth="1"/>
    <col min="13" max="13" width="36.7265625" style="18" customWidth="1"/>
    <col min="14" max="14" width="16.54296875" style="120" customWidth="1"/>
    <col min="15" max="15" width="19.7265625" style="121" customWidth="1"/>
    <col min="16" max="16" width="17.81640625" style="122" customWidth="1"/>
    <col min="17" max="17" width="19.81640625" style="20" customWidth="1"/>
    <col min="18" max="19" width="16.1796875" style="20" customWidth="1"/>
    <col min="20" max="20" width="23.26953125" style="20" customWidth="1"/>
    <col min="21" max="21" width="16.7265625" style="17" customWidth="1"/>
    <col min="22" max="22" width="16.7265625" style="16" customWidth="1"/>
    <col min="23" max="23" width="16.453125" style="16" bestFit="1" customWidth="1"/>
    <col min="24" max="24" width="16.26953125" style="16" customWidth="1"/>
    <col min="25" max="25" width="19" style="123" customWidth="1"/>
    <col min="26" max="26" width="17.1796875" style="123" customWidth="1"/>
    <col min="27" max="27" width="16" style="123" customWidth="1"/>
    <col min="28" max="28" width="18.7265625" style="124" customWidth="1"/>
    <col min="29" max="29" width="17.26953125" style="124" customWidth="1"/>
    <col min="30" max="30" width="16.81640625" style="125" customWidth="1"/>
    <col min="31" max="31" width="20.453125" style="164" customWidth="1"/>
    <col min="32" max="33" width="15" style="164" hidden="1" customWidth="1"/>
    <col min="34" max="34" width="15" style="20" hidden="1" customWidth="1"/>
    <col min="35" max="35" width="20.453125" style="165" hidden="1" customWidth="1"/>
    <col min="36" max="36" width="16.54296875" style="239" hidden="1" customWidth="1"/>
    <col min="37" max="37" width="19.1796875" style="126" hidden="1" customWidth="1"/>
    <col min="38" max="38" width="22.7265625" style="21" hidden="1" customWidth="1"/>
    <col min="39" max="39" width="61.81640625" style="21" customWidth="1"/>
    <col min="40" max="40" width="20" style="166" customWidth="1"/>
    <col min="41" max="41" width="22" style="165" customWidth="1"/>
    <col min="42" max="43" width="17.81640625" style="167" customWidth="1"/>
    <col min="44" max="44" width="20" style="239" customWidth="1"/>
    <col min="45" max="45" width="17.7265625" style="168" customWidth="1"/>
  </cols>
  <sheetData>
    <row r="1" spans="1:46" s="22" customFormat="1" ht="49.5" customHeight="1" x14ac:dyDescent="0.35">
      <c r="A1" s="61" t="s">
        <v>142</v>
      </c>
      <c r="B1" s="236" t="s">
        <v>51</v>
      </c>
      <c r="C1" s="236" t="s">
        <v>143</v>
      </c>
      <c r="D1" s="236" t="s">
        <v>110</v>
      </c>
      <c r="E1" s="236" t="s">
        <v>144</v>
      </c>
      <c r="F1" s="236" t="s">
        <v>145</v>
      </c>
      <c r="G1" s="236" t="s">
        <v>115</v>
      </c>
      <c r="H1" s="236" t="s">
        <v>124</v>
      </c>
      <c r="I1" s="236" t="s">
        <v>146</v>
      </c>
      <c r="J1" s="236" t="s">
        <v>129</v>
      </c>
      <c r="K1" s="236" t="s">
        <v>147</v>
      </c>
      <c r="L1" s="236" t="s">
        <v>5</v>
      </c>
      <c r="M1" s="236" t="s">
        <v>82</v>
      </c>
      <c r="N1" s="127" t="s">
        <v>148</v>
      </c>
      <c r="O1" s="127" t="s">
        <v>149</v>
      </c>
      <c r="P1" s="127" t="s">
        <v>150</v>
      </c>
      <c r="Q1" s="62" t="s">
        <v>137</v>
      </c>
      <c r="R1" s="62" t="s">
        <v>151</v>
      </c>
      <c r="S1" s="62" t="s">
        <v>152</v>
      </c>
      <c r="T1" s="236" t="s">
        <v>153</v>
      </c>
      <c r="U1" s="236" t="s">
        <v>154</v>
      </c>
      <c r="V1" s="62" t="s">
        <v>155</v>
      </c>
      <c r="W1" s="62" t="s">
        <v>156</v>
      </c>
      <c r="X1" s="62" t="s">
        <v>157</v>
      </c>
      <c r="Y1" s="127" t="s">
        <v>158</v>
      </c>
      <c r="Z1" s="127" t="s">
        <v>159</v>
      </c>
      <c r="AA1" s="127" t="s">
        <v>160</v>
      </c>
      <c r="AB1" s="127" t="s">
        <v>161</v>
      </c>
      <c r="AC1" s="127" t="s">
        <v>162</v>
      </c>
      <c r="AD1" s="127" t="s">
        <v>163</v>
      </c>
      <c r="AE1" s="63" t="s">
        <v>98</v>
      </c>
      <c r="AF1" s="63" t="s">
        <v>164</v>
      </c>
      <c r="AG1" s="63" t="s">
        <v>165</v>
      </c>
      <c r="AH1" s="169" t="s">
        <v>166</v>
      </c>
      <c r="AI1" s="169" t="s">
        <v>167</v>
      </c>
      <c r="AJ1" s="169" t="s">
        <v>168</v>
      </c>
      <c r="AK1" s="64" t="s">
        <v>169</v>
      </c>
      <c r="AL1" s="128" t="s">
        <v>170</v>
      </c>
      <c r="AM1" s="170" t="s">
        <v>171</v>
      </c>
      <c r="AN1" s="236" t="s">
        <v>172</v>
      </c>
      <c r="AO1" s="129"/>
      <c r="AT1" s="23"/>
    </row>
    <row r="2" spans="1:46" ht="30" customHeight="1" x14ac:dyDescent="0.35">
      <c r="A2" s="38">
        <v>2026</v>
      </c>
      <c r="B2" s="59" t="s">
        <v>70</v>
      </c>
      <c r="C2" s="171" t="s">
        <v>173</v>
      </c>
      <c r="D2" s="237" t="s">
        <v>114</v>
      </c>
      <c r="E2" s="237">
        <v>1</v>
      </c>
      <c r="F2" s="58" t="s">
        <v>174</v>
      </c>
      <c r="G2" s="237" t="s">
        <v>121</v>
      </c>
      <c r="H2" s="59" t="s">
        <v>126</v>
      </c>
      <c r="I2" s="70" t="s">
        <v>175</v>
      </c>
      <c r="J2" s="237" t="s">
        <v>132</v>
      </c>
      <c r="K2" s="237" t="s">
        <v>3</v>
      </c>
      <c r="L2" s="59" t="s">
        <v>6</v>
      </c>
      <c r="M2" s="60" t="s">
        <v>31</v>
      </c>
      <c r="N2" s="130"/>
      <c r="O2" s="172"/>
      <c r="P2" s="172"/>
      <c r="Q2" s="237" t="s">
        <v>139</v>
      </c>
      <c r="R2" s="78"/>
      <c r="S2" s="78"/>
      <c r="T2" s="58" t="s">
        <v>176</v>
      </c>
      <c r="U2" s="237">
        <v>2026</v>
      </c>
      <c r="V2" s="88">
        <v>46030</v>
      </c>
      <c r="W2" s="78"/>
      <c r="X2" s="88">
        <v>46066</v>
      </c>
      <c r="Y2" s="131">
        <v>829202</v>
      </c>
      <c r="Z2" s="131">
        <v>0</v>
      </c>
      <c r="AA2" s="131">
        <v>995042.4</v>
      </c>
      <c r="AB2" s="131">
        <v>0</v>
      </c>
      <c r="AC2" s="131">
        <v>829202</v>
      </c>
      <c r="AD2" s="131">
        <v>995042.4</v>
      </c>
      <c r="AE2" s="173" t="s">
        <v>102</v>
      </c>
      <c r="AF2" s="173"/>
      <c r="AG2" s="173"/>
      <c r="AH2" s="174"/>
      <c r="AI2" s="175"/>
      <c r="AJ2" s="174"/>
      <c r="AK2" s="176"/>
      <c r="AL2" s="174"/>
      <c r="AM2" s="177" t="s">
        <v>177</v>
      </c>
      <c r="AN2" s="243" t="s">
        <v>178</v>
      </c>
      <c r="AO2" s="178"/>
      <c r="AP2" s="179"/>
      <c r="AQ2" s="179"/>
      <c r="AR2" s="24"/>
      <c r="AS2" s="179"/>
    </row>
    <row r="3" spans="1:46" ht="30" customHeight="1" x14ac:dyDescent="0.35">
      <c r="A3" s="40">
        <v>2026</v>
      </c>
      <c r="B3" s="59" t="s">
        <v>77</v>
      </c>
      <c r="C3" s="58" t="s">
        <v>179</v>
      </c>
      <c r="D3" s="237" t="s">
        <v>114</v>
      </c>
      <c r="E3" s="105">
        <v>254</v>
      </c>
      <c r="F3" s="58" t="s">
        <v>180</v>
      </c>
      <c r="G3" s="237" t="s">
        <v>121</v>
      </c>
      <c r="H3" s="59" t="s">
        <v>126</v>
      </c>
      <c r="I3" s="58" t="s">
        <v>181</v>
      </c>
      <c r="J3" s="237" t="s">
        <v>132</v>
      </c>
      <c r="K3" s="237" t="s">
        <v>3</v>
      </c>
      <c r="L3" s="59" t="s">
        <v>6</v>
      </c>
      <c r="M3" s="58" t="s">
        <v>182</v>
      </c>
      <c r="N3" s="130"/>
      <c r="O3" s="172"/>
      <c r="P3" s="172"/>
      <c r="Q3" s="237" t="s">
        <v>140</v>
      </c>
      <c r="R3" s="78"/>
      <c r="S3" s="78"/>
      <c r="T3" s="58" t="s">
        <v>183</v>
      </c>
      <c r="U3" s="237">
        <v>2026</v>
      </c>
      <c r="V3" s="88">
        <v>46022</v>
      </c>
      <c r="W3" s="78"/>
      <c r="X3" s="88">
        <v>46024</v>
      </c>
      <c r="Y3" s="131">
        <v>154000</v>
      </c>
      <c r="Z3" s="131">
        <v>0</v>
      </c>
      <c r="AA3" s="131">
        <f>+Y3</f>
        <v>154000</v>
      </c>
      <c r="AB3" s="131">
        <f>+Z3</f>
        <v>0</v>
      </c>
      <c r="AC3" s="131">
        <f>+Y3</f>
        <v>154000</v>
      </c>
      <c r="AD3" s="131">
        <f>+AA3</f>
        <v>154000</v>
      </c>
      <c r="AE3" s="173" t="s">
        <v>102</v>
      </c>
      <c r="AF3" s="173"/>
      <c r="AG3" s="173"/>
      <c r="AH3" s="174"/>
      <c r="AI3" s="175"/>
      <c r="AJ3" s="174"/>
      <c r="AK3" s="176"/>
      <c r="AL3" s="174"/>
      <c r="AM3" s="181" t="s">
        <v>184</v>
      </c>
      <c r="AN3" s="243" t="s">
        <v>178</v>
      </c>
      <c r="AO3" s="178"/>
      <c r="AP3" s="179"/>
      <c r="AQ3" s="179"/>
      <c r="AR3" s="24"/>
      <c r="AS3" s="179"/>
    </row>
    <row r="4" spans="1:46" ht="30" customHeight="1" x14ac:dyDescent="0.35">
      <c r="A4" s="40">
        <v>2026</v>
      </c>
      <c r="B4" s="59" t="s">
        <v>77</v>
      </c>
      <c r="C4" s="58" t="s">
        <v>179</v>
      </c>
      <c r="D4" s="237" t="s">
        <v>114</v>
      </c>
      <c r="E4" s="105">
        <v>253</v>
      </c>
      <c r="F4" s="58" t="s">
        <v>185</v>
      </c>
      <c r="G4" s="237" t="s">
        <v>121</v>
      </c>
      <c r="H4" s="59" t="s">
        <v>126</v>
      </c>
      <c r="I4" s="58" t="s">
        <v>186</v>
      </c>
      <c r="J4" s="237" t="s">
        <v>132</v>
      </c>
      <c r="K4" s="237" t="s">
        <v>3</v>
      </c>
      <c r="L4" s="59" t="s">
        <v>6</v>
      </c>
      <c r="M4" s="58" t="s">
        <v>182</v>
      </c>
      <c r="N4" s="130"/>
      <c r="O4" s="172"/>
      <c r="P4" s="172"/>
      <c r="Q4" s="237" t="s">
        <v>140</v>
      </c>
      <c r="R4" s="78"/>
      <c r="S4" s="78"/>
      <c r="T4" s="58" t="s">
        <v>187</v>
      </c>
      <c r="U4" s="237">
        <v>2026</v>
      </c>
      <c r="V4" s="88">
        <v>46387</v>
      </c>
      <c r="W4" s="78"/>
      <c r="X4" s="88">
        <v>46024</v>
      </c>
      <c r="Y4" s="131">
        <v>375000</v>
      </c>
      <c r="Z4" s="131">
        <v>0</v>
      </c>
      <c r="AA4" s="131">
        <f t="shared" ref="AA4:AA35" si="0">Y4</f>
        <v>375000</v>
      </c>
      <c r="AB4" s="131">
        <v>0</v>
      </c>
      <c r="AC4" s="131">
        <f t="shared" ref="AC4:AC35" si="1">Y4</f>
        <v>375000</v>
      </c>
      <c r="AD4" s="131">
        <f t="shared" ref="AD4:AD35" si="2">Y4</f>
        <v>375000</v>
      </c>
      <c r="AE4" s="173" t="s">
        <v>102</v>
      </c>
      <c r="AF4" s="173"/>
      <c r="AG4" s="173"/>
      <c r="AH4" s="174"/>
      <c r="AI4" s="175"/>
      <c r="AJ4" s="174"/>
      <c r="AK4" s="176"/>
      <c r="AL4" s="174"/>
      <c r="AM4" s="181" t="s">
        <v>184</v>
      </c>
      <c r="AN4" s="243" t="s">
        <v>178</v>
      </c>
      <c r="AO4" s="178"/>
      <c r="AP4" s="179"/>
      <c r="AQ4" s="179"/>
      <c r="AR4" s="24"/>
      <c r="AS4" s="179"/>
    </row>
    <row r="5" spans="1:46" ht="30" customHeight="1" x14ac:dyDescent="0.35">
      <c r="A5" s="40">
        <v>2026</v>
      </c>
      <c r="B5" s="59" t="s">
        <v>77</v>
      </c>
      <c r="C5" s="58" t="s">
        <v>179</v>
      </c>
      <c r="D5" s="237" t="s">
        <v>114</v>
      </c>
      <c r="E5" s="105">
        <v>236</v>
      </c>
      <c r="F5" s="58" t="s">
        <v>188</v>
      </c>
      <c r="G5" s="237" t="s">
        <v>121</v>
      </c>
      <c r="H5" s="59" t="s">
        <v>126</v>
      </c>
      <c r="I5" s="58" t="s">
        <v>189</v>
      </c>
      <c r="J5" s="237" t="s">
        <v>132</v>
      </c>
      <c r="K5" s="237" t="s">
        <v>3</v>
      </c>
      <c r="L5" s="59" t="s">
        <v>6</v>
      </c>
      <c r="M5" s="58" t="s">
        <v>182</v>
      </c>
      <c r="N5" s="130"/>
      <c r="O5" s="172"/>
      <c r="P5" s="172"/>
      <c r="Q5" s="237" t="s">
        <v>140</v>
      </c>
      <c r="R5" s="78"/>
      <c r="S5" s="78"/>
      <c r="T5" s="58" t="s">
        <v>190</v>
      </c>
      <c r="U5" s="237">
        <v>2026</v>
      </c>
      <c r="V5" s="88">
        <v>46387</v>
      </c>
      <c r="W5" s="78"/>
      <c r="X5" s="88">
        <v>46024</v>
      </c>
      <c r="Y5" s="131">
        <v>445714.08</v>
      </c>
      <c r="Z5" s="131">
        <v>0</v>
      </c>
      <c r="AA5" s="131">
        <f t="shared" si="0"/>
        <v>445714.08</v>
      </c>
      <c r="AB5" s="131">
        <v>0</v>
      </c>
      <c r="AC5" s="131">
        <f t="shared" si="1"/>
        <v>445714.08</v>
      </c>
      <c r="AD5" s="131">
        <f t="shared" si="2"/>
        <v>445714.08</v>
      </c>
      <c r="AE5" s="173" t="s">
        <v>102</v>
      </c>
      <c r="AF5" s="173"/>
      <c r="AG5" s="173"/>
      <c r="AH5" s="174"/>
      <c r="AI5" s="175"/>
      <c r="AJ5" s="174"/>
      <c r="AK5" s="176"/>
      <c r="AL5" s="174"/>
      <c r="AM5" s="181" t="s">
        <v>184</v>
      </c>
      <c r="AN5" s="243" t="s">
        <v>178</v>
      </c>
      <c r="AO5" s="178"/>
      <c r="AP5" s="179"/>
      <c r="AQ5" s="179"/>
      <c r="AR5" s="24"/>
      <c r="AS5" s="179"/>
    </row>
    <row r="6" spans="1:46" ht="30" customHeight="1" x14ac:dyDescent="0.35">
      <c r="A6" s="40">
        <v>2026</v>
      </c>
      <c r="B6" s="59" t="s">
        <v>77</v>
      </c>
      <c r="C6" s="58" t="s">
        <v>179</v>
      </c>
      <c r="D6" s="237" t="s">
        <v>114</v>
      </c>
      <c r="E6" s="105">
        <v>240</v>
      </c>
      <c r="F6" s="58" t="s">
        <v>191</v>
      </c>
      <c r="G6" s="237" t="s">
        <v>121</v>
      </c>
      <c r="H6" s="59" t="s">
        <v>126</v>
      </c>
      <c r="I6" s="58" t="s">
        <v>192</v>
      </c>
      <c r="J6" s="237" t="s">
        <v>132</v>
      </c>
      <c r="K6" s="237" t="s">
        <v>3</v>
      </c>
      <c r="L6" s="59" t="s">
        <v>6</v>
      </c>
      <c r="M6" s="58" t="s">
        <v>182</v>
      </c>
      <c r="N6" s="130"/>
      <c r="O6" s="172"/>
      <c r="P6" s="172"/>
      <c r="Q6" s="237" t="s">
        <v>140</v>
      </c>
      <c r="R6" s="78"/>
      <c r="S6" s="78"/>
      <c r="T6" s="58" t="s">
        <v>193</v>
      </c>
      <c r="U6" s="237">
        <v>2026</v>
      </c>
      <c r="V6" s="88">
        <v>46387</v>
      </c>
      <c r="W6" s="78"/>
      <c r="X6" s="88">
        <v>46024</v>
      </c>
      <c r="Y6" s="131">
        <v>880000</v>
      </c>
      <c r="Z6" s="131">
        <v>0</v>
      </c>
      <c r="AA6" s="131">
        <f t="shared" si="0"/>
        <v>880000</v>
      </c>
      <c r="AB6" s="131">
        <v>0</v>
      </c>
      <c r="AC6" s="131">
        <f t="shared" si="1"/>
        <v>880000</v>
      </c>
      <c r="AD6" s="131">
        <f t="shared" si="2"/>
        <v>880000</v>
      </c>
      <c r="AE6" s="173" t="s">
        <v>102</v>
      </c>
      <c r="AF6" s="173"/>
      <c r="AG6" s="173"/>
      <c r="AH6" s="174"/>
      <c r="AI6" s="175"/>
      <c r="AJ6" s="174"/>
      <c r="AK6" s="176"/>
      <c r="AL6" s="174"/>
      <c r="AM6" s="181" t="s">
        <v>184</v>
      </c>
      <c r="AN6" s="243" t="s">
        <v>178</v>
      </c>
      <c r="AO6" s="178"/>
      <c r="AP6" s="179"/>
      <c r="AQ6" s="179"/>
      <c r="AR6" s="24"/>
      <c r="AS6" s="179"/>
    </row>
    <row r="7" spans="1:46" ht="30" customHeight="1" x14ac:dyDescent="0.35">
      <c r="A7" s="40">
        <v>2026</v>
      </c>
      <c r="B7" s="59" t="s">
        <v>77</v>
      </c>
      <c r="C7" s="58" t="s">
        <v>179</v>
      </c>
      <c r="D7" s="237" t="s">
        <v>114</v>
      </c>
      <c r="E7" s="105">
        <v>241</v>
      </c>
      <c r="F7" s="58" t="s">
        <v>194</v>
      </c>
      <c r="G7" s="237" t="s">
        <v>121</v>
      </c>
      <c r="H7" s="59" t="s">
        <v>126</v>
      </c>
      <c r="I7" s="58" t="s">
        <v>195</v>
      </c>
      <c r="J7" s="237" t="s">
        <v>132</v>
      </c>
      <c r="K7" s="237" t="s">
        <v>3</v>
      </c>
      <c r="L7" s="59" t="s">
        <v>6</v>
      </c>
      <c r="M7" s="58" t="s">
        <v>182</v>
      </c>
      <c r="N7" s="130"/>
      <c r="O7" s="172"/>
      <c r="P7" s="172"/>
      <c r="Q7" s="237" t="s">
        <v>140</v>
      </c>
      <c r="R7" s="78"/>
      <c r="S7" s="78"/>
      <c r="T7" s="58" t="s">
        <v>196</v>
      </c>
      <c r="U7" s="237">
        <v>2026</v>
      </c>
      <c r="V7" s="88">
        <v>46387</v>
      </c>
      <c r="W7" s="78"/>
      <c r="X7" s="88">
        <v>46024</v>
      </c>
      <c r="Y7" s="131">
        <v>176000</v>
      </c>
      <c r="Z7" s="131">
        <v>0</v>
      </c>
      <c r="AA7" s="131">
        <f t="shared" si="0"/>
        <v>176000</v>
      </c>
      <c r="AB7" s="131">
        <v>0</v>
      </c>
      <c r="AC7" s="131">
        <f t="shared" si="1"/>
        <v>176000</v>
      </c>
      <c r="AD7" s="131">
        <f t="shared" si="2"/>
        <v>176000</v>
      </c>
      <c r="AE7" s="173" t="s">
        <v>102</v>
      </c>
      <c r="AF7" s="173"/>
      <c r="AG7" s="173"/>
      <c r="AH7" s="174"/>
      <c r="AI7" s="175"/>
      <c r="AJ7" s="174"/>
      <c r="AK7" s="176"/>
      <c r="AL7" s="174"/>
      <c r="AM7" s="181" t="s">
        <v>184</v>
      </c>
      <c r="AN7" s="243" t="s">
        <v>178</v>
      </c>
      <c r="AO7" s="178"/>
      <c r="AP7" s="179"/>
      <c r="AQ7" s="179"/>
      <c r="AR7" s="24"/>
      <c r="AS7" s="179"/>
    </row>
    <row r="8" spans="1:46" ht="30" customHeight="1" x14ac:dyDescent="0.35">
      <c r="A8" s="40">
        <v>2026</v>
      </c>
      <c r="B8" s="59" t="s">
        <v>77</v>
      </c>
      <c r="C8" s="58" t="s">
        <v>179</v>
      </c>
      <c r="D8" s="237" t="s">
        <v>114</v>
      </c>
      <c r="E8" s="105">
        <v>249</v>
      </c>
      <c r="F8" s="58" t="s">
        <v>197</v>
      </c>
      <c r="G8" s="237" t="s">
        <v>121</v>
      </c>
      <c r="H8" s="59" t="s">
        <v>126</v>
      </c>
      <c r="I8" s="58" t="s">
        <v>198</v>
      </c>
      <c r="J8" s="237" t="s">
        <v>132</v>
      </c>
      <c r="K8" s="237" t="s">
        <v>3</v>
      </c>
      <c r="L8" s="59" t="s">
        <v>6</v>
      </c>
      <c r="M8" s="58" t="s">
        <v>182</v>
      </c>
      <c r="N8" s="130"/>
      <c r="O8" s="172"/>
      <c r="P8" s="172"/>
      <c r="Q8" s="237" t="s">
        <v>140</v>
      </c>
      <c r="R8" s="78"/>
      <c r="S8" s="78"/>
      <c r="T8" s="58" t="s">
        <v>199</v>
      </c>
      <c r="U8" s="237">
        <v>2026</v>
      </c>
      <c r="V8" s="88">
        <v>46387</v>
      </c>
      <c r="W8" s="78"/>
      <c r="X8" s="88">
        <v>46024</v>
      </c>
      <c r="Y8" s="131">
        <v>342857</v>
      </c>
      <c r="Z8" s="131">
        <v>0</v>
      </c>
      <c r="AA8" s="131">
        <f t="shared" si="0"/>
        <v>342857</v>
      </c>
      <c r="AB8" s="131">
        <v>0</v>
      </c>
      <c r="AC8" s="131">
        <f t="shared" si="1"/>
        <v>342857</v>
      </c>
      <c r="AD8" s="131">
        <f t="shared" si="2"/>
        <v>342857</v>
      </c>
      <c r="AE8" s="173" t="s">
        <v>102</v>
      </c>
      <c r="AF8" s="173"/>
      <c r="AG8" s="173"/>
      <c r="AH8" s="174"/>
      <c r="AI8" s="175"/>
      <c r="AJ8" s="174"/>
      <c r="AK8" s="176"/>
      <c r="AL8" s="174"/>
      <c r="AM8" s="181" t="s">
        <v>184</v>
      </c>
      <c r="AN8" s="243" t="s">
        <v>178</v>
      </c>
      <c r="AO8" s="178"/>
      <c r="AP8" s="179"/>
      <c r="AQ8" s="179"/>
      <c r="AR8" s="24"/>
      <c r="AS8" s="179"/>
    </row>
    <row r="9" spans="1:46" ht="30" customHeight="1" x14ac:dyDescent="0.35">
      <c r="A9" s="38">
        <v>2026</v>
      </c>
      <c r="B9" s="59" t="s">
        <v>63</v>
      </c>
      <c r="C9" s="58" t="s">
        <v>200</v>
      </c>
      <c r="D9" s="237" t="s">
        <v>114</v>
      </c>
      <c r="E9" s="180"/>
      <c r="F9" s="58" t="s">
        <v>201</v>
      </c>
      <c r="G9" s="237" t="s">
        <v>121</v>
      </c>
      <c r="H9" s="59" t="s">
        <v>126</v>
      </c>
      <c r="I9" s="65"/>
      <c r="J9" s="237" t="s">
        <v>132</v>
      </c>
      <c r="K9" s="237" t="s">
        <v>3</v>
      </c>
      <c r="L9" s="59" t="s">
        <v>6</v>
      </c>
      <c r="M9" s="58" t="s">
        <v>202</v>
      </c>
      <c r="N9" s="130"/>
      <c r="O9" s="172"/>
      <c r="P9" s="172"/>
      <c r="Q9" s="237" t="s">
        <v>140</v>
      </c>
      <c r="R9" s="78"/>
      <c r="S9" s="78"/>
      <c r="T9" s="58" t="s">
        <v>203</v>
      </c>
      <c r="U9" s="237">
        <v>2026</v>
      </c>
      <c r="V9" s="88">
        <v>46022</v>
      </c>
      <c r="W9" s="78"/>
      <c r="X9" s="88">
        <v>46024</v>
      </c>
      <c r="Y9" s="131">
        <v>113142.48</v>
      </c>
      <c r="Z9" s="131">
        <v>0</v>
      </c>
      <c r="AA9" s="131">
        <f t="shared" si="0"/>
        <v>113142.48</v>
      </c>
      <c r="AB9" s="131">
        <v>0</v>
      </c>
      <c r="AC9" s="131">
        <f t="shared" si="1"/>
        <v>113142.48</v>
      </c>
      <c r="AD9" s="131">
        <f t="shared" si="2"/>
        <v>113142.48</v>
      </c>
      <c r="AE9" s="173" t="s">
        <v>102</v>
      </c>
      <c r="AF9" s="173"/>
      <c r="AG9" s="173"/>
      <c r="AH9" s="174"/>
      <c r="AI9" s="175"/>
      <c r="AJ9" s="174"/>
      <c r="AK9" s="176"/>
      <c r="AL9" s="174"/>
      <c r="AM9" s="177" t="s">
        <v>204</v>
      </c>
      <c r="AN9" s="243" t="s">
        <v>178</v>
      </c>
      <c r="AO9" s="178"/>
      <c r="AP9" s="179"/>
      <c r="AQ9" s="179"/>
      <c r="AR9" s="24"/>
      <c r="AS9" s="179"/>
    </row>
    <row r="10" spans="1:46" ht="30" customHeight="1" x14ac:dyDescent="0.35">
      <c r="A10" s="38">
        <v>2026</v>
      </c>
      <c r="B10" s="59" t="s">
        <v>63</v>
      </c>
      <c r="C10" s="58" t="s">
        <v>200</v>
      </c>
      <c r="D10" s="237" t="s">
        <v>114</v>
      </c>
      <c r="E10" s="180"/>
      <c r="F10" s="58" t="s">
        <v>205</v>
      </c>
      <c r="G10" s="237" t="s">
        <v>121</v>
      </c>
      <c r="H10" s="59" t="s">
        <v>126</v>
      </c>
      <c r="I10" s="65"/>
      <c r="J10" s="237" t="s">
        <v>132</v>
      </c>
      <c r="K10" s="237" t="s">
        <v>3</v>
      </c>
      <c r="L10" s="59" t="s">
        <v>6</v>
      </c>
      <c r="M10" s="58" t="s">
        <v>202</v>
      </c>
      <c r="N10" s="130"/>
      <c r="O10" s="172"/>
      <c r="P10" s="172"/>
      <c r="Q10" s="237" t="s">
        <v>140</v>
      </c>
      <c r="R10" s="78"/>
      <c r="S10" s="78"/>
      <c r="T10" s="58" t="s">
        <v>206</v>
      </c>
      <c r="U10" s="237">
        <v>2026</v>
      </c>
      <c r="V10" s="88">
        <v>46022</v>
      </c>
      <c r="W10" s="78"/>
      <c r="X10" s="88">
        <v>46024</v>
      </c>
      <c r="Y10" s="131">
        <v>113142.48</v>
      </c>
      <c r="Z10" s="131">
        <v>0</v>
      </c>
      <c r="AA10" s="131">
        <f t="shared" si="0"/>
        <v>113142.48</v>
      </c>
      <c r="AB10" s="131">
        <v>0</v>
      </c>
      <c r="AC10" s="131">
        <f t="shared" si="1"/>
        <v>113142.48</v>
      </c>
      <c r="AD10" s="131">
        <f t="shared" si="2"/>
        <v>113142.48</v>
      </c>
      <c r="AE10" s="173" t="s">
        <v>102</v>
      </c>
      <c r="AF10" s="173"/>
      <c r="AG10" s="173"/>
      <c r="AH10" s="174"/>
      <c r="AI10" s="175"/>
      <c r="AJ10" s="174"/>
      <c r="AK10" s="176"/>
      <c r="AL10" s="174"/>
      <c r="AM10" s="177" t="s">
        <v>204</v>
      </c>
      <c r="AN10" s="243" t="s">
        <v>178</v>
      </c>
      <c r="AO10" s="178"/>
      <c r="AP10" s="179"/>
      <c r="AQ10" s="179"/>
      <c r="AR10" s="24"/>
      <c r="AS10" s="179"/>
    </row>
    <row r="11" spans="1:46" ht="30" customHeight="1" x14ac:dyDescent="0.35">
      <c r="A11" s="38">
        <v>2026</v>
      </c>
      <c r="B11" s="59" t="s">
        <v>63</v>
      </c>
      <c r="C11" s="58" t="s">
        <v>200</v>
      </c>
      <c r="D11" s="237" t="s">
        <v>114</v>
      </c>
      <c r="E11" s="180"/>
      <c r="F11" s="58" t="s">
        <v>207</v>
      </c>
      <c r="G11" s="237" t="s">
        <v>121</v>
      </c>
      <c r="H11" s="59" t="s">
        <v>126</v>
      </c>
      <c r="I11" s="65"/>
      <c r="J11" s="237" t="s">
        <v>132</v>
      </c>
      <c r="K11" s="237" t="s">
        <v>3</v>
      </c>
      <c r="L11" s="59" t="s">
        <v>6</v>
      </c>
      <c r="M11" s="58" t="s">
        <v>202</v>
      </c>
      <c r="N11" s="130"/>
      <c r="O11" s="172"/>
      <c r="P11" s="172"/>
      <c r="Q11" s="237" t="s">
        <v>140</v>
      </c>
      <c r="R11" s="78"/>
      <c r="S11" s="78"/>
      <c r="T11" s="58" t="s">
        <v>208</v>
      </c>
      <c r="U11" s="237">
        <v>2026</v>
      </c>
      <c r="V11" s="88">
        <v>46022</v>
      </c>
      <c r="W11" s="78"/>
      <c r="X11" s="88">
        <v>46024</v>
      </c>
      <c r="Y11" s="131">
        <v>113142.48</v>
      </c>
      <c r="Z11" s="131">
        <v>0</v>
      </c>
      <c r="AA11" s="131">
        <f t="shared" si="0"/>
        <v>113142.48</v>
      </c>
      <c r="AB11" s="131">
        <v>0</v>
      </c>
      <c r="AC11" s="131">
        <f t="shared" si="1"/>
        <v>113142.48</v>
      </c>
      <c r="AD11" s="131">
        <f t="shared" si="2"/>
        <v>113142.48</v>
      </c>
      <c r="AE11" s="173" t="s">
        <v>102</v>
      </c>
      <c r="AF11" s="173"/>
      <c r="AG11" s="173"/>
      <c r="AH11" s="174"/>
      <c r="AI11" s="175"/>
      <c r="AJ11" s="174"/>
      <c r="AK11" s="176"/>
      <c r="AL11" s="174"/>
      <c r="AM11" s="177" t="s">
        <v>204</v>
      </c>
      <c r="AN11" s="243" t="s">
        <v>178</v>
      </c>
      <c r="AO11" s="178"/>
      <c r="AP11" s="179"/>
      <c r="AQ11" s="179"/>
      <c r="AR11" s="24"/>
      <c r="AS11" s="179"/>
    </row>
    <row r="12" spans="1:46" ht="30" customHeight="1" x14ac:dyDescent="0.35">
      <c r="A12" s="38">
        <v>2026</v>
      </c>
      <c r="B12" s="59" t="s">
        <v>63</v>
      </c>
      <c r="C12" s="58" t="s">
        <v>200</v>
      </c>
      <c r="D12" s="237" t="s">
        <v>114</v>
      </c>
      <c r="E12" s="180"/>
      <c r="F12" s="58" t="s">
        <v>209</v>
      </c>
      <c r="G12" s="237" t="s">
        <v>121</v>
      </c>
      <c r="H12" s="59" t="s">
        <v>126</v>
      </c>
      <c r="I12" s="65"/>
      <c r="J12" s="237" t="s">
        <v>132</v>
      </c>
      <c r="K12" s="237" t="s">
        <v>3</v>
      </c>
      <c r="L12" s="59" t="s">
        <v>6</v>
      </c>
      <c r="M12" s="58" t="s">
        <v>202</v>
      </c>
      <c r="N12" s="130"/>
      <c r="O12" s="172"/>
      <c r="P12" s="172"/>
      <c r="Q12" s="237" t="s">
        <v>140</v>
      </c>
      <c r="R12" s="78"/>
      <c r="S12" s="78"/>
      <c r="T12" s="58" t="s">
        <v>208</v>
      </c>
      <c r="U12" s="237">
        <v>2026</v>
      </c>
      <c r="V12" s="88">
        <v>46022</v>
      </c>
      <c r="W12" s="78"/>
      <c r="X12" s="88">
        <v>46024</v>
      </c>
      <c r="Y12" s="131">
        <v>113142.48</v>
      </c>
      <c r="Z12" s="131">
        <v>0</v>
      </c>
      <c r="AA12" s="131">
        <f t="shared" si="0"/>
        <v>113142.48</v>
      </c>
      <c r="AB12" s="131">
        <v>0</v>
      </c>
      <c r="AC12" s="131">
        <f t="shared" si="1"/>
        <v>113142.48</v>
      </c>
      <c r="AD12" s="131">
        <f t="shared" si="2"/>
        <v>113142.48</v>
      </c>
      <c r="AE12" s="173" t="s">
        <v>102</v>
      </c>
      <c r="AF12" s="173"/>
      <c r="AG12" s="173"/>
      <c r="AH12" s="174"/>
      <c r="AI12" s="175"/>
      <c r="AJ12" s="174"/>
      <c r="AK12" s="176"/>
      <c r="AL12" s="174"/>
      <c r="AM12" s="177" t="s">
        <v>204</v>
      </c>
      <c r="AN12" s="243" t="s">
        <v>178</v>
      </c>
      <c r="AO12" s="178"/>
      <c r="AP12" s="179"/>
      <c r="AQ12" s="179"/>
      <c r="AR12" s="24"/>
      <c r="AS12" s="179"/>
    </row>
    <row r="13" spans="1:46" ht="30" customHeight="1" x14ac:dyDescent="0.35">
      <c r="A13" s="38">
        <v>2026</v>
      </c>
      <c r="B13" s="59" t="s">
        <v>63</v>
      </c>
      <c r="C13" s="58" t="s">
        <v>200</v>
      </c>
      <c r="D13" s="237" t="s">
        <v>114</v>
      </c>
      <c r="E13" s="180"/>
      <c r="F13" s="58" t="s">
        <v>210</v>
      </c>
      <c r="G13" s="237" t="s">
        <v>121</v>
      </c>
      <c r="H13" s="59" t="s">
        <v>126</v>
      </c>
      <c r="I13" s="65"/>
      <c r="J13" s="237" t="s">
        <v>132</v>
      </c>
      <c r="K13" s="237" t="s">
        <v>3</v>
      </c>
      <c r="L13" s="59" t="s">
        <v>6</v>
      </c>
      <c r="M13" s="58" t="s">
        <v>202</v>
      </c>
      <c r="N13" s="130"/>
      <c r="O13" s="172"/>
      <c r="P13" s="172"/>
      <c r="Q13" s="237" t="s">
        <v>140</v>
      </c>
      <c r="R13" s="78"/>
      <c r="S13" s="78"/>
      <c r="T13" s="58" t="s">
        <v>211</v>
      </c>
      <c r="U13" s="237">
        <v>2026</v>
      </c>
      <c r="V13" s="88">
        <v>46022</v>
      </c>
      <c r="W13" s="78"/>
      <c r="X13" s="88">
        <v>46024</v>
      </c>
      <c r="Y13" s="131">
        <v>113142.48</v>
      </c>
      <c r="Z13" s="131">
        <v>0</v>
      </c>
      <c r="AA13" s="131">
        <f t="shared" si="0"/>
        <v>113142.48</v>
      </c>
      <c r="AB13" s="131">
        <v>0</v>
      </c>
      <c r="AC13" s="131">
        <f t="shared" si="1"/>
        <v>113142.48</v>
      </c>
      <c r="AD13" s="131">
        <f t="shared" si="2"/>
        <v>113142.48</v>
      </c>
      <c r="AE13" s="173" t="s">
        <v>102</v>
      </c>
      <c r="AF13" s="173"/>
      <c r="AG13" s="173"/>
      <c r="AH13" s="174"/>
      <c r="AI13" s="175"/>
      <c r="AJ13" s="174"/>
      <c r="AK13" s="176"/>
      <c r="AL13" s="174"/>
      <c r="AM13" s="177" t="s">
        <v>204</v>
      </c>
      <c r="AN13" s="243" t="s">
        <v>178</v>
      </c>
      <c r="AO13" s="178"/>
      <c r="AP13" s="179"/>
      <c r="AQ13" s="179"/>
      <c r="AR13" s="24"/>
      <c r="AS13" s="179"/>
    </row>
    <row r="14" spans="1:46" ht="30" customHeight="1" x14ac:dyDescent="0.35">
      <c r="A14" s="38">
        <v>2026</v>
      </c>
      <c r="B14" s="59" t="s">
        <v>63</v>
      </c>
      <c r="C14" s="58" t="s">
        <v>200</v>
      </c>
      <c r="D14" s="237" t="s">
        <v>114</v>
      </c>
      <c r="E14" s="180"/>
      <c r="F14" s="58" t="s">
        <v>212</v>
      </c>
      <c r="G14" s="237" t="s">
        <v>121</v>
      </c>
      <c r="H14" s="59" t="s">
        <v>126</v>
      </c>
      <c r="I14" s="65"/>
      <c r="J14" s="237" t="s">
        <v>132</v>
      </c>
      <c r="K14" s="237" t="s">
        <v>3</v>
      </c>
      <c r="L14" s="59" t="s">
        <v>6</v>
      </c>
      <c r="M14" s="58" t="s">
        <v>202</v>
      </c>
      <c r="N14" s="130"/>
      <c r="O14" s="172"/>
      <c r="P14" s="172"/>
      <c r="Q14" s="237" t="s">
        <v>140</v>
      </c>
      <c r="R14" s="78"/>
      <c r="S14" s="78"/>
      <c r="T14" s="58" t="s">
        <v>213</v>
      </c>
      <c r="U14" s="237">
        <v>2026</v>
      </c>
      <c r="V14" s="88">
        <v>46022</v>
      </c>
      <c r="W14" s="78"/>
      <c r="X14" s="88">
        <v>46024</v>
      </c>
      <c r="Y14" s="131">
        <v>113142.48</v>
      </c>
      <c r="Z14" s="131">
        <v>0</v>
      </c>
      <c r="AA14" s="131">
        <f t="shared" si="0"/>
        <v>113142.48</v>
      </c>
      <c r="AB14" s="131">
        <v>0</v>
      </c>
      <c r="AC14" s="131">
        <f t="shared" si="1"/>
        <v>113142.48</v>
      </c>
      <c r="AD14" s="131">
        <f t="shared" si="2"/>
        <v>113142.48</v>
      </c>
      <c r="AE14" s="173" t="s">
        <v>102</v>
      </c>
      <c r="AF14" s="173"/>
      <c r="AG14" s="173"/>
      <c r="AH14" s="174"/>
      <c r="AI14" s="175"/>
      <c r="AJ14" s="174"/>
      <c r="AK14" s="176"/>
      <c r="AL14" s="174"/>
      <c r="AM14" s="177" t="s">
        <v>204</v>
      </c>
      <c r="AN14" s="243" t="s">
        <v>178</v>
      </c>
      <c r="AO14" s="178"/>
      <c r="AP14" s="179"/>
      <c r="AQ14" s="179"/>
      <c r="AR14" s="24"/>
      <c r="AS14" s="179"/>
    </row>
    <row r="15" spans="1:46" ht="30" customHeight="1" x14ac:dyDescent="0.35">
      <c r="A15" s="38">
        <v>2026</v>
      </c>
      <c r="B15" s="59" t="s">
        <v>63</v>
      </c>
      <c r="C15" s="58" t="s">
        <v>200</v>
      </c>
      <c r="D15" s="237" t="s">
        <v>114</v>
      </c>
      <c r="E15" s="180"/>
      <c r="F15" s="58" t="s">
        <v>214</v>
      </c>
      <c r="G15" s="237" t="s">
        <v>121</v>
      </c>
      <c r="H15" s="59" t="s">
        <v>126</v>
      </c>
      <c r="I15" s="65"/>
      <c r="J15" s="237" t="s">
        <v>132</v>
      </c>
      <c r="K15" s="237" t="s">
        <v>3</v>
      </c>
      <c r="L15" s="59" t="s">
        <v>6</v>
      </c>
      <c r="M15" s="58" t="s">
        <v>202</v>
      </c>
      <c r="N15" s="130"/>
      <c r="O15" s="172"/>
      <c r="P15" s="172"/>
      <c r="Q15" s="237" t="s">
        <v>140</v>
      </c>
      <c r="R15" s="78"/>
      <c r="S15" s="78"/>
      <c r="T15" s="58" t="s">
        <v>215</v>
      </c>
      <c r="U15" s="237">
        <v>2026</v>
      </c>
      <c r="V15" s="88">
        <v>46022</v>
      </c>
      <c r="W15" s="78"/>
      <c r="X15" s="88">
        <v>46024</v>
      </c>
      <c r="Y15" s="131">
        <v>113142.48</v>
      </c>
      <c r="Z15" s="131">
        <v>0</v>
      </c>
      <c r="AA15" s="131">
        <f t="shared" si="0"/>
        <v>113142.48</v>
      </c>
      <c r="AB15" s="131">
        <v>0</v>
      </c>
      <c r="AC15" s="131">
        <f t="shared" si="1"/>
        <v>113142.48</v>
      </c>
      <c r="AD15" s="131">
        <f t="shared" si="2"/>
        <v>113142.48</v>
      </c>
      <c r="AE15" s="173" t="s">
        <v>102</v>
      </c>
      <c r="AF15" s="173"/>
      <c r="AG15" s="173"/>
      <c r="AH15" s="174"/>
      <c r="AI15" s="175"/>
      <c r="AJ15" s="174"/>
      <c r="AK15" s="176"/>
      <c r="AL15" s="174"/>
      <c r="AM15" s="177" t="s">
        <v>204</v>
      </c>
      <c r="AN15" s="243" t="s">
        <v>178</v>
      </c>
      <c r="AO15" s="178"/>
      <c r="AP15" s="179"/>
      <c r="AQ15" s="179"/>
      <c r="AR15" s="24"/>
      <c r="AS15" s="179"/>
    </row>
    <row r="16" spans="1:46" ht="30" customHeight="1" x14ac:dyDescent="0.35">
      <c r="A16" s="38">
        <v>2026</v>
      </c>
      <c r="B16" s="59" t="s">
        <v>63</v>
      </c>
      <c r="C16" s="58" t="s">
        <v>200</v>
      </c>
      <c r="D16" s="237" t="s">
        <v>114</v>
      </c>
      <c r="E16" s="105">
        <v>44</v>
      </c>
      <c r="F16" s="58" t="s">
        <v>216</v>
      </c>
      <c r="G16" s="237" t="s">
        <v>121</v>
      </c>
      <c r="H16" s="59" t="s">
        <v>126</v>
      </c>
      <c r="I16" s="65"/>
      <c r="J16" s="237" t="s">
        <v>132</v>
      </c>
      <c r="K16" s="237" t="s">
        <v>3</v>
      </c>
      <c r="L16" s="59" t="s">
        <v>6</v>
      </c>
      <c r="M16" s="58" t="s">
        <v>202</v>
      </c>
      <c r="N16" s="130"/>
      <c r="O16" s="172"/>
      <c r="P16" s="172"/>
      <c r="Q16" s="237" t="s">
        <v>140</v>
      </c>
      <c r="R16" s="78"/>
      <c r="S16" s="78"/>
      <c r="T16" s="58" t="s">
        <v>217</v>
      </c>
      <c r="U16" s="237">
        <v>2026</v>
      </c>
      <c r="V16" s="88">
        <v>46022</v>
      </c>
      <c r="W16" s="78"/>
      <c r="X16" s="88">
        <v>46024</v>
      </c>
      <c r="Y16" s="131">
        <v>113142.48</v>
      </c>
      <c r="Z16" s="131">
        <v>0</v>
      </c>
      <c r="AA16" s="131">
        <f t="shared" si="0"/>
        <v>113142.48</v>
      </c>
      <c r="AB16" s="131">
        <v>0</v>
      </c>
      <c r="AC16" s="131">
        <f t="shared" si="1"/>
        <v>113142.48</v>
      </c>
      <c r="AD16" s="131">
        <f t="shared" si="2"/>
        <v>113142.48</v>
      </c>
      <c r="AE16" s="173" t="s">
        <v>102</v>
      </c>
      <c r="AF16" s="173"/>
      <c r="AG16" s="173"/>
      <c r="AH16" s="174"/>
      <c r="AI16" s="175"/>
      <c r="AJ16" s="174"/>
      <c r="AK16" s="176"/>
      <c r="AL16" s="174"/>
      <c r="AM16" s="177" t="s">
        <v>204</v>
      </c>
      <c r="AN16" s="243" t="s">
        <v>178</v>
      </c>
      <c r="AO16" s="178"/>
      <c r="AP16" s="179"/>
      <c r="AQ16" s="179"/>
      <c r="AR16" s="24"/>
      <c r="AS16" s="179"/>
    </row>
    <row r="17" spans="1:45" ht="30" customHeight="1" x14ac:dyDescent="0.35">
      <c r="A17" s="38">
        <v>2026</v>
      </c>
      <c r="B17" s="59" t="s">
        <v>63</v>
      </c>
      <c r="C17" s="58" t="s">
        <v>200</v>
      </c>
      <c r="D17" s="237" t="s">
        <v>114</v>
      </c>
      <c r="E17" s="105">
        <v>45</v>
      </c>
      <c r="F17" s="58" t="s">
        <v>218</v>
      </c>
      <c r="G17" s="237" t="s">
        <v>121</v>
      </c>
      <c r="H17" s="59" t="s">
        <v>126</v>
      </c>
      <c r="I17" s="65"/>
      <c r="J17" s="237" t="s">
        <v>132</v>
      </c>
      <c r="K17" s="237" t="s">
        <v>3</v>
      </c>
      <c r="L17" s="59" t="s">
        <v>6</v>
      </c>
      <c r="M17" s="58" t="s">
        <v>202</v>
      </c>
      <c r="N17" s="130"/>
      <c r="O17" s="172"/>
      <c r="P17" s="172"/>
      <c r="Q17" s="237" t="s">
        <v>140</v>
      </c>
      <c r="R17" s="78"/>
      <c r="S17" s="78"/>
      <c r="T17" s="58" t="s">
        <v>219</v>
      </c>
      <c r="U17" s="237">
        <v>2026</v>
      </c>
      <c r="V17" s="88">
        <v>46022</v>
      </c>
      <c r="W17" s="78"/>
      <c r="X17" s="88">
        <v>46024</v>
      </c>
      <c r="Y17" s="131">
        <v>113142.48</v>
      </c>
      <c r="Z17" s="131">
        <v>0</v>
      </c>
      <c r="AA17" s="131">
        <f t="shared" si="0"/>
        <v>113142.48</v>
      </c>
      <c r="AB17" s="131">
        <v>0</v>
      </c>
      <c r="AC17" s="131">
        <f t="shared" si="1"/>
        <v>113142.48</v>
      </c>
      <c r="AD17" s="131">
        <f t="shared" si="2"/>
        <v>113142.48</v>
      </c>
      <c r="AE17" s="173" t="s">
        <v>102</v>
      </c>
      <c r="AF17" s="173"/>
      <c r="AG17" s="173"/>
      <c r="AH17" s="174"/>
      <c r="AI17" s="175"/>
      <c r="AJ17" s="174"/>
      <c r="AK17" s="176"/>
      <c r="AL17" s="174"/>
      <c r="AM17" s="177" t="s">
        <v>204</v>
      </c>
      <c r="AN17" s="243" t="s">
        <v>178</v>
      </c>
      <c r="AO17" s="178"/>
      <c r="AP17" s="179"/>
      <c r="AQ17" s="179"/>
      <c r="AR17" s="24"/>
      <c r="AS17" s="179"/>
    </row>
    <row r="18" spans="1:45" ht="30" customHeight="1" x14ac:dyDescent="0.35">
      <c r="A18" s="38">
        <v>2026</v>
      </c>
      <c r="B18" s="59" t="s">
        <v>63</v>
      </c>
      <c r="C18" s="58" t="s">
        <v>200</v>
      </c>
      <c r="D18" s="237" t="s">
        <v>114</v>
      </c>
      <c r="E18" s="180"/>
      <c r="F18" s="58" t="s">
        <v>220</v>
      </c>
      <c r="G18" s="237" t="s">
        <v>121</v>
      </c>
      <c r="H18" s="59" t="s">
        <v>126</v>
      </c>
      <c r="I18" s="65"/>
      <c r="J18" s="237" t="s">
        <v>132</v>
      </c>
      <c r="K18" s="237" t="s">
        <v>3</v>
      </c>
      <c r="L18" s="59" t="s">
        <v>6</v>
      </c>
      <c r="M18" s="58" t="s">
        <v>202</v>
      </c>
      <c r="N18" s="130"/>
      <c r="O18" s="172"/>
      <c r="P18" s="172"/>
      <c r="Q18" s="237" t="s">
        <v>140</v>
      </c>
      <c r="R18" s="78"/>
      <c r="S18" s="78"/>
      <c r="T18" s="58" t="s">
        <v>221</v>
      </c>
      <c r="U18" s="237">
        <v>2026</v>
      </c>
      <c r="V18" s="88">
        <v>46022</v>
      </c>
      <c r="W18" s="78"/>
      <c r="X18" s="88">
        <v>46024</v>
      </c>
      <c r="Y18" s="131">
        <v>113142.48</v>
      </c>
      <c r="Z18" s="131">
        <v>0</v>
      </c>
      <c r="AA18" s="131">
        <f t="shared" si="0"/>
        <v>113142.48</v>
      </c>
      <c r="AB18" s="131">
        <v>0</v>
      </c>
      <c r="AC18" s="131">
        <f t="shared" si="1"/>
        <v>113142.48</v>
      </c>
      <c r="AD18" s="131">
        <f t="shared" si="2"/>
        <v>113142.48</v>
      </c>
      <c r="AE18" s="173" t="s">
        <v>102</v>
      </c>
      <c r="AF18" s="173"/>
      <c r="AG18" s="173"/>
      <c r="AH18" s="174"/>
      <c r="AI18" s="175"/>
      <c r="AJ18" s="174"/>
      <c r="AK18" s="176"/>
      <c r="AL18" s="174"/>
      <c r="AM18" s="177" t="s">
        <v>204</v>
      </c>
      <c r="AN18" s="243" t="s">
        <v>178</v>
      </c>
      <c r="AO18" s="178"/>
      <c r="AP18" s="179"/>
      <c r="AQ18" s="179"/>
      <c r="AR18" s="24"/>
      <c r="AS18" s="179"/>
    </row>
    <row r="19" spans="1:45" ht="30" customHeight="1" x14ac:dyDescent="0.35">
      <c r="A19" s="38">
        <v>2026</v>
      </c>
      <c r="B19" s="59" t="s">
        <v>63</v>
      </c>
      <c r="C19" s="58" t="s">
        <v>200</v>
      </c>
      <c r="D19" s="237" t="s">
        <v>114</v>
      </c>
      <c r="E19" s="180"/>
      <c r="F19" s="58" t="s">
        <v>222</v>
      </c>
      <c r="G19" s="237" t="s">
        <v>121</v>
      </c>
      <c r="H19" s="59" t="s">
        <v>126</v>
      </c>
      <c r="I19" s="65"/>
      <c r="J19" s="237" t="s">
        <v>132</v>
      </c>
      <c r="K19" s="237" t="s">
        <v>3</v>
      </c>
      <c r="L19" s="59" t="s">
        <v>6</v>
      </c>
      <c r="M19" s="58" t="s">
        <v>202</v>
      </c>
      <c r="N19" s="130"/>
      <c r="O19" s="172"/>
      <c r="P19" s="172"/>
      <c r="Q19" s="237" t="s">
        <v>140</v>
      </c>
      <c r="R19" s="78"/>
      <c r="S19" s="78"/>
      <c r="T19" s="58" t="s">
        <v>223</v>
      </c>
      <c r="U19" s="237">
        <v>2026</v>
      </c>
      <c r="V19" s="88">
        <v>46022</v>
      </c>
      <c r="W19" s="78"/>
      <c r="X19" s="88">
        <v>46024</v>
      </c>
      <c r="Y19" s="131">
        <v>113142.48</v>
      </c>
      <c r="Z19" s="131">
        <v>0</v>
      </c>
      <c r="AA19" s="131">
        <f t="shared" si="0"/>
        <v>113142.48</v>
      </c>
      <c r="AB19" s="131">
        <v>0</v>
      </c>
      <c r="AC19" s="131">
        <f t="shared" si="1"/>
        <v>113142.48</v>
      </c>
      <c r="AD19" s="131">
        <f t="shared" si="2"/>
        <v>113142.48</v>
      </c>
      <c r="AE19" s="173" t="s">
        <v>102</v>
      </c>
      <c r="AF19" s="173"/>
      <c r="AG19" s="173"/>
      <c r="AH19" s="174"/>
      <c r="AI19" s="175"/>
      <c r="AJ19" s="174"/>
      <c r="AK19" s="176"/>
      <c r="AL19" s="174"/>
      <c r="AM19" s="177" t="s">
        <v>204</v>
      </c>
      <c r="AN19" s="243" t="s">
        <v>178</v>
      </c>
      <c r="AO19" s="178"/>
      <c r="AP19" s="179"/>
      <c r="AQ19" s="179"/>
      <c r="AR19" s="24"/>
      <c r="AS19" s="179"/>
    </row>
    <row r="20" spans="1:45" ht="30" customHeight="1" x14ac:dyDescent="0.35">
      <c r="A20" s="38">
        <v>2026</v>
      </c>
      <c r="B20" s="59" t="s">
        <v>63</v>
      </c>
      <c r="C20" s="58" t="s">
        <v>200</v>
      </c>
      <c r="D20" s="237" t="s">
        <v>114</v>
      </c>
      <c r="E20" s="180"/>
      <c r="F20" s="58" t="s">
        <v>224</v>
      </c>
      <c r="G20" s="237" t="s">
        <v>121</v>
      </c>
      <c r="H20" s="59" t="s">
        <v>126</v>
      </c>
      <c r="I20" s="65"/>
      <c r="J20" s="237" t="s">
        <v>132</v>
      </c>
      <c r="K20" s="237" t="s">
        <v>3</v>
      </c>
      <c r="L20" s="59" t="s">
        <v>6</v>
      </c>
      <c r="M20" s="58" t="s">
        <v>202</v>
      </c>
      <c r="N20" s="130"/>
      <c r="O20" s="172"/>
      <c r="P20" s="172"/>
      <c r="Q20" s="237" t="s">
        <v>140</v>
      </c>
      <c r="R20" s="78"/>
      <c r="S20" s="78"/>
      <c r="T20" s="58" t="s">
        <v>225</v>
      </c>
      <c r="U20" s="237">
        <v>2026</v>
      </c>
      <c r="V20" s="88">
        <v>46022</v>
      </c>
      <c r="W20" s="78"/>
      <c r="X20" s="88">
        <v>46024</v>
      </c>
      <c r="Y20" s="131">
        <v>113142.48</v>
      </c>
      <c r="Z20" s="131">
        <v>0</v>
      </c>
      <c r="AA20" s="131">
        <f t="shared" si="0"/>
        <v>113142.48</v>
      </c>
      <c r="AB20" s="131">
        <v>0</v>
      </c>
      <c r="AC20" s="131">
        <f t="shared" si="1"/>
        <v>113142.48</v>
      </c>
      <c r="AD20" s="131">
        <f t="shared" si="2"/>
        <v>113142.48</v>
      </c>
      <c r="AE20" s="173" t="s">
        <v>102</v>
      </c>
      <c r="AF20" s="173"/>
      <c r="AG20" s="173"/>
      <c r="AH20" s="174"/>
      <c r="AI20" s="175"/>
      <c r="AJ20" s="174"/>
      <c r="AK20" s="176"/>
      <c r="AL20" s="174"/>
      <c r="AM20" s="177" t="s">
        <v>204</v>
      </c>
      <c r="AN20" s="243" t="s">
        <v>178</v>
      </c>
      <c r="AO20" s="178"/>
      <c r="AP20" s="179"/>
      <c r="AQ20" s="179"/>
      <c r="AR20" s="24"/>
      <c r="AS20" s="179"/>
    </row>
    <row r="21" spans="1:45" ht="30" customHeight="1" x14ac:dyDescent="0.35">
      <c r="A21" s="38">
        <v>2026</v>
      </c>
      <c r="B21" s="59" t="s">
        <v>63</v>
      </c>
      <c r="C21" s="58" t="s">
        <v>200</v>
      </c>
      <c r="D21" s="237" t="s">
        <v>114</v>
      </c>
      <c r="E21" s="180"/>
      <c r="F21" s="58" t="s">
        <v>226</v>
      </c>
      <c r="G21" s="237" t="s">
        <v>121</v>
      </c>
      <c r="H21" s="59" t="s">
        <v>126</v>
      </c>
      <c r="I21" s="65"/>
      <c r="J21" s="237" t="s">
        <v>132</v>
      </c>
      <c r="K21" s="237" t="s">
        <v>3</v>
      </c>
      <c r="L21" s="59" t="s">
        <v>6</v>
      </c>
      <c r="M21" s="58" t="s">
        <v>202</v>
      </c>
      <c r="N21" s="130"/>
      <c r="O21" s="172"/>
      <c r="P21" s="172"/>
      <c r="Q21" s="237" t="s">
        <v>140</v>
      </c>
      <c r="R21" s="78"/>
      <c r="S21" s="78"/>
      <c r="T21" s="58" t="s">
        <v>227</v>
      </c>
      <c r="U21" s="237">
        <v>2026</v>
      </c>
      <c r="V21" s="88">
        <v>46022</v>
      </c>
      <c r="W21" s="78"/>
      <c r="X21" s="88">
        <v>46024</v>
      </c>
      <c r="Y21" s="131">
        <v>113142.48</v>
      </c>
      <c r="Z21" s="131">
        <v>0</v>
      </c>
      <c r="AA21" s="131">
        <f t="shared" si="0"/>
        <v>113142.48</v>
      </c>
      <c r="AB21" s="131">
        <v>0</v>
      </c>
      <c r="AC21" s="131">
        <f t="shared" si="1"/>
        <v>113142.48</v>
      </c>
      <c r="AD21" s="131">
        <f t="shared" si="2"/>
        <v>113142.48</v>
      </c>
      <c r="AE21" s="173" t="s">
        <v>102</v>
      </c>
      <c r="AF21" s="173"/>
      <c r="AG21" s="173"/>
      <c r="AH21" s="174"/>
      <c r="AI21" s="175"/>
      <c r="AJ21" s="174"/>
      <c r="AK21" s="176"/>
      <c r="AL21" s="174"/>
      <c r="AM21" s="177" t="s">
        <v>204</v>
      </c>
      <c r="AN21" s="243" t="s">
        <v>178</v>
      </c>
      <c r="AO21" s="178"/>
      <c r="AP21" s="179"/>
      <c r="AQ21" s="179"/>
      <c r="AR21" s="24"/>
      <c r="AS21" s="179"/>
    </row>
    <row r="22" spans="1:45" ht="30" customHeight="1" x14ac:dyDescent="0.35">
      <c r="A22" s="38">
        <v>2026</v>
      </c>
      <c r="B22" s="59" t="s">
        <v>63</v>
      </c>
      <c r="C22" s="58" t="s">
        <v>200</v>
      </c>
      <c r="D22" s="237" t="s">
        <v>114</v>
      </c>
      <c r="E22" s="180"/>
      <c r="F22" s="58" t="s">
        <v>228</v>
      </c>
      <c r="G22" s="237" t="s">
        <v>121</v>
      </c>
      <c r="H22" s="59" t="s">
        <v>126</v>
      </c>
      <c r="I22" s="65"/>
      <c r="J22" s="237" t="s">
        <v>132</v>
      </c>
      <c r="K22" s="237" t="s">
        <v>3</v>
      </c>
      <c r="L22" s="59" t="s">
        <v>6</v>
      </c>
      <c r="M22" s="58" t="s">
        <v>202</v>
      </c>
      <c r="N22" s="130"/>
      <c r="O22" s="172"/>
      <c r="P22" s="172"/>
      <c r="Q22" s="237" t="s">
        <v>140</v>
      </c>
      <c r="R22" s="78"/>
      <c r="S22" s="78"/>
      <c r="T22" s="58" t="s">
        <v>229</v>
      </c>
      <c r="U22" s="237">
        <v>2026</v>
      </c>
      <c r="V22" s="88">
        <v>46022</v>
      </c>
      <c r="W22" s="78"/>
      <c r="X22" s="88">
        <v>46024</v>
      </c>
      <c r="Y22" s="131">
        <v>113142.48</v>
      </c>
      <c r="Z22" s="131">
        <v>0</v>
      </c>
      <c r="AA22" s="131">
        <f t="shared" si="0"/>
        <v>113142.48</v>
      </c>
      <c r="AB22" s="131">
        <v>0</v>
      </c>
      <c r="AC22" s="131">
        <f t="shared" si="1"/>
        <v>113142.48</v>
      </c>
      <c r="AD22" s="131">
        <f t="shared" si="2"/>
        <v>113142.48</v>
      </c>
      <c r="AE22" s="173" t="s">
        <v>102</v>
      </c>
      <c r="AF22" s="173"/>
      <c r="AG22" s="173"/>
      <c r="AH22" s="174"/>
      <c r="AI22" s="175"/>
      <c r="AJ22" s="174"/>
      <c r="AK22" s="176"/>
      <c r="AL22" s="174"/>
      <c r="AM22" s="177" t="s">
        <v>204</v>
      </c>
      <c r="AN22" s="243" t="s">
        <v>178</v>
      </c>
      <c r="AO22" s="178"/>
      <c r="AP22" s="179"/>
      <c r="AQ22" s="179"/>
      <c r="AR22" s="24"/>
      <c r="AS22" s="179"/>
    </row>
    <row r="23" spans="1:45" ht="30" customHeight="1" x14ac:dyDescent="0.35">
      <c r="A23" s="38">
        <v>2026</v>
      </c>
      <c r="B23" s="59" t="s">
        <v>63</v>
      </c>
      <c r="C23" s="58" t="s">
        <v>200</v>
      </c>
      <c r="D23" s="237" t="s">
        <v>114</v>
      </c>
      <c r="E23" s="180"/>
      <c r="F23" s="58" t="s">
        <v>230</v>
      </c>
      <c r="G23" s="237" t="s">
        <v>121</v>
      </c>
      <c r="H23" s="59" t="s">
        <v>126</v>
      </c>
      <c r="I23" s="65"/>
      <c r="J23" s="237" t="s">
        <v>132</v>
      </c>
      <c r="K23" s="237" t="s">
        <v>3</v>
      </c>
      <c r="L23" s="59" t="s">
        <v>6</v>
      </c>
      <c r="M23" s="58" t="s">
        <v>202</v>
      </c>
      <c r="N23" s="130"/>
      <c r="O23" s="172"/>
      <c r="P23" s="172"/>
      <c r="Q23" s="237" t="s">
        <v>140</v>
      </c>
      <c r="R23" s="78"/>
      <c r="S23" s="78"/>
      <c r="T23" s="58" t="s">
        <v>231</v>
      </c>
      <c r="U23" s="237">
        <v>2026</v>
      </c>
      <c r="V23" s="88">
        <v>46022</v>
      </c>
      <c r="W23" s="78"/>
      <c r="X23" s="88">
        <v>46024</v>
      </c>
      <c r="Y23" s="131">
        <v>156000</v>
      </c>
      <c r="Z23" s="131"/>
      <c r="AA23" s="131">
        <f t="shared" si="0"/>
        <v>156000</v>
      </c>
      <c r="AB23" s="131"/>
      <c r="AC23" s="131">
        <f t="shared" si="1"/>
        <v>156000</v>
      </c>
      <c r="AD23" s="131">
        <f t="shared" si="2"/>
        <v>156000</v>
      </c>
      <c r="AE23" s="173" t="s">
        <v>102</v>
      </c>
      <c r="AF23" s="173"/>
      <c r="AG23" s="173"/>
      <c r="AH23" s="174"/>
      <c r="AI23" s="175"/>
      <c r="AJ23" s="174"/>
      <c r="AK23" s="176"/>
      <c r="AL23" s="174"/>
      <c r="AM23" s="177" t="s">
        <v>204</v>
      </c>
      <c r="AN23" s="243" t="s">
        <v>178</v>
      </c>
      <c r="AO23" s="178"/>
      <c r="AP23" s="179"/>
      <c r="AQ23" s="179"/>
      <c r="AR23" s="24"/>
      <c r="AS23" s="179"/>
    </row>
    <row r="24" spans="1:45" ht="30" customHeight="1" x14ac:dyDescent="0.35">
      <c r="A24" s="38">
        <v>2026</v>
      </c>
      <c r="B24" s="59" t="s">
        <v>63</v>
      </c>
      <c r="C24" s="58" t="s">
        <v>200</v>
      </c>
      <c r="D24" s="237" t="s">
        <v>114</v>
      </c>
      <c r="E24" s="180"/>
      <c r="F24" s="58" t="s">
        <v>232</v>
      </c>
      <c r="G24" s="237" t="s">
        <v>121</v>
      </c>
      <c r="H24" s="59" t="s">
        <v>126</v>
      </c>
      <c r="I24" s="65"/>
      <c r="J24" s="237" t="s">
        <v>132</v>
      </c>
      <c r="K24" s="237" t="s">
        <v>3</v>
      </c>
      <c r="L24" s="59" t="s">
        <v>6</v>
      </c>
      <c r="M24" s="58" t="s">
        <v>202</v>
      </c>
      <c r="N24" s="130"/>
      <c r="O24" s="172"/>
      <c r="P24" s="172"/>
      <c r="Q24" s="237" t="s">
        <v>140</v>
      </c>
      <c r="R24" s="78"/>
      <c r="S24" s="78"/>
      <c r="T24" s="58" t="s">
        <v>233</v>
      </c>
      <c r="U24" s="237">
        <v>2026</v>
      </c>
      <c r="V24" s="88">
        <v>46022</v>
      </c>
      <c r="W24" s="78"/>
      <c r="X24" s="88">
        <v>46024</v>
      </c>
      <c r="Y24" s="131">
        <v>113142.48</v>
      </c>
      <c r="Z24" s="131">
        <v>0</v>
      </c>
      <c r="AA24" s="131">
        <f t="shared" si="0"/>
        <v>113142.48</v>
      </c>
      <c r="AB24" s="131">
        <v>0</v>
      </c>
      <c r="AC24" s="131">
        <f t="shared" si="1"/>
        <v>113142.48</v>
      </c>
      <c r="AD24" s="131">
        <f t="shared" si="2"/>
        <v>113142.48</v>
      </c>
      <c r="AE24" s="173" t="s">
        <v>102</v>
      </c>
      <c r="AF24" s="173"/>
      <c r="AG24" s="173"/>
      <c r="AH24" s="174"/>
      <c r="AI24" s="175"/>
      <c r="AJ24" s="174"/>
      <c r="AK24" s="176"/>
      <c r="AL24" s="174"/>
      <c r="AM24" s="177" t="s">
        <v>204</v>
      </c>
      <c r="AN24" s="243" t="s">
        <v>178</v>
      </c>
      <c r="AO24" s="178"/>
      <c r="AP24" s="179"/>
      <c r="AQ24" s="179"/>
      <c r="AR24" s="24"/>
      <c r="AS24" s="179"/>
    </row>
    <row r="25" spans="1:45" ht="30" customHeight="1" x14ac:dyDescent="0.35">
      <c r="A25" s="38">
        <v>2026</v>
      </c>
      <c r="B25" s="59" t="s">
        <v>63</v>
      </c>
      <c r="C25" s="58" t="s">
        <v>200</v>
      </c>
      <c r="D25" s="237" t="s">
        <v>114</v>
      </c>
      <c r="E25" s="180"/>
      <c r="F25" s="58" t="s">
        <v>234</v>
      </c>
      <c r="G25" s="237" t="s">
        <v>121</v>
      </c>
      <c r="H25" s="59" t="s">
        <v>126</v>
      </c>
      <c r="I25" s="65"/>
      <c r="J25" s="237" t="s">
        <v>132</v>
      </c>
      <c r="K25" s="237" t="s">
        <v>3</v>
      </c>
      <c r="L25" s="59" t="s">
        <v>6</v>
      </c>
      <c r="M25" s="58" t="s">
        <v>202</v>
      </c>
      <c r="N25" s="130"/>
      <c r="O25" s="172"/>
      <c r="P25" s="172"/>
      <c r="Q25" s="237" t="s">
        <v>140</v>
      </c>
      <c r="R25" s="78"/>
      <c r="S25" s="78"/>
      <c r="T25" s="58" t="s">
        <v>235</v>
      </c>
      <c r="U25" s="237">
        <v>2026</v>
      </c>
      <c r="V25" s="88">
        <v>46022</v>
      </c>
      <c r="W25" s="78"/>
      <c r="X25" s="88">
        <v>46024</v>
      </c>
      <c r="Y25" s="131">
        <v>113142.48</v>
      </c>
      <c r="Z25" s="131">
        <v>0</v>
      </c>
      <c r="AA25" s="131">
        <f t="shared" si="0"/>
        <v>113142.48</v>
      </c>
      <c r="AB25" s="131">
        <v>0</v>
      </c>
      <c r="AC25" s="131">
        <f t="shared" si="1"/>
        <v>113142.48</v>
      </c>
      <c r="AD25" s="131">
        <f t="shared" si="2"/>
        <v>113142.48</v>
      </c>
      <c r="AE25" s="173" t="s">
        <v>102</v>
      </c>
      <c r="AF25" s="173"/>
      <c r="AG25" s="173"/>
      <c r="AH25" s="174"/>
      <c r="AI25" s="175"/>
      <c r="AJ25" s="174"/>
      <c r="AK25" s="176"/>
      <c r="AL25" s="174"/>
      <c r="AM25" s="177" t="s">
        <v>204</v>
      </c>
      <c r="AN25" s="243" t="s">
        <v>178</v>
      </c>
      <c r="AO25" s="178"/>
      <c r="AP25" s="179"/>
      <c r="AQ25" s="179"/>
      <c r="AR25" s="24"/>
      <c r="AS25" s="179"/>
    </row>
    <row r="26" spans="1:45" ht="30" customHeight="1" x14ac:dyDescent="0.35">
      <c r="A26" s="38">
        <v>2026</v>
      </c>
      <c r="B26" s="59" t="s">
        <v>63</v>
      </c>
      <c r="C26" s="58" t="s">
        <v>200</v>
      </c>
      <c r="D26" s="237" t="s">
        <v>114</v>
      </c>
      <c r="E26" s="180"/>
      <c r="F26" s="58" t="s">
        <v>236</v>
      </c>
      <c r="G26" s="237" t="s">
        <v>121</v>
      </c>
      <c r="H26" s="59" t="s">
        <v>126</v>
      </c>
      <c r="I26" s="65"/>
      <c r="J26" s="237" t="s">
        <v>132</v>
      </c>
      <c r="K26" s="237" t="s">
        <v>3</v>
      </c>
      <c r="L26" s="59" t="s">
        <v>6</v>
      </c>
      <c r="M26" s="58" t="s">
        <v>202</v>
      </c>
      <c r="N26" s="130"/>
      <c r="O26" s="172"/>
      <c r="P26" s="172"/>
      <c r="Q26" s="237" t="s">
        <v>140</v>
      </c>
      <c r="R26" s="78"/>
      <c r="S26" s="78"/>
      <c r="T26" s="58" t="s">
        <v>237</v>
      </c>
      <c r="U26" s="237">
        <v>2026</v>
      </c>
      <c r="V26" s="88">
        <v>46022</v>
      </c>
      <c r="W26" s="78"/>
      <c r="X26" s="88">
        <v>46024</v>
      </c>
      <c r="Y26" s="131">
        <v>113142.48</v>
      </c>
      <c r="Z26" s="131">
        <v>0</v>
      </c>
      <c r="AA26" s="131">
        <f t="shared" si="0"/>
        <v>113142.48</v>
      </c>
      <c r="AB26" s="131">
        <v>0</v>
      </c>
      <c r="AC26" s="131">
        <f t="shared" si="1"/>
        <v>113142.48</v>
      </c>
      <c r="AD26" s="131">
        <f t="shared" si="2"/>
        <v>113142.48</v>
      </c>
      <c r="AE26" s="173" t="s">
        <v>102</v>
      </c>
      <c r="AF26" s="173"/>
      <c r="AG26" s="173"/>
      <c r="AH26" s="174"/>
      <c r="AI26" s="175"/>
      <c r="AJ26" s="174"/>
      <c r="AK26" s="176"/>
      <c r="AL26" s="174"/>
      <c r="AM26" s="177" t="s">
        <v>204</v>
      </c>
      <c r="AN26" s="243" t="s">
        <v>178</v>
      </c>
      <c r="AO26" s="178"/>
      <c r="AP26" s="179"/>
      <c r="AQ26" s="179"/>
      <c r="AR26" s="24"/>
      <c r="AS26" s="179"/>
    </row>
    <row r="27" spans="1:45" ht="30" customHeight="1" x14ac:dyDescent="0.35">
      <c r="A27" s="38">
        <v>2026</v>
      </c>
      <c r="B27" s="59" t="s">
        <v>63</v>
      </c>
      <c r="C27" s="58" t="s">
        <v>200</v>
      </c>
      <c r="D27" s="237" t="s">
        <v>114</v>
      </c>
      <c r="E27" s="180"/>
      <c r="F27" s="58" t="s">
        <v>238</v>
      </c>
      <c r="G27" s="237" t="s">
        <v>121</v>
      </c>
      <c r="H27" s="59" t="s">
        <v>126</v>
      </c>
      <c r="I27" s="65"/>
      <c r="J27" s="237" t="s">
        <v>132</v>
      </c>
      <c r="K27" s="237" t="s">
        <v>3</v>
      </c>
      <c r="L27" s="59" t="s">
        <v>6</v>
      </c>
      <c r="M27" s="58" t="s">
        <v>202</v>
      </c>
      <c r="N27" s="130"/>
      <c r="O27" s="172"/>
      <c r="P27" s="172"/>
      <c r="Q27" s="237" t="s">
        <v>140</v>
      </c>
      <c r="R27" s="78"/>
      <c r="S27" s="78"/>
      <c r="T27" s="58" t="s">
        <v>239</v>
      </c>
      <c r="U27" s="237">
        <v>2026</v>
      </c>
      <c r="V27" s="88">
        <v>46022</v>
      </c>
      <c r="W27" s="78"/>
      <c r="X27" s="88">
        <v>46024</v>
      </c>
      <c r="Y27" s="131">
        <v>144000</v>
      </c>
      <c r="Z27" s="131">
        <v>0</v>
      </c>
      <c r="AA27" s="131">
        <f t="shared" si="0"/>
        <v>144000</v>
      </c>
      <c r="AB27" s="131">
        <v>0</v>
      </c>
      <c r="AC27" s="131">
        <f t="shared" si="1"/>
        <v>144000</v>
      </c>
      <c r="AD27" s="131">
        <f t="shared" si="2"/>
        <v>144000</v>
      </c>
      <c r="AE27" s="173" t="s">
        <v>102</v>
      </c>
      <c r="AF27" s="173"/>
      <c r="AG27" s="173"/>
      <c r="AH27" s="174"/>
      <c r="AI27" s="175"/>
      <c r="AJ27" s="174"/>
      <c r="AK27" s="176"/>
      <c r="AL27" s="174"/>
      <c r="AM27" s="177" t="s">
        <v>204</v>
      </c>
      <c r="AN27" s="243" t="s">
        <v>178</v>
      </c>
      <c r="AO27" s="178"/>
      <c r="AP27" s="179"/>
      <c r="AQ27" s="179"/>
      <c r="AR27" s="24"/>
      <c r="AS27" s="179"/>
    </row>
    <row r="28" spans="1:45" ht="30" customHeight="1" x14ac:dyDescent="0.35">
      <c r="A28" s="38">
        <v>2026</v>
      </c>
      <c r="B28" s="59" t="s">
        <v>63</v>
      </c>
      <c r="C28" s="58" t="s">
        <v>200</v>
      </c>
      <c r="D28" s="237" t="s">
        <v>114</v>
      </c>
      <c r="E28" s="180"/>
      <c r="F28" s="58" t="s">
        <v>240</v>
      </c>
      <c r="G28" s="237" t="s">
        <v>121</v>
      </c>
      <c r="H28" s="59" t="s">
        <v>126</v>
      </c>
      <c r="I28" s="65"/>
      <c r="J28" s="237" t="s">
        <v>132</v>
      </c>
      <c r="K28" s="237" t="s">
        <v>3</v>
      </c>
      <c r="L28" s="59" t="s">
        <v>6</v>
      </c>
      <c r="M28" s="58" t="s">
        <v>202</v>
      </c>
      <c r="N28" s="130"/>
      <c r="O28" s="172"/>
      <c r="P28" s="172"/>
      <c r="Q28" s="237" t="s">
        <v>140</v>
      </c>
      <c r="R28" s="78"/>
      <c r="S28" s="78"/>
      <c r="T28" s="58" t="s">
        <v>241</v>
      </c>
      <c r="U28" s="237">
        <v>2026</v>
      </c>
      <c r="V28" s="88">
        <v>46022</v>
      </c>
      <c r="W28" s="78"/>
      <c r="X28" s="88">
        <v>46024</v>
      </c>
      <c r="Y28" s="131">
        <v>113142.48</v>
      </c>
      <c r="Z28" s="131">
        <v>0</v>
      </c>
      <c r="AA28" s="131">
        <f t="shared" si="0"/>
        <v>113142.48</v>
      </c>
      <c r="AB28" s="131">
        <v>0</v>
      </c>
      <c r="AC28" s="131">
        <f t="shared" si="1"/>
        <v>113142.48</v>
      </c>
      <c r="AD28" s="131">
        <f t="shared" si="2"/>
        <v>113142.48</v>
      </c>
      <c r="AE28" s="173" t="s">
        <v>102</v>
      </c>
      <c r="AF28" s="173"/>
      <c r="AG28" s="173"/>
      <c r="AH28" s="174"/>
      <c r="AI28" s="175"/>
      <c r="AJ28" s="174"/>
      <c r="AK28" s="176"/>
      <c r="AL28" s="174"/>
      <c r="AM28" s="177" t="s">
        <v>204</v>
      </c>
      <c r="AN28" s="243" t="s">
        <v>178</v>
      </c>
      <c r="AO28" s="178"/>
      <c r="AP28" s="179"/>
      <c r="AQ28" s="179"/>
      <c r="AR28" s="24"/>
      <c r="AS28" s="179"/>
    </row>
    <row r="29" spans="1:45" ht="30" customHeight="1" x14ac:dyDescent="0.35">
      <c r="A29" s="38">
        <v>2026</v>
      </c>
      <c r="B29" s="59" t="s">
        <v>63</v>
      </c>
      <c r="C29" s="58" t="s">
        <v>200</v>
      </c>
      <c r="D29" s="237" t="s">
        <v>114</v>
      </c>
      <c r="E29" s="180"/>
      <c r="F29" s="58" t="s">
        <v>242</v>
      </c>
      <c r="G29" s="237" t="s">
        <v>121</v>
      </c>
      <c r="H29" s="59" t="s">
        <v>126</v>
      </c>
      <c r="I29" s="65"/>
      <c r="J29" s="237" t="s">
        <v>132</v>
      </c>
      <c r="K29" s="237" t="s">
        <v>3</v>
      </c>
      <c r="L29" s="59" t="s">
        <v>6</v>
      </c>
      <c r="M29" s="58" t="s">
        <v>202</v>
      </c>
      <c r="N29" s="130"/>
      <c r="O29" s="172"/>
      <c r="P29" s="172"/>
      <c r="Q29" s="237" t="s">
        <v>140</v>
      </c>
      <c r="R29" s="78"/>
      <c r="S29" s="78"/>
      <c r="T29" s="58" t="s">
        <v>243</v>
      </c>
      <c r="U29" s="237">
        <v>2026</v>
      </c>
      <c r="V29" s="88">
        <v>46022</v>
      </c>
      <c r="W29" s="78"/>
      <c r="X29" s="88">
        <v>46024</v>
      </c>
      <c r="Y29" s="131">
        <v>113142.48</v>
      </c>
      <c r="Z29" s="131">
        <v>0</v>
      </c>
      <c r="AA29" s="131">
        <f t="shared" si="0"/>
        <v>113142.48</v>
      </c>
      <c r="AB29" s="131">
        <v>0</v>
      </c>
      <c r="AC29" s="131">
        <f t="shared" si="1"/>
        <v>113142.48</v>
      </c>
      <c r="AD29" s="131">
        <f t="shared" si="2"/>
        <v>113142.48</v>
      </c>
      <c r="AE29" s="173" t="s">
        <v>102</v>
      </c>
      <c r="AF29" s="173"/>
      <c r="AG29" s="173"/>
      <c r="AH29" s="174"/>
      <c r="AI29" s="175"/>
      <c r="AJ29" s="174"/>
      <c r="AK29" s="176"/>
      <c r="AL29" s="174"/>
      <c r="AM29" s="177" t="s">
        <v>204</v>
      </c>
      <c r="AN29" s="243" t="s">
        <v>178</v>
      </c>
      <c r="AO29" s="178"/>
      <c r="AP29" s="179"/>
      <c r="AQ29" s="179"/>
      <c r="AR29" s="24"/>
      <c r="AS29" s="179"/>
    </row>
    <row r="30" spans="1:45" ht="30" customHeight="1" x14ac:dyDescent="0.35">
      <c r="A30" s="38">
        <v>2026</v>
      </c>
      <c r="B30" s="59" t="s">
        <v>63</v>
      </c>
      <c r="C30" s="58" t="s">
        <v>200</v>
      </c>
      <c r="D30" s="237" t="s">
        <v>114</v>
      </c>
      <c r="E30" s="180"/>
      <c r="F30" s="58" t="s">
        <v>244</v>
      </c>
      <c r="G30" s="237" t="s">
        <v>121</v>
      </c>
      <c r="H30" s="59" t="s">
        <v>126</v>
      </c>
      <c r="I30" s="65"/>
      <c r="J30" s="237" t="s">
        <v>132</v>
      </c>
      <c r="K30" s="237" t="s">
        <v>3</v>
      </c>
      <c r="L30" s="59" t="s">
        <v>6</v>
      </c>
      <c r="M30" s="58" t="s">
        <v>202</v>
      </c>
      <c r="N30" s="130"/>
      <c r="O30" s="172"/>
      <c r="P30" s="172"/>
      <c r="Q30" s="237" t="s">
        <v>140</v>
      </c>
      <c r="R30" s="78"/>
      <c r="S30" s="78"/>
      <c r="T30" s="58" t="s">
        <v>245</v>
      </c>
      <c r="U30" s="237">
        <v>2026</v>
      </c>
      <c r="V30" s="88">
        <v>46022</v>
      </c>
      <c r="W30" s="78"/>
      <c r="X30" s="88">
        <v>46024</v>
      </c>
      <c r="Y30" s="131">
        <v>113142.48</v>
      </c>
      <c r="Z30" s="131">
        <v>0</v>
      </c>
      <c r="AA30" s="131">
        <f t="shared" si="0"/>
        <v>113142.48</v>
      </c>
      <c r="AB30" s="131">
        <v>0</v>
      </c>
      <c r="AC30" s="131">
        <f t="shared" si="1"/>
        <v>113142.48</v>
      </c>
      <c r="AD30" s="131">
        <f t="shared" si="2"/>
        <v>113142.48</v>
      </c>
      <c r="AE30" s="173" t="s">
        <v>102</v>
      </c>
      <c r="AF30" s="173"/>
      <c r="AG30" s="173"/>
      <c r="AH30" s="174"/>
      <c r="AI30" s="175"/>
      <c r="AJ30" s="174"/>
      <c r="AK30" s="176"/>
      <c r="AL30" s="174"/>
      <c r="AM30" s="177" t="s">
        <v>204</v>
      </c>
      <c r="AN30" s="243" t="s">
        <v>178</v>
      </c>
      <c r="AO30" s="178"/>
      <c r="AP30" s="179"/>
      <c r="AQ30" s="179"/>
      <c r="AR30" s="24"/>
      <c r="AS30" s="179"/>
    </row>
    <row r="31" spans="1:45" ht="30" customHeight="1" x14ac:dyDescent="0.35">
      <c r="A31" s="38">
        <v>2026</v>
      </c>
      <c r="B31" s="59" t="s">
        <v>63</v>
      </c>
      <c r="C31" s="58" t="s">
        <v>200</v>
      </c>
      <c r="D31" s="237" t="s">
        <v>114</v>
      </c>
      <c r="E31" s="180"/>
      <c r="F31" s="58" t="s">
        <v>246</v>
      </c>
      <c r="G31" s="237" t="s">
        <v>121</v>
      </c>
      <c r="H31" s="59" t="s">
        <v>126</v>
      </c>
      <c r="I31" s="65"/>
      <c r="J31" s="237" t="s">
        <v>132</v>
      </c>
      <c r="K31" s="237" t="s">
        <v>3</v>
      </c>
      <c r="L31" s="59" t="s">
        <v>6</v>
      </c>
      <c r="M31" s="58" t="s">
        <v>202</v>
      </c>
      <c r="N31" s="130"/>
      <c r="O31" s="172"/>
      <c r="P31" s="172"/>
      <c r="Q31" s="237" t="s">
        <v>140</v>
      </c>
      <c r="R31" s="78"/>
      <c r="S31" s="78"/>
      <c r="T31" s="58" t="s">
        <v>247</v>
      </c>
      <c r="U31" s="237">
        <v>2026</v>
      </c>
      <c r="V31" s="88">
        <v>46022</v>
      </c>
      <c r="W31" s="78"/>
      <c r="X31" s="88">
        <v>46024</v>
      </c>
      <c r="Y31" s="131">
        <v>113142.48</v>
      </c>
      <c r="Z31" s="131">
        <v>0</v>
      </c>
      <c r="AA31" s="131">
        <f t="shared" si="0"/>
        <v>113142.48</v>
      </c>
      <c r="AB31" s="131">
        <v>0</v>
      </c>
      <c r="AC31" s="131">
        <f t="shared" si="1"/>
        <v>113142.48</v>
      </c>
      <c r="AD31" s="131">
        <f t="shared" si="2"/>
        <v>113142.48</v>
      </c>
      <c r="AE31" s="173" t="s">
        <v>102</v>
      </c>
      <c r="AF31" s="173"/>
      <c r="AG31" s="173"/>
      <c r="AH31" s="174"/>
      <c r="AI31" s="175"/>
      <c r="AJ31" s="174"/>
      <c r="AK31" s="176"/>
      <c r="AL31" s="174"/>
      <c r="AM31" s="177" t="s">
        <v>204</v>
      </c>
      <c r="AN31" s="243" t="s">
        <v>178</v>
      </c>
      <c r="AO31" s="178"/>
      <c r="AP31" s="179"/>
      <c r="AQ31" s="179"/>
      <c r="AR31" s="24"/>
      <c r="AS31" s="179"/>
    </row>
    <row r="32" spans="1:45" ht="30" customHeight="1" x14ac:dyDescent="0.35">
      <c r="A32" s="38">
        <v>2026</v>
      </c>
      <c r="B32" s="59" t="s">
        <v>63</v>
      </c>
      <c r="C32" s="58" t="s">
        <v>200</v>
      </c>
      <c r="D32" s="237" t="s">
        <v>114</v>
      </c>
      <c r="E32" s="180"/>
      <c r="F32" s="58" t="s">
        <v>248</v>
      </c>
      <c r="G32" s="237" t="s">
        <v>121</v>
      </c>
      <c r="H32" s="59" t="s">
        <v>126</v>
      </c>
      <c r="I32" s="65"/>
      <c r="J32" s="237" t="s">
        <v>132</v>
      </c>
      <c r="K32" s="237" t="s">
        <v>3</v>
      </c>
      <c r="L32" s="59" t="s">
        <v>6</v>
      </c>
      <c r="M32" s="58" t="s">
        <v>202</v>
      </c>
      <c r="N32" s="130"/>
      <c r="O32" s="172"/>
      <c r="P32" s="172"/>
      <c r="Q32" s="237" t="s">
        <v>140</v>
      </c>
      <c r="R32" s="78"/>
      <c r="S32" s="78"/>
      <c r="T32" s="58" t="s">
        <v>249</v>
      </c>
      <c r="U32" s="237">
        <v>2026</v>
      </c>
      <c r="V32" s="88">
        <v>46022</v>
      </c>
      <c r="W32" s="78"/>
      <c r="X32" s="88">
        <v>46024</v>
      </c>
      <c r="Y32" s="131">
        <v>144000</v>
      </c>
      <c r="Z32" s="131">
        <v>0</v>
      </c>
      <c r="AA32" s="131">
        <f t="shared" si="0"/>
        <v>144000</v>
      </c>
      <c r="AB32" s="131">
        <v>0</v>
      </c>
      <c r="AC32" s="131">
        <f t="shared" si="1"/>
        <v>144000</v>
      </c>
      <c r="AD32" s="131">
        <f t="shared" si="2"/>
        <v>144000</v>
      </c>
      <c r="AE32" s="173" t="s">
        <v>102</v>
      </c>
      <c r="AF32" s="173"/>
      <c r="AG32" s="173"/>
      <c r="AH32" s="174"/>
      <c r="AI32" s="175"/>
      <c r="AJ32" s="174"/>
      <c r="AK32" s="176"/>
      <c r="AL32" s="174"/>
      <c r="AM32" s="177" t="s">
        <v>204</v>
      </c>
      <c r="AN32" s="243" t="s">
        <v>178</v>
      </c>
      <c r="AO32" s="178"/>
      <c r="AP32" s="179"/>
      <c r="AQ32" s="179"/>
      <c r="AR32" s="24"/>
      <c r="AS32" s="179"/>
    </row>
    <row r="33" spans="1:45" ht="30" customHeight="1" x14ac:dyDescent="0.35">
      <c r="A33" s="38">
        <v>2026</v>
      </c>
      <c r="B33" s="59" t="s">
        <v>63</v>
      </c>
      <c r="C33" s="58" t="s">
        <v>200</v>
      </c>
      <c r="D33" s="237" t="s">
        <v>114</v>
      </c>
      <c r="E33" s="180"/>
      <c r="F33" s="58" t="s">
        <v>250</v>
      </c>
      <c r="G33" s="237" t="s">
        <v>121</v>
      </c>
      <c r="H33" s="59" t="s">
        <v>126</v>
      </c>
      <c r="I33" s="65"/>
      <c r="J33" s="237" t="s">
        <v>132</v>
      </c>
      <c r="K33" s="237" t="s">
        <v>3</v>
      </c>
      <c r="L33" s="59" t="s">
        <v>6</v>
      </c>
      <c r="M33" s="58" t="s">
        <v>202</v>
      </c>
      <c r="N33" s="130"/>
      <c r="O33" s="172"/>
      <c r="P33" s="172"/>
      <c r="Q33" s="237" t="s">
        <v>140</v>
      </c>
      <c r="R33" s="78"/>
      <c r="S33" s="78"/>
      <c r="T33" s="58" t="s">
        <v>251</v>
      </c>
      <c r="U33" s="237">
        <v>2026</v>
      </c>
      <c r="V33" s="88">
        <v>46022</v>
      </c>
      <c r="W33" s="78"/>
      <c r="X33" s="88">
        <v>46024</v>
      </c>
      <c r="Y33" s="131">
        <v>113142.48</v>
      </c>
      <c r="Z33" s="131">
        <v>0</v>
      </c>
      <c r="AA33" s="131">
        <f t="shared" si="0"/>
        <v>113142.48</v>
      </c>
      <c r="AB33" s="131">
        <v>0</v>
      </c>
      <c r="AC33" s="131">
        <f t="shared" si="1"/>
        <v>113142.48</v>
      </c>
      <c r="AD33" s="131">
        <f t="shared" si="2"/>
        <v>113142.48</v>
      </c>
      <c r="AE33" s="173" t="s">
        <v>102</v>
      </c>
      <c r="AF33" s="173"/>
      <c r="AG33" s="173"/>
      <c r="AH33" s="174"/>
      <c r="AI33" s="175"/>
      <c r="AJ33" s="174"/>
      <c r="AK33" s="176"/>
      <c r="AL33" s="174"/>
      <c r="AM33" s="177" t="s">
        <v>204</v>
      </c>
      <c r="AN33" s="243" t="s">
        <v>178</v>
      </c>
      <c r="AO33" s="178"/>
      <c r="AP33" s="179"/>
      <c r="AQ33" s="179"/>
      <c r="AR33" s="24"/>
      <c r="AS33" s="179"/>
    </row>
    <row r="34" spans="1:45" ht="30" customHeight="1" x14ac:dyDescent="0.35">
      <c r="A34" s="38">
        <v>2026</v>
      </c>
      <c r="B34" s="59" t="s">
        <v>63</v>
      </c>
      <c r="C34" s="58" t="s">
        <v>200</v>
      </c>
      <c r="D34" s="237" t="s">
        <v>114</v>
      </c>
      <c r="E34" s="180"/>
      <c r="F34" s="58" t="s">
        <v>252</v>
      </c>
      <c r="G34" s="237" t="s">
        <v>121</v>
      </c>
      <c r="H34" s="59" t="s">
        <v>126</v>
      </c>
      <c r="I34" s="65"/>
      <c r="J34" s="237" t="s">
        <v>132</v>
      </c>
      <c r="K34" s="237" t="s">
        <v>3</v>
      </c>
      <c r="L34" s="59" t="s">
        <v>6</v>
      </c>
      <c r="M34" s="58" t="s">
        <v>202</v>
      </c>
      <c r="N34" s="130"/>
      <c r="O34" s="172"/>
      <c r="P34" s="172"/>
      <c r="Q34" s="237" t="s">
        <v>140</v>
      </c>
      <c r="R34" s="78"/>
      <c r="S34" s="78"/>
      <c r="T34" s="58" t="s">
        <v>253</v>
      </c>
      <c r="U34" s="237">
        <v>2026</v>
      </c>
      <c r="V34" s="88">
        <v>46022</v>
      </c>
      <c r="W34" s="78"/>
      <c r="X34" s="88">
        <v>46024</v>
      </c>
      <c r="Y34" s="131">
        <v>113142.48</v>
      </c>
      <c r="Z34" s="131">
        <v>0</v>
      </c>
      <c r="AA34" s="131">
        <f t="shared" si="0"/>
        <v>113142.48</v>
      </c>
      <c r="AB34" s="131">
        <v>0</v>
      </c>
      <c r="AC34" s="131">
        <f t="shared" si="1"/>
        <v>113142.48</v>
      </c>
      <c r="AD34" s="131">
        <f t="shared" si="2"/>
        <v>113142.48</v>
      </c>
      <c r="AE34" s="173" t="s">
        <v>102</v>
      </c>
      <c r="AF34" s="173"/>
      <c r="AG34" s="173"/>
      <c r="AH34" s="174"/>
      <c r="AI34" s="175"/>
      <c r="AJ34" s="174"/>
      <c r="AK34" s="176"/>
      <c r="AL34" s="174"/>
      <c r="AM34" s="177" t="s">
        <v>204</v>
      </c>
      <c r="AN34" s="243" t="s">
        <v>178</v>
      </c>
      <c r="AO34" s="178"/>
      <c r="AP34" s="179"/>
      <c r="AQ34" s="179"/>
      <c r="AR34" s="24"/>
      <c r="AS34" s="179"/>
    </row>
    <row r="35" spans="1:45" ht="30" customHeight="1" x14ac:dyDescent="0.35">
      <c r="A35" s="38">
        <v>2026</v>
      </c>
      <c r="B35" s="59" t="s">
        <v>63</v>
      </c>
      <c r="C35" s="58" t="s">
        <v>200</v>
      </c>
      <c r="D35" s="237" t="s">
        <v>114</v>
      </c>
      <c r="E35" s="180"/>
      <c r="F35" s="58" t="s">
        <v>254</v>
      </c>
      <c r="G35" s="237" t="s">
        <v>121</v>
      </c>
      <c r="H35" s="59" t="s">
        <v>126</v>
      </c>
      <c r="I35" s="65"/>
      <c r="J35" s="237" t="s">
        <v>132</v>
      </c>
      <c r="K35" s="237" t="s">
        <v>3</v>
      </c>
      <c r="L35" s="59" t="s">
        <v>6</v>
      </c>
      <c r="M35" s="58" t="s">
        <v>202</v>
      </c>
      <c r="N35" s="130"/>
      <c r="O35" s="172"/>
      <c r="P35" s="172"/>
      <c r="Q35" s="237" t="s">
        <v>140</v>
      </c>
      <c r="R35" s="78"/>
      <c r="S35" s="78"/>
      <c r="T35" s="58" t="s">
        <v>255</v>
      </c>
      <c r="U35" s="237">
        <v>2026</v>
      </c>
      <c r="V35" s="88">
        <v>46022</v>
      </c>
      <c r="W35" s="78"/>
      <c r="X35" s="88">
        <v>46024</v>
      </c>
      <c r="Y35" s="131">
        <v>113142.48</v>
      </c>
      <c r="Z35" s="131">
        <v>0</v>
      </c>
      <c r="AA35" s="131">
        <f t="shared" si="0"/>
        <v>113142.48</v>
      </c>
      <c r="AB35" s="131">
        <v>0</v>
      </c>
      <c r="AC35" s="131">
        <f t="shared" si="1"/>
        <v>113142.48</v>
      </c>
      <c r="AD35" s="131">
        <f t="shared" si="2"/>
        <v>113142.48</v>
      </c>
      <c r="AE35" s="173" t="s">
        <v>102</v>
      </c>
      <c r="AF35" s="173"/>
      <c r="AG35" s="173"/>
      <c r="AH35" s="174"/>
      <c r="AI35" s="175"/>
      <c r="AJ35" s="174"/>
      <c r="AK35" s="176"/>
      <c r="AL35" s="174"/>
      <c r="AM35" s="177" t="s">
        <v>204</v>
      </c>
      <c r="AN35" s="243" t="s">
        <v>178</v>
      </c>
      <c r="AO35" s="178"/>
      <c r="AP35" s="179"/>
      <c r="AQ35" s="179"/>
      <c r="AR35" s="24"/>
      <c r="AS35" s="179"/>
    </row>
    <row r="36" spans="1:45" ht="30" customHeight="1" x14ac:dyDescent="0.35">
      <c r="A36" s="38">
        <v>2026</v>
      </c>
      <c r="B36" s="59" t="s">
        <v>63</v>
      </c>
      <c r="C36" s="58" t="s">
        <v>200</v>
      </c>
      <c r="D36" s="237" t="s">
        <v>114</v>
      </c>
      <c r="E36" s="180"/>
      <c r="F36" s="58" t="s">
        <v>256</v>
      </c>
      <c r="G36" s="237" t="s">
        <v>121</v>
      </c>
      <c r="H36" s="59" t="s">
        <v>126</v>
      </c>
      <c r="I36" s="65"/>
      <c r="J36" s="237" t="s">
        <v>132</v>
      </c>
      <c r="K36" s="237" t="s">
        <v>3</v>
      </c>
      <c r="L36" s="59" t="s">
        <v>6</v>
      </c>
      <c r="M36" s="58" t="s">
        <v>202</v>
      </c>
      <c r="N36" s="130"/>
      <c r="O36" s="172"/>
      <c r="P36" s="172"/>
      <c r="Q36" s="237" t="s">
        <v>140</v>
      </c>
      <c r="R36" s="78"/>
      <c r="S36" s="78"/>
      <c r="T36" s="58" t="s">
        <v>257</v>
      </c>
      <c r="U36" s="237">
        <v>2026</v>
      </c>
      <c r="V36" s="88">
        <v>46022</v>
      </c>
      <c r="W36" s="78"/>
      <c r="X36" s="88">
        <v>46024</v>
      </c>
      <c r="Y36" s="131">
        <v>113142.48</v>
      </c>
      <c r="Z36" s="131">
        <v>0</v>
      </c>
      <c r="AA36" s="131">
        <f t="shared" ref="AA36:AA67" si="3">Y36</f>
        <v>113142.48</v>
      </c>
      <c r="AB36" s="131">
        <v>0</v>
      </c>
      <c r="AC36" s="131">
        <f t="shared" ref="AC36:AC67" si="4">Y36</f>
        <v>113142.48</v>
      </c>
      <c r="AD36" s="131">
        <f t="shared" ref="AD36:AD67" si="5">Y36</f>
        <v>113142.48</v>
      </c>
      <c r="AE36" s="173" t="s">
        <v>102</v>
      </c>
      <c r="AF36" s="173"/>
      <c r="AG36" s="173"/>
      <c r="AH36" s="174"/>
      <c r="AI36" s="175"/>
      <c r="AJ36" s="174"/>
      <c r="AK36" s="176"/>
      <c r="AL36" s="174"/>
      <c r="AM36" s="177" t="s">
        <v>204</v>
      </c>
      <c r="AN36" s="243" t="s">
        <v>178</v>
      </c>
      <c r="AO36" s="178"/>
      <c r="AP36" s="179"/>
      <c r="AQ36" s="179"/>
      <c r="AR36" s="24"/>
      <c r="AS36" s="179"/>
    </row>
    <row r="37" spans="1:45" ht="30" customHeight="1" x14ac:dyDescent="0.35">
      <c r="A37" s="38">
        <v>2026</v>
      </c>
      <c r="B37" s="59" t="s">
        <v>63</v>
      </c>
      <c r="C37" s="58" t="s">
        <v>200</v>
      </c>
      <c r="D37" s="237" t="s">
        <v>114</v>
      </c>
      <c r="E37" s="180"/>
      <c r="F37" s="58" t="s">
        <v>258</v>
      </c>
      <c r="G37" s="237" t="s">
        <v>121</v>
      </c>
      <c r="H37" s="59" t="s">
        <v>126</v>
      </c>
      <c r="I37" s="65"/>
      <c r="J37" s="237" t="s">
        <v>132</v>
      </c>
      <c r="K37" s="237" t="s">
        <v>3</v>
      </c>
      <c r="L37" s="59" t="s">
        <v>6</v>
      </c>
      <c r="M37" s="58" t="s">
        <v>202</v>
      </c>
      <c r="N37" s="130"/>
      <c r="O37" s="172"/>
      <c r="P37" s="172"/>
      <c r="Q37" s="237" t="s">
        <v>140</v>
      </c>
      <c r="R37" s="78"/>
      <c r="S37" s="78"/>
      <c r="T37" s="58" t="s">
        <v>259</v>
      </c>
      <c r="U37" s="237">
        <v>2026</v>
      </c>
      <c r="V37" s="88">
        <v>46022</v>
      </c>
      <c r="W37" s="78"/>
      <c r="X37" s="88">
        <v>46024</v>
      </c>
      <c r="Y37" s="131">
        <v>204000</v>
      </c>
      <c r="Z37" s="131">
        <v>0</v>
      </c>
      <c r="AA37" s="131">
        <f t="shared" si="3"/>
        <v>204000</v>
      </c>
      <c r="AB37" s="131">
        <v>0</v>
      </c>
      <c r="AC37" s="131">
        <f t="shared" si="4"/>
        <v>204000</v>
      </c>
      <c r="AD37" s="131">
        <f t="shared" si="5"/>
        <v>204000</v>
      </c>
      <c r="AE37" s="173" t="s">
        <v>102</v>
      </c>
      <c r="AF37" s="173"/>
      <c r="AG37" s="173"/>
      <c r="AH37" s="174"/>
      <c r="AI37" s="175"/>
      <c r="AJ37" s="174"/>
      <c r="AK37" s="176"/>
      <c r="AL37" s="174"/>
      <c r="AM37" s="177" t="s">
        <v>204</v>
      </c>
      <c r="AN37" s="243" t="s">
        <v>178</v>
      </c>
      <c r="AO37" s="178"/>
      <c r="AP37" s="179"/>
      <c r="AQ37" s="179"/>
      <c r="AR37" s="24"/>
      <c r="AS37" s="179"/>
    </row>
    <row r="38" spans="1:45" ht="30" customHeight="1" x14ac:dyDescent="0.35">
      <c r="A38" s="38">
        <v>2026</v>
      </c>
      <c r="B38" s="59" t="s">
        <v>63</v>
      </c>
      <c r="C38" s="58" t="s">
        <v>200</v>
      </c>
      <c r="D38" s="237" t="s">
        <v>114</v>
      </c>
      <c r="E38" s="180"/>
      <c r="F38" s="58" t="s">
        <v>260</v>
      </c>
      <c r="G38" s="237" t="s">
        <v>121</v>
      </c>
      <c r="H38" s="59" t="s">
        <v>126</v>
      </c>
      <c r="I38" s="65"/>
      <c r="J38" s="237" t="s">
        <v>132</v>
      </c>
      <c r="K38" s="237" t="s">
        <v>3</v>
      </c>
      <c r="L38" s="59" t="s">
        <v>6</v>
      </c>
      <c r="M38" s="58" t="s">
        <v>202</v>
      </c>
      <c r="N38" s="130"/>
      <c r="O38" s="172"/>
      <c r="P38" s="172"/>
      <c r="Q38" s="237" t="s">
        <v>140</v>
      </c>
      <c r="R38" s="78"/>
      <c r="S38" s="78"/>
      <c r="T38" s="58" t="s">
        <v>261</v>
      </c>
      <c r="U38" s="237">
        <v>2026</v>
      </c>
      <c r="V38" s="88">
        <v>46022</v>
      </c>
      <c r="W38" s="78"/>
      <c r="X38" s="88">
        <v>46024</v>
      </c>
      <c r="Y38" s="131">
        <v>180000</v>
      </c>
      <c r="Z38" s="131">
        <v>0</v>
      </c>
      <c r="AA38" s="131">
        <f t="shared" si="3"/>
        <v>180000</v>
      </c>
      <c r="AB38" s="131">
        <v>0</v>
      </c>
      <c r="AC38" s="131">
        <f t="shared" si="4"/>
        <v>180000</v>
      </c>
      <c r="AD38" s="131">
        <f t="shared" si="5"/>
        <v>180000</v>
      </c>
      <c r="AE38" s="173" t="s">
        <v>102</v>
      </c>
      <c r="AF38" s="173"/>
      <c r="AG38" s="173"/>
      <c r="AH38" s="174"/>
      <c r="AI38" s="175"/>
      <c r="AJ38" s="174"/>
      <c r="AK38" s="176"/>
      <c r="AL38" s="174"/>
      <c r="AM38" s="177" t="s">
        <v>204</v>
      </c>
      <c r="AN38" s="243" t="s">
        <v>178</v>
      </c>
      <c r="AO38" s="178"/>
      <c r="AP38" s="179"/>
      <c r="AQ38" s="179"/>
      <c r="AR38" s="24"/>
      <c r="AS38" s="179"/>
    </row>
    <row r="39" spans="1:45" ht="30" customHeight="1" x14ac:dyDescent="0.35">
      <c r="A39" s="38">
        <v>2026</v>
      </c>
      <c r="B39" s="59" t="s">
        <v>63</v>
      </c>
      <c r="C39" s="58" t="s">
        <v>200</v>
      </c>
      <c r="D39" s="237" t="s">
        <v>114</v>
      </c>
      <c r="E39" s="180"/>
      <c r="F39" s="58" t="s">
        <v>262</v>
      </c>
      <c r="G39" s="237" t="s">
        <v>121</v>
      </c>
      <c r="H39" s="59" t="s">
        <v>126</v>
      </c>
      <c r="I39" s="65"/>
      <c r="J39" s="237" t="s">
        <v>132</v>
      </c>
      <c r="K39" s="237" t="s">
        <v>3</v>
      </c>
      <c r="L39" s="59" t="s">
        <v>6</v>
      </c>
      <c r="M39" s="58" t="s">
        <v>202</v>
      </c>
      <c r="N39" s="130"/>
      <c r="O39" s="172"/>
      <c r="P39" s="172"/>
      <c r="Q39" s="237" t="s">
        <v>140</v>
      </c>
      <c r="R39" s="78"/>
      <c r="S39" s="78"/>
      <c r="T39" s="58" t="s">
        <v>263</v>
      </c>
      <c r="U39" s="237">
        <v>2026</v>
      </c>
      <c r="V39" s="88">
        <v>46022</v>
      </c>
      <c r="W39" s="78"/>
      <c r="X39" s="88">
        <v>46024</v>
      </c>
      <c r="Y39" s="131">
        <v>144000</v>
      </c>
      <c r="Z39" s="131">
        <v>0</v>
      </c>
      <c r="AA39" s="131">
        <f t="shared" si="3"/>
        <v>144000</v>
      </c>
      <c r="AB39" s="131">
        <v>0</v>
      </c>
      <c r="AC39" s="131">
        <f t="shared" si="4"/>
        <v>144000</v>
      </c>
      <c r="AD39" s="131">
        <f t="shared" si="5"/>
        <v>144000</v>
      </c>
      <c r="AE39" s="173" t="s">
        <v>102</v>
      </c>
      <c r="AF39" s="173"/>
      <c r="AG39" s="173"/>
      <c r="AH39" s="174"/>
      <c r="AI39" s="175"/>
      <c r="AJ39" s="174"/>
      <c r="AK39" s="176"/>
      <c r="AL39" s="174"/>
      <c r="AM39" s="177" t="s">
        <v>204</v>
      </c>
      <c r="AN39" s="243" t="s">
        <v>178</v>
      </c>
      <c r="AO39" s="178"/>
      <c r="AP39" s="179"/>
      <c r="AQ39" s="179"/>
      <c r="AR39" s="24"/>
      <c r="AS39" s="179"/>
    </row>
    <row r="40" spans="1:45" ht="30" customHeight="1" x14ac:dyDescent="0.35">
      <c r="A40" s="38">
        <v>2026</v>
      </c>
      <c r="B40" s="59" t="s">
        <v>63</v>
      </c>
      <c r="C40" s="58" t="s">
        <v>200</v>
      </c>
      <c r="D40" s="237" t="s">
        <v>114</v>
      </c>
      <c r="E40" s="180"/>
      <c r="F40" s="58" t="s">
        <v>264</v>
      </c>
      <c r="G40" s="237" t="s">
        <v>121</v>
      </c>
      <c r="H40" s="59" t="s">
        <v>126</v>
      </c>
      <c r="I40" s="65"/>
      <c r="J40" s="237" t="s">
        <v>132</v>
      </c>
      <c r="K40" s="237" t="s">
        <v>3</v>
      </c>
      <c r="L40" s="59" t="s">
        <v>6</v>
      </c>
      <c r="M40" s="58" t="s">
        <v>202</v>
      </c>
      <c r="N40" s="130"/>
      <c r="O40" s="172"/>
      <c r="P40" s="172"/>
      <c r="Q40" s="237" t="s">
        <v>140</v>
      </c>
      <c r="R40" s="78"/>
      <c r="S40" s="78"/>
      <c r="T40" s="58" t="s">
        <v>265</v>
      </c>
      <c r="U40" s="237">
        <v>2026</v>
      </c>
      <c r="V40" s="88">
        <v>46022</v>
      </c>
      <c r="W40" s="78"/>
      <c r="X40" s="88">
        <v>46024</v>
      </c>
      <c r="Y40" s="131">
        <v>113142.48</v>
      </c>
      <c r="Z40" s="131">
        <v>0</v>
      </c>
      <c r="AA40" s="131">
        <f t="shared" si="3"/>
        <v>113142.48</v>
      </c>
      <c r="AB40" s="131">
        <v>0</v>
      </c>
      <c r="AC40" s="131">
        <f t="shared" si="4"/>
        <v>113142.48</v>
      </c>
      <c r="AD40" s="131">
        <f t="shared" si="5"/>
        <v>113142.48</v>
      </c>
      <c r="AE40" s="173" t="s">
        <v>102</v>
      </c>
      <c r="AF40" s="173"/>
      <c r="AG40" s="173"/>
      <c r="AH40" s="174"/>
      <c r="AI40" s="175"/>
      <c r="AJ40" s="174"/>
      <c r="AK40" s="176"/>
      <c r="AL40" s="174"/>
      <c r="AM40" s="177" t="s">
        <v>204</v>
      </c>
      <c r="AN40" s="243" t="s">
        <v>178</v>
      </c>
      <c r="AO40" s="178"/>
      <c r="AP40" s="179"/>
      <c r="AQ40" s="179"/>
      <c r="AR40" s="24"/>
      <c r="AS40" s="179"/>
    </row>
    <row r="41" spans="1:45" ht="30" customHeight="1" x14ac:dyDescent="0.35">
      <c r="A41" s="38">
        <v>2026</v>
      </c>
      <c r="B41" s="59" t="s">
        <v>63</v>
      </c>
      <c r="C41" s="58" t="s">
        <v>200</v>
      </c>
      <c r="D41" s="237" t="s">
        <v>114</v>
      </c>
      <c r="E41" s="180"/>
      <c r="F41" s="58" t="s">
        <v>266</v>
      </c>
      <c r="G41" s="237" t="s">
        <v>121</v>
      </c>
      <c r="H41" s="59" t="s">
        <v>126</v>
      </c>
      <c r="I41" s="65"/>
      <c r="J41" s="237" t="s">
        <v>132</v>
      </c>
      <c r="K41" s="237" t="s">
        <v>3</v>
      </c>
      <c r="L41" s="59" t="s">
        <v>6</v>
      </c>
      <c r="M41" s="58" t="s">
        <v>202</v>
      </c>
      <c r="N41" s="130"/>
      <c r="O41" s="172"/>
      <c r="P41" s="172"/>
      <c r="Q41" s="237" t="s">
        <v>140</v>
      </c>
      <c r="R41" s="78"/>
      <c r="S41" s="78"/>
      <c r="T41" s="58" t="s">
        <v>267</v>
      </c>
      <c r="U41" s="237">
        <v>2026</v>
      </c>
      <c r="V41" s="88">
        <v>46022</v>
      </c>
      <c r="W41" s="78"/>
      <c r="X41" s="88">
        <v>46024</v>
      </c>
      <c r="Y41" s="131">
        <v>132000</v>
      </c>
      <c r="Z41" s="131">
        <v>0</v>
      </c>
      <c r="AA41" s="131">
        <f t="shared" si="3"/>
        <v>132000</v>
      </c>
      <c r="AB41" s="131">
        <v>0</v>
      </c>
      <c r="AC41" s="131">
        <f t="shared" si="4"/>
        <v>132000</v>
      </c>
      <c r="AD41" s="131">
        <f t="shared" si="5"/>
        <v>132000</v>
      </c>
      <c r="AE41" s="173" t="s">
        <v>102</v>
      </c>
      <c r="AF41" s="173"/>
      <c r="AG41" s="173"/>
      <c r="AH41" s="174"/>
      <c r="AI41" s="175"/>
      <c r="AJ41" s="174"/>
      <c r="AK41" s="176"/>
      <c r="AL41" s="174"/>
      <c r="AM41" s="177" t="s">
        <v>204</v>
      </c>
      <c r="AN41" s="243" t="s">
        <v>178</v>
      </c>
      <c r="AO41" s="178"/>
      <c r="AP41" s="179"/>
      <c r="AQ41" s="179"/>
      <c r="AR41" s="24"/>
      <c r="AS41" s="179"/>
    </row>
    <row r="42" spans="1:45" ht="30" customHeight="1" x14ac:dyDescent="0.35">
      <c r="A42" s="38">
        <v>2026</v>
      </c>
      <c r="B42" s="59" t="s">
        <v>63</v>
      </c>
      <c r="C42" s="58" t="s">
        <v>200</v>
      </c>
      <c r="D42" s="237" t="s">
        <v>114</v>
      </c>
      <c r="E42" s="180"/>
      <c r="F42" s="58" t="s">
        <v>268</v>
      </c>
      <c r="G42" s="237" t="s">
        <v>121</v>
      </c>
      <c r="H42" s="59" t="s">
        <v>126</v>
      </c>
      <c r="I42" s="65"/>
      <c r="J42" s="237" t="s">
        <v>132</v>
      </c>
      <c r="K42" s="237" t="s">
        <v>3</v>
      </c>
      <c r="L42" s="59" t="s">
        <v>6</v>
      </c>
      <c r="M42" s="58" t="s">
        <v>202</v>
      </c>
      <c r="N42" s="130"/>
      <c r="O42" s="172"/>
      <c r="P42" s="172"/>
      <c r="Q42" s="237" t="s">
        <v>140</v>
      </c>
      <c r="R42" s="78"/>
      <c r="S42" s="78"/>
      <c r="T42" s="58" t="s">
        <v>269</v>
      </c>
      <c r="U42" s="237">
        <v>2026</v>
      </c>
      <c r="V42" s="88">
        <v>46022</v>
      </c>
      <c r="W42" s="78"/>
      <c r="X42" s="88">
        <v>46024</v>
      </c>
      <c r="Y42" s="131">
        <v>113142.48</v>
      </c>
      <c r="Z42" s="131">
        <v>0</v>
      </c>
      <c r="AA42" s="131">
        <f t="shared" si="3"/>
        <v>113142.48</v>
      </c>
      <c r="AB42" s="131">
        <v>0</v>
      </c>
      <c r="AC42" s="131">
        <f t="shared" si="4"/>
        <v>113142.48</v>
      </c>
      <c r="AD42" s="131">
        <f t="shared" si="5"/>
        <v>113142.48</v>
      </c>
      <c r="AE42" s="173" t="s">
        <v>102</v>
      </c>
      <c r="AF42" s="173"/>
      <c r="AG42" s="173"/>
      <c r="AH42" s="174"/>
      <c r="AI42" s="175"/>
      <c r="AJ42" s="174"/>
      <c r="AK42" s="176"/>
      <c r="AL42" s="174"/>
      <c r="AM42" s="177" t="s">
        <v>204</v>
      </c>
      <c r="AN42" s="243" t="s">
        <v>178</v>
      </c>
      <c r="AO42" s="178"/>
      <c r="AP42" s="179"/>
      <c r="AQ42" s="179"/>
      <c r="AR42" s="24"/>
      <c r="AS42" s="179"/>
    </row>
    <row r="43" spans="1:45" ht="30" customHeight="1" x14ac:dyDescent="0.35">
      <c r="A43" s="38">
        <v>2026</v>
      </c>
      <c r="B43" s="59" t="s">
        <v>63</v>
      </c>
      <c r="C43" s="58" t="s">
        <v>200</v>
      </c>
      <c r="D43" s="237" t="s">
        <v>114</v>
      </c>
      <c r="E43" s="180"/>
      <c r="F43" s="58" t="s">
        <v>270</v>
      </c>
      <c r="G43" s="237" t="s">
        <v>121</v>
      </c>
      <c r="H43" s="59" t="s">
        <v>126</v>
      </c>
      <c r="I43" s="65"/>
      <c r="J43" s="237" t="s">
        <v>132</v>
      </c>
      <c r="K43" s="237" t="s">
        <v>3</v>
      </c>
      <c r="L43" s="59" t="s">
        <v>6</v>
      </c>
      <c r="M43" s="58" t="s">
        <v>202</v>
      </c>
      <c r="N43" s="130"/>
      <c r="O43" s="172"/>
      <c r="P43" s="172"/>
      <c r="Q43" s="237" t="s">
        <v>140</v>
      </c>
      <c r="R43" s="78"/>
      <c r="S43" s="78"/>
      <c r="T43" s="58" t="s">
        <v>271</v>
      </c>
      <c r="U43" s="237">
        <v>2026</v>
      </c>
      <c r="V43" s="88">
        <v>46022</v>
      </c>
      <c r="W43" s="78"/>
      <c r="X43" s="88">
        <v>46024</v>
      </c>
      <c r="Y43" s="131">
        <v>113142.48</v>
      </c>
      <c r="Z43" s="131">
        <v>0</v>
      </c>
      <c r="AA43" s="131">
        <f t="shared" si="3"/>
        <v>113142.48</v>
      </c>
      <c r="AB43" s="131">
        <v>0</v>
      </c>
      <c r="AC43" s="131">
        <f t="shared" si="4"/>
        <v>113142.48</v>
      </c>
      <c r="AD43" s="131">
        <f t="shared" si="5"/>
        <v>113142.48</v>
      </c>
      <c r="AE43" s="173" t="s">
        <v>102</v>
      </c>
      <c r="AF43" s="173"/>
      <c r="AG43" s="173"/>
      <c r="AH43" s="174"/>
      <c r="AI43" s="175"/>
      <c r="AJ43" s="174"/>
      <c r="AK43" s="176"/>
      <c r="AL43" s="174"/>
      <c r="AM43" s="177" t="s">
        <v>204</v>
      </c>
      <c r="AN43" s="243" t="s">
        <v>178</v>
      </c>
      <c r="AO43" s="178"/>
      <c r="AP43" s="179"/>
      <c r="AQ43" s="179"/>
      <c r="AR43" s="24"/>
      <c r="AS43" s="179"/>
    </row>
    <row r="44" spans="1:45" ht="30" customHeight="1" x14ac:dyDescent="0.35">
      <c r="A44" s="38">
        <v>2026</v>
      </c>
      <c r="B44" s="59" t="s">
        <v>63</v>
      </c>
      <c r="C44" s="58" t="s">
        <v>200</v>
      </c>
      <c r="D44" s="237" t="s">
        <v>114</v>
      </c>
      <c r="E44" s="180"/>
      <c r="F44" s="58" t="s">
        <v>272</v>
      </c>
      <c r="G44" s="237" t="s">
        <v>121</v>
      </c>
      <c r="H44" s="59" t="s">
        <v>126</v>
      </c>
      <c r="I44" s="65"/>
      <c r="J44" s="237" t="s">
        <v>132</v>
      </c>
      <c r="K44" s="237" t="s">
        <v>3</v>
      </c>
      <c r="L44" s="59" t="s">
        <v>6</v>
      </c>
      <c r="M44" s="58" t="s">
        <v>202</v>
      </c>
      <c r="N44" s="130"/>
      <c r="O44" s="172"/>
      <c r="P44" s="172"/>
      <c r="Q44" s="237" t="s">
        <v>140</v>
      </c>
      <c r="R44" s="78"/>
      <c r="S44" s="78"/>
      <c r="T44" s="58" t="s">
        <v>273</v>
      </c>
      <c r="U44" s="237">
        <v>2026</v>
      </c>
      <c r="V44" s="88">
        <v>46022</v>
      </c>
      <c r="W44" s="78"/>
      <c r="X44" s="88">
        <v>46024</v>
      </c>
      <c r="Y44" s="131">
        <v>113142.48</v>
      </c>
      <c r="Z44" s="131">
        <v>0</v>
      </c>
      <c r="AA44" s="131">
        <f t="shared" si="3"/>
        <v>113142.48</v>
      </c>
      <c r="AB44" s="131">
        <v>0</v>
      </c>
      <c r="AC44" s="131">
        <f t="shared" si="4"/>
        <v>113142.48</v>
      </c>
      <c r="AD44" s="131">
        <f t="shared" si="5"/>
        <v>113142.48</v>
      </c>
      <c r="AE44" s="173" t="s">
        <v>102</v>
      </c>
      <c r="AF44" s="173"/>
      <c r="AG44" s="173"/>
      <c r="AH44" s="174"/>
      <c r="AI44" s="175"/>
      <c r="AJ44" s="174"/>
      <c r="AK44" s="176"/>
      <c r="AL44" s="174"/>
      <c r="AM44" s="177" t="s">
        <v>204</v>
      </c>
      <c r="AN44" s="243" t="s">
        <v>178</v>
      </c>
      <c r="AO44" s="178"/>
      <c r="AP44" s="179"/>
      <c r="AQ44" s="179"/>
      <c r="AR44" s="24"/>
      <c r="AS44" s="179"/>
    </row>
    <row r="45" spans="1:45" ht="30" customHeight="1" x14ac:dyDescent="0.35">
      <c r="A45" s="38">
        <v>2026</v>
      </c>
      <c r="B45" s="59" t="s">
        <v>63</v>
      </c>
      <c r="C45" s="58" t="s">
        <v>200</v>
      </c>
      <c r="D45" s="237" t="s">
        <v>114</v>
      </c>
      <c r="E45" s="180"/>
      <c r="F45" s="58" t="s">
        <v>274</v>
      </c>
      <c r="G45" s="237" t="s">
        <v>121</v>
      </c>
      <c r="H45" s="59" t="s">
        <v>126</v>
      </c>
      <c r="I45" s="65"/>
      <c r="J45" s="237" t="s">
        <v>132</v>
      </c>
      <c r="K45" s="237" t="s">
        <v>3</v>
      </c>
      <c r="L45" s="59" t="s">
        <v>6</v>
      </c>
      <c r="M45" s="58" t="s">
        <v>202</v>
      </c>
      <c r="N45" s="130"/>
      <c r="O45" s="172"/>
      <c r="P45" s="172"/>
      <c r="Q45" s="237" t="s">
        <v>140</v>
      </c>
      <c r="R45" s="78"/>
      <c r="S45" s="78"/>
      <c r="T45" s="58" t="s">
        <v>275</v>
      </c>
      <c r="U45" s="237">
        <v>2026</v>
      </c>
      <c r="V45" s="88">
        <v>46022</v>
      </c>
      <c r="W45" s="78"/>
      <c r="X45" s="88">
        <v>46024</v>
      </c>
      <c r="Y45" s="131">
        <v>113142.48</v>
      </c>
      <c r="Z45" s="131">
        <v>0</v>
      </c>
      <c r="AA45" s="131">
        <f t="shared" si="3"/>
        <v>113142.48</v>
      </c>
      <c r="AB45" s="131">
        <v>0</v>
      </c>
      <c r="AC45" s="131">
        <f t="shared" si="4"/>
        <v>113142.48</v>
      </c>
      <c r="AD45" s="131">
        <f t="shared" si="5"/>
        <v>113142.48</v>
      </c>
      <c r="AE45" s="173" t="s">
        <v>102</v>
      </c>
      <c r="AF45" s="173"/>
      <c r="AG45" s="173"/>
      <c r="AH45" s="174"/>
      <c r="AI45" s="175"/>
      <c r="AJ45" s="174"/>
      <c r="AK45" s="176"/>
      <c r="AL45" s="174"/>
      <c r="AM45" s="177" t="s">
        <v>204</v>
      </c>
      <c r="AN45" s="243" t="s">
        <v>178</v>
      </c>
      <c r="AO45" s="178"/>
      <c r="AP45" s="179"/>
      <c r="AQ45" s="179"/>
      <c r="AR45" s="24"/>
      <c r="AS45" s="179"/>
    </row>
    <row r="46" spans="1:45" ht="30" customHeight="1" x14ac:dyDescent="0.35">
      <c r="A46" s="38">
        <v>2026</v>
      </c>
      <c r="B46" s="59" t="s">
        <v>63</v>
      </c>
      <c r="C46" s="58" t="s">
        <v>200</v>
      </c>
      <c r="D46" s="237" t="s">
        <v>114</v>
      </c>
      <c r="E46" s="180"/>
      <c r="F46" s="58" t="s">
        <v>276</v>
      </c>
      <c r="G46" s="237" t="s">
        <v>121</v>
      </c>
      <c r="H46" s="59" t="s">
        <v>126</v>
      </c>
      <c r="I46" s="65"/>
      <c r="J46" s="237" t="s">
        <v>132</v>
      </c>
      <c r="K46" s="237" t="s">
        <v>3</v>
      </c>
      <c r="L46" s="59" t="s">
        <v>6</v>
      </c>
      <c r="M46" s="58" t="s">
        <v>202</v>
      </c>
      <c r="N46" s="130"/>
      <c r="O46" s="172"/>
      <c r="P46" s="172"/>
      <c r="Q46" s="237" t="s">
        <v>140</v>
      </c>
      <c r="R46" s="78"/>
      <c r="S46" s="78"/>
      <c r="T46" s="58" t="s">
        <v>277</v>
      </c>
      <c r="U46" s="237">
        <v>2026</v>
      </c>
      <c r="V46" s="88">
        <v>46022</v>
      </c>
      <c r="W46" s="78"/>
      <c r="X46" s="88">
        <v>46024</v>
      </c>
      <c r="Y46" s="131">
        <v>113142.48</v>
      </c>
      <c r="Z46" s="131">
        <v>0</v>
      </c>
      <c r="AA46" s="131">
        <f t="shared" si="3"/>
        <v>113142.48</v>
      </c>
      <c r="AB46" s="131">
        <v>0</v>
      </c>
      <c r="AC46" s="131">
        <f t="shared" si="4"/>
        <v>113142.48</v>
      </c>
      <c r="AD46" s="131">
        <f t="shared" si="5"/>
        <v>113142.48</v>
      </c>
      <c r="AE46" s="173" t="s">
        <v>102</v>
      </c>
      <c r="AF46" s="173"/>
      <c r="AG46" s="173"/>
      <c r="AH46" s="174"/>
      <c r="AI46" s="175"/>
      <c r="AJ46" s="174"/>
      <c r="AK46" s="176"/>
      <c r="AL46" s="174"/>
      <c r="AM46" s="177" t="s">
        <v>204</v>
      </c>
      <c r="AN46" s="243" t="s">
        <v>178</v>
      </c>
      <c r="AO46" s="178"/>
      <c r="AP46" s="179"/>
      <c r="AQ46" s="179"/>
      <c r="AR46" s="24"/>
      <c r="AS46" s="179"/>
    </row>
    <row r="47" spans="1:45" ht="30" customHeight="1" x14ac:dyDescent="0.35">
      <c r="A47" s="38">
        <v>2026</v>
      </c>
      <c r="B47" s="59" t="s">
        <v>63</v>
      </c>
      <c r="C47" s="58" t="s">
        <v>200</v>
      </c>
      <c r="D47" s="237" t="s">
        <v>114</v>
      </c>
      <c r="E47" s="180"/>
      <c r="F47" s="58" t="s">
        <v>278</v>
      </c>
      <c r="G47" s="237" t="s">
        <v>121</v>
      </c>
      <c r="H47" s="59" t="s">
        <v>126</v>
      </c>
      <c r="I47" s="65"/>
      <c r="J47" s="237" t="s">
        <v>132</v>
      </c>
      <c r="K47" s="237" t="s">
        <v>3</v>
      </c>
      <c r="L47" s="59" t="s">
        <v>6</v>
      </c>
      <c r="M47" s="58" t="s">
        <v>202</v>
      </c>
      <c r="N47" s="130"/>
      <c r="O47" s="172"/>
      <c r="P47" s="172"/>
      <c r="Q47" s="237" t="s">
        <v>140</v>
      </c>
      <c r="R47" s="78"/>
      <c r="S47" s="78"/>
      <c r="T47" s="58" t="s">
        <v>279</v>
      </c>
      <c r="U47" s="237">
        <v>2026</v>
      </c>
      <c r="V47" s="88">
        <v>46022</v>
      </c>
      <c r="W47" s="78"/>
      <c r="X47" s="88">
        <v>46024</v>
      </c>
      <c r="Y47" s="131">
        <v>113142.48</v>
      </c>
      <c r="Z47" s="131">
        <v>0</v>
      </c>
      <c r="AA47" s="131">
        <f t="shared" si="3"/>
        <v>113142.48</v>
      </c>
      <c r="AB47" s="131">
        <v>0</v>
      </c>
      <c r="AC47" s="131">
        <f t="shared" si="4"/>
        <v>113142.48</v>
      </c>
      <c r="AD47" s="131">
        <f t="shared" si="5"/>
        <v>113142.48</v>
      </c>
      <c r="AE47" s="173" t="s">
        <v>102</v>
      </c>
      <c r="AF47" s="173"/>
      <c r="AG47" s="173"/>
      <c r="AH47" s="174"/>
      <c r="AI47" s="175"/>
      <c r="AJ47" s="174"/>
      <c r="AK47" s="176"/>
      <c r="AL47" s="174"/>
      <c r="AM47" s="177" t="s">
        <v>204</v>
      </c>
      <c r="AN47" s="243" t="s">
        <v>178</v>
      </c>
      <c r="AO47" s="178"/>
      <c r="AP47" s="179"/>
      <c r="AQ47" s="179"/>
      <c r="AR47" s="24"/>
      <c r="AS47" s="179"/>
    </row>
    <row r="48" spans="1:45" ht="30" customHeight="1" x14ac:dyDescent="0.35">
      <c r="A48" s="38">
        <v>2026</v>
      </c>
      <c r="B48" s="59" t="s">
        <v>63</v>
      </c>
      <c r="C48" s="58" t="s">
        <v>200</v>
      </c>
      <c r="D48" s="237" t="s">
        <v>114</v>
      </c>
      <c r="E48" s="105">
        <v>32</v>
      </c>
      <c r="F48" s="58" t="s">
        <v>280</v>
      </c>
      <c r="G48" s="237" t="s">
        <v>121</v>
      </c>
      <c r="H48" s="59" t="s">
        <v>126</v>
      </c>
      <c r="I48" s="65"/>
      <c r="J48" s="237" t="s">
        <v>132</v>
      </c>
      <c r="K48" s="237" t="s">
        <v>3</v>
      </c>
      <c r="L48" s="59" t="s">
        <v>6</v>
      </c>
      <c r="M48" s="58" t="s">
        <v>202</v>
      </c>
      <c r="N48" s="130"/>
      <c r="O48" s="172"/>
      <c r="P48" s="172"/>
      <c r="Q48" s="237" t="s">
        <v>140</v>
      </c>
      <c r="R48" s="78"/>
      <c r="S48" s="78"/>
      <c r="T48" s="58" t="s">
        <v>281</v>
      </c>
      <c r="U48" s="237">
        <v>2026</v>
      </c>
      <c r="V48" s="88">
        <v>46022</v>
      </c>
      <c r="W48" s="78"/>
      <c r="X48" s="88">
        <v>46024</v>
      </c>
      <c r="Y48" s="131">
        <v>113142.48</v>
      </c>
      <c r="Z48" s="131">
        <v>0</v>
      </c>
      <c r="AA48" s="131">
        <f t="shared" si="3"/>
        <v>113142.48</v>
      </c>
      <c r="AB48" s="131">
        <v>0</v>
      </c>
      <c r="AC48" s="131">
        <f t="shared" si="4"/>
        <v>113142.48</v>
      </c>
      <c r="AD48" s="131">
        <f t="shared" si="5"/>
        <v>113142.48</v>
      </c>
      <c r="AE48" s="173" t="s">
        <v>102</v>
      </c>
      <c r="AF48" s="173"/>
      <c r="AG48" s="173"/>
      <c r="AH48" s="174"/>
      <c r="AI48" s="175"/>
      <c r="AJ48" s="174"/>
      <c r="AK48" s="176"/>
      <c r="AL48" s="174"/>
      <c r="AM48" s="177" t="s">
        <v>204</v>
      </c>
      <c r="AN48" s="243" t="s">
        <v>178</v>
      </c>
      <c r="AO48" s="178">
        <v>32</v>
      </c>
      <c r="AP48" s="179"/>
      <c r="AQ48" s="179"/>
      <c r="AR48" s="24"/>
      <c r="AS48" s="179"/>
    </row>
    <row r="49" spans="1:45" ht="30" customHeight="1" x14ac:dyDescent="0.35">
      <c r="A49" s="38">
        <v>2026</v>
      </c>
      <c r="B49" s="59" t="s">
        <v>63</v>
      </c>
      <c r="C49" s="58" t="s">
        <v>200</v>
      </c>
      <c r="D49" s="237" t="s">
        <v>114</v>
      </c>
      <c r="E49" s="180"/>
      <c r="F49" s="58" t="s">
        <v>282</v>
      </c>
      <c r="G49" s="237" t="s">
        <v>121</v>
      </c>
      <c r="H49" s="59" t="s">
        <v>126</v>
      </c>
      <c r="I49" s="65"/>
      <c r="J49" s="237" t="s">
        <v>132</v>
      </c>
      <c r="K49" s="237" t="s">
        <v>3</v>
      </c>
      <c r="L49" s="59" t="s">
        <v>6</v>
      </c>
      <c r="M49" s="58" t="s">
        <v>202</v>
      </c>
      <c r="N49" s="130"/>
      <c r="O49" s="172"/>
      <c r="P49" s="172"/>
      <c r="Q49" s="237" t="s">
        <v>140</v>
      </c>
      <c r="R49" s="78"/>
      <c r="S49" s="78"/>
      <c r="T49" s="58" t="s">
        <v>283</v>
      </c>
      <c r="U49" s="237">
        <v>2026</v>
      </c>
      <c r="V49" s="88">
        <v>46022</v>
      </c>
      <c r="W49" s="78"/>
      <c r="X49" s="88">
        <v>46024</v>
      </c>
      <c r="Y49" s="131">
        <v>113142.48</v>
      </c>
      <c r="Z49" s="131">
        <v>0</v>
      </c>
      <c r="AA49" s="131">
        <f t="shared" si="3"/>
        <v>113142.48</v>
      </c>
      <c r="AB49" s="131">
        <v>0</v>
      </c>
      <c r="AC49" s="131">
        <f t="shared" si="4"/>
        <v>113142.48</v>
      </c>
      <c r="AD49" s="131">
        <f t="shared" si="5"/>
        <v>113142.48</v>
      </c>
      <c r="AE49" s="173" t="s">
        <v>102</v>
      </c>
      <c r="AF49" s="173"/>
      <c r="AG49" s="173"/>
      <c r="AH49" s="174"/>
      <c r="AI49" s="175"/>
      <c r="AJ49" s="174"/>
      <c r="AK49" s="176"/>
      <c r="AL49" s="174"/>
      <c r="AM49" s="177" t="s">
        <v>204</v>
      </c>
      <c r="AN49" s="243" t="s">
        <v>178</v>
      </c>
      <c r="AO49" s="178"/>
      <c r="AP49" s="179"/>
      <c r="AQ49" s="179"/>
      <c r="AR49" s="24"/>
      <c r="AS49" s="179"/>
    </row>
    <row r="50" spans="1:45" ht="30" customHeight="1" x14ac:dyDescent="0.35">
      <c r="A50" s="38">
        <v>2026</v>
      </c>
      <c r="B50" s="59" t="s">
        <v>63</v>
      </c>
      <c r="C50" s="58" t="s">
        <v>200</v>
      </c>
      <c r="D50" s="237" t="s">
        <v>114</v>
      </c>
      <c r="E50" s="180"/>
      <c r="F50" s="58" t="s">
        <v>284</v>
      </c>
      <c r="G50" s="237" t="s">
        <v>121</v>
      </c>
      <c r="H50" s="59" t="s">
        <v>126</v>
      </c>
      <c r="I50" s="65"/>
      <c r="J50" s="237" t="s">
        <v>132</v>
      </c>
      <c r="K50" s="237" t="s">
        <v>3</v>
      </c>
      <c r="L50" s="59" t="s">
        <v>6</v>
      </c>
      <c r="M50" s="58" t="s">
        <v>202</v>
      </c>
      <c r="N50" s="130"/>
      <c r="O50" s="172"/>
      <c r="P50" s="172"/>
      <c r="Q50" s="237" t="s">
        <v>140</v>
      </c>
      <c r="R50" s="78"/>
      <c r="S50" s="78"/>
      <c r="T50" s="58" t="s">
        <v>285</v>
      </c>
      <c r="U50" s="237">
        <v>2026</v>
      </c>
      <c r="V50" s="88">
        <v>46022</v>
      </c>
      <c r="W50" s="78"/>
      <c r="X50" s="88">
        <v>46024</v>
      </c>
      <c r="Y50" s="131">
        <v>113142.48</v>
      </c>
      <c r="Z50" s="131">
        <v>0</v>
      </c>
      <c r="AA50" s="131">
        <f t="shared" si="3"/>
        <v>113142.48</v>
      </c>
      <c r="AB50" s="131">
        <v>0</v>
      </c>
      <c r="AC50" s="131">
        <f t="shared" si="4"/>
        <v>113142.48</v>
      </c>
      <c r="AD50" s="131">
        <f t="shared" si="5"/>
        <v>113142.48</v>
      </c>
      <c r="AE50" s="173" t="s">
        <v>102</v>
      </c>
      <c r="AF50" s="173"/>
      <c r="AG50" s="173"/>
      <c r="AH50" s="174"/>
      <c r="AI50" s="175"/>
      <c r="AJ50" s="174"/>
      <c r="AK50" s="176"/>
      <c r="AL50" s="174"/>
      <c r="AM50" s="177" t="s">
        <v>204</v>
      </c>
      <c r="AN50" s="243" t="s">
        <v>178</v>
      </c>
      <c r="AO50" s="178"/>
      <c r="AP50" s="179"/>
      <c r="AQ50" s="179"/>
      <c r="AR50" s="24"/>
      <c r="AS50" s="179"/>
    </row>
    <row r="51" spans="1:45" ht="30" customHeight="1" x14ac:dyDescent="0.35">
      <c r="A51" s="38">
        <v>2026</v>
      </c>
      <c r="B51" s="59" t="s">
        <v>63</v>
      </c>
      <c r="C51" s="58" t="s">
        <v>200</v>
      </c>
      <c r="D51" s="237" t="s">
        <v>114</v>
      </c>
      <c r="E51" s="180"/>
      <c r="F51" s="58" t="s">
        <v>286</v>
      </c>
      <c r="G51" s="237" t="s">
        <v>121</v>
      </c>
      <c r="H51" s="59" t="s">
        <v>126</v>
      </c>
      <c r="I51" s="65"/>
      <c r="J51" s="237" t="s">
        <v>132</v>
      </c>
      <c r="K51" s="237" t="s">
        <v>3</v>
      </c>
      <c r="L51" s="59" t="s">
        <v>6</v>
      </c>
      <c r="M51" s="58" t="s">
        <v>202</v>
      </c>
      <c r="N51" s="130"/>
      <c r="O51" s="172"/>
      <c r="P51" s="172"/>
      <c r="Q51" s="237" t="s">
        <v>140</v>
      </c>
      <c r="R51" s="78"/>
      <c r="S51" s="78"/>
      <c r="T51" s="58" t="s">
        <v>287</v>
      </c>
      <c r="U51" s="237">
        <v>2026</v>
      </c>
      <c r="V51" s="88">
        <v>46022</v>
      </c>
      <c r="W51" s="78"/>
      <c r="X51" s="88">
        <v>46024</v>
      </c>
      <c r="Y51" s="131">
        <v>113142.48</v>
      </c>
      <c r="Z51" s="131">
        <v>0</v>
      </c>
      <c r="AA51" s="131">
        <f t="shared" si="3"/>
        <v>113142.48</v>
      </c>
      <c r="AB51" s="131">
        <v>0</v>
      </c>
      <c r="AC51" s="131">
        <f t="shared" si="4"/>
        <v>113142.48</v>
      </c>
      <c r="AD51" s="131">
        <f t="shared" si="5"/>
        <v>113142.48</v>
      </c>
      <c r="AE51" s="173" t="s">
        <v>102</v>
      </c>
      <c r="AF51" s="173"/>
      <c r="AG51" s="173"/>
      <c r="AH51" s="174"/>
      <c r="AI51" s="175"/>
      <c r="AJ51" s="174"/>
      <c r="AK51" s="176"/>
      <c r="AL51" s="174"/>
      <c r="AM51" s="177" t="s">
        <v>204</v>
      </c>
      <c r="AN51" s="243" t="s">
        <v>178</v>
      </c>
      <c r="AO51" s="178"/>
      <c r="AP51" s="179"/>
      <c r="AQ51" s="179"/>
      <c r="AR51" s="24"/>
      <c r="AS51" s="179"/>
    </row>
    <row r="52" spans="1:45" ht="30" customHeight="1" x14ac:dyDescent="0.35">
      <c r="A52" s="38">
        <v>2026</v>
      </c>
      <c r="B52" s="59" t="s">
        <v>63</v>
      </c>
      <c r="C52" s="58" t="s">
        <v>200</v>
      </c>
      <c r="D52" s="237" t="s">
        <v>114</v>
      </c>
      <c r="E52" s="105">
        <v>88</v>
      </c>
      <c r="F52" s="58" t="s">
        <v>288</v>
      </c>
      <c r="G52" s="237" t="s">
        <v>121</v>
      </c>
      <c r="H52" s="59" t="s">
        <v>126</v>
      </c>
      <c r="I52" s="65"/>
      <c r="J52" s="237" t="s">
        <v>132</v>
      </c>
      <c r="K52" s="237" t="s">
        <v>3</v>
      </c>
      <c r="L52" s="59" t="s">
        <v>6</v>
      </c>
      <c r="M52" s="58" t="s">
        <v>202</v>
      </c>
      <c r="N52" s="130"/>
      <c r="O52" s="172"/>
      <c r="P52" s="172"/>
      <c r="Q52" s="237" t="s">
        <v>140</v>
      </c>
      <c r="R52" s="78"/>
      <c r="S52" s="78"/>
      <c r="T52" s="58" t="s">
        <v>289</v>
      </c>
      <c r="U52" s="237">
        <v>2026</v>
      </c>
      <c r="V52" s="88">
        <v>46022</v>
      </c>
      <c r="W52" s="78"/>
      <c r="X52" s="88">
        <v>46024</v>
      </c>
      <c r="Y52" s="131">
        <v>171360</v>
      </c>
      <c r="Z52" s="131">
        <v>0</v>
      </c>
      <c r="AA52" s="131">
        <f t="shared" si="3"/>
        <v>171360</v>
      </c>
      <c r="AB52" s="131">
        <v>0</v>
      </c>
      <c r="AC52" s="131">
        <f t="shared" si="4"/>
        <v>171360</v>
      </c>
      <c r="AD52" s="131">
        <f t="shared" si="5"/>
        <v>171360</v>
      </c>
      <c r="AE52" s="173" t="s">
        <v>102</v>
      </c>
      <c r="AF52" s="173"/>
      <c r="AG52" s="173"/>
      <c r="AH52" s="174"/>
      <c r="AI52" s="175"/>
      <c r="AJ52" s="174"/>
      <c r="AK52" s="176"/>
      <c r="AL52" s="174"/>
      <c r="AM52" s="177" t="s">
        <v>204</v>
      </c>
      <c r="AN52" s="243" t="s">
        <v>178</v>
      </c>
      <c r="AO52" s="178"/>
      <c r="AP52" s="179"/>
      <c r="AQ52" s="179"/>
      <c r="AR52" s="24"/>
      <c r="AS52" s="179"/>
    </row>
    <row r="53" spans="1:45" ht="30" customHeight="1" x14ac:dyDescent="0.35">
      <c r="A53" s="38">
        <v>2026</v>
      </c>
      <c r="B53" s="59" t="s">
        <v>63</v>
      </c>
      <c r="C53" s="58" t="s">
        <v>200</v>
      </c>
      <c r="D53" s="237" t="s">
        <v>114</v>
      </c>
      <c r="E53" s="105">
        <v>94</v>
      </c>
      <c r="F53" s="58" t="s">
        <v>290</v>
      </c>
      <c r="G53" s="237" t="s">
        <v>121</v>
      </c>
      <c r="H53" s="59" t="s">
        <v>126</v>
      </c>
      <c r="I53" s="65"/>
      <c r="J53" s="237" t="s">
        <v>132</v>
      </c>
      <c r="K53" s="237" t="s">
        <v>3</v>
      </c>
      <c r="L53" s="59" t="s">
        <v>6</v>
      </c>
      <c r="M53" s="58" t="s">
        <v>202</v>
      </c>
      <c r="N53" s="130"/>
      <c r="O53" s="172"/>
      <c r="P53" s="172"/>
      <c r="Q53" s="237" t="s">
        <v>140</v>
      </c>
      <c r="R53" s="78"/>
      <c r="S53" s="78"/>
      <c r="T53" s="58" t="s">
        <v>291</v>
      </c>
      <c r="U53" s="237">
        <v>2026</v>
      </c>
      <c r="V53" s="88">
        <v>46022</v>
      </c>
      <c r="W53" s="78"/>
      <c r="X53" s="88">
        <v>46024</v>
      </c>
      <c r="Y53" s="131">
        <v>113142.48</v>
      </c>
      <c r="Z53" s="131">
        <v>0</v>
      </c>
      <c r="AA53" s="131">
        <f t="shared" si="3"/>
        <v>113142.48</v>
      </c>
      <c r="AB53" s="131">
        <v>0</v>
      </c>
      <c r="AC53" s="131">
        <f t="shared" si="4"/>
        <v>113142.48</v>
      </c>
      <c r="AD53" s="131">
        <f t="shared" si="5"/>
        <v>113142.48</v>
      </c>
      <c r="AE53" s="173" t="s">
        <v>102</v>
      </c>
      <c r="AF53" s="173"/>
      <c r="AG53" s="173"/>
      <c r="AH53" s="174"/>
      <c r="AI53" s="175"/>
      <c r="AJ53" s="174"/>
      <c r="AK53" s="176"/>
      <c r="AL53" s="174"/>
      <c r="AM53" s="177" t="s">
        <v>204</v>
      </c>
      <c r="AN53" s="243" t="s">
        <v>178</v>
      </c>
      <c r="AO53" s="178" t="s">
        <v>292</v>
      </c>
      <c r="AP53" s="179"/>
      <c r="AQ53" s="179"/>
      <c r="AR53" s="24"/>
      <c r="AS53" s="179"/>
    </row>
    <row r="54" spans="1:45" ht="30" customHeight="1" x14ac:dyDescent="0.35">
      <c r="A54" s="38">
        <v>2026</v>
      </c>
      <c r="B54" s="59" t="s">
        <v>63</v>
      </c>
      <c r="C54" s="58" t="s">
        <v>200</v>
      </c>
      <c r="D54" s="237" t="s">
        <v>114</v>
      </c>
      <c r="E54" s="105">
        <v>94</v>
      </c>
      <c r="F54" s="58" t="s">
        <v>293</v>
      </c>
      <c r="G54" s="237" t="s">
        <v>121</v>
      </c>
      <c r="H54" s="59" t="s">
        <v>126</v>
      </c>
      <c r="I54" s="65"/>
      <c r="J54" s="237" t="s">
        <v>132</v>
      </c>
      <c r="K54" s="237" t="s">
        <v>3</v>
      </c>
      <c r="L54" s="59" t="s">
        <v>6</v>
      </c>
      <c r="M54" s="58" t="s">
        <v>202</v>
      </c>
      <c r="N54" s="130"/>
      <c r="O54" s="172"/>
      <c r="P54" s="172"/>
      <c r="Q54" s="237" t="s">
        <v>140</v>
      </c>
      <c r="R54" s="78"/>
      <c r="S54" s="78"/>
      <c r="T54" s="58" t="s">
        <v>294</v>
      </c>
      <c r="U54" s="237">
        <v>2026</v>
      </c>
      <c r="V54" s="88">
        <v>46022</v>
      </c>
      <c r="W54" s="78"/>
      <c r="X54" s="88">
        <v>46024</v>
      </c>
      <c r="Y54" s="131">
        <v>113142.48</v>
      </c>
      <c r="Z54" s="131">
        <v>0</v>
      </c>
      <c r="AA54" s="131">
        <f t="shared" si="3"/>
        <v>113142.48</v>
      </c>
      <c r="AB54" s="131">
        <v>0</v>
      </c>
      <c r="AC54" s="131">
        <f t="shared" si="4"/>
        <v>113142.48</v>
      </c>
      <c r="AD54" s="131">
        <f t="shared" si="5"/>
        <v>113142.48</v>
      </c>
      <c r="AE54" s="173" t="s">
        <v>102</v>
      </c>
      <c r="AF54" s="173"/>
      <c r="AG54" s="173"/>
      <c r="AH54" s="174"/>
      <c r="AI54" s="175"/>
      <c r="AJ54" s="174"/>
      <c r="AK54" s="176"/>
      <c r="AL54" s="174"/>
      <c r="AM54" s="177" t="s">
        <v>204</v>
      </c>
      <c r="AN54" s="243" t="s">
        <v>178</v>
      </c>
      <c r="AO54" s="178"/>
      <c r="AP54" s="179"/>
      <c r="AQ54" s="179"/>
      <c r="AR54" s="24"/>
      <c r="AS54" s="179"/>
    </row>
    <row r="55" spans="1:45" ht="30" customHeight="1" x14ac:dyDescent="0.35">
      <c r="A55" s="38">
        <v>2026</v>
      </c>
      <c r="B55" s="59" t="s">
        <v>63</v>
      </c>
      <c r="C55" s="58" t="s">
        <v>200</v>
      </c>
      <c r="D55" s="237" t="s">
        <v>114</v>
      </c>
      <c r="E55" s="180"/>
      <c r="F55" s="58" t="s">
        <v>295</v>
      </c>
      <c r="G55" s="237" t="s">
        <v>121</v>
      </c>
      <c r="H55" s="59" t="s">
        <v>126</v>
      </c>
      <c r="I55" s="65"/>
      <c r="J55" s="237" t="s">
        <v>132</v>
      </c>
      <c r="K55" s="237" t="s">
        <v>3</v>
      </c>
      <c r="L55" s="59" t="s">
        <v>6</v>
      </c>
      <c r="M55" s="58" t="s">
        <v>202</v>
      </c>
      <c r="N55" s="130"/>
      <c r="O55" s="172"/>
      <c r="P55" s="172"/>
      <c r="Q55" s="237" t="s">
        <v>140</v>
      </c>
      <c r="R55" s="78"/>
      <c r="S55" s="78"/>
      <c r="T55" s="58" t="s">
        <v>296</v>
      </c>
      <c r="U55" s="237">
        <v>2026</v>
      </c>
      <c r="V55" s="88">
        <v>46022</v>
      </c>
      <c r="W55" s="78"/>
      <c r="X55" s="88">
        <v>46024</v>
      </c>
      <c r="Y55" s="131">
        <v>150000</v>
      </c>
      <c r="Z55" s="131">
        <v>0</v>
      </c>
      <c r="AA55" s="131">
        <f t="shared" si="3"/>
        <v>150000</v>
      </c>
      <c r="AB55" s="131">
        <v>0</v>
      </c>
      <c r="AC55" s="131">
        <f t="shared" si="4"/>
        <v>150000</v>
      </c>
      <c r="AD55" s="131">
        <f t="shared" si="5"/>
        <v>150000</v>
      </c>
      <c r="AE55" s="173" t="s">
        <v>102</v>
      </c>
      <c r="AF55" s="173"/>
      <c r="AG55" s="173"/>
      <c r="AH55" s="174"/>
      <c r="AI55" s="175"/>
      <c r="AJ55" s="174"/>
      <c r="AK55" s="176"/>
      <c r="AL55" s="174"/>
      <c r="AM55" s="177" t="s">
        <v>204</v>
      </c>
      <c r="AN55" s="243" t="s">
        <v>178</v>
      </c>
      <c r="AO55" s="178"/>
      <c r="AP55" s="179"/>
      <c r="AQ55" s="179"/>
      <c r="AR55" s="24"/>
      <c r="AS55" s="179"/>
    </row>
    <row r="56" spans="1:45" ht="30" customHeight="1" x14ac:dyDescent="0.35">
      <c r="A56" s="38">
        <v>2026</v>
      </c>
      <c r="B56" s="59" t="s">
        <v>63</v>
      </c>
      <c r="C56" s="58" t="s">
        <v>200</v>
      </c>
      <c r="D56" s="237" t="s">
        <v>114</v>
      </c>
      <c r="E56" s="180"/>
      <c r="F56" s="58" t="s">
        <v>297</v>
      </c>
      <c r="G56" s="237" t="s">
        <v>121</v>
      </c>
      <c r="H56" s="59" t="s">
        <v>126</v>
      </c>
      <c r="I56" s="65"/>
      <c r="J56" s="237" t="s">
        <v>132</v>
      </c>
      <c r="K56" s="237" t="s">
        <v>3</v>
      </c>
      <c r="L56" s="59" t="s">
        <v>6</v>
      </c>
      <c r="M56" s="58" t="s">
        <v>202</v>
      </c>
      <c r="N56" s="130"/>
      <c r="O56" s="172"/>
      <c r="P56" s="172"/>
      <c r="Q56" s="237" t="s">
        <v>140</v>
      </c>
      <c r="R56" s="78"/>
      <c r="S56" s="78"/>
      <c r="T56" s="58" t="s">
        <v>298</v>
      </c>
      <c r="U56" s="237">
        <v>2026</v>
      </c>
      <c r="V56" s="88">
        <v>46022</v>
      </c>
      <c r="W56" s="78"/>
      <c r="X56" s="88">
        <v>46024</v>
      </c>
      <c r="Y56" s="131">
        <v>150000</v>
      </c>
      <c r="Z56" s="131">
        <v>0</v>
      </c>
      <c r="AA56" s="131">
        <f t="shared" si="3"/>
        <v>150000</v>
      </c>
      <c r="AB56" s="131">
        <v>0</v>
      </c>
      <c r="AC56" s="131">
        <f t="shared" si="4"/>
        <v>150000</v>
      </c>
      <c r="AD56" s="131">
        <f t="shared" si="5"/>
        <v>150000</v>
      </c>
      <c r="AE56" s="173" t="s">
        <v>102</v>
      </c>
      <c r="AF56" s="173"/>
      <c r="AG56" s="173"/>
      <c r="AH56" s="174"/>
      <c r="AI56" s="175"/>
      <c r="AJ56" s="174"/>
      <c r="AK56" s="176"/>
      <c r="AL56" s="174"/>
      <c r="AM56" s="177" t="s">
        <v>204</v>
      </c>
      <c r="AN56" s="243" t="s">
        <v>178</v>
      </c>
      <c r="AO56" s="178"/>
      <c r="AP56" s="179"/>
      <c r="AQ56" s="179"/>
      <c r="AR56" s="24"/>
      <c r="AS56" s="179"/>
    </row>
    <row r="57" spans="1:45" ht="45" customHeight="1" x14ac:dyDescent="0.35">
      <c r="A57" s="38">
        <v>2026</v>
      </c>
      <c r="B57" s="59" t="s">
        <v>63</v>
      </c>
      <c r="C57" s="58" t="s">
        <v>299</v>
      </c>
      <c r="D57" s="237" t="s">
        <v>114</v>
      </c>
      <c r="E57" s="105">
        <v>94</v>
      </c>
      <c r="F57" s="58" t="s">
        <v>300</v>
      </c>
      <c r="G57" s="237" t="s">
        <v>120</v>
      </c>
      <c r="H57" s="59" t="s">
        <v>120</v>
      </c>
      <c r="I57" s="65"/>
      <c r="J57" s="237" t="s">
        <v>132</v>
      </c>
      <c r="K57" s="237" t="s">
        <v>3</v>
      </c>
      <c r="L57" s="59" t="s">
        <v>6</v>
      </c>
      <c r="M57" s="58" t="s">
        <v>202</v>
      </c>
      <c r="N57" s="130"/>
      <c r="O57" s="172"/>
      <c r="P57" s="172"/>
      <c r="Q57" s="237" t="s">
        <v>140</v>
      </c>
      <c r="R57" s="78"/>
      <c r="S57" s="78"/>
      <c r="T57" s="58" t="s">
        <v>301</v>
      </c>
      <c r="U57" s="237">
        <v>2026</v>
      </c>
      <c r="V57" s="82"/>
      <c r="W57" s="78"/>
      <c r="X57" s="88"/>
      <c r="Y57" s="131">
        <v>65999.78</v>
      </c>
      <c r="Z57" s="131"/>
      <c r="AA57" s="131">
        <f t="shared" si="3"/>
        <v>65999.78</v>
      </c>
      <c r="AB57" s="131"/>
      <c r="AC57" s="131">
        <f t="shared" si="4"/>
        <v>65999.78</v>
      </c>
      <c r="AD57" s="131">
        <f t="shared" si="5"/>
        <v>65999.78</v>
      </c>
      <c r="AE57" s="173" t="s">
        <v>101</v>
      </c>
      <c r="AF57" s="173"/>
      <c r="AG57" s="173"/>
      <c r="AH57" s="174"/>
      <c r="AI57" s="175"/>
      <c r="AJ57" s="174"/>
      <c r="AK57" s="176"/>
      <c r="AL57" s="174"/>
      <c r="AM57" s="177"/>
      <c r="AN57" s="243" t="s">
        <v>178</v>
      </c>
      <c r="AO57" s="178"/>
      <c r="AP57" s="179"/>
      <c r="AQ57" s="179"/>
      <c r="AR57" s="24"/>
      <c r="AS57" s="179"/>
    </row>
    <row r="58" spans="1:45" ht="30" customHeight="1" x14ac:dyDescent="0.35">
      <c r="A58" s="38">
        <v>2026</v>
      </c>
      <c r="B58" s="59" t="s">
        <v>63</v>
      </c>
      <c r="C58" s="58" t="s">
        <v>299</v>
      </c>
      <c r="D58" s="237" t="s">
        <v>114</v>
      </c>
      <c r="E58" s="105">
        <v>94</v>
      </c>
      <c r="F58" s="58" t="s">
        <v>302</v>
      </c>
      <c r="G58" s="237" t="s">
        <v>120</v>
      </c>
      <c r="H58" s="59" t="s">
        <v>120</v>
      </c>
      <c r="I58" s="65"/>
      <c r="J58" s="237" t="s">
        <v>132</v>
      </c>
      <c r="K58" s="237" t="s">
        <v>3</v>
      </c>
      <c r="L58" s="59" t="s">
        <v>6</v>
      </c>
      <c r="M58" s="58" t="s">
        <v>202</v>
      </c>
      <c r="N58" s="130"/>
      <c r="O58" s="172"/>
      <c r="P58" s="172"/>
      <c r="Q58" s="237" t="s">
        <v>140</v>
      </c>
      <c r="R58" s="78"/>
      <c r="S58" s="78"/>
      <c r="T58" s="58" t="s">
        <v>303</v>
      </c>
      <c r="U58" s="237">
        <v>2026</v>
      </c>
      <c r="V58" s="82"/>
      <c r="W58" s="78"/>
      <c r="X58" s="88"/>
      <c r="Y58" s="131">
        <v>65999.78</v>
      </c>
      <c r="Z58" s="131"/>
      <c r="AA58" s="131">
        <f t="shared" si="3"/>
        <v>65999.78</v>
      </c>
      <c r="AB58" s="131"/>
      <c r="AC58" s="131">
        <f t="shared" si="4"/>
        <v>65999.78</v>
      </c>
      <c r="AD58" s="131">
        <f t="shared" si="5"/>
        <v>65999.78</v>
      </c>
      <c r="AE58" s="173" t="s">
        <v>101</v>
      </c>
      <c r="AF58" s="173"/>
      <c r="AG58" s="173"/>
      <c r="AH58" s="174"/>
      <c r="AI58" s="175"/>
      <c r="AJ58" s="174"/>
      <c r="AK58" s="176"/>
      <c r="AL58" s="174"/>
      <c r="AM58" s="177"/>
      <c r="AN58" s="243" t="s">
        <v>178</v>
      </c>
      <c r="AO58" s="178"/>
      <c r="AP58" s="179"/>
      <c r="AQ58" s="179"/>
      <c r="AR58" s="24"/>
      <c r="AS58" s="179"/>
    </row>
    <row r="59" spans="1:45" ht="30" customHeight="1" x14ac:dyDescent="0.35">
      <c r="A59" s="38">
        <v>2026</v>
      </c>
      <c r="B59" s="59" t="s">
        <v>63</v>
      </c>
      <c r="C59" s="58" t="s">
        <v>200</v>
      </c>
      <c r="D59" s="237" t="s">
        <v>114</v>
      </c>
      <c r="E59" s="180"/>
      <c r="F59" s="58" t="s">
        <v>304</v>
      </c>
      <c r="G59" s="237" t="s">
        <v>121</v>
      </c>
      <c r="H59" s="59" t="s">
        <v>126</v>
      </c>
      <c r="I59" s="65"/>
      <c r="J59" s="237" t="s">
        <v>132</v>
      </c>
      <c r="K59" s="237" t="s">
        <v>3</v>
      </c>
      <c r="L59" s="59" t="s">
        <v>6</v>
      </c>
      <c r="M59" s="58" t="s">
        <v>202</v>
      </c>
      <c r="N59" s="130"/>
      <c r="O59" s="172"/>
      <c r="P59" s="172"/>
      <c r="Q59" s="237" t="s">
        <v>140</v>
      </c>
      <c r="R59" s="78"/>
      <c r="S59" s="78"/>
      <c r="T59" s="58" t="s">
        <v>305</v>
      </c>
      <c r="U59" s="237">
        <v>2026</v>
      </c>
      <c r="V59" s="88">
        <v>46022</v>
      </c>
      <c r="W59" s="78"/>
      <c r="X59" s="88">
        <v>46024</v>
      </c>
      <c r="Y59" s="131">
        <v>150500</v>
      </c>
      <c r="Z59" s="131">
        <v>0</v>
      </c>
      <c r="AA59" s="131">
        <f t="shared" si="3"/>
        <v>150500</v>
      </c>
      <c r="AB59" s="131">
        <v>0</v>
      </c>
      <c r="AC59" s="131">
        <f t="shared" si="4"/>
        <v>150500</v>
      </c>
      <c r="AD59" s="131">
        <f t="shared" si="5"/>
        <v>150500</v>
      </c>
      <c r="AE59" s="173" t="s">
        <v>102</v>
      </c>
      <c r="AF59" s="173"/>
      <c r="AG59" s="173"/>
      <c r="AH59" s="174"/>
      <c r="AI59" s="175"/>
      <c r="AJ59" s="174"/>
      <c r="AK59" s="176"/>
      <c r="AL59" s="174"/>
      <c r="AM59" s="177" t="s">
        <v>204</v>
      </c>
      <c r="AN59" s="243" t="s">
        <v>178</v>
      </c>
      <c r="AO59" s="178"/>
      <c r="AP59" s="179"/>
      <c r="AQ59" s="179"/>
      <c r="AR59" s="24"/>
      <c r="AS59" s="179"/>
    </row>
    <row r="60" spans="1:45" ht="30" customHeight="1" x14ac:dyDescent="0.35">
      <c r="A60" s="38">
        <v>2026</v>
      </c>
      <c r="B60" s="59" t="s">
        <v>63</v>
      </c>
      <c r="C60" s="58" t="s">
        <v>200</v>
      </c>
      <c r="D60" s="237" t="s">
        <v>114</v>
      </c>
      <c r="E60" s="105">
        <v>94</v>
      </c>
      <c r="F60" s="58" t="s">
        <v>306</v>
      </c>
      <c r="G60" s="237" t="s">
        <v>121</v>
      </c>
      <c r="H60" s="59" t="s">
        <v>126</v>
      </c>
      <c r="I60" s="65"/>
      <c r="J60" s="237" t="s">
        <v>132</v>
      </c>
      <c r="K60" s="237" t="s">
        <v>3</v>
      </c>
      <c r="L60" s="59" t="s">
        <v>6</v>
      </c>
      <c r="M60" s="58" t="s">
        <v>202</v>
      </c>
      <c r="N60" s="130"/>
      <c r="O60" s="172"/>
      <c r="P60" s="172"/>
      <c r="Q60" s="237" t="s">
        <v>140</v>
      </c>
      <c r="R60" s="78"/>
      <c r="S60" s="78"/>
      <c r="T60" s="58" t="s">
        <v>307</v>
      </c>
      <c r="U60" s="237">
        <v>2026</v>
      </c>
      <c r="V60" s="88">
        <v>46022</v>
      </c>
      <c r="W60" s="78"/>
      <c r="X60" s="88">
        <v>46024</v>
      </c>
      <c r="Y60" s="131">
        <v>150000</v>
      </c>
      <c r="Z60" s="131">
        <v>0</v>
      </c>
      <c r="AA60" s="131">
        <f t="shared" si="3"/>
        <v>150000</v>
      </c>
      <c r="AB60" s="131">
        <v>0</v>
      </c>
      <c r="AC60" s="131">
        <f t="shared" si="4"/>
        <v>150000</v>
      </c>
      <c r="AD60" s="131">
        <f t="shared" si="5"/>
        <v>150000</v>
      </c>
      <c r="AE60" s="173" t="s">
        <v>102</v>
      </c>
      <c r="AF60" s="173"/>
      <c r="AG60" s="173"/>
      <c r="AH60" s="174"/>
      <c r="AI60" s="175"/>
      <c r="AJ60" s="174"/>
      <c r="AK60" s="176"/>
      <c r="AL60" s="174"/>
      <c r="AM60" s="177" t="s">
        <v>204</v>
      </c>
      <c r="AN60" s="243" t="s">
        <v>178</v>
      </c>
      <c r="AO60" s="178"/>
      <c r="AP60" s="179"/>
      <c r="AQ60" s="179"/>
      <c r="AR60" s="24"/>
      <c r="AS60" s="179"/>
    </row>
    <row r="61" spans="1:45" ht="30" customHeight="1" x14ac:dyDescent="0.35">
      <c r="A61" s="40">
        <v>2026</v>
      </c>
      <c r="B61" s="59" t="s">
        <v>72</v>
      </c>
      <c r="C61" s="58" t="s">
        <v>308</v>
      </c>
      <c r="D61" s="237" t="s">
        <v>114</v>
      </c>
      <c r="E61" s="180">
        <v>434</v>
      </c>
      <c r="F61" s="58" t="s">
        <v>309</v>
      </c>
      <c r="G61" s="237" t="s">
        <v>121</v>
      </c>
      <c r="H61" s="59" t="s">
        <v>126</v>
      </c>
      <c r="I61" s="65"/>
      <c r="J61" s="237" t="s">
        <v>132</v>
      </c>
      <c r="K61" s="237" t="s">
        <v>3</v>
      </c>
      <c r="L61" s="59" t="s">
        <v>6</v>
      </c>
      <c r="M61" s="58" t="s">
        <v>202</v>
      </c>
      <c r="N61" s="130"/>
      <c r="O61" s="172"/>
      <c r="P61" s="172"/>
      <c r="Q61" s="237" t="s">
        <v>140</v>
      </c>
      <c r="R61" s="78"/>
      <c r="S61" s="78"/>
      <c r="T61" s="58" t="s">
        <v>310</v>
      </c>
      <c r="U61" s="237">
        <v>2026</v>
      </c>
      <c r="V61" s="88">
        <v>46387</v>
      </c>
      <c r="W61" s="78"/>
      <c r="X61" s="88">
        <v>46024</v>
      </c>
      <c r="Y61" s="131">
        <v>108000</v>
      </c>
      <c r="Z61" s="131">
        <v>0</v>
      </c>
      <c r="AA61" s="131">
        <f t="shared" si="3"/>
        <v>108000</v>
      </c>
      <c r="AB61" s="131">
        <v>0</v>
      </c>
      <c r="AC61" s="131">
        <f t="shared" si="4"/>
        <v>108000</v>
      </c>
      <c r="AD61" s="131">
        <f t="shared" si="5"/>
        <v>108000</v>
      </c>
      <c r="AE61" s="173" t="s">
        <v>102</v>
      </c>
      <c r="AF61" s="173"/>
      <c r="AG61" s="173"/>
      <c r="AH61" s="174"/>
      <c r="AI61" s="175"/>
      <c r="AJ61" s="174"/>
      <c r="AK61" s="176"/>
      <c r="AL61" s="174"/>
      <c r="AM61" s="177" t="s">
        <v>204</v>
      </c>
      <c r="AN61" s="243" t="s">
        <v>178</v>
      </c>
      <c r="AO61" s="178"/>
      <c r="AP61" s="179"/>
      <c r="AQ61" s="179"/>
      <c r="AR61" s="24"/>
      <c r="AS61" s="179"/>
    </row>
    <row r="62" spans="1:45" ht="30" customHeight="1" x14ac:dyDescent="0.35">
      <c r="A62" s="40">
        <v>2026</v>
      </c>
      <c r="B62" s="59" t="s">
        <v>72</v>
      </c>
      <c r="C62" s="58" t="s">
        <v>308</v>
      </c>
      <c r="D62" s="237" t="s">
        <v>114</v>
      </c>
      <c r="E62" s="180">
        <v>436</v>
      </c>
      <c r="F62" s="58" t="s">
        <v>311</v>
      </c>
      <c r="G62" s="237" t="s">
        <v>121</v>
      </c>
      <c r="H62" s="59" t="s">
        <v>126</v>
      </c>
      <c r="I62" s="65"/>
      <c r="J62" s="237" t="s">
        <v>132</v>
      </c>
      <c r="K62" s="237" t="s">
        <v>3</v>
      </c>
      <c r="L62" s="59" t="s">
        <v>6</v>
      </c>
      <c r="M62" s="58" t="s">
        <v>202</v>
      </c>
      <c r="N62" s="130"/>
      <c r="O62" s="172"/>
      <c r="P62" s="172"/>
      <c r="Q62" s="237" t="s">
        <v>140</v>
      </c>
      <c r="R62" s="78"/>
      <c r="S62" s="78"/>
      <c r="T62" s="58" t="s">
        <v>312</v>
      </c>
      <c r="U62" s="237">
        <v>2026</v>
      </c>
      <c r="V62" s="88">
        <v>46387</v>
      </c>
      <c r="W62" s="78"/>
      <c r="X62" s="88">
        <v>46024</v>
      </c>
      <c r="Y62" s="131">
        <v>72000</v>
      </c>
      <c r="Z62" s="131">
        <v>0</v>
      </c>
      <c r="AA62" s="131">
        <f t="shared" si="3"/>
        <v>72000</v>
      </c>
      <c r="AB62" s="131">
        <v>0</v>
      </c>
      <c r="AC62" s="131">
        <f t="shared" si="4"/>
        <v>72000</v>
      </c>
      <c r="AD62" s="131">
        <f t="shared" si="5"/>
        <v>72000</v>
      </c>
      <c r="AE62" s="173" t="s">
        <v>102</v>
      </c>
      <c r="AF62" s="173"/>
      <c r="AG62" s="173"/>
      <c r="AH62" s="174"/>
      <c r="AI62" s="175"/>
      <c r="AJ62" s="174"/>
      <c r="AK62" s="176"/>
      <c r="AL62" s="174"/>
      <c r="AM62" s="177" t="s">
        <v>204</v>
      </c>
      <c r="AN62" s="243" t="s">
        <v>178</v>
      </c>
      <c r="AO62" s="178"/>
      <c r="AP62" s="179"/>
      <c r="AQ62" s="179"/>
      <c r="AR62" s="24"/>
      <c r="AS62" s="179"/>
    </row>
    <row r="63" spans="1:45" ht="30" customHeight="1" x14ac:dyDescent="0.35">
      <c r="A63" s="40">
        <v>2026</v>
      </c>
      <c r="B63" s="59" t="s">
        <v>72</v>
      </c>
      <c r="C63" s="58" t="s">
        <v>308</v>
      </c>
      <c r="D63" s="237" t="s">
        <v>114</v>
      </c>
      <c r="E63" s="180">
        <v>438</v>
      </c>
      <c r="F63" s="58" t="s">
        <v>313</v>
      </c>
      <c r="G63" s="237" t="s">
        <v>121</v>
      </c>
      <c r="H63" s="59" t="s">
        <v>126</v>
      </c>
      <c r="I63" s="65"/>
      <c r="J63" s="237" t="s">
        <v>132</v>
      </c>
      <c r="K63" s="237" t="s">
        <v>3</v>
      </c>
      <c r="L63" s="59" t="s">
        <v>6</v>
      </c>
      <c r="M63" s="58" t="s">
        <v>202</v>
      </c>
      <c r="N63" s="130"/>
      <c r="O63" s="172"/>
      <c r="P63" s="172"/>
      <c r="Q63" s="237" t="s">
        <v>140</v>
      </c>
      <c r="R63" s="78"/>
      <c r="S63" s="78"/>
      <c r="T63" s="58" t="s">
        <v>314</v>
      </c>
      <c r="U63" s="237">
        <v>2026</v>
      </c>
      <c r="V63" s="88">
        <v>46387</v>
      </c>
      <c r="W63" s="78"/>
      <c r="X63" s="88">
        <v>46024</v>
      </c>
      <c r="Y63" s="131">
        <v>84000</v>
      </c>
      <c r="Z63" s="131">
        <v>0</v>
      </c>
      <c r="AA63" s="131">
        <f t="shared" si="3"/>
        <v>84000</v>
      </c>
      <c r="AB63" s="131">
        <v>0</v>
      </c>
      <c r="AC63" s="131">
        <f t="shared" si="4"/>
        <v>84000</v>
      </c>
      <c r="AD63" s="131">
        <f t="shared" si="5"/>
        <v>84000</v>
      </c>
      <c r="AE63" s="173" t="s">
        <v>102</v>
      </c>
      <c r="AF63" s="173"/>
      <c r="AG63" s="173"/>
      <c r="AH63" s="174"/>
      <c r="AI63" s="175"/>
      <c r="AJ63" s="174"/>
      <c r="AK63" s="176"/>
      <c r="AL63" s="174"/>
      <c r="AM63" s="177" t="s">
        <v>204</v>
      </c>
      <c r="AN63" s="243" t="s">
        <v>178</v>
      </c>
      <c r="AO63" s="178"/>
      <c r="AP63" s="179"/>
      <c r="AQ63" s="179"/>
      <c r="AR63" s="24"/>
      <c r="AS63" s="179"/>
    </row>
    <row r="64" spans="1:45" ht="30" customHeight="1" x14ac:dyDescent="0.35">
      <c r="A64" s="40">
        <v>2026</v>
      </c>
      <c r="B64" s="59" t="s">
        <v>72</v>
      </c>
      <c r="C64" s="58" t="s">
        <v>308</v>
      </c>
      <c r="D64" s="237" t="s">
        <v>114</v>
      </c>
      <c r="E64" s="180"/>
      <c r="F64" s="58" t="s">
        <v>315</v>
      </c>
      <c r="G64" s="237" t="s">
        <v>121</v>
      </c>
      <c r="H64" s="59" t="s">
        <v>126</v>
      </c>
      <c r="I64" s="65"/>
      <c r="J64" s="237" t="s">
        <v>132</v>
      </c>
      <c r="K64" s="237" t="s">
        <v>3</v>
      </c>
      <c r="L64" s="59" t="s">
        <v>6</v>
      </c>
      <c r="M64" s="58" t="s">
        <v>202</v>
      </c>
      <c r="N64" s="130"/>
      <c r="O64" s="172"/>
      <c r="P64" s="172"/>
      <c r="Q64" s="237" t="s">
        <v>140</v>
      </c>
      <c r="R64" s="78"/>
      <c r="S64" s="78"/>
      <c r="T64" s="58" t="s">
        <v>316</v>
      </c>
      <c r="U64" s="237">
        <v>2026</v>
      </c>
      <c r="V64" s="88">
        <v>46387</v>
      </c>
      <c r="W64" s="78"/>
      <c r="X64" s="88">
        <v>46024</v>
      </c>
      <c r="Y64" s="131">
        <v>84000</v>
      </c>
      <c r="Z64" s="131">
        <v>0</v>
      </c>
      <c r="AA64" s="131">
        <f t="shared" si="3"/>
        <v>84000</v>
      </c>
      <c r="AB64" s="131">
        <v>0</v>
      </c>
      <c r="AC64" s="131">
        <f t="shared" si="4"/>
        <v>84000</v>
      </c>
      <c r="AD64" s="131">
        <f t="shared" si="5"/>
        <v>84000</v>
      </c>
      <c r="AE64" s="173" t="s">
        <v>102</v>
      </c>
      <c r="AF64" s="173"/>
      <c r="AG64" s="173"/>
      <c r="AH64" s="174"/>
      <c r="AI64" s="175"/>
      <c r="AJ64" s="174"/>
      <c r="AK64" s="176"/>
      <c r="AL64" s="174"/>
      <c r="AM64" s="177" t="s">
        <v>204</v>
      </c>
      <c r="AN64" s="243" t="s">
        <v>178</v>
      </c>
      <c r="AO64" s="178"/>
      <c r="AP64" s="179"/>
      <c r="AQ64" s="179"/>
      <c r="AR64" s="24"/>
      <c r="AS64" s="179"/>
    </row>
    <row r="65" spans="1:45" ht="30" customHeight="1" x14ac:dyDescent="0.35">
      <c r="A65" s="40">
        <v>2026</v>
      </c>
      <c r="B65" s="59" t="s">
        <v>72</v>
      </c>
      <c r="C65" s="58" t="s">
        <v>308</v>
      </c>
      <c r="D65" s="237" t="s">
        <v>114</v>
      </c>
      <c r="E65" s="180">
        <v>444</v>
      </c>
      <c r="F65" s="58" t="s">
        <v>317</v>
      </c>
      <c r="G65" s="237" t="s">
        <v>121</v>
      </c>
      <c r="H65" s="59" t="s">
        <v>126</v>
      </c>
      <c r="I65" s="65"/>
      <c r="J65" s="237" t="s">
        <v>132</v>
      </c>
      <c r="K65" s="237" t="s">
        <v>3</v>
      </c>
      <c r="L65" s="59" t="s">
        <v>6</v>
      </c>
      <c r="M65" s="58" t="s">
        <v>202</v>
      </c>
      <c r="N65" s="130"/>
      <c r="O65" s="172"/>
      <c r="P65" s="172"/>
      <c r="Q65" s="237" t="s">
        <v>140</v>
      </c>
      <c r="R65" s="78"/>
      <c r="S65" s="78"/>
      <c r="T65" s="58" t="s">
        <v>318</v>
      </c>
      <c r="U65" s="237">
        <v>2026</v>
      </c>
      <c r="V65" s="88">
        <v>46387</v>
      </c>
      <c r="W65" s="78"/>
      <c r="X65" s="88">
        <v>46024</v>
      </c>
      <c r="Y65" s="131">
        <v>84000</v>
      </c>
      <c r="Z65" s="131">
        <v>0</v>
      </c>
      <c r="AA65" s="131">
        <f t="shared" si="3"/>
        <v>84000</v>
      </c>
      <c r="AB65" s="131">
        <v>0</v>
      </c>
      <c r="AC65" s="131">
        <f t="shared" si="4"/>
        <v>84000</v>
      </c>
      <c r="AD65" s="131">
        <f t="shared" si="5"/>
        <v>84000</v>
      </c>
      <c r="AE65" s="173" t="s">
        <v>102</v>
      </c>
      <c r="AF65" s="173"/>
      <c r="AG65" s="173"/>
      <c r="AH65" s="174"/>
      <c r="AI65" s="175"/>
      <c r="AJ65" s="174"/>
      <c r="AK65" s="176"/>
      <c r="AL65" s="174"/>
      <c r="AM65" s="177" t="s">
        <v>204</v>
      </c>
      <c r="AN65" s="243" t="s">
        <v>178</v>
      </c>
      <c r="AO65" s="178"/>
      <c r="AP65" s="179"/>
      <c r="AQ65" s="179"/>
      <c r="AR65" s="24"/>
      <c r="AS65" s="179"/>
    </row>
    <row r="66" spans="1:45" ht="30" customHeight="1" x14ac:dyDescent="0.35">
      <c r="A66" s="40">
        <v>2026</v>
      </c>
      <c r="B66" s="59" t="s">
        <v>72</v>
      </c>
      <c r="C66" s="58" t="s">
        <v>308</v>
      </c>
      <c r="D66" s="237" t="s">
        <v>114</v>
      </c>
      <c r="E66" s="180"/>
      <c r="F66" s="58" t="s">
        <v>319</v>
      </c>
      <c r="G66" s="237" t="s">
        <v>121</v>
      </c>
      <c r="H66" s="59" t="s">
        <v>126</v>
      </c>
      <c r="I66" s="65"/>
      <c r="J66" s="237" t="s">
        <v>132</v>
      </c>
      <c r="K66" s="237" t="s">
        <v>3</v>
      </c>
      <c r="L66" s="59" t="s">
        <v>6</v>
      </c>
      <c r="M66" s="58" t="s">
        <v>202</v>
      </c>
      <c r="N66" s="130"/>
      <c r="O66" s="172"/>
      <c r="P66" s="172"/>
      <c r="Q66" s="237" t="s">
        <v>140</v>
      </c>
      <c r="R66" s="78"/>
      <c r="S66" s="78"/>
      <c r="T66" s="58" t="s">
        <v>320</v>
      </c>
      <c r="U66" s="237">
        <v>2026</v>
      </c>
      <c r="V66" s="88">
        <v>46387</v>
      </c>
      <c r="W66" s="78"/>
      <c r="X66" s="88">
        <v>46024</v>
      </c>
      <c r="Y66" s="131">
        <v>84000</v>
      </c>
      <c r="Z66" s="131">
        <v>0</v>
      </c>
      <c r="AA66" s="131">
        <f t="shared" si="3"/>
        <v>84000</v>
      </c>
      <c r="AB66" s="131">
        <v>0</v>
      </c>
      <c r="AC66" s="131">
        <f t="shared" si="4"/>
        <v>84000</v>
      </c>
      <c r="AD66" s="131">
        <f t="shared" si="5"/>
        <v>84000</v>
      </c>
      <c r="AE66" s="173" t="s">
        <v>102</v>
      </c>
      <c r="AF66" s="173"/>
      <c r="AG66" s="173"/>
      <c r="AH66" s="174"/>
      <c r="AI66" s="175"/>
      <c r="AJ66" s="174"/>
      <c r="AK66" s="176"/>
      <c r="AL66" s="174"/>
      <c r="AM66" s="177" t="s">
        <v>204</v>
      </c>
      <c r="AN66" s="243" t="s">
        <v>178</v>
      </c>
      <c r="AO66" s="178"/>
      <c r="AP66" s="179"/>
      <c r="AQ66" s="179"/>
      <c r="AR66" s="24"/>
      <c r="AS66" s="179"/>
    </row>
    <row r="67" spans="1:45" ht="30" customHeight="1" x14ac:dyDescent="0.35">
      <c r="A67" s="40">
        <v>2026</v>
      </c>
      <c r="B67" s="59" t="s">
        <v>72</v>
      </c>
      <c r="C67" s="58" t="s">
        <v>308</v>
      </c>
      <c r="D67" s="237" t="s">
        <v>114</v>
      </c>
      <c r="E67" s="180"/>
      <c r="F67" s="58" t="s">
        <v>321</v>
      </c>
      <c r="G67" s="237" t="s">
        <v>121</v>
      </c>
      <c r="H67" s="59" t="s">
        <v>126</v>
      </c>
      <c r="I67" s="65"/>
      <c r="J67" s="237" t="s">
        <v>132</v>
      </c>
      <c r="K67" s="237" t="s">
        <v>3</v>
      </c>
      <c r="L67" s="59" t="s">
        <v>6</v>
      </c>
      <c r="M67" s="58" t="s">
        <v>202</v>
      </c>
      <c r="N67" s="130"/>
      <c r="O67" s="172"/>
      <c r="P67" s="172"/>
      <c r="Q67" s="237" t="s">
        <v>140</v>
      </c>
      <c r="R67" s="78"/>
      <c r="S67" s="78"/>
      <c r="T67" s="58" t="s">
        <v>322</v>
      </c>
      <c r="U67" s="237">
        <v>2026</v>
      </c>
      <c r="V67" s="88">
        <v>46387</v>
      </c>
      <c r="W67" s="78"/>
      <c r="X67" s="88">
        <v>46024</v>
      </c>
      <c r="Y67" s="131">
        <v>84000</v>
      </c>
      <c r="Z67" s="131">
        <v>0</v>
      </c>
      <c r="AA67" s="131">
        <f t="shared" si="3"/>
        <v>84000</v>
      </c>
      <c r="AB67" s="131">
        <v>0</v>
      </c>
      <c r="AC67" s="131">
        <f t="shared" si="4"/>
        <v>84000</v>
      </c>
      <c r="AD67" s="131">
        <f t="shared" si="5"/>
        <v>84000</v>
      </c>
      <c r="AE67" s="173" t="s">
        <v>102</v>
      </c>
      <c r="AF67" s="173"/>
      <c r="AG67" s="173"/>
      <c r="AH67" s="174"/>
      <c r="AI67" s="175"/>
      <c r="AJ67" s="174"/>
      <c r="AK67" s="176"/>
      <c r="AL67" s="174"/>
      <c r="AM67" s="177" t="s">
        <v>204</v>
      </c>
      <c r="AN67" s="243" t="s">
        <v>178</v>
      </c>
      <c r="AO67" s="178"/>
      <c r="AP67" s="179"/>
      <c r="AQ67" s="179"/>
      <c r="AR67" s="24"/>
      <c r="AS67" s="179"/>
    </row>
    <row r="68" spans="1:45" ht="30" customHeight="1" x14ac:dyDescent="0.35">
      <c r="A68" s="40">
        <v>2026</v>
      </c>
      <c r="B68" s="59" t="s">
        <v>72</v>
      </c>
      <c r="C68" s="58" t="s">
        <v>308</v>
      </c>
      <c r="D68" s="237" t="s">
        <v>114</v>
      </c>
      <c r="E68" s="180">
        <v>447</v>
      </c>
      <c r="F68" s="58" t="s">
        <v>323</v>
      </c>
      <c r="G68" s="237" t="s">
        <v>121</v>
      </c>
      <c r="H68" s="59" t="s">
        <v>126</v>
      </c>
      <c r="I68" s="65"/>
      <c r="J68" s="237" t="s">
        <v>132</v>
      </c>
      <c r="K68" s="237" t="s">
        <v>3</v>
      </c>
      <c r="L68" s="59" t="s">
        <v>6</v>
      </c>
      <c r="M68" s="58" t="s">
        <v>202</v>
      </c>
      <c r="N68" s="130"/>
      <c r="O68" s="172"/>
      <c r="P68" s="172"/>
      <c r="Q68" s="237" t="s">
        <v>140</v>
      </c>
      <c r="R68" s="78"/>
      <c r="S68" s="78"/>
      <c r="T68" s="58" t="s">
        <v>324</v>
      </c>
      <c r="U68" s="237">
        <v>2026</v>
      </c>
      <c r="V68" s="88">
        <v>46387</v>
      </c>
      <c r="W68" s="78"/>
      <c r="X68" s="88">
        <v>46024</v>
      </c>
      <c r="Y68" s="131">
        <v>84000</v>
      </c>
      <c r="Z68" s="131">
        <v>0</v>
      </c>
      <c r="AA68" s="131">
        <f t="shared" ref="AA68:AA81" si="6">Y68</f>
        <v>84000</v>
      </c>
      <c r="AB68" s="131">
        <v>0</v>
      </c>
      <c r="AC68" s="131">
        <f t="shared" ref="AC68:AC81" si="7">Y68</f>
        <v>84000</v>
      </c>
      <c r="AD68" s="131">
        <f t="shared" ref="AD68:AD81" si="8">Y68</f>
        <v>84000</v>
      </c>
      <c r="AE68" s="173" t="s">
        <v>102</v>
      </c>
      <c r="AF68" s="173"/>
      <c r="AG68" s="173"/>
      <c r="AH68" s="174"/>
      <c r="AI68" s="175"/>
      <c r="AJ68" s="174"/>
      <c r="AK68" s="176"/>
      <c r="AL68" s="174"/>
      <c r="AM68" s="177" t="s">
        <v>204</v>
      </c>
      <c r="AN68" s="243" t="s">
        <v>178</v>
      </c>
      <c r="AO68" s="178"/>
      <c r="AP68" s="179"/>
      <c r="AQ68" s="179"/>
      <c r="AR68" s="24"/>
      <c r="AS68" s="179"/>
    </row>
    <row r="69" spans="1:45" ht="30" customHeight="1" x14ac:dyDescent="0.35">
      <c r="A69" s="40">
        <v>2026</v>
      </c>
      <c r="B69" s="59" t="s">
        <v>72</v>
      </c>
      <c r="C69" s="58" t="s">
        <v>308</v>
      </c>
      <c r="D69" s="237" t="s">
        <v>114</v>
      </c>
      <c r="E69" s="180">
        <v>448</v>
      </c>
      <c r="F69" s="58" t="s">
        <v>325</v>
      </c>
      <c r="G69" s="237" t="s">
        <v>121</v>
      </c>
      <c r="H69" s="59" t="s">
        <v>126</v>
      </c>
      <c r="I69" s="65"/>
      <c r="J69" s="237" t="s">
        <v>132</v>
      </c>
      <c r="K69" s="237" t="s">
        <v>3</v>
      </c>
      <c r="L69" s="59" t="s">
        <v>6</v>
      </c>
      <c r="M69" s="58" t="s">
        <v>202</v>
      </c>
      <c r="N69" s="130"/>
      <c r="O69" s="172"/>
      <c r="P69" s="172"/>
      <c r="Q69" s="237" t="s">
        <v>140</v>
      </c>
      <c r="R69" s="78"/>
      <c r="S69" s="78"/>
      <c r="T69" s="58" t="s">
        <v>326</v>
      </c>
      <c r="U69" s="237">
        <v>2026</v>
      </c>
      <c r="V69" s="88">
        <v>46387</v>
      </c>
      <c r="W69" s="78"/>
      <c r="X69" s="88">
        <v>46024</v>
      </c>
      <c r="Y69" s="131">
        <v>84000</v>
      </c>
      <c r="Z69" s="131">
        <v>0</v>
      </c>
      <c r="AA69" s="131">
        <f t="shared" si="6"/>
        <v>84000</v>
      </c>
      <c r="AB69" s="131">
        <v>0</v>
      </c>
      <c r="AC69" s="131">
        <f t="shared" si="7"/>
        <v>84000</v>
      </c>
      <c r="AD69" s="131">
        <f t="shared" si="8"/>
        <v>84000</v>
      </c>
      <c r="AE69" s="173" t="s">
        <v>102</v>
      </c>
      <c r="AF69" s="173"/>
      <c r="AG69" s="173"/>
      <c r="AH69" s="174"/>
      <c r="AI69" s="175"/>
      <c r="AJ69" s="174"/>
      <c r="AK69" s="176"/>
      <c r="AL69" s="174"/>
      <c r="AM69" s="177" t="s">
        <v>204</v>
      </c>
      <c r="AN69" s="243" t="s">
        <v>178</v>
      </c>
      <c r="AO69" s="178"/>
      <c r="AP69" s="179"/>
      <c r="AQ69" s="179"/>
      <c r="AR69" s="24"/>
      <c r="AS69" s="179"/>
    </row>
    <row r="70" spans="1:45" ht="30" customHeight="1" x14ac:dyDescent="0.35">
      <c r="A70" s="40">
        <v>2026</v>
      </c>
      <c r="B70" s="59" t="s">
        <v>72</v>
      </c>
      <c r="C70" s="58" t="s">
        <v>308</v>
      </c>
      <c r="D70" s="237" t="s">
        <v>114</v>
      </c>
      <c r="E70" s="180"/>
      <c r="F70" s="58" t="s">
        <v>327</v>
      </c>
      <c r="G70" s="237" t="s">
        <v>121</v>
      </c>
      <c r="H70" s="59" t="s">
        <v>126</v>
      </c>
      <c r="I70" s="65"/>
      <c r="J70" s="237" t="s">
        <v>132</v>
      </c>
      <c r="K70" s="237" t="s">
        <v>3</v>
      </c>
      <c r="L70" s="59" t="s">
        <v>6</v>
      </c>
      <c r="M70" s="58" t="s">
        <v>202</v>
      </c>
      <c r="N70" s="130"/>
      <c r="O70" s="172"/>
      <c r="P70" s="172"/>
      <c r="Q70" s="237" t="s">
        <v>140</v>
      </c>
      <c r="R70" s="78"/>
      <c r="S70" s="78"/>
      <c r="T70" s="58" t="s">
        <v>328</v>
      </c>
      <c r="U70" s="237">
        <v>2026</v>
      </c>
      <c r="V70" s="88">
        <v>46387</v>
      </c>
      <c r="W70" s="78"/>
      <c r="X70" s="88">
        <v>46024</v>
      </c>
      <c r="Y70" s="131">
        <v>84000</v>
      </c>
      <c r="Z70" s="131">
        <v>0</v>
      </c>
      <c r="AA70" s="131">
        <f t="shared" si="6"/>
        <v>84000</v>
      </c>
      <c r="AB70" s="131">
        <v>0</v>
      </c>
      <c r="AC70" s="131">
        <f t="shared" si="7"/>
        <v>84000</v>
      </c>
      <c r="AD70" s="131">
        <f t="shared" si="8"/>
        <v>84000</v>
      </c>
      <c r="AE70" s="173" t="s">
        <v>102</v>
      </c>
      <c r="AF70" s="173"/>
      <c r="AG70" s="173"/>
      <c r="AH70" s="174"/>
      <c r="AI70" s="175"/>
      <c r="AJ70" s="174"/>
      <c r="AK70" s="176"/>
      <c r="AL70" s="174"/>
      <c r="AM70" s="177" t="s">
        <v>204</v>
      </c>
      <c r="AN70" s="243" t="s">
        <v>178</v>
      </c>
      <c r="AO70" s="178"/>
      <c r="AP70" s="179"/>
      <c r="AQ70" s="179"/>
      <c r="AR70" s="24"/>
      <c r="AS70" s="179"/>
    </row>
    <row r="71" spans="1:45" ht="30" customHeight="1" x14ac:dyDescent="0.35">
      <c r="A71" s="40">
        <v>2026</v>
      </c>
      <c r="B71" s="59" t="s">
        <v>72</v>
      </c>
      <c r="C71" s="58" t="s">
        <v>308</v>
      </c>
      <c r="D71" s="237" t="s">
        <v>114</v>
      </c>
      <c r="E71" s="180"/>
      <c r="F71" s="58" t="s">
        <v>329</v>
      </c>
      <c r="G71" s="237" t="s">
        <v>121</v>
      </c>
      <c r="H71" s="59" t="s">
        <v>126</v>
      </c>
      <c r="I71" s="65"/>
      <c r="J71" s="237" t="s">
        <v>132</v>
      </c>
      <c r="K71" s="237" t="s">
        <v>3</v>
      </c>
      <c r="L71" s="59" t="s">
        <v>6</v>
      </c>
      <c r="M71" s="58" t="s">
        <v>202</v>
      </c>
      <c r="N71" s="130"/>
      <c r="O71" s="172"/>
      <c r="P71" s="172"/>
      <c r="Q71" s="237" t="s">
        <v>140</v>
      </c>
      <c r="R71" s="78"/>
      <c r="S71" s="78"/>
      <c r="T71" s="58" t="s">
        <v>330</v>
      </c>
      <c r="U71" s="237">
        <v>2026</v>
      </c>
      <c r="V71" s="88">
        <v>46387</v>
      </c>
      <c r="W71" s="78"/>
      <c r="X71" s="88">
        <v>46024</v>
      </c>
      <c r="Y71" s="131">
        <v>144000</v>
      </c>
      <c r="Z71" s="131">
        <v>0</v>
      </c>
      <c r="AA71" s="131">
        <f t="shared" si="6"/>
        <v>144000</v>
      </c>
      <c r="AB71" s="131">
        <v>0</v>
      </c>
      <c r="AC71" s="131">
        <f t="shared" si="7"/>
        <v>144000</v>
      </c>
      <c r="AD71" s="131">
        <f t="shared" si="8"/>
        <v>144000</v>
      </c>
      <c r="AE71" s="173" t="s">
        <v>102</v>
      </c>
      <c r="AF71" s="173"/>
      <c r="AG71" s="173"/>
      <c r="AH71" s="174"/>
      <c r="AI71" s="175"/>
      <c r="AJ71" s="174"/>
      <c r="AK71" s="176"/>
      <c r="AL71" s="174"/>
      <c r="AM71" s="177" t="s">
        <v>204</v>
      </c>
      <c r="AN71" s="243" t="s">
        <v>178</v>
      </c>
      <c r="AO71" s="178"/>
      <c r="AP71" s="179"/>
      <c r="AQ71" s="179"/>
      <c r="AR71" s="24"/>
      <c r="AS71" s="179"/>
    </row>
    <row r="72" spans="1:45" ht="30" customHeight="1" x14ac:dyDescent="0.35">
      <c r="A72" s="40">
        <v>2026</v>
      </c>
      <c r="B72" s="59" t="s">
        <v>72</v>
      </c>
      <c r="C72" s="58" t="s">
        <v>308</v>
      </c>
      <c r="D72" s="237" t="s">
        <v>114</v>
      </c>
      <c r="E72" s="180"/>
      <c r="F72" s="58" t="s">
        <v>331</v>
      </c>
      <c r="G72" s="237" t="s">
        <v>121</v>
      </c>
      <c r="H72" s="59" t="s">
        <v>126</v>
      </c>
      <c r="I72" s="65"/>
      <c r="J72" s="237" t="s">
        <v>132</v>
      </c>
      <c r="K72" s="237" t="s">
        <v>3</v>
      </c>
      <c r="L72" s="59" t="s">
        <v>6</v>
      </c>
      <c r="M72" s="58" t="s">
        <v>202</v>
      </c>
      <c r="N72" s="130"/>
      <c r="O72" s="172"/>
      <c r="P72" s="172"/>
      <c r="Q72" s="237" t="s">
        <v>140</v>
      </c>
      <c r="R72" s="78"/>
      <c r="S72" s="78"/>
      <c r="T72" s="58" t="s">
        <v>332</v>
      </c>
      <c r="U72" s="237">
        <v>2026</v>
      </c>
      <c r="V72" s="88">
        <v>46387</v>
      </c>
      <c r="W72" s="78"/>
      <c r="X72" s="88">
        <v>46024</v>
      </c>
      <c r="Y72" s="131">
        <v>144000</v>
      </c>
      <c r="Z72" s="131">
        <v>0</v>
      </c>
      <c r="AA72" s="131">
        <f t="shared" si="6"/>
        <v>144000</v>
      </c>
      <c r="AB72" s="131">
        <v>0</v>
      </c>
      <c r="AC72" s="131">
        <f t="shared" si="7"/>
        <v>144000</v>
      </c>
      <c r="AD72" s="131">
        <f t="shared" si="8"/>
        <v>144000</v>
      </c>
      <c r="AE72" s="173" t="s">
        <v>102</v>
      </c>
      <c r="AF72" s="173"/>
      <c r="AG72" s="173"/>
      <c r="AH72" s="174"/>
      <c r="AI72" s="175"/>
      <c r="AJ72" s="174"/>
      <c r="AK72" s="176"/>
      <c r="AL72" s="174"/>
      <c r="AM72" s="177" t="s">
        <v>204</v>
      </c>
      <c r="AN72" s="243" t="s">
        <v>178</v>
      </c>
      <c r="AO72" s="178"/>
      <c r="AP72" s="179"/>
      <c r="AQ72" s="179"/>
      <c r="AR72" s="24"/>
      <c r="AS72" s="179"/>
    </row>
    <row r="73" spans="1:45" ht="30" customHeight="1" x14ac:dyDescent="0.35">
      <c r="A73" s="40">
        <v>2026</v>
      </c>
      <c r="B73" s="59" t="s">
        <v>72</v>
      </c>
      <c r="C73" s="58" t="s">
        <v>308</v>
      </c>
      <c r="D73" s="237" t="s">
        <v>114</v>
      </c>
      <c r="E73" s="180"/>
      <c r="F73" s="58" t="s">
        <v>333</v>
      </c>
      <c r="G73" s="237" t="s">
        <v>121</v>
      </c>
      <c r="H73" s="59" t="s">
        <v>126</v>
      </c>
      <c r="I73" s="65"/>
      <c r="J73" s="237" t="s">
        <v>132</v>
      </c>
      <c r="K73" s="237" t="s">
        <v>3</v>
      </c>
      <c r="L73" s="59" t="s">
        <v>6</v>
      </c>
      <c r="M73" s="58" t="s">
        <v>202</v>
      </c>
      <c r="N73" s="130"/>
      <c r="O73" s="172"/>
      <c r="P73" s="172"/>
      <c r="Q73" s="237" t="s">
        <v>140</v>
      </c>
      <c r="R73" s="78"/>
      <c r="S73" s="78"/>
      <c r="T73" s="58" t="s">
        <v>334</v>
      </c>
      <c r="U73" s="237">
        <v>2026</v>
      </c>
      <c r="V73" s="88">
        <v>46387</v>
      </c>
      <c r="W73" s="78"/>
      <c r="X73" s="88">
        <v>46024</v>
      </c>
      <c r="Y73" s="131">
        <v>60000</v>
      </c>
      <c r="Z73" s="131">
        <v>0</v>
      </c>
      <c r="AA73" s="131">
        <f t="shared" si="6"/>
        <v>60000</v>
      </c>
      <c r="AB73" s="131">
        <v>0</v>
      </c>
      <c r="AC73" s="131">
        <f t="shared" si="7"/>
        <v>60000</v>
      </c>
      <c r="AD73" s="131">
        <f t="shared" si="8"/>
        <v>60000</v>
      </c>
      <c r="AE73" s="173" t="s">
        <v>102</v>
      </c>
      <c r="AF73" s="173"/>
      <c r="AG73" s="173"/>
      <c r="AH73" s="174"/>
      <c r="AI73" s="175"/>
      <c r="AJ73" s="174"/>
      <c r="AK73" s="176"/>
      <c r="AL73" s="174"/>
      <c r="AM73" s="177" t="s">
        <v>204</v>
      </c>
      <c r="AN73" s="243" t="s">
        <v>178</v>
      </c>
      <c r="AO73" s="178"/>
      <c r="AP73" s="179"/>
      <c r="AQ73" s="179"/>
      <c r="AR73" s="24"/>
      <c r="AS73" s="179"/>
    </row>
    <row r="74" spans="1:45" ht="30" customHeight="1" x14ac:dyDescent="0.35">
      <c r="A74" s="40">
        <v>2026</v>
      </c>
      <c r="B74" s="59" t="s">
        <v>72</v>
      </c>
      <c r="C74" s="58" t="s">
        <v>308</v>
      </c>
      <c r="D74" s="237" t="s">
        <v>114</v>
      </c>
      <c r="E74" s="180"/>
      <c r="F74" s="58" t="s">
        <v>335</v>
      </c>
      <c r="G74" s="237" t="s">
        <v>121</v>
      </c>
      <c r="H74" s="59" t="s">
        <v>126</v>
      </c>
      <c r="I74" s="65"/>
      <c r="J74" s="237" t="s">
        <v>132</v>
      </c>
      <c r="K74" s="237" t="s">
        <v>3</v>
      </c>
      <c r="L74" s="59" t="s">
        <v>6</v>
      </c>
      <c r="M74" s="58" t="s">
        <v>202</v>
      </c>
      <c r="N74" s="130"/>
      <c r="O74" s="172"/>
      <c r="P74" s="172"/>
      <c r="Q74" s="237" t="s">
        <v>140</v>
      </c>
      <c r="R74" s="78"/>
      <c r="S74" s="78"/>
      <c r="T74" s="58" t="s">
        <v>336</v>
      </c>
      <c r="U74" s="237">
        <v>2026</v>
      </c>
      <c r="V74" s="88">
        <v>46387</v>
      </c>
      <c r="W74" s="78"/>
      <c r="X74" s="88">
        <v>46024</v>
      </c>
      <c r="Y74" s="131">
        <v>72000</v>
      </c>
      <c r="Z74" s="131">
        <v>0</v>
      </c>
      <c r="AA74" s="131">
        <f t="shared" si="6"/>
        <v>72000</v>
      </c>
      <c r="AB74" s="131">
        <v>0</v>
      </c>
      <c r="AC74" s="131">
        <f t="shared" si="7"/>
        <v>72000</v>
      </c>
      <c r="AD74" s="131">
        <f t="shared" si="8"/>
        <v>72000</v>
      </c>
      <c r="AE74" s="173" t="s">
        <v>102</v>
      </c>
      <c r="AF74" s="173"/>
      <c r="AG74" s="173"/>
      <c r="AH74" s="174"/>
      <c r="AI74" s="175"/>
      <c r="AJ74" s="174"/>
      <c r="AK74" s="176"/>
      <c r="AL74" s="174"/>
      <c r="AM74" s="177" t="s">
        <v>204</v>
      </c>
      <c r="AN74" s="243" t="s">
        <v>178</v>
      </c>
      <c r="AO74" s="178"/>
      <c r="AP74" s="179"/>
      <c r="AQ74" s="179"/>
      <c r="AR74" s="24"/>
      <c r="AS74" s="179"/>
    </row>
    <row r="75" spans="1:45" ht="30" customHeight="1" x14ac:dyDescent="0.35">
      <c r="A75" s="40">
        <v>2026</v>
      </c>
      <c r="B75" s="59" t="s">
        <v>72</v>
      </c>
      <c r="C75" s="58" t="s">
        <v>308</v>
      </c>
      <c r="D75" s="237" t="s">
        <v>114</v>
      </c>
      <c r="E75" s="180"/>
      <c r="F75" s="58" t="s">
        <v>337</v>
      </c>
      <c r="G75" s="237" t="s">
        <v>121</v>
      </c>
      <c r="H75" s="59" t="s">
        <v>126</v>
      </c>
      <c r="I75" s="65"/>
      <c r="J75" s="237" t="s">
        <v>132</v>
      </c>
      <c r="K75" s="237" t="s">
        <v>3</v>
      </c>
      <c r="L75" s="59" t="s">
        <v>6</v>
      </c>
      <c r="M75" s="58" t="s">
        <v>202</v>
      </c>
      <c r="N75" s="130"/>
      <c r="O75" s="172"/>
      <c r="P75" s="172"/>
      <c r="Q75" s="237" t="s">
        <v>140</v>
      </c>
      <c r="R75" s="78"/>
      <c r="S75" s="78"/>
      <c r="T75" s="58" t="s">
        <v>338</v>
      </c>
      <c r="U75" s="237">
        <v>2026</v>
      </c>
      <c r="V75" s="88">
        <v>46387</v>
      </c>
      <c r="W75" s="78"/>
      <c r="X75" s="88">
        <v>46024</v>
      </c>
      <c r="Y75" s="131">
        <v>84000</v>
      </c>
      <c r="Z75" s="131">
        <v>0</v>
      </c>
      <c r="AA75" s="131">
        <f t="shared" si="6"/>
        <v>84000</v>
      </c>
      <c r="AB75" s="131">
        <v>0</v>
      </c>
      <c r="AC75" s="131">
        <f t="shared" si="7"/>
        <v>84000</v>
      </c>
      <c r="AD75" s="131">
        <f t="shared" si="8"/>
        <v>84000</v>
      </c>
      <c r="AE75" s="173" t="s">
        <v>102</v>
      </c>
      <c r="AF75" s="173"/>
      <c r="AG75" s="173"/>
      <c r="AH75" s="174"/>
      <c r="AI75" s="175"/>
      <c r="AJ75" s="174"/>
      <c r="AK75" s="176"/>
      <c r="AL75" s="174"/>
      <c r="AM75" s="177" t="s">
        <v>204</v>
      </c>
      <c r="AN75" s="243" t="s">
        <v>178</v>
      </c>
      <c r="AO75" s="178"/>
      <c r="AP75" s="179"/>
      <c r="AQ75" s="179"/>
      <c r="AR75" s="24"/>
      <c r="AS75" s="179"/>
    </row>
    <row r="76" spans="1:45" ht="30" customHeight="1" x14ac:dyDescent="0.35">
      <c r="A76" s="40">
        <v>2026</v>
      </c>
      <c r="B76" s="59" t="s">
        <v>72</v>
      </c>
      <c r="C76" s="58" t="s">
        <v>308</v>
      </c>
      <c r="D76" s="237" t="s">
        <v>114</v>
      </c>
      <c r="E76" s="180">
        <v>443</v>
      </c>
      <c r="F76" s="58" t="s">
        <v>339</v>
      </c>
      <c r="G76" s="237" t="s">
        <v>121</v>
      </c>
      <c r="H76" s="59" t="s">
        <v>126</v>
      </c>
      <c r="I76" s="65"/>
      <c r="J76" s="237" t="s">
        <v>132</v>
      </c>
      <c r="K76" s="237" t="s">
        <v>3</v>
      </c>
      <c r="L76" s="59" t="s">
        <v>6</v>
      </c>
      <c r="M76" s="58" t="s">
        <v>202</v>
      </c>
      <c r="N76" s="130"/>
      <c r="O76" s="172"/>
      <c r="P76" s="172"/>
      <c r="Q76" s="237" t="s">
        <v>140</v>
      </c>
      <c r="R76" s="78"/>
      <c r="S76" s="78"/>
      <c r="T76" s="58" t="s">
        <v>340</v>
      </c>
      <c r="U76" s="237">
        <v>2026</v>
      </c>
      <c r="V76" s="88">
        <v>46387</v>
      </c>
      <c r="W76" s="78"/>
      <c r="X76" s="88">
        <v>46024</v>
      </c>
      <c r="Y76" s="131">
        <v>84000</v>
      </c>
      <c r="Z76" s="131">
        <v>0</v>
      </c>
      <c r="AA76" s="131">
        <f t="shared" si="6"/>
        <v>84000</v>
      </c>
      <c r="AB76" s="131">
        <v>0</v>
      </c>
      <c r="AC76" s="131">
        <f t="shared" si="7"/>
        <v>84000</v>
      </c>
      <c r="AD76" s="131">
        <f t="shared" si="8"/>
        <v>84000</v>
      </c>
      <c r="AE76" s="173" t="s">
        <v>102</v>
      </c>
      <c r="AF76" s="173"/>
      <c r="AG76" s="173"/>
      <c r="AH76" s="174"/>
      <c r="AI76" s="175"/>
      <c r="AJ76" s="174"/>
      <c r="AK76" s="176"/>
      <c r="AL76" s="174"/>
      <c r="AM76" s="177" t="s">
        <v>204</v>
      </c>
      <c r="AN76" s="243" t="s">
        <v>178</v>
      </c>
      <c r="AO76" s="178"/>
      <c r="AP76" s="179"/>
      <c r="AQ76" s="179"/>
      <c r="AR76" s="24"/>
      <c r="AS76" s="179"/>
    </row>
    <row r="77" spans="1:45" ht="30" customHeight="1" x14ac:dyDescent="0.35">
      <c r="A77" s="40">
        <v>2026</v>
      </c>
      <c r="B77" s="59" t="s">
        <v>72</v>
      </c>
      <c r="C77" s="58" t="s">
        <v>308</v>
      </c>
      <c r="D77" s="237" t="s">
        <v>114</v>
      </c>
      <c r="E77" s="180"/>
      <c r="F77" s="58" t="s">
        <v>341</v>
      </c>
      <c r="G77" s="237" t="s">
        <v>121</v>
      </c>
      <c r="H77" s="59" t="s">
        <v>126</v>
      </c>
      <c r="I77" s="65"/>
      <c r="J77" s="237" t="s">
        <v>132</v>
      </c>
      <c r="K77" s="237" t="s">
        <v>3</v>
      </c>
      <c r="L77" s="59" t="s">
        <v>6</v>
      </c>
      <c r="M77" s="58" t="s">
        <v>202</v>
      </c>
      <c r="N77" s="130"/>
      <c r="O77" s="172"/>
      <c r="P77" s="172"/>
      <c r="Q77" s="237" t="s">
        <v>140</v>
      </c>
      <c r="R77" s="78"/>
      <c r="S77" s="78"/>
      <c r="T77" s="58" t="s">
        <v>342</v>
      </c>
      <c r="U77" s="237">
        <v>2026</v>
      </c>
      <c r="V77" s="88">
        <v>46387</v>
      </c>
      <c r="W77" s="78"/>
      <c r="X77" s="88">
        <v>46024</v>
      </c>
      <c r="Y77" s="131">
        <v>84000</v>
      </c>
      <c r="Z77" s="131">
        <v>0</v>
      </c>
      <c r="AA77" s="131">
        <f t="shared" si="6"/>
        <v>84000</v>
      </c>
      <c r="AB77" s="131">
        <v>0</v>
      </c>
      <c r="AC77" s="131">
        <f t="shared" si="7"/>
        <v>84000</v>
      </c>
      <c r="AD77" s="131">
        <f t="shared" si="8"/>
        <v>84000</v>
      </c>
      <c r="AE77" s="173" t="s">
        <v>102</v>
      </c>
      <c r="AF77" s="173"/>
      <c r="AG77" s="173"/>
      <c r="AH77" s="174"/>
      <c r="AI77" s="175"/>
      <c r="AJ77" s="174"/>
      <c r="AK77" s="176"/>
      <c r="AL77" s="174"/>
      <c r="AM77" s="177" t="s">
        <v>204</v>
      </c>
      <c r="AN77" s="243" t="s">
        <v>178</v>
      </c>
      <c r="AO77" s="178"/>
      <c r="AP77" s="179"/>
      <c r="AQ77" s="179"/>
      <c r="AR77" s="24"/>
      <c r="AS77" s="179"/>
    </row>
    <row r="78" spans="1:45" ht="30" customHeight="1" x14ac:dyDescent="0.35">
      <c r="A78" s="40">
        <v>2026</v>
      </c>
      <c r="B78" s="59" t="s">
        <v>76</v>
      </c>
      <c r="C78" s="58" t="s">
        <v>343</v>
      </c>
      <c r="D78" s="237" t="s">
        <v>114</v>
      </c>
      <c r="E78" s="105"/>
      <c r="F78" s="58" t="s">
        <v>344</v>
      </c>
      <c r="G78" s="237" t="s">
        <v>121</v>
      </c>
      <c r="H78" s="59" t="s">
        <v>126</v>
      </c>
      <c r="I78" s="65"/>
      <c r="J78" s="237" t="s">
        <v>132</v>
      </c>
      <c r="K78" s="237" t="s">
        <v>3</v>
      </c>
      <c r="L78" s="59" t="s">
        <v>6</v>
      </c>
      <c r="M78" s="58" t="s">
        <v>345</v>
      </c>
      <c r="N78" s="130"/>
      <c r="O78" s="172"/>
      <c r="P78" s="172"/>
      <c r="Q78" s="237" t="s">
        <v>140</v>
      </c>
      <c r="R78" s="78"/>
      <c r="S78" s="78"/>
      <c r="T78" s="58" t="s">
        <v>346</v>
      </c>
      <c r="U78" s="237">
        <v>2026</v>
      </c>
      <c r="V78" s="88">
        <v>46387</v>
      </c>
      <c r="W78" s="78"/>
      <c r="X78" s="88">
        <v>46024</v>
      </c>
      <c r="Y78" s="131">
        <v>108000</v>
      </c>
      <c r="Z78" s="131">
        <v>0</v>
      </c>
      <c r="AA78" s="131">
        <f t="shared" si="6"/>
        <v>108000</v>
      </c>
      <c r="AB78" s="131">
        <v>0</v>
      </c>
      <c r="AC78" s="131">
        <f t="shared" si="7"/>
        <v>108000</v>
      </c>
      <c r="AD78" s="131">
        <f t="shared" si="8"/>
        <v>108000</v>
      </c>
      <c r="AE78" s="173" t="s">
        <v>102</v>
      </c>
      <c r="AF78" s="173"/>
      <c r="AG78" s="173"/>
      <c r="AH78" s="174"/>
      <c r="AI78" s="175"/>
      <c r="AJ78" s="174"/>
      <c r="AK78" s="176"/>
      <c r="AL78" s="174"/>
      <c r="AM78" s="177" t="s">
        <v>204</v>
      </c>
      <c r="AN78" s="244" t="s">
        <v>347</v>
      </c>
      <c r="AO78" s="178"/>
      <c r="AP78" s="179"/>
      <c r="AQ78" s="179"/>
      <c r="AR78" s="24"/>
      <c r="AS78" s="179"/>
    </row>
    <row r="79" spans="1:45" ht="30" customHeight="1" x14ac:dyDescent="0.35">
      <c r="A79" s="38">
        <v>2026</v>
      </c>
      <c r="B79" s="59" t="s">
        <v>60</v>
      </c>
      <c r="C79" s="58" t="s">
        <v>348</v>
      </c>
      <c r="D79" s="237" t="s">
        <v>114</v>
      </c>
      <c r="E79" s="105">
        <v>501</v>
      </c>
      <c r="F79" s="58" t="s">
        <v>349</v>
      </c>
      <c r="G79" s="237" t="s">
        <v>121</v>
      </c>
      <c r="H79" s="59" t="s">
        <v>126</v>
      </c>
      <c r="I79" s="65"/>
      <c r="J79" s="237" t="s">
        <v>132</v>
      </c>
      <c r="K79" s="237" t="s">
        <v>3</v>
      </c>
      <c r="L79" s="59" t="s">
        <v>6</v>
      </c>
      <c r="M79" s="58" t="s">
        <v>202</v>
      </c>
      <c r="N79" s="130"/>
      <c r="O79" s="172"/>
      <c r="P79" s="172"/>
      <c r="Q79" s="237" t="s">
        <v>140</v>
      </c>
      <c r="R79" s="78"/>
      <c r="S79" s="78"/>
      <c r="T79" s="58" t="s">
        <v>350</v>
      </c>
      <c r="U79" s="237">
        <v>2026</v>
      </c>
      <c r="V79" s="88">
        <v>46387</v>
      </c>
      <c r="W79" s="78"/>
      <c r="X79" s="88">
        <v>46024</v>
      </c>
      <c r="Y79" s="131">
        <v>102857.16</v>
      </c>
      <c r="Z79" s="131">
        <v>0</v>
      </c>
      <c r="AA79" s="131">
        <f t="shared" si="6"/>
        <v>102857.16</v>
      </c>
      <c r="AB79" s="131">
        <v>0</v>
      </c>
      <c r="AC79" s="131">
        <f t="shared" si="7"/>
        <v>102857.16</v>
      </c>
      <c r="AD79" s="131">
        <f t="shared" si="8"/>
        <v>102857.16</v>
      </c>
      <c r="AE79" s="173" t="s">
        <v>102</v>
      </c>
      <c r="AF79" s="173"/>
      <c r="AG79" s="173"/>
      <c r="AH79" s="174"/>
      <c r="AI79" s="175"/>
      <c r="AJ79" s="174"/>
      <c r="AK79" s="176"/>
      <c r="AL79" s="174"/>
      <c r="AM79" s="177" t="s">
        <v>204</v>
      </c>
      <c r="AN79" s="243" t="s">
        <v>178</v>
      </c>
      <c r="AO79" s="178"/>
      <c r="AP79" s="179"/>
      <c r="AQ79" s="179"/>
      <c r="AR79" s="24"/>
      <c r="AS79" s="179"/>
    </row>
    <row r="80" spans="1:45" ht="30" customHeight="1" x14ac:dyDescent="0.35">
      <c r="A80" s="38">
        <v>2026</v>
      </c>
      <c r="B80" s="59" t="s">
        <v>60</v>
      </c>
      <c r="C80" s="58" t="s">
        <v>348</v>
      </c>
      <c r="D80" s="237" t="s">
        <v>114</v>
      </c>
      <c r="E80" s="105">
        <v>502</v>
      </c>
      <c r="F80" s="58" t="s">
        <v>351</v>
      </c>
      <c r="G80" s="237" t="s">
        <v>121</v>
      </c>
      <c r="H80" s="59" t="s">
        <v>126</v>
      </c>
      <c r="I80" s="65"/>
      <c r="J80" s="237" t="s">
        <v>132</v>
      </c>
      <c r="K80" s="237" t="s">
        <v>3</v>
      </c>
      <c r="L80" s="59" t="s">
        <v>6</v>
      </c>
      <c r="M80" s="58" t="s">
        <v>202</v>
      </c>
      <c r="N80" s="130"/>
      <c r="O80" s="172"/>
      <c r="P80" s="172"/>
      <c r="Q80" s="237" t="s">
        <v>140</v>
      </c>
      <c r="R80" s="78"/>
      <c r="S80" s="78"/>
      <c r="T80" s="58" t="s">
        <v>352</v>
      </c>
      <c r="U80" s="237">
        <v>2026</v>
      </c>
      <c r="V80" s="88">
        <v>46387</v>
      </c>
      <c r="W80" s="78"/>
      <c r="X80" s="88">
        <v>46024</v>
      </c>
      <c r="Y80" s="131">
        <v>77142.84</v>
      </c>
      <c r="Z80" s="131">
        <v>0</v>
      </c>
      <c r="AA80" s="131">
        <f t="shared" si="6"/>
        <v>77142.84</v>
      </c>
      <c r="AB80" s="131">
        <v>0</v>
      </c>
      <c r="AC80" s="131">
        <f t="shared" si="7"/>
        <v>77142.84</v>
      </c>
      <c r="AD80" s="131">
        <f t="shared" si="8"/>
        <v>77142.84</v>
      </c>
      <c r="AE80" s="173" t="s">
        <v>102</v>
      </c>
      <c r="AF80" s="173"/>
      <c r="AG80" s="173"/>
      <c r="AH80" s="174"/>
      <c r="AI80" s="175"/>
      <c r="AJ80" s="174"/>
      <c r="AK80" s="176"/>
      <c r="AL80" s="174"/>
      <c r="AM80" s="177" t="s">
        <v>204</v>
      </c>
      <c r="AN80" s="243" t="s">
        <v>178</v>
      </c>
      <c r="AO80" s="178"/>
      <c r="AP80" s="179"/>
      <c r="AQ80" s="179"/>
      <c r="AR80" s="24"/>
      <c r="AS80" s="179"/>
    </row>
    <row r="81" spans="1:45" ht="30" customHeight="1" x14ac:dyDescent="0.35">
      <c r="A81" s="38">
        <v>2026</v>
      </c>
      <c r="B81" s="59" t="s">
        <v>60</v>
      </c>
      <c r="C81" s="58" t="s">
        <v>348</v>
      </c>
      <c r="D81" s="237" t="s">
        <v>114</v>
      </c>
      <c r="E81" s="105">
        <v>527</v>
      </c>
      <c r="F81" s="58" t="s">
        <v>353</v>
      </c>
      <c r="G81" s="237" t="s">
        <v>121</v>
      </c>
      <c r="H81" s="59" t="s">
        <v>126</v>
      </c>
      <c r="I81" s="65"/>
      <c r="J81" s="237" t="s">
        <v>132</v>
      </c>
      <c r="K81" s="237" t="s">
        <v>3</v>
      </c>
      <c r="L81" s="59" t="s">
        <v>6</v>
      </c>
      <c r="M81" s="58" t="s">
        <v>202</v>
      </c>
      <c r="N81" s="130"/>
      <c r="O81" s="172"/>
      <c r="P81" s="172"/>
      <c r="Q81" s="237" t="s">
        <v>140</v>
      </c>
      <c r="R81" s="78"/>
      <c r="S81" s="78"/>
      <c r="T81" s="58" t="s">
        <v>354</v>
      </c>
      <c r="U81" s="237">
        <v>2026</v>
      </c>
      <c r="V81" s="88">
        <v>46387</v>
      </c>
      <c r="W81" s="78"/>
      <c r="X81" s="88">
        <v>46024</v>
      </c>
      <c r="Y81" s="131">
        <v>28000</v>
      </c>
      <c r="Z81" s="131">
        <v>0</v>
      </c>
      <c r="AA81" s="131">
        <f t="shared" si="6"/>
        <v>28000</v>
      </c>
      <c r="AB81" s="131">
        <v>0</v>
      </c>
      <c r="AC81" s="131">
        <f t="shared" si="7"/>
        <v>28000</v>
      </c>
      <c r="AD81" s="131">
        <f t="shared" si="8"/>
        <v>28000</v>
      </c>
      <c r="AE81" s="173" t="s">
        <v>102</v>
      </c>
      <c r="AF81" s="173"/>
      <c r="AG81" s="173"/>
      <c r="AH81" s="174"/>
      <c r="AI81" s="175"/>
      <c r="AJ81" s="174"/>
      <c r="AK81" s="176"/>
      <c r="AL81" s="174"/>
      <c r="AM81" s="177" t="s">
        <v>204</v>
      </c>
      <c r="AN81" s="243" t="s">
        <v>178</v>
      </c>
      <c r="AO81" s="178"/>
      <c r="AP81" s="179"/>
      <c r="AQ81" s="179"/>
      <c r="AR81" s="24"/>
      <c r="AS81" s="179"/>
    </row>
    <row r="82" spans="1:45" ht="30" customHeight="1" x14ac:dyDescent="0.35">
      <c r="A82" s="40">
        <v>2026</v>
      </c>
      <c r="B82" s="59" t="s">
        <v>62</v>
      </c>
      <c r="C82" s="58" t="s">
        <v>141</v>
      </c>
      <c r="D82" s="237" t="s">
        <v>114</v>
      </c>
      <c r="E82" s="180"/>
      <c r="F82" s="58" t="s">
        <v>355</v>
      </c>
      <c r="G82" s="237" t="s">
        <v>121</v>
      </c>
      <c r="H82" s="59" t="s">
        <v>126</v>
      </c>
      <c r="I82" s="65"/>
      <c r="J82" s="237" t="s">
        <v>132</v>
      </c>
      <c r="K82" s="237" t="s">
        <v>3</v>
      </c>
      <c r="L82" s="59" t="s">
        <v>6</v>
      </c>
      <c r="M82" s="58" t="s">
        <v>356</v>
      </c>
      <c r="N82" s="130"/>
      <c r="O82" s="172"/>
      <c r="P82" s="172"/>
      <c r="Q82" s="237" t="s">
        <v>141</v>
      </c>
      <c r="R82" s="78"/>
      <c r="S82" s="78"/>
      <c r="T82" s="58" t="s">
        <v>357</v>
      </c>
      <c r="U82" s="237" t="s">
        <v>358</v>
      </c>
      <c r="V82" s="88" t="s">
        <v>358</v>
      </c>
      <c r="W82" s="78"/>
      <c r="X82" s="88" t="s">
        <v>358</v>
      </c>
      <c r="Y82" s="131">
        <v>1837404</v>
      </c>
      <c r="Z82" s="131">
        <v>0</v>
      </c>
      <c r="AA82" s="131">
        <v>1837404</v>
      </c>
      <c r="AB82" s="131">
        <v>0</v>
      </c>
      <c r="AC82" s="131">
        <v>1837404</v>
      </c>
      <c r="AD82" s="131">
        <v>1837404</v>
      </c>
      <c r="AE82" s="173" t="s">
        <v>102</v>
      </c>
      <c r="AF82" s="173"/>
      <c r="AG82" s="173"/>
      <c r="AH82" s="174"/>
      <c r="AI82" s="175"/>
      <c r="AJ82" s="174"/>
      <c r="AK82" s="176"/>
      <c r="AL82" s="174"/>
      <c r="AM82" s="177"/>
      <c r="AN82" s="243" t="s">
        <v>178</v>
      </c>
      <c r="AO82" s="178"/>
      <c r="AP82" s="179"/>
      <c r="AQ82" s="179"/>
      <c r="AR82" s="24"/>
      <c r="AS82" s="179"/>
    </row>
    <row r="83" spans="1:45" ht="44.25" customHeight="1" x14ac:dyDescent="0.35">
      <c r="A83" s="40">
        <v>2026</v>
      </c>
      <c r="B83" s="59" t="s">
        <v>62</v>
      </c>
      <c r="C83" s="58" t="s">
        <v>359</v>
      </c>
      <c r="D83" s="237" t="s">
        <v>114</v>
      </c>
      <c r="E83" s="105">
        <v>189</v>
      </c>
      <c r="F83" s="58" t="s">
        <v>360</v>
      </c>
      <c r="G83" s="237" t="s">
        <v>121</v>
      </c>
      <c r="H83" s="59" t="s">
        <v>126</v>
      </c>
      <c r="I83" s="65"/>
      <c r="J83" s="237" t="s">
        <v>132</v>
      </c>
      <c r="K83" s="237" t="s">
        <v>3</v>
      </c>
      <c r="L83" s="59" t="s">
        <v>6</v>
      </c>
      <c r="M83" s="58" t="s">
        <v>202</v>
      </c>
      <c r="N83" s="130"/>
      <c r="O83" s="172"/>
      <c r="P83" s="172"/>
      <c r="Q83" s="237" t="s">
        <v>140</v>
      </c>
      <c r="R83" s="78"/>
      <c r="S83" s="78"/>
      <c r="T83" s="58" t="s">
        <v>361</v>
      </c>
      <c r="U83" s="237">
        <v>2026</v>
      </c>
      <c r="V83" s="88">
        <v>46387</v>
      </c>
      <c r="W83" s="78"/>
      <c r="X83" s="88">
        <v>46024</v>
      </c>
      <c r="Y83" s="131">
        <v>171428.52</v>
      </c>
      <c r="Z83" s="131">
        <v>0</v>
      </c>
      <c r="AA83" s="131">
        <f>Y83</f>
        <v>171428.52</v>
      </c>
      <c r="AB83" s="131">
        <v>0</v>
      </c>
      <c r="AC83" s="131">
        <f t="shared" ref="AC83:AC92" si="9">Y83</f>
        <v>171428.52</v>
      </c>
      <c r="AD83" s="131">
        <f t="shared" ref="AD83:AD92" si="10">Y83</f>
        <v>171428.52</v>
      </c>
      <c r="AE83" s="173" t="s">
        <v>102</v>
      </c>
      <c r="AF83" s="173"/>
      <c r="AG83" s="173"/>
      <c r="AH83" s="174"/>
      <c r="AI83" s="175"/>
      <c r="AJ83" s="174"/>
      <c r="AK83" s="176"/>
      <c r="AL83" s="174"/>
      <c r="AM83" s="177" t="s">
        <v>204</v>
      </c>
      <c r="AN83" s="243" t="s">
        <v>178</v>
      </c>
      <c r="AO83" s="178"/>
      <c r="AP83" s="179"/>
      <c r="AQ83" s="179"/>
      <c r="AR83" s="24"/>
      <c r="AS83" s="179"/>
    </row>
    <row r="84" spans="1:45" ht="30" customHeight="1" x14ac:dyDescent="0.35">
      <c r="A84" s="40">
        <v>2026</v>
      </c>
      <c r="B84" s="59" t="s">
        <v>62</v>
      </c>
      <c r="C84" s="58" t="s">
        <v>359</v>
      </c>
      <c r="D84" s="237" t="s">
        <v>114</v>
      </c>
      <c r="E84" s="105">
        <v>186</v>
      </c>
      <c r="F84" s="58" t="s">
        <v>362</v>
      </c>
      <c r="G84" s="237" t="s">
        <v>121</v>
      </c>
      <c r="H84" s="59" t="s">
        <v>126</v>
      </c>
      <c r="I84" s="65"/>
      <c r="J84" s="237" t="s">
        <v>132</v>
      </c>
      <c r="K84" s="237" t="s">
        <v>3</v>
      </c>
      <c r="L84" s="59" t="s">
        <v>6</v>
      </c>
      <c r="M84" s="58" t="s">
        <v>202</v>
      </c>
      <c r="N84" s="130"/>
      <c r="O84" s="172"/>
      <c r="P84" s="172"/>
      <c r="Q84" s="237" t="s">
        <v>140</v>
      </c>
      <c r="R84" s="78"/>
      <c r="S84" s="78"/>
      <c r="T84" s="58" t="s">
        <v>363</v>
      </c>
      <c r="U84" s="237">
        <v>2026</v>
      </c>
      <c r="V84" s="88">
        <v>46387</v>
      </c>
      <c r="W84" s="78"/>
      <c r="X84" s="88">
        <v>46024</v>
      </c>
      <c r="Y84" s="131">
        <v>132000</v>
      </c>
      <c r="Z84" s="131">
        <v>0</v>
      </c>
      <c r="AA84" s="131">
        <f>Y84</f>
        <v>132000</v>
      </c>
      <c r="AB84" s="131">
        <v>0</v>
      </c>
      <c r="AC84" s="131">
        <f t="shared" si="9"/>
        <v>132000</v>
      </c>
      <c r="AD84" s="131">
        <f t="shared" si="10"/>
        <v>132000</v>
      </c>
      <c r="AE84" s="173" t="s">
        <v>102</v>
      </c>
      <c r="AF84" s="173"/>
      <c r="AG84" s="173"/>
      <c r="AH84" s="174"/>
      <c r="AI84" s="175"/>
      <c r="AJ84" s="174"/>
      <c r="AK84" s="176"/>
      <c r="AL84" s="174"/>
      <c r="AM84" s="177" t="s">
        <v>204</v>
      </c>
      <c r="AN84" s="243" t="s">
        <v>178</v>
      </c>
      <c r="AO84" s="178"/>
      <c r="AP84" s="179"/>
      <c r="AQ84" s="179"/>
      <c r="AR84" s="24"/>
      <c r="AS84" s="179"/>
    </row>
    <row r="85" spans="1:45" ht="30" customHeight="1" x14ac:dyDescent="0.35">
      <c r="A85" s="40">
        <v>2026</v>
      </c>
      <c r="B85" s="59" t="s">
        <v>62</v>
      </c>
      <c r="C85" s="58" t="s">
        <v>359</v>
      </c>
      <c r="D85" s="237" t="s">
        <v>114</v>
      </c>
      <c r="E85" s="105">
        <v>185</v>
      </c>
      <c r="F85" s="58" t="s">
        <v>364</v>
      </c>
      <c r="G85" s="237" t="s">
        <v>121</v>
      </c>
      <c r="H85" s="59" t="s">
        <v>126</v>
      </c>
      <c r="I85" s="65"/>
      <c r="J85" s="237" t="s">
        <v>132</v>
      </c>
      <c r="K85" s="237" t="s">
        <v>3</v>
      </c>
      <c r="L85" s="59" t="s">
        <v>6</v>
      </c>
      <c r="M85" s="58" t="s">
        <v>202</v>
      </c>
      <c r="N85" s="130"/>
      <c r="O85" s="172"/>
      <c r="P85" s="172"/>
      <c r="Q85" s="237" t="s">
        <v>140</v>
      </c>
      <c r="R85" s="78"/>
      <c r="S85" s="78"/>
      <c r="T85" s="58" t="s">
        <v>365</v>
      </c>
      <c r="U85" s="237">
        <v>2026</v>
      </c>
      <c r="V85" s="88">
        <v>46387</v>
      </c>
      <c r="W85" s="78"/>
      <c r="X85" s="88">
        <v>46024</v>
      </c>
      <c r="Y85" s="131">
        <v>156000</v>
      </c>
      <c r="Z85" s="131">
        <v>0</v>
      </c>
      <c r="AA85" s="131">
        <f>Y85</f>
        <v>156000</v>
      </c>
      <c r="AB85" s="131">
        <v>0</v>
      </c>
      <c r="AC85" s="131">
        <f t="shared" si="9"/>
        <v>156000</v>
      </c>
      <c r="AD85" s="131">
        <f t="shared" si="10"/>
        <v>156000</v>
      </c>
      <c r="AE85" s="173" t="s">
        <v>102</v>
      </c>
      <c r="AF85" s="173"/>
      <c r="AG85" s="173"/>
      <c r="AH85" s="174"/>
      <c r="AI85" s="175"/>
      <c r="AJ85" s="174"/>
      <c r="AK85" s="176"/>
      <c r="AL85" s="174"/>
      <c r="AM85" s="177" t="s">
        <v>204</v>
      </c>
      <c r="AN85" s="243" t="s">
        <v>178</v>
      </c>
      <c r="AO85" s="178"/>
      <c r="AP85" s="179"/>
      <c r="AQ85" s="179"/>
      <c r="AR85" s="24"/>
      <c r="AS85" s="179"/>
    </row>
    <row r="86" spans="1:45" ht="30" customHeight="1" x14ac:dyDescent="0.35">
      <c r="A86" s="40">
        <v>2026</v>
      </c>
      <c r="B86" s="59" t="s">
        <v>62</v>
      </c>
      <c r="C86" s="58" t="s">
        <v>359</v>
      </c>
      <c r="D86" s="237" t="s">
        <v>114</v>
      </c>
      <c r="E86" s="105">
        <v>187</v>
      </c>
      <c r="F86" s="58" t="s">
        <v>366</v>
      </c>
      <c r="G86" s="237" t="s">
        <v>121</v>
      </c>
      <c r="H86" s="59" t="s">
        <v>126</v>
      </c>
      <c r="I86" s="65"/>
      <c r="J86" s="237" t="s">
        <v>132</v>
      </c>
      <c r="K86" s="237" t="s">
        <v>3</v>
      </c>
      <c r="L86" s="59" t="s">
        <v>6</v>
      </c>
      <c r="M86" s="58" t="s">
        <v>202</v>
      </c>
      <c r="N86" s="130"/>
      <c r="O86" s="172"/>
      <c r="P86" s="172"/>
      <c r="Q86" s="237" t="s">
        <v>140</v>
      </c>
      <c r="R86" s="78"/>
      <c r="S86" s="78"/>
      <c r="T86" s="58" t="s">
        <v>367</v>
      </c>
      <c r="U86" s="237">
        <v>2026</v>
      </c>
      <c r="V86" s="88">
        <v>46387</v>
      </c>
      <c r="W86" s="78"/>
      <c r="X86" s="88">
        <v>46024</v>
      </c>
      <c r="Y86" s="131">
        <v>132000</v>
      </c>
      <c r="Z86" s="131">
        <v>0</v>
      </c>
      <c r="AA86" s="131">
        <v>132000</v>
      </c>
      <c r="AB86" s="131">
        <v>0</v>
      </c>
      <c r="AC86" s="131">
        <f t="shared" si="9"/>
        <v>132000</v>
      </c>
      <c r="AD86" s="131">
        <f t="shared" si="10"/>
        <v>132000</v>
      </c>
      <c r="AE86" s="173" t="s">
        <v>102</v>
      </c>
      <c r="AF86" s="173"/>
      <c r="AG86" s="173"/>
      <c r="AH86" s="174"/>
      <c r="AI86" s="175"/>
      <c r="AJ86" s="174"/>
      <c r="AK86" s="176"/>
      <c r="AL86" s="174"/>
      <c r="AM86" s="177" t="s">
        <v>204</v>
      </c>
      <c r="AN86" s="243" t="s">
        <v>178</v>
      </c>
      <c r="AO86" s="178"/>
      <c r="AP86" s="179"/>
      <c r="AQ86" s="179"/>
      <c r="AR86" s="24"/>
      <c r="AS86" s="179"/>
    </row>
    <row r="87" spans="1:45" ht="30" customHeight="1" x14ac:dyDescent="0.35">
      <c r="A87" s="40">
        <v>2026</v>
      </c>
      <c r="B87" s="59" t="s">
        <v>62</v>
      </c>
      <c r="C87" s="58" t="s">
        <v>359</v>
      </c>
      <c r="D87" s="237" t="s">
        <v>114</v>
      </c>
      <c r="E87" s="105">
        <v>188</v>
      </c>
      <c r="F87" s="58" t="s">
        <v>368</v>
      </c>
      <c r="G87" s="237" t="s">
        <v>121</v>
      </c>
      <c r="H87" s="59" t="s">
        <v>126</v>
      </c>
      <c r="I87" s="65"/>
      <c r="J87" s="237" t="s">
        <v>132</v>
      </c>
      <c r="K87" s="237" t="s">
        <v>3</v>
      </c>
      <c r="L87" s="59" t="s">
        <v>6</v>
      </c>
      <c r="M87" s="58" t="s">
        <v>202</v>
      </c>
      <c r="N87" s="130"/>
      <c r="O87" s="172"/>
      <c r="P87" s="172"/>
      <c r="Q87" s="237" t="s">
        <v>140</v>
      </c>
      <c r="R87" s="78"/>
      <c r="S87" s="78"/>
      <c r="T87" s="58" t="s">
        <v>369</v>
      </c>
      <c r="U87" s="237">
        <v>2026</v>
      </c>
      <c r="V87" s="88">
        <v>46387</v>
      </c>
      <c r="W87" s="78"/>
      <c r="X87" s="88">
        <v>46024</v>
      </c>
      <c r="Y87" s="131">
        <v>132000</v>
      </c>
      <c r="Z87" s="131">
        <v>0</v>
      </c>
      <c r="AA87" s="131">
        <v>132000</v>
      </c>
      <c r="AB87" s="131">
        <v>0</v>
      </c>
      <c r="AC87" s="131">
        <f t="shared" si="9"/>
        <v>132000</v>
      </c>
      <c r="AD87" s="131">
        <f t="shared" si="10"/>
        <v>132000</v>
      </c>
      <c r="AE87" s="173" t="s">
        <v>102</v>
      </c>
      <c r="AF87" s="173"/>
      <c r="AG87" s="173"/>
      <c r="AH87" s="174"/>
      <c r="AI87" s="175"/>
      <c r="AJ87" s="174"/>
      <c r="AK87" s="176"/>
      <c r="AL87" s="174"/>
      <c r="AM87" s="177" t="s">
        <v>204</v>
      </c>
      <c r="AN87" s="243" t="s">
        <v>178</v>
      </c>
      <c r="AO87" s="178"/>
      <c r="AP87" s="179"/>
      <c r="AQ87" s="179"/>
      <c r="AR87" s="24"/>
      <c r="AS87" s="179"/>
    </row>
    <row r="88" spans="1:45" ht="30" customHeight="1" x14ac:dyDescent="0.35">
      <c r="A88" s="38">
        <v>2026</v>
      </c>
      <c r="B88" s="59" t="s">
        <v>68</v>
      </c>
      <c r="C88" s="58" t="s">
        <v>370</v>
      </c>
      <c r="D88" s="237" t="s">
        <v>114</v>
      </c>
      <c r="E88" s="180"/>
      <c r="F88" s="58" t="s">
        <v>371</v>
      </c>
      <c r="G88" s="237" t="s">
        <v>121</v>
      </c>
      <c r="H88" s="59" t="s">
        <v>126</v>
      </c>
      <c r="I88" s="65"/>
      <c r="J88" s="237" t="s">
        <v>132</v>
      </c>
      <c r="K88" s="237" t="s">
        <v>3</v>
      </c>
      <c r="L88" s="59" t="s">
        <v>6</v>
      </c>
      <c r="M88" s="58" t="s">
        <v>372</v>
      </c>
      <c r="N88" s="130"/>
      <c r="O88" s="172"/>
      <c r="P88" s="172"/>
      <c r="Q88" s="237" t="s">
        <v>140</v>
      </c>
      <c r="R88" s="78"/>
      <c r="S88" s="78"/>
      <c r="T88" s="58" t="s">
        <v>373</v>
      </c>
      <c r="U88" s="237">
        <v>2026</v>
      </c>
      <c r="V88" s="88">
        <v>46387</v>
      </c>
      <c r="W88" s="78"/>
      <c r="X88" s="88">
        <v>46024</v>
      </c>
      <c r="Y88" s="131">
        <v>96000</v>
      </c>
      <c r="Z88" s="131">
        <v>0</v>
      </c>
      <c r="AA88" s="131">
        <f>Y88</f>
        <v>96000</v>
      </c>
      <c r="AB88" s="131">
        <v>0</v>
      </c>
      <c r="AC88" s="131">
        <f t="shared" si="9"/>
        <v>96000</v>
      </c>
      <c r="AD88" s="131">
        <f t="shared" si="10"/>
        <v>96000</v>
      </c>
      <c r="AE88" s="173" t="s">
        <v>102</v>
      </c>
      <c r="AF88" s="173"/>
      <c r="AG88" s="173"/>
      <c r="AH88" s="174"/>
      <c r="AI88" s="175"/>
      <c r="AJ88" s="174"/>
      <c r="AK88" s="176"/>
      <c r="AL88" s="174"/>
      <c r="AM88" s="177" t="s">
        <v>204</v>
      </c>
      <c r="AN88" s="243" t="s">
        <v>178</v>
      </c>
      <c r="AO88" s="178"/>
      <c r="AP88" s="179"/>
      <c r="AQ88" s="179"/>
      <c r="AR88" s="24"/>
      <c r="AS88" s="179"/>
    </row>
    <row r="89" spans="1:45" ht="30" customHeight="1" x14ac:dyDescent="0.35">
      <c r="A89" s="38">
        <v>2026</v>
      </c>
      <c r="B89" s="59" t="s">
        <v>68</v>
      </c>
      <c r="C89" s="58" t="s">
        <v>370</v>
      </c>
      <c r="D89" s="237" t="s">
        <v>114</v>
      </c>
      <c r="E89" s="180"/>
      <c r="F89" s="58" t="s">
        <v>374</v>
      </c>
      <c r="G89" s="237" t="s">
        <v>121</v>
      </c>
      <c r="H89" s="59" t="s">
        <v>126</v>
      </c>
      <c r="I89" s="65"/>
      <c r="J89" s="237" t="s">
        <v>132</v>
      </c>
      <c r="K89" s="237" t="s">
        <v>3</v>
      </c>
      <c r="L89" s="59" t="s">
        <v>6</v>
      </c>
      <c r="M89" s="58" t="s">
        <v>372</v>
      </c>
      <c r="N89" s="130"/>
      <c r="O89" s="172"/>
      <c r="P89" s="172"/>
      <c r="Q89" s="237" t="s">
        <v>140</v>
      </c>
      <c r="R89" s="78"/>
      <c r="S89" s="78"/>
      <c r="T89" s="58" t="s">
        <v>375</v>
      </c>
      <c r="U89" s="237">
        <v>2026</v>
      </c>
      <c r="V89" s="88">
        <v>46387</v>
      </c>
      <c r="W89" s="78"/>
      <c r="X89" s="88">
        <v>46024</v>
      </c>
      <c r="Y89" s="131">
        <v>144000</v>
      </c>
      <c r="Z89" s="131">
        <v>0</v>
      </c>
      <c r="AA89" s="131">
        <f>Y89</f>
        <v>144000</v>
      </c>
      <c r="AB89" s="131">
        <v>0</v>
      </c>
      <c r="AC89" s="131">
        <f t="shared" si="9"/>
        <v>144000</v>
      </c>
      <c r="AD89" s="131">
        <f t="shared" si="10"/>
        <v>144000</v>
      </c>
      <c r="AE89" s="173" t="s">
        <v>102</v>
      </c>
      <c r="AF89" s="173"/>
      <c r="AG89" s="173"/>
      <c r="AH89" s="174"/>
      <c r="AI89" s="175"/>
      <c r="AJ89" s="174"/>
      <c r="AK89" s="176"/>
      <c r="AL89" s="174"/>
      <c r="AM89" s="177" t="s">
        <v>204</v>
      </c>
      <c r="AN89" s="243" t="s">
        <v>178</v>
      </c>
      <c r="AO89" s="178"/>
      <c r="AP89" s="179"/>
      <c r="AQ89" s="179"/>
      <c r="AR89" s="24"/>
      <c r="AS89" s="179"/>
    </row>
    <row r="90" spans="1:45" ht="30" customHeight="1" x14ac:dyDescent="0.35">
      <c r="A90" s="38">
        <v>2026</v>
      </c>
      <c r="B90" s="59" t="s">
        <v>68</v>
      </c>
      <c r="C90" s="58" t="s">
        <v>370</v>
      </c>
      <c r="D90" s="237" t="s">
        <v>114</v>
      </c>
      <c r="E90" s="180"/>
      <c r="F90" s="58" t="s">
        <v>376</v>
      </c>
      <c r="G90" s="237" t="s">
        <v>121</v>
      </c>
      <c r="H90" s="59" t="s">
        <v>126</v>
      </c>
      <c r="I90" s="65"/>
      <c r="J90" s="237" t="s">
        <v>132</v>
      </c>
      <c r="K90" s="237" t="s">
        <v>3</v>
      </c>
      <c r="L90" s="59" t="s">
        <v>6</v>
      </c>
      <c r="M90" s="58" t="s">
        <v>372</v>
      </c>
      <c r="N90" s="130"/>
      <c r="O90" s="172"/>
      <c r="P90" s="172"/>
      <c r="Q90" s="237" t="s">
        <v>140</v>
      </c>
      <c r="R90" s="78"/>
      <c r="S90" s="78"/>
      <c r="T90" s="58" t="s">
        <v>377</v>
      </c>
      <c r="U90" s="237">
        <v>2026</v>
      </c>
      <c r="V90" s="88">
        <v>46387</v>
      </c>
      <c r="W90" s="78"/>
      <c r="X90" s="88">
        <v>46024</v>
      </c>
      <c r="Y90" s="131">
        <v>154285.68</v>
      </c>
      <c r="Z90" s="131">
        <v>0</v>
      </c>
      <c r="AA90" s="131">
        <f>Y90</f>
        <v>154285.68</v>
      </c>
      <c r="AB90" s="131">
        <v>0</v>
      </c>
      <c r="AC90" s="131">
        <f t="shared" si="9"/>
        <v>154285.68</v>
      </c>
      <c r="AD90" s="131">
        <f t="shared" si="10"/>
        <v>154285.68</v>
      </c>
      <c r="AE90" s="173" t="s">
        <v>102</v>
      </c>
      <c r="AF90" s="173"/>
      <c r="AG90" s="173"/>
      <c r="AH90" s="174"/>
      <c r="AI90" s="175"/>
      <c r="AJ90" s="174"/>
      <c r="AK90" s="176"/>
      <c r="AL90" s="174"/>
      <c r="AM90" s="177" t="s">
        <v>204</v>
      </c>
      <c r="AN90" s="243" t="s">
        <v>178</v>
      </c>
      <c r="AO90" s="178"/>
      <c r="AP90" s="179"/>
      <c r="AQ90" s="179"/>
      <c r="AR90" s="24"/>
      <c r="AS90" s="179"/>
    </row>
    <row r="91" spans="1:45" ht="30" customHeight="1" x14ac:dyDescent="0.35">
      <c r="A91" s="38">
        <v>2026</v>
      </c>
      <c r="B91" s="59" t="s">
        <v>68</v>
      </c>
      <c r="C91" s="58" t="s">
        <v>370</v>
      </c>
      <c r="D91" s="237" t="s">
        <v>114</v>
      </c>
      <c r="E91" s="180"/>
      <c r="F91" s="58" t="s">
        <v>378</v>
      </c>
      <c r="G91" s="237" t="s">
        <v>121</v>
      </c>
      <c r="H91" s="59" t="s">
        <v>126</v>
      </c>
      <c r="I91" s="65"/>
      <c r="J91" s="237" t="s">
        <v>132</v>
      </c>
      <c r="K91" s="237" t="s">
        <v>3</v>
      </c>
      <c r="L91" s="59" t="s">
        <v>6</v>
      </c>
      <c r="M91" s="58" t="s">
        <v>372</v>
      </c>
      <c r="N91" s="130"/>
      <c r="O91" s="172"/>
      <c r="P91" s="172"/>
      <c r="Q91" s="237" t="s">
        <v>140</v>
      </c>
      <c r="R91" s="78"/>
      <c r="S91" s="78"/>
      <c r="T91" s="58" t="s">
        <v>379</v>
      </c>
      <c r="U91" s="237">
        <v>2026</v>
      </c>
      <c r="V91" s="88">
        <v>46387</v>
      </c>
      <c r="W91" s="78"/>
      <c r="X91" s="88">
        <v>46024</v>
      </c>
      <c r="Y91" s="131">
        <v>72000</v>
      </c>
      <c r="Z91" s="131">
        <v>0</v>
      </c>
      <c r="AA91" s="131">
        <f>Y91</f>
        <v>72000</v>
      </c>
      <c r="AB91" s="131">
        <v>0</v>
      </c>
      <c r="AC91" s="131">
        <f t="shared" si="9"/>
        <v>72000</v>
      </c>
      <c r="AD91" s="131">
        <f t="shared" si="10"/>
        <v>72000</v>
      </c>
      <c r="AE91" s="173" t="s">
        <v>102</v>
      </c>
      <c r="AF91" s="173"/>
      <c r="AG91" s="173"/>
      <c r="AH91" s="174"/>
      <c r="AI91" s="175"/>
      <c r="AJ91" s="174"/>
      <c r="AK91" s="176"/>
      <c r="AL91" s="174"/>
      <c r="AM91" s="177" t="s">
        <v>204</v>
      </c>
      <c r="AN91" s="243" t="s">
        <v>178</v>
      </c>
      <c r="AO91" s="178"/>
      <c r="AP91" s="179"/>
      <c r="AQ91" s="179"/>
      <c r="AR91" s="24"/>
      <c r="AS91" s="179"/>
    </row>
    <row r="92" spans="1:45" ht="30" customHeight="1" x14ac:dyDescent="0.35">
      <c r="A92" s="38">
        <v>2026</v>
      </c>
      <c r="B92" s="59" t="s">
        <v>68</v>
      </c>
      <c r="C92" s="58" t="s">
        <v>370</v>
      </c>
      <c r="D92" s="237" t="s">
        <v>114</v>
      </c>
      <c r="E92" s="180"/>
      <c r="F92" s="58" t="s">
        <v>380</v>
      </c>
      <c r="G92" s="237" t="s">
        <v>121</v>
      </c>
      <c r="H92" s="59" t="s">
        <v>126</v>
      </c>
      <c r="I92" s="65"/>
      <c r="J92" s="237" t="s">
        <v>132</v>
      </c>
      <c r="K92" s="237" t="s">
        <v>3</v>
      </c>
      <c r="L92" s="59" t="s">
        <v>6</v>
      </c>
      <c r="M92" s="58" t="s">
        <v>372</v>
      </c>
      <c r="N92" s="130"/>
      <c r="O92" s="172"/>
      <c r="P92" s="172"/>
      <c r="Q92" s="237" t="s">
        <v>140</v>
      </c>
      <c r="R92" s="78"/>
      <c r="S92" s="78"/>
      <c r="T92" s="58" t="s">
        <v>381</v>
      </c>
      <c r="U92" s="237">
        <v>2026</v>
      </c>
      <c r="V92" s="88">
        <v>46387</v>
      </c>
      <c r="W92" s="78"/>
      <c r="X92" s="88">
        <v>46024</v>
      </c>
      <c r="Y92" s="131">
        <v>120000</v>
      </c>
      <c r="Z92" s="131">
        <v>0</v>
      </c>
      <c r="AA92" s="131">
        <f>Y92</f>
        <v>120000</v>
      </c>
      <c r="AB92" s="131">
        <v>0</v>
      </c>
      <c r="AC92" s="131">
        <f t="shared" si="9"/>
        <v>120000</v>
      </c>
      <c r="AD92" s="131">
        <f t="shared" si="10"/>
        <v>120000</v>
      </c>
      <c r="AE92" s="173" t="s">
        <v>102</v>
      </c>
      <c r="AF92" s="173"/>
      <c r="AG92" s="173"/>
      <c r="AH92" s="174"/>
      <c r="AI92" s="175"/>
      <c r="AJ92" s="174"/>
      <c r="AK92" s="176"/>
      <c r="AL92" s="174"/>
      <c r="AM92" s="177" t="s">
        <v>204</v>
      </c>
      <c r="AN92" s="243" t="s">
        <v>178</v>
      </c>
      <c r="AO92" s="178"/>
      <c r="AP92" s="179"/>
      <c r="AQ92" s="179"/>
      <c r="AR92" s="24"/>
      <c r="AS92" s="179"/>
    </row>
    <row r="93" spans="1:45" ht="30" customHeight="1" x14ac:dyDescent="0.35">
      <c r="A93" s="38">
        <v>2026</v>
      </c>
      <c r="B93" s="59" t="s">
        <v>68</v>
      </c>
      <c r="C93" s="58" t="s">
        <v>370</v>
      </c>
      <c r="D93" s="237" t="s">
        <v>114</v>
      </c>
      <c r="E93" s="180"/>
      <c r="F93" s="58" t="s">
        <v>382</v>
      </c>
      <c r="G93" s="237" t="s">
        <v>121</v>
      </c>
      <c r="H93" s="59" t="s">
        <v>126</v>
      </c>
      <c r="I93" s="65"/>
      <c r="J93" s="237" t="s">
        <v>132</v>
      </c>
      <c r="K93" s="237" t="s">
        <v>3</v>
      </c>
      <c r="L93" s="59" t="s">
        <v>6</v>
      </c>
      <c r="M93" s="58" t="s">
        <v>372</v>
      </c>
      <c r="N93" s="130"/>
      <c r="O93" s="172"/>
      <c r="P93" s="172"/>
      <c r="Q93" s="237" t="s">
        <v>140</v>
      </c>
      <c r="R93" s="78"/>
      <c r="S93" s="78"/>
      <c r="T93" s="58" t="s">
        <v>383</v>
      </c>
      <c r="U93" s="237">
        <v>2026</v>
      </c>
      <c r="V93" s="88">
        <v>46387</v>
      </c>
      <c r="W93" s="78"/>
      <c r="X93" s="88">
        <v>46024</v>
      </c>
      <c r="Y93" s="131">
        <v>24000</v>
      </c>
      <c r="Z93" s="131">
        <v>0</v>
      </c>
      <c r="AA93" s="131">
        <v>24000</v>
      </c>
      <c r="AB93" s="131">
        <v>0</v>
      </c>
      <c r="AC93" s="131">
        <v>24000</v>
      </c>
      <c r="AD93" s="131">
        <v>24000</v>
      </c>
      <c r="AE93" s="173" t="s">
        <v>102</v>
      </c>
      <c r="AF93" s="173"/>
      <c r="AG93" s="173"/>
      <c r="AH93" s="174"/>
      <c r="AI93" s="175"/>
      <c r="AJ93" s="174"/>
      <c r="AK93" s="176"/>
      <c r="AL93" s="174"/>
      <c r="AM93" s="177" t="s">
        <v>204</v>
      </c>
      <c r="AN93" s="243" t="s">
        <v>178</v>
      </c>
      <c r="AO93" s="178"/>
      <c r="AP93" s="179"/>
      <c r="AQ93" s="179"/>
      <c r="AR93" s="24"/>
      <c r="AS93" s="179"/>
    </row>
    <row r="94" spans="1:45" ht="30" customHeight="1" x14ac:dyDescent="0.35">
      <c r="A94" s="38">
        <v>2026</v>
      </c>
      <c r="B94" s="59" t="s">
        <v>68</v>
      </c>
      <c r="C94" s="58" t="s">
        <v>370</v>
      </c>
      <c r="D94" s="237" t="s">
        <v>114</v>
      </c>
      <c r="E94" s="180">
        <v>124</v>
      </c>
      <c r="F94" s="58" t="s">
        <v>384</v>
      </c>
      <c r="G94" s="237" t="s">
        <v>121</v>
      </c>
      <c r="H94" s="59" t="s">
        <v>126</v>
      </c>
      <c r="I94" s="65"/>
      <c r="J94" s="237" t="s">
        <v>132</v>
      </c>
      <c r="K94" s="237" t="s">
        <v>3</v>
      </c>
      <c r="L94" s="59" t="s">
        <v>6</v>
      </c>
      <c r="M94" s="58" t="s">
        <v>372</v>
      </c>
      <c r="N94" s="130"/>
      <c r="O94" s="172"/>
      <c r="P94" s="172"/>
      <c r="Q94" s="237" t="s">
        <v>140</v>
      </c>
      <c r="R94" s="78"/>
      <c r="S94" s="78"/>
      <c r="T94" s="58" t="s">
        <v>385</v>
      </c>
      <c r="U94" s="237">
        <v>2026</v>
      </c>
      <c r="V94" s="88">
        <v>46387</v>
      </c>
      <c r="W94" s="78"/>
      <c r="X94" s="88">
        <v>46024</v>
      </c>
      <c r="Y94" s="131">
        <v>44571.360000000001</v>
      </c>
      <c r="Z94" s="131">
        <v>0</v>
      </c>
      <c r="AA94" s="131">
        <f t="shared" ref="AA94:AA101" si="11">Y94</f>
        <v>44571.360000000001</v>
      </c>
      <c r="AB94" s="131">
        <v>0</v>
      </c>
      <c r="AC94" s="131">
        <f t="shared" ref="AC94:AC106" si="12">Y94</f>
        <v>44571.360000000001</v>
      </c>
      <c r="AD94" s="131">
        <f t="shared" ref="AD94:AD101" si="13">Y94</f>
        <v>44571.360000000001</v>
      </c>
      <c r="AE94" s="173" t="s">
        <v>102</v>
      </c>
      <c r="AF94" s="173"/>
      <c r="AG94" s="173"/>
      <c r="AH94" s="174"/>
      <c r="AI94" s="175"/>
      <c r="AJ94" s="174"/>
      <c r="AK94" s="176"/>
      <c r="AL94" s="174"/>
      <c r="AM94" s="177" t="s">
        <v>204</v>
      </c>
      <c r="AN94" s="243" t="s">
        <v>178</v>
      </c>
      <c r="AO94" s="178"/>
      <c r="AP94" s="179"/>
      <c r="AQ94" s="179"/>
      <c r="AR94" s="24"/>
      <c r="AS94" s="179"/>
    </row>
    <row r="95" spans="1:45" ht="30" customHeight="1" x14ac:dyDescent="0.35">
      <c r="A95" s="38">
        <v>2026</v>
      </c>
      <c r="B95" s="59" t="s">
        <v>68</v>
      </c>
      <c r="C95" s="58" t="s">
        <v>370</v>
      </c>
      <c r="D95" s="237" t="s">
        <v>114</v>
      </c>
      <c r="E95" s="180"/>
      <c r="F95" s="58" t="s">
        <v>386</v>
      </c>
      <c r="G95" s="237" t="s">
        <v>121</v>
      </c>
      <c r="H95" s="59" t="s">
        <v>126</v>
      </c>
      <c r="I95" s="65"/>
      <c r="J95" s="237" t="s">
        <v>132</v>
      </c>
      <c r="K95" s="237" t="s">
        <v>3</v>
      </c>
      <c r="L95" s="59" t="s">
        <v>6</v>
      </c>
      <c r="M95" s="58" t="s">
        <v>372</v>
      </c>
      <c r="N95" s="130"/>
      <c r="O95" s="172"/>
      <c r="P95" s="172"/>
      <c r="Q95" s="237" t="s">
        <v>140</v>
      </c>
      <c r="R95" s="78"/>
      <c r="S95" s="78"/>
      <c r="T95" s="58" t="s">
        <v>387</v>
      </c>
      <c r="U95" s="237">
        <v>2026</v>
      </c>
      <c r="V95" s="88">
        <v>46387</v>
      </c>
      <c r="W95" s="78"/>
      <c r="X95" s="88">
        <v>46024</v>
      </c>
      <c r="Y95" s="131">
        <v>72000</v>
      </c>
      <c r="Z95" s="131">
        <v>0</v>
      </c>
      <c r="AA95" s="131">
        <f t="shared" si="11"/>
        <v>72000</v>
      </c>
      <c r="AB95" s="131">
        <v>0</v>
      </c>
      <c r="AC95" s="131">
        <f t="shared" si="12"/>
        <v>72000</v>
      </c>
      <c r="AD95" s="131">
        <f t="shared" si="13"/>
        <v>72000</v>
      </c>
      <c r="AE95" s="173" t="s">
        <v>102</v>
      </c>
      <c r="AF95" s="173"/>
      <c r="AG95" s="173"/>
      <c r="AH95" s="174"/>
      <c r="AI95" s="175"/>
      <c r="AJ95" s="174"/>
      <c r="AK95" s="176"/>
      <c r="AL95" s="174"/>
      <c r="AM95" s="177" t="s">
        <v>204</v>
      </c>
      <c r="AN95" s="243" t="s">
        <v>178</v>
      </c>
      <c r="AO95" s="178"/>
      <c r="AP95" s="179"/>
      <c r="AQ95" s="179"/>
      <c r="AR95" s="24"/>
      <c r="AS95" s="179"/>
    </row>
    <row r="96" spans="1:45" ht="30" customHeight="1" x14ac:dyDescent="0.35">
      <c r="A96" s="38">
        <v>2026</v>
      </c>
      <c r="B96" s="59" t="s">
        <v>68</v>
      </c>
      <c r="C96" s="58" t="s">
        <v>370</v>
      </c>
      <c r="D96" s="237" t="s">
        <v>114</v>
      </c>
      <c r="E96" s="105">
        <v>129</v>
      </c>
      <c r="F96" s="58" t="s">
        <v>388</v>
      </c>
      <c r="G96" s="237" t="s">
        <v>121</v>
      </c>
      <c r="H96" s="59" t="s">
        <v>126</v>
      </c>
      <c r="I96" s="65"/>
      <c r="J96" s="237" t="s">
        <v>132</v>
      </c>
      <c r="K96" s="237" t="s">
        <v>3</v>
      </c>
      <c r="L96" s="59" t="s">
        <v>6</v>
      </c>
      <c r="M96" s="58" t="s">
        <v>372</v>
      </c>
      <c r="N96" s="130"/>
      <c r="O96" s="172"/>
      <c r="P96" s="172"/>
      <c r="Q96" s="237" t="s">
        <v>140</v>
      </c>
      <c r="R96" s="78"/>
      <c r="S96" s="78"/>
      <c r="T96" s="58" t="s">
        <v>389</v>
      </c>
      <c r="U96" s="237">
        <v>2026</v>
      </c>
      <c r="V96" s="88">
        <v>46387</v>
      </c>
      <c r="W96" s="78"/>
      <c r="X96" s="88">
        <v>46024</v>
      </c>
      <c r="Y96" s="131">
        <v>72000</v>
      </c>
      <c r="Z96" s="131">
        <v>0</v>
      </c>
      <c r="AA96" s="131">
        <f t="shared" si="11"/>
        <v>72000</v>
      </c>
      <c r="AB96" s="131">
        <v>0</v>
      </c>
      <c r="AC96" s="131">
        <f t="shared" si="12"/>
        <v>72000</v>
      </c>
      <c r="AD96" s="131">
        <f t="shared" si="13"/>
        <v>72000</v>
      </c>
      <c r="AE96" s="173" t="s">
        <v>102</v>
      </c>
      <c r="AF96" s="173"/>
      <c r="AG96" s="173"/>
      <c r="AH96" s="174"/>
      <c r="AI96" s="175"/>
      <c r="AJ96" s="174"/>
      <c r="AK96" s="176"/>
      <c r="AL96" s="174"/>
      <c r="AM96" s="177" t="s">
        <v>204</v>
      </c>
      <c r="AN96" s="243" t="s">
        <v>178</v>
      </c>
      <c r="AO96" s="178"/>
      <c r="AP96" s="179"/>
      <c r="AQ96" s="179"/>
      <c r="AR96" s="24"/>
      <c r="AS96" s="179"/>
    </row>
    <row r="97" spans="1:45" ht="30" customHeight="1" x14ac:dyDescent="0.35">
      <c r="A97" s="38">
        <v>2026</v>
      </c>
      <c r="B97" s="59" t="s">
        <v>68</v>
      </c>
      <c r="C97" s="58" t="s">
        <v>370</v>
      </c>
      <c r="D97" s="237" t="s">
        <v>114</v>
      </c>
      <c r="E97" s="180"/>
      <c r="F97" s="58" t="s">
        <v>390</v>
      </c>
      <c r="G97" s="237" t="s">
        <v>121</v>
      </c>
      <c r="H97" s="59" t="s">
        <v>126</v>
      </c>
      <c r="I97" s="65"/>
      <c r="J97" s="237" t="s">
        <v>132</v>
      </c>
      <c r="K97" s="237" t="s">
        <v>3</v>
      </c>
      <c r="L97" s="59" t="s">
        <v>6</v>
      </c>
      <c r="M97" s="58" t="s">
        <v>372</v>
      </c>
      <c r="N97" s="130"/>
      <c r="O97" s="172"/>
      <c r="P97" s="172"/>
      <c r="Q97" s="237" t="s">
        <v>140</v>
      </c>
      <c r="R97" s="78"/>
      <c r="S97" s="78"/>
      <c r="T97" s="58" t="s">
        <v>391</v>
      </c>
      <c r="U97" s="237">
        <v>2026</v>
      </c>
      <c r="V97" s="88">
        <v>46387</v>
      </c>
      <c r="W97" s="78"/>
      <c r="X97" s="88">
        <v>46024</v>
      </c>
      <c r="Y97" s="131">
        <v>120000</v>
      </c>
      <c r="Z97" s="131">
        <v>0</v>
      </c>
      <c r="AA97" s="131">
        <f t="shared" si="11"/>
        <v>120000</v>
      </c>
      <c r="AB97" s="131">
        <v>0</v>
      </c>
      <c r="AC97" s="131">
        <f t="shared" si="12"/>
        <v>120000</v>
      </c>
      <c r="AD97" s="131">
        <f t="shared" si="13"/>
        <v>120000</v>
      </c>
      <c r="AE97" s="173" t="s">
        <v>102</v>
      </c>
      <c r="AF97" s="173"/>
      <c r="AG97" s="173"/>
      <c r="AH97" s="174"/>
      <c r="AI97" s="175"/>
      <c r="AJ97" s="174"/>
      <c r="AK97" s="176"/>
      <c r="AL97" s="174"/>
      <c r="AM97" s="177" t="s">
        <v>204</v>
      </c>
      <c r="AN97" s="243" t="s">
        <v>178</v>
      </c>
      <c r="AO97" s="178"/>
      <c r="AP97" s="179"/>
      <c r="AQ97" s="179"/>
      <c r="AR97" s="24"/>
      <c r="AS97" s="179"/>
    </row>
    <row r="98" spans="1:45" ht="30" customHeight="1" x14ac:dyDescent="0.35">
      <c r="A98" s="38">
        <v>2026</v>
      </c>
      <c r="B98" s="59" t="s">
        <v>68</v>
      </c>
      <c r="C98" s="58" t="s">
        <v>370</v>
      </c>
      <c r="D98" s="237" t="s">
        <v>114</v>
      </c>
      <c r="E98" s="180">
        <v>145</v>
      </c>
      <c r="F98" s="58" t="s">
        <v>392</v>
      </c>
      <c r="G98" s="237" t="s">
        <v>121</v>
      </c>
      <c r="H98" s="59" t="s">
        <v>126</v>
      </c>
      <c r="I98" s="65"/>
      <c r="J98" s="237" t="s">
        <v>132</v>
      </c>
      <c r="K98" s="237" t="s">
        <v>3</v>
      </c>
      <c r="L98" s="59" t="s">
        <v>6</v>
      </c>
      <c r="M98" s="58" t="s">
        <v>372</v>
      </c>
      <c r="N98" s="130"/>
      <c r="O98" s="172"/>
      <c r="P98" s="172"/>
      <c r="Q98" s="237" t="s">
        <v>140</v>
      </c>
      <c r="R98" s="78"/>
      <c r="S98" s="78"/>
      <c r="T98" s="58" t="s">
        <v>393</v>
      </c>
      <c r="U98" s="237">
        <v>2026</v>
      </c>
      <c r="V98" s="88">
        <v>46387</v>
      </c>
      <c r="W98" s="78"/>
      <c r="X98" s="88">
        <v>46024</v>
      </c>
      <c r="Y98" s="131">
        <v>108000</v>
      </c>
      <c r="Z98" s="131">
        <v>0</v>
      </c>
      <c r="AA98" s="131">
        <f t="shared" si="11"/>
        <v>108000</v>
      </c>
      <c r="AB98" s="131">
        <v>0</v>
      </c>
      <c r="AC98" s="131">
        <f t="shared" si="12"/>
        <v>108000</v>
      </c>
      <c r="AD98" s="131">
        <f t="shared" si="13"/>
        <v>108000</v>
      </c>
      <c r="AE98" s="173" t="s">
        <v>102</v>
      </c>
      <c r="AF98" s="173"/>
      <c r="AG98" s="173"/>
      <c r="AH98" s="174"/>
      <c r="AI98" s="175"/>
      <c r="AJ98" s="174"/>
      <c r="AK98" s="176"/>
      <c r="AL98" s="174"/>
      <c r="AM98" s="177" t="s">
        <v>204</v>
      </c>
      <c r="AN98" s="243" t="s">
        <v>178</v>
      </c>
      <c r="AO98" s="178"/>
      <c r="AP98" s="179"/>
      <c r="AQ98" s="179"/>
      <c r="AR98" s="24"/>
      <c r="AS98" s="179"/>
    </row>
    <row r="99" spans="1:45" ht="30" customHeight="1" x14ac:dyDescent="0.35">
      <c r="A99" s="38">
        <v>2026</v>
      </c>
      <c r="B99" s="59" t="s">
        <v>68</v>
      </c>
      <c r="C99" s="58" t="s">
        <v>370</v>
      </c>
      <c r="D99" s="237" t="s">
        <v>114</v>
      </c>
      <c r="E99" s="180"/>
      <c r="F99" s="58" t="s">
        <v>394</v>
      </c>
      <c r="G99" s="237" t="s">
        <v>121</v>
      </c>
      <c r="H99" s="59" t="s">
        <v>126</v>
      </c>
      <c r="I99" s="65"/>
      <c r="J99" s="237" t="s">
        <v>132</v>
      </c>
      <c r="K99" s="237" t="s">
        <v>3</v>
      </c>
      <c r="L99" s="59" t="s">
        <v>6</v>
      </c>
      <c r="M99" s="58" t="s">
        <v>372</v>
      </c>
      <c r="N99" s="130"/>
      <c r="O99" s="172"/>
      <c r="P99" s="172"/>
      <c r="Q99" s="237" t="s">
        <v>140</v>
      </c>
      <c r="R99" s="78"/>
      <c r="S99" s="78"/>
      <c r="T99" s="58" t="s">
        <v>395</v>
      </c>
      <c r="U99" s="237">
        <v>2026</v>
      </c>
      <c r="V99" s="88">
        <v>46387</v>
      </c>
      <c r="W99" s="78"/>
      <c r="X99" s="88">
        <v>46024</v>
      </c>
      <c r="Y99" s="131">
        <v>72000</v>
      </c>
      <c r="Z99" s="131">
        <v>0</v>
      </c>
      <c r="AA99" s="131">
        <f t="shared" si="11"/>
        <v>72000</v>
      </c>
      <c r="AB99" s="131">
        <v>0</v>
      </c>
      <c r="AC99" s="131">
        <f t="shared" si="12"/>
        <v>72000</v>
      </c>
      <c r="AD99" s="131">
        <f t="shared" si="13"/>
        <v>72000</v>
      </c>
      <c r="AE99" s="173" t="s">
        <v>102</v>
      </c>
      <c r="AF99" s="173"/>
      <c r="AG99" s="173"/>
      <c r="AH99" s="174"/>
      <c r="AI99" s="175"/>
      <c r="AJ99" s="174"/>
      <c r="AK99" s="176"/>
      <c r="AL99" s="174"/>
      <c r="AM99" s="177" t="s">
        <v>204</v>
      </c>
      <c r="AN99" s="243" t="s">
        <v>178</v>
      </c>
      <c r="AO99" s="178"/>
      <c r="AP99" s="179"/>
      <c r="AQ99" s="179"/>
      <c r="AR99" s="24"/>
      <c r="AS99" s="179"/>
    </row>
    <row r="100" spans="1:45" ht="30" customHeight="1" x14ac:dyDescent="0.35">
      <c r="A100" s="38">
        <v>2026</v>
      </c>
      <c r="B100" s="59" t="s">
        <v>68</v>
      </c>
      <c r="C100" s="58" t="s">
        <v>370</v>
      </c>
      <c r="D100" s="237" t="s">
        <v>114</v>
      </c>
      <c r="E100" s="180"/>
      <c r="F100" s="58" t="s">
        <v>396</v>
      </c>
      <c r="G100" s="237" t="s">
        <v>121</v>
      </c>
      <c r="H100" s="59" t="s">
        <v>126</v>
      </c>
      <c r="I100" s="65"/>
      <c r="J100" s="237" t="s">
        <v>132</v>
      </c>
      <c r="K100" s="237" t="s">
        <v>3</v>
      </c>
      <c r="L100" s="59" t="s">
        <v>6</v>
      </c>
      <c r="M100" s="58" t="s">
        <v>372</v>
      </c>
      <c r="N100" s="130"/>
      <c r="O100" s="172"/>
      <c r="P100" s="172"/>
      <c r="Q100" s="237" t="s">
        <v>140</v>
      </c>
      <c r="R100" s="78"/>
      <c r="S100" s="78"/>
      <c r="T100" s="58" t="s">
        <v>397</v>
      </c>
      <c r="U100" s="237">
        <v>2026</v>
      </c>
      <c r="V100" s="88">
        <v>46387</v>
      </c>
      <c r="W100" s="78"/>
      <c r="X100" s="88">
        <v>46024</v>
      </c>
      <c r="Y100" s="131">
        <v>240000</v>
      </c>
      <c r="Z100" s="131">
        <v>0</v>
      </c>
      <c r="AA100" s="131">
        <f t="shared" si="11"/>
        <v>240000</v>
      </c>
      <c r="AB100" s="131">
        <v>0</v>
      </c>
      <c r="AC100" s="131">
        <f t="shared" si="12"/>
        <v>240000</v>
      </c>
      <c r="AD100" s="131">
        <f t="shared" si="13"/>
        <v>240000</v>
      </c>
      <c r="AE100" s="173" t="s">
        <v>102</v>
      </c>
      <c r="AF100" s="173"/>
      <c r="AG100" s="173"/>
      <c r="AH100" s="174"/>
      <c r="AI100" s="175"/>
      <c r="AJ100" s="174"/>
      <c r="AK100" s="176"/>
      <c r="AL100" s="174"/>
      <c r="AM100" s="177" t="s">
        <v>204</v>
      </c>
      <c r="AN100" s="243" t="s">
        <v>178</v>
      </c>
      <c r="AO100" s="178"/>
      <c r="AP100" s="179"/>
      <c r="AQ100" s="179"/>
      <c r="AR100" s="24"/>
      <c r="AS100" s="179"/>
    </row>
    <row r="101" spans="1:45" ht="30" customHeight="1" x14ac:dyDescent="0.35">
      <c r="A101" s="38">
        <v>2026</v>
      </c>
      <c r="B101" s="59" t="s">
        <v>68</v>
      </c>
      <c r="C101" s="58" t="s">
        <v>370</v>
      </c>
      <c r="D101" s="237" t="s">
        <v>114</v>
      </c>
      <c r="E101" s="105">
        <v>141</v>
      </c>
      <c r="F101" s="58" t="s">
        <v>398</v>
      </c>
      <c r="G101" s="237" t="s">
        <v>121</v>
      </c>
      <c r="H101" s="59" t="s">
        <v>126</v>
      </c>
      <c r="I101" s="65"/>
      <c r="J101" s="237" t="s">
        <v>132</v>
      </c>
      <c r="K101" s="237" t="s">
        <v>3</v>
      </c>
      <c r="L101" s="59" t="s">
        <v>6</v>
      </c>
      <c r="M101" s="58" t="s">
        <v>372</v>
      </c>
      <c r="N101" s="130"/>
      <c r="O101" s="172"/>
      <c r="P101" s="172"/>
      <c r="Q101" s="237" t="s">
        <v>140</v>
      </c>
      <c r="R101" s="78"/>
      <c r="S101" s="78"/>
      <c r="T101" s="58" t="s">
        <v>399</v>
      </c>
      <c r="U101" s="237">
        <v>2026</v>
      </c>
      <c r="V101" s="88">
        <v>46387</v>
      </c>
      <c r="W101" s="78"/>
      <c r="X101" s="88">
        <v>46024</v>
      </c>
      <c r="Y101" s="131">
        <v>240000</v>
      </c>
      <c r="Z101" s="131">
        <v>0</v>
      </c>
      <c r="AA101" s="131">
        <f t="shared" si="11"/>
        <v>240000</v>
      </c>
      <c r="AB101" s="131">
        <v>0</v>
      </c>
      <c r="AC101" s="131">
        <f t="shared" si="12"/>
        <v>240000</v>
      </c>
      <c r="AD101" s="131">
        <f t="shared" si="13"/>
        <v>240000</v>
      </c>
      <c r="AE101" s="173" t="s">
        <v>102</v>
      </c>
      <c r="AF101" s="173"/>
      <c r="AG101" s="173"/>
      <c r="AH101" s="174"/>
      <c r="AI101" s="175"/>
      <c r="AJ101" s="174"/>
      <c r="AK101" s="176"/>
      <c r="AL101" s="174"/>
      <c r="AM101" s="177" t="s">
        <v>204</v>
      </c>
      <c r="AN101" s="243" t="s">
        <v>178</v>
      </c>
      <c r="AO101" s="178"/>
      <c r="AP101" s="179"/>
      <c r="AQ101" s="179"/>
      <c r="AR101" s="24"/>
      <c r="AS101" s="179"/>
    </row>
    <row r="102" spans="1:45" ht="30" customHeight="1" x14ac:dyDescent="0.35">
      <c r="A102" s="38">
        <v>2026</v>
      </c>
      <c r="B102" s="59" t="s">
        <v>68</v>
      </c>
      <c r="C102" s="58" t="s">
        <v>370</v>
      </c>
      <c r="D102" s="237" t="s">
        <v>114</v>
      </c>
      <c r="E102" s="180"/>
      <c r="F102" s="58" t="s">
        <v>400</v>
      </c>
      <c r="G102" s="237" t="s">
        <v>121</v>
      </c>
      <c r="H102" s="59" t="s">
        <v>126</v>
      </c>
      <c r="I102" s="65"/>
      <c r="J102" s="237" t="s">
        <v>132</v>
      </c>
      <c r="K102" s="237" t="s">
        <v>3</v>
      </c>
      <c r="L102" s="59" t="s">
        <v>6</v>
      </c>
      <c r="M102" s="58" t="s">
        <v>372</v>
      </c>
      <c r="N102" s="130"/>
      <c r="O102" s="172"/>
      <c r="P102" s="172"/>
      <c r="Q102" s="237" t="s">
        <v>140</v>
      </c>
      <c r="R102" s="78"/>
      <c r="S102" s="78"/>
      <c r="T102" s="58" t="s">
        <v>401</v>
      </c>
      <c r="U102" s="237">
        <v>2026</v>
      </c>
      <c r="V102" s="88">
        <v>46387</v>
      </c>
      <c r="W102" s="78"/>
      <c r="X102" s="88">
        <v>46024</v>
      </c>
      <c r="Y102" s="131">
        <v>705374.28</v>
      </c>
      <c r="Z102" s="131">
        <v>0</v>
      </c>
      <c r="AA102" s="131">
        <v>846449.14</v>
      </c>
      <c r="AB102" s="131">
        <v>0</v>
      </c>
      <c r="AC102" s="131">
        <f t="shared" si="12"/>
        <v>705374.28</v>
      </c>
      <c r="AD102" s="131">
        <f>AA102</f>
        <v>846449.14</v>
      </c>
      <c r="AE102" s="173" t="s">
        <v>102</v>
      </c>
      <c r="AF102" s="173"/>
      <c r="AG102" s="173"/>
      <c r="AH102" s="174"/>
      <c r="AI102" s="175"/>
      <c r="AJ102" s="174"/>
      <c r="AK102" s="176"/>
      <c r="AL102" s="174"/>
      <c r="AM102" s="177" t="s">
        <v>204</v>
      </c>
      <c r="AN102" s="243" t="s">
        <v>178</v>
      </c>
      <c r="AO102" s="178"/>
      <c r="AP102" s="179"/>
      <c r="AQ102" s="179"/>
      <c r="AR102" s="24"/>
      <c r="AS102" s="179"/>
    </row>
    <row r="103" spans="1:45" ht="30" customHeight="1" x14ac:dyDescent="0.35">
      <c r="A103" s="38">
        <v>2026</v>
      </c>
      <c r="B103" s="59" t="s">
        <v>68</v>
      </c>
      <c r="C103" s="58" t="s">
        <v>370</v>
      </c>
      <c r="D103" s="237" t="s">
        <v>114</v>
      </c>
      <c r="E103" s="105">
        <v>126</v>
      </c>
      <c r="F103" s="58" t="s">
        <v>402</v>
      </c>
      <c r="G103" s="237" t="s">
        <v>121</v>
      </c>
      <c r="H103" s="59" t="s">
        <v>126</v>
      </c>
      <c r="I103" s="65"/>
      <c r="J103" s="237" t="s">
        <v>132</v>
      </c>
      <c r="K103" s="237" t="s">
        <v>3</v>
      </c>
      <c r="L103" s="59" t="s">
        <v>6</v>
      </c>
      <c r="M103" s="58" t="s">
        <v>372</v>
      </c>
      <c r="N103" s="130"/>
      <c r="O103" s="172"/>
      <c r="P103" s="172"/>
      <c r="Q103" s="237" t="s">
        <v>140</v>
      </c>
      <c r="R103" s="78"/>
      <c r="S103" s="78"/>
      <c r="T103" s="58" t="s">
        <v>403</v>
      </c>
      <c r="U103" s="237">
        <v>2026</v>
      </c>
      <c r="V103" s="88">
        <v>46387</v>
      </c>
      <c r="W103" s="78"/>
      <c r="X103" s="88">
        <v>46024</v>
      </c>
      <c r="Y103" s="131">
        <v>214800</v>
      </c>
      <c r="Z103" s="131">
        <v>0</v>
      </c>
      <c r="AA103" s="131">
        <f t="shared" ref="AA103:AA134" si="14">Y103</f>
        <v>214800</v>
      </c>
      <c r="AB103" s="131">
        <v>0</v>
      </c>
      <c r="AC103" s="131">
        <f t="shared" si="12"/>
        <v>214800</v>
      </c>
      <c r="AD103" s="131">
        <f>AA103</f>
        <v>214800</v>
      </c>
      <c r="AE103" s="173" t="s">
        <v>102</v>
      </c>
      <c r="AF103" s="173"/>
      <c r="AG103" s="173"/>
      <c r="AH103" s="174"/>
      <c r="AI103" s="175"/>
      <c r="AJ103" s="174"/>
      <c r="AK103" s="176"/>
      <c r="AL103" s="174"/>
      <c r="AM103" s="177" t="s">
        <v>204</v>
      </c>
      <c r="AN103" s="243" t="s">
        <v>178</v>
      </c>
      <c r="AO103" s="178"/>
      <c r="AP103" s="179"/>
      <c r="AQ103" s="179"/>
      <c r="AR103" s="24"/>
      <c r="AS103" s="179"/>
    </row>
    <row r="104" spans="1:45" ht="41.5" customHeight="1" x14ac:dyDescent="0.35">
      <c r="A104" s="38">
        <v>2026</v>
      </c>
      <c r="B104" s="59" t="s">
        <v>68</v>
      </c>
      <c r="C104" s="58" t="s">
        <v>370</v>
      </c>
      <c r="D104" s="237" t="s">
        <v>114</v>
      </c>
      <c r="E104" s="180">
        <v>148</v>
      </c>
      <c r="F104" s="58" t="s">
        <v>404</v>
      </c>
      <c r="G104" s="237" t="s">
        <v>121</v>
      </c>
      <c r="H104" s="59" t="s">
        <v>126</v>
      </c>
      <c r="I104" s="65"/>
      <c r="J104" s="237" t="s">
        <v>132</v>
      </c>
      <c r="K104" s="237" t="s">
        <v>3</v>
      </c>
      <c r="L104" s="59" t="s">
        <v>6</v>
      </c>
      <c r="M104" s="58" t="s">
        <v>372</v>
      </c>
      <c r="N104" s="130"/>
      <c r="O104" s="172"/>
      <c r="P104" s="172"/>
      <c r="Q104" s="237" t="s">
        <v>140</v>
      </c>
      <c r="R104" s="78"/>
      <c r="S104" s="78"/>
      <c r="T104" s="58" t="s">
        <v>405</v>
      </c>
      <c r="U104" s="237">
        <v>2026</v>
      </c>
      <c r="V104" s="88">
        <v>46387</v>
      </c>
      <c r="W104" s="78"/>
      <c r="X104" s="88">
        <v>46024</v>
      </c>
      <c r="Y104" s="131">
        <v>145714.32</v>
      </c>
      <c r="Z104" s="131">
        <v>0</v>
      </c>
      <c r="AA104" s="131">
        <f t="shared" si="14"/>
        <v>145714.32</v>
      </c>
      <c r="AB104" s="131">
        <v>0</v>
      </c>
      <c r="AC104" s="131">
        <f t="shared" si="12"/>
        <v>145714.32</v>
      </c>
      <c r="AD104" s="131">
        <f>AA104</f>
        <v>145714.32</v>
      </c>
      <c r="AE104" s="173" t="s">
        <v>102</v>
      </c>
      <c r="AF104" s="173"/>
      <c r="AG104" s="173"/>
      <c r="AH104" s="174"/>
      <c r="AI104" s="175"/>
      <c r="AJ104" s="174"/>
      <c r="AK104" s="176"/>
      <c r="AL104" s="174"/>
      <c r="AM104" s="177" t="s">
        <v>204</v>
      </c>
      <c r="AN104" s="243" t="s">
        <v>178</v>
      </c>
      <c r="AO104" s="178"/>
      <c r="AP104" s="179"/>
      <c r="AQ104" s="179"/>
      <c r="AR104" s="24"/>
      <c r="AS104" s="179"/>
    </row>
    <row r="105" spans="1:45" ht="30" customHeight="1" x14ac:dyDescent="0.35">
      <c r="A105" s="38">
        <v>2026</v>
      </c>
      <c r="B105" s="59" t="s">
        <v>68</v>
      </c>
      <c r="C105" s="58" t="s">
        <v>370</v>
      </c>
      <c r="D105" s="237" t="s">
        <v>114</v>
      </c>
      <c r="E105" s="180"/>
      <c r="F105" s="58" t="s">
        <v>406</v>
      </c>
      <c r="G105" s="237" t="s">
        <v>121</v>
      </c>
      <c r="H105" s="59" t="s">
        <v>126</v>
      </c>
      <c r="I105" s="65"/>
      <c r="J105" s="237" t="s">
        <v>132</v>
      </c>
      <c r="K105" s="237" t="s">
        <v>3</v>
      </c>
      <c r="L105" s="59" t="s">
        <v>6</v>
      </c>
      <c r="M105" s="58" t="s">
        <v>372</v>
      </c>
      <c r="N105" s="130"/>
      <c r="O105" s="172"/>
      <c r="P105" s="172"/>
      <c r="Q105" s="237" t="s">
        <v>140</v>
      </c>
      <c r="R105" s="78"/>
      <c r="S105" s="78"/>
      <c r="T105" s="58" t="s">
        <v>407</v>
      </c>
      <c r="U105" s="237">
        <v>2026</v>
      </c>
      <c r="V105" s="88">
        <v>46387</v>
      </c>
      <c r="W105" s="78"/>
      <c r="X105" s="88">
        <v>46024</v>
      </c>
      <c r="Y105" s="131">
        <v>150000</v>
      </c>
      <c r="Z105" s="131">
        <v>0</v>
      </c>
      <c r="AA105" s="131">
        <f t="shared" si="14"/>
        <v>150000</v>
      </c>
      <c r="AB105" s="131">
        <v>0</v>
      </c>
      <c r="AC105" s="131">
        <f t="shared" si="12"/>
        <v>150000</v>
      </c>
      <c r="AD105" s="131">
        <f>AA105</f>
        <v>150000</v>
      </c>
      <c r="AE105" s="173" t="s">
        <v>102</v>
      </c>
      <c r="AF105" s="173"/>
      <c r="AG105" s="173"/>
      <c r="AH105" s="174"/>
      <c r="AI105" s="175"/>
      <c r="AJ105" s="174"/>
      <c r="AK105" s="176"/>
      <c r="AL105" s="174"/>
      <c r="AM105" s="177" t="s">
        <v>204</v>
      </c>
      <c r="AN105" s="243" t="s">
        <v>178</v>
      </c>
      <c r="AO105" s="178"/>
      <c r="AP105" s="179"/>
      <c r="AQ105" s="179"/>
      <c r="AR105" s="24"/>
      <c r="AS105" s="179"/>
    </row>
    <row r="106" spans="1:45" ht="30" customHeight="1" x14ac:dyDescent="0.35">
      <c r="A106" s="38">
        <v>2026</v>
      </c>
      <c r="B106" s="59" t="s">
        <v>68</v>
      </c>
      <c r="C106" s="58" t="s">
        <v>370</v>
      </c>
      <c r="D106" s="237" t="s">
        <v>114</v>
      </c>
      <c r="E106" s="180"/>
      <c r="F106" s="58" t="s">
        <v>408</v>
      </c>
      <c r="G106" s="237" t="s">
        <v>121</v>
      </c>
      <c r="H106" s="59" t="s">
        <v>126</v>
      </c>
      <c r="I106" s="65"/>
      <c r="J106" s="237" t="s">
        <v>132</v>
      </c>
      <c r="K106" s="237" t="s">
        <v>3</v>
      </c>
      <c r="L106" s="59" t="s">
        <v>6</v>
      </c>
      <c r="M106" s="58" t="s">
        <v>372</v>
      </c>
      <c r="N106" s="130"/>
      <c r="O106" s="172"/>
      <c r="P106" s="172"/>
      <c r="Q106" s="237" t="s">
        <v>140</v>
      </c>
      <c r="R106" s="78"/>
      <c r="S106" s="78"/>
      <c r="T106" s="58" t="s">
        <v>409</v>
      </c>
      <c r="U106" s="237">
        <v>2026</v>
      </c>
      <c r="V106" s="88">
        <v>46387</v>
      </c>
      <c r="W106" s="78"/>
      <c r="X106" s="88">
        <v>46024</v>
      </c>
      <c r="Y106" s="131">
        <v>120000</v>
      </c>
      <c r="Z106" s="131">
        <v>0</v>
      </c>
      <c r="AA106" s="131">
        <f t="shared" si="14"/>
        <v>120000</v>
      </c>
      <c r="AB106" s="131">
        <v>0</v>
      </c>
      <c r="AC106" s="131">
        <f t="shared" si="12"/>
        <v>120000</v>
      </c>
      <c r="AD106" s="131">
        <f>AA106</f>
        <v>120000</v>
      </c>
      <c r="AE106" s="173" t="s">
        <v>102</v>
      </c>
      <c r="AF106" s="173"/>
      <c r="AG106" s="173"/>
      <c r="AH106" s="174"/>
      <c r="AI106" s="175"/>
      <c r="AJ106" s="174"/>
      <c r="AK106" s="176"/>
      <c r="AL106" s="174"/>
      <c r="AM106" s="177" t="s">
        <v>204</v>
      </c>
      <c r="AN106" s="243" t="s">
        <v>178</v>
      </c>
      <c r="AO106" s="178"/>
      <c r="AP106" s="179"/>
      <c r="AQ106" s="179"/>
      <c r="AR106" s="24"/>
      <c r="AS106" s="179"/>
    </row>
    <row r="107" spans="1:45" ht="30" customHeight="1" x14ac:dyDescent="0.35">
      <c r="A107" s="38">
        <v>2026</v>
      </c>
      <c r="B107" s="59" t="s">
        <v>64</v>
      </c>
      <c r="C107" s="58" t="s">
        <v>410</v>
      </c>
      <c r="D107" s="237" t="s">
        <v>114</v>
      </c>
      <c r="E107" s="105">
        <v>192</v>
      </c>
      <c r="F107" s="58" t="s">
        <v>411</v>
      </c>
      <c r="G107" s="237" t="s">
        <v>121</v>
      </c>
      <c r="H107" s="59" t="s">
        <v>126</v>
      </c>
      <c r="I107" s="65"/>
      <c r="J107" s="237" t="s">
        <v>132</v>
      </c>
      <c r="K107" s="237" t="s">
        <v>3</v>
      </c>
      <c r="L107" s="59" t="s">
        <v>6</v>
      </c>
      <c r="M107" s="58" t="s">
        <v>372</v>
      </c>
      <c r="N107" s="130"/>
      <c r="O107" s="172"/>
      <c r="P107" s="172"/>
      <c r="Q107" s="237" t="s">
        <v>140</v>
      </c>
      <c r="R107" s="78"/>
      <c r="S107" s="78"/>
      <c r="T107" s="58" t="s">
        <v>412</v>
      </c>
      <c r="U107" s="237">
        <v>2026</v>
      </c>
      <c r="V107" s="88">
        <v>46387</v>
      </c>
      <c r="W107" s="78"/>
      <c r="X107" s="88">
        <v>46024</v>
      </c>
      <c r="Y107" s="131">
        <v>171428.64</v>
      </c>
      <c r="Z107" s="131">
        <v>0</v>
      </c>
      <c r="AA107" s="131">
        <f t="shared" si="14"/>
        <v>171428.64</v>
      </c>
      <c r="AB107" s="131">
        <v>0</v>
      </c>
      <c r="AC107" s="131">
        <f t="shared" ref="AC107:AC120" si="15">AA107</f>
        <v>171428.64</v>
      </c>
      <c r="AD107" s="131">
        <f t="shared" ref="AD107:AD120" si="16">AC107</f>
        <v>171428.64</v>
      </c>
      <c r="AE107" s="173" t="s">
        <v>102</v>
      </c>
      <c r="AF107" s="173"/>
      <c r="AG107" s="173"/>
      <c r="AH107" s="174"/>
      <c r="AI107" s="175"/>
      <c r="AJ107" s="174"/>
      <c r="AK107" s="176"/>
      <c r="AL107" s="174"/>
      <c r="AM107" s="177" t="s">
        <v>204</v>
      </c>
      <c r="AN107" s="243" t="s">
        <v>178</v>
      </c>
      <c r="AO107" s="178"/>
      <c r="AP107" s="179"/>
      <c r="AQ107" s="179"/>
      <c r="AR107" s="24"/>
      <c r="AS107" s="179"/>
    </row>
    <row r="108" spans="1:45" ht="30" customHeight="1" x14ac:dyDescent="0.35">
      <c r="A108" s="38">
        <v>2026</v>
      </c>
      <c r="B108" s="59" t="s">
        <v>64</v>
      </c>
      <c r="C108" s="58" t="s">
        <v>410</v>
      </c>
      <c r="D108" s="237" t="s">
        <v>114</v>
      </c>
      <c r="E108" s="105">
        <v>191</v>
      </c>
      <c r="F108" s="58" t="s">
        <v>413</v>
      </c>
      <c r="G108" s="237" t="s">
        <v>121</v>
      </c>
      <c r="H108" s="59" t="s">
        <v>126</v>
      </c>
      <c r="I108" s="65"/>
      <c r="J108" s="237" t="s">
        <v>132</v>
      </c>
      <c r="K108" s="237" t="s">
        <v>3</v>
      </c>
      <c r="L108" s="59" t="s">
        <v>6</v>
      </c>
      <c r="M108" s="58" t="s">
        <v>372</v>
      </c>
      <c r="N108" s="130"/>
      <c r="O108" s="172"/>
      <c r="P108" s="172"/>
      <c r="Q108" s="237" t="s">
        <v>140</v>
      </c>
      <c r="R108" s="78"/>
      <c r="S108" s="78"/>
      <c r="T108" s="58" t="s">
        <v>414</v>
      </c>
      <c r="U108" s="237">
        <v>2026</v>
      </c>
      <c r="V108" s="88">
        <v>46387</v>
      </c>
      <c r="W108" s="78"/>
      <c r="X108" s="88">
        <v>46024</v>
      </c>
      <c r="Y108" s="131">
        <v>280000</v>
      </c>
      <c r="Z108" s="131">
        <v>0</v>
      </c>
      <c r="AA108" s="131">
        <f t="shared" si="14"/>
        <v>280000</v>
      </c>
      <c r="AB108" s="131">
        <v>0</v>
      </c>
      <c r="AC108" s="131">
        <f t="shared" si="15"/>
        <v>280000</v>
      </c>
      <c r="AD108" s="131">
        <f t="shared" si="16"/>
        <v>280000</v>
      </c>
      <c r="AE108" s="173" t="s">
        <v>102</v>
      </c>
      <c r="AF108" s="173"/>
      <c r="AG108" s="173"/>
      <c r="AH108" s="174"/>
      <c r="AI108" s="175"/>
      <c r="AJ108" s="174"/>
      <c r="AK108" s="176"/>
      <c r="AL108" s="174"/>
      <c r="AM108" s="177" t="s">
        <v>204</v>
      </c>
      <c r="AN108" s="243" t="s">
        <v>178</v>
      </c>
      <c r="AO108" s="178"/>
      <c r="AP108" s="179"/>
      <c r="AQ108" s="179"/>
      <c r="AR108" s="24"/>
      <c r="AS108" s="179"/>
    </row>
    <row r="109" spans="1:45" ht="30" customHeight="1" x14ac:dyDescent="0.35">
      <c r="A109" s="38">
        <v>2026</v>
      </c>
      <c r="B109" s="59" t="s">
        <v>64</v>
      </c>
      <c r="C109" s="58" t="s">
        <v>410</v>
      </c>
      <c r="D109" s="237" t="s">
        <v>114</v>
      </c>
      <c r="E109" s="105"/>
      <c r="F109" s="58" t="s">
        <v>415</v>
      </c>
      <c r="G109" s="237" t="s">
        <v>121</v>
      </c>
      <c r="H109" s="59" t="s">
        <v>126</v>
      </c>
      <c r="I109" s="65"/>
      <c r="J109" s="237" t="s">
        <v>132</v>
      </c>
      <c r="K109" s="237" t="s">
        <v>3</v>
      </c>
      <c r="L109" s="59" t="s">
        <v>6</v>
      </c>
      <c r="M109" s="58" t="s">
        <v>372</v>
      </c>
      <c r="N109" s="130"/>
      <c r="O109" s="172"/>
      <c r="P109" s="172"/>
      <c r="Q109" s="237" t="s">
        <v>140</v>
      </c>
      <c r="R109" s="78"/>
      <c r="S109" s="78"/>
      <c r="T109" s="58" t="s">
        <v>416</v>
      </c>
      <c r="U109" s="237">
        <v>2026</v>
      </c>
      <c r="V109" s="88">
        <v>46387</v>
      </c>
      <c r="W109" s="78"/>
      <c r="X109" s="88">
        <v>46024</v>
      </c>
      <c r="Y109" s="131">
        <v>171429.12</v>
      </c>
      <c r="Z109" s="131">
        <v>0</v>
      </c>
      <c r="AA109" s="131">
        <f t="shared" si="14"/>
        <v>171429.12</v>
      </c>
      <c r="AB109" s="131">
        <v>0</v>
      </c>
      <c r="AC109" s="131">
        <f t="shared" si="15"/>
        <v>171429.12</v>
      </c>
      <c r="AD109" s="131">
        <f t="shared" si="16"/>
        <v>171429.12</v>
      </c>
      <c r="AE109" s="173" t="s">
        <v>102</v>
      </c>
      <c r="AF109" s="173"/>
      <c r="AG109" s="173"/>
      <c r="AH109" s="174"/>
      <c r="AI109" s="175"/>
      <c r="AJ109" s="174"/>
      <c r="AK109" s="176"/>
      <c r="AL109" s="174"/>
      <c r="AM109" s="177" t="s">
        <v>204</v>
      </c>
      <c r="AN109" s="244" t="s">
        <v>347</v>
      </c>
      <c r="AO109" s="178"/>
      <c r="AP109" s="179"/>
      <c r="AQ109" s="179"/>
      <c r="AR109" s="24"/>
      <c r="AS109" s="179"/>
    </row>
    <row r="110" spans="1:45" ht="30" customHeight="1" x14ac:dyDescent="0.35">
      <c r="A110" s="38">
        <v>2026</v>
      </c>
      <c r="B110" s="59" t="s">
        <v>64</v>
      </c>
      <c r="C110" s="58" t="s">
        <v>410</v>
      </c>
      <c r="D110" s="237" t="s">
        <v>114</v>
      </c>
      <c r="E110" s="105">
        <v>193</v>
      </c>
      <c r="F110" s="58" t="s">
        <v>417</v>
      </c>
      <c r="G110" s="237" t="s">
        <v>121</v>
      </c>
      <c r="H110" s="59" t="s">
        <v>126</v>
      </c>
      <c r="I110" s="65"/>
      <c r="J110" s="237" t="s">
        <v>132</v>
      </c>
      <c r="K110" s="237" t="s">
        <v>3</v>
      </c>
      <c r="L110" s="59" t="s">
        <v>6</v>
      </c>
      <c r="M110" s="58" t="s">
        <v>372</v>
      </c>
      <c r="N110" s="130"/>
      <c r="O110" s="172"/>
      <c r="P110" s="172"/>
      <c r="Q110" s="237" t="s">
        <v>140</v>
      </c>
      <c r="R110" s="78"/>
      <c r="S110" s="78"/>
      <c r="T110" s="58" t="s">
        <v>418</v>
      </c>
      <c r="U110" s="237">
        <v>2026</v>
      </c>
      <c r="V110" s="88">
        <v>46387</v>
      </c>
      <c r="W110" s="78"/>
      <c r="X110" s="88">
        <v>46024</v>
      </c>
      <c r="Y110" s="131">
        <v>257142.9</v>
      </c>
      <c r="Z110" s="131">
        <v>0</v>
      </c>
      <c r="AA110" s="131">
        <f t="shared" si="14"/>
        <v>257142.9</v>
      </c>
      <c r="AB110" s="131">
        <v>0</v>
      </c>
      <c r="AC110" s="131">
        <f t="shared" si="15"/>
        <v>257142.9</v>
      </c>
      <c r="AD110" s="131">
        <f t="shared" si="16"/>
        <v>257142.9</v>
      </c>
      <c r="AE110" s="173" t="s">
        <v>102</v>
      </c>
      <c r="AF110" s="173"/>
      <c r="AG110" s="173"/>
      <c r="AH110" s="174"/>
      <c r="AI110" s="175"/>
      <c r="AJ110" s="174"/>
      <c r="AK110" s="176"/>
      <c r="AL110" s="174"/>
      <c r="AM110" s="177" t="s">
        <v>204</v>
      </c>
      <c r="AN110" s="243" t="s">
        <v>178</v>
      </c>
      <c r="AO110" s="178"/>
      <c r="AP110" s="179"/>
      <c r="AQ110" s="179"/>
      <c r="AR110" s="24"/>
      <c r="AS110" s="179"/>
    </row>
    <row r="111" spans="1:45" ht="30" customHeight="1" x14ac:dyDescent="0.35">
      <c r="A111" s="38">
        <v>2026</v>
      </c>
      <c r="B111" s="59" t="s">
        <v>64</v>
      </c>
      <c r="C111" s="58" t="s">
        <v>410</v>
      </c>
      <c r="D111" s="237" t="s">
        <v>114</v>
      </c>
      <c r="E111" s="105">
        <v>195</v>
      </c>
      <c r="F111" s="58" t="s">
        <v>419</v>
      </c>
      <c r="G111" s="237" t="s">
        <v>121</v>
      </c>
      <c r="H111" s="59" t="s">
        <v>126</v>
      </c>
      <c r="I111" s="65"/>
      <c r="J111" s="237" t="s">
        <v>132</v>
      </c>
      <c r="K111" s="237" t="s">
        <v>3</v>
      </c>
      <c r="L111" s="59" t="s">
        <v>6</v>
      </c>
      <c r="M111" s="58" t="s">
        <v>372</v>
      </c>
      <c r="N111" s="130"/>
      <c r="O111" s="172"/>
      <c r="P111" s="172"/>
      <c r="Q111" s="237" t="s">
        <v>140</v>
      </c>
      <c r="R111" s="78"/>
      <c r="S111" s="78"/>
      <c r="T111" s="58" t="s">
        <v>420</v>
      </c>
      <c r="U111" s="237">
        <v>2026</v>
      </c>
      <c r="V111" s="88">
        <v>46387</v>
      </c>
      <c r="W111" s="78"/>
      <c r="X111" s="88">
        <v>46024</v>
      </c>
      <c r="Y111" s="131">
        <v>181800</v>
      </c>
      <c r="Z111" s="131">
        <v>0</v>
      </c>
      <c r="AA111" s="131">
        <f t="shared" si="14"/>
        <v>181800</v>
      </c>
      <c r="AB111" s="131">
        <v>0</v>
      </c>
      <c r="AC111" s="131">
        <f t="shared" si="15"/>
        <v>181800</v>
      </c>
      <c r="AD111" s="131">
        <f t="shared" si="16"/>
        <v>181800</v>
      </c>
      <c r="AE111" s="173" t="s">
        <v>102</v>
      </c>
      <c r="AF111" s="173"/>
      <c r="AG111" s="173"/>
      <c r="AH111" s="174"/>
      <c r="AI111" s="175"/>
      <c r="AJ111" s="174"/>
      <c r="AK111" s="176"/>
      <c r="AL111" s="174"/>
      <c r="AM111" s="177" t="s">
        <v>204</v>
      </c>
      <c r="AN111" s="243" t="s">
        <v>178</v>
      </c>
      <c r="AO111" s="178"/>
      <c r="AP111" s="179"/>
      <c r="AQ111" s="179"/>
      <c r="AR111" s="24"/>
      <c r="AS111" s="179"/>
    </row>
    <row r="112" spans="1:45" ht="30" customHeight="1" x14ac:dyDescent="0.35">
      <c r="A112" s="40">
        <v>2026</v>
      </c>
      <c r="B112" s="59" t="s">
        <v>65</v>
      </c>
      <c r="C112" s="58" t="s">
        <v>421</v>
      </c>
      <c r="D112" s="237" t="s">
        <v>114</v>
      </c>
      <c r="E112" s="105">
        <v>98</v>
      </c>
      <c r="F112" s="58" t="s">
        <v>422</v>
      </c>
      <c r="G112" s="237" t="s">
        <v>121</v>
      </c>
      <c r="H112" s="59" t="s">
        <v>126</v>
      </c>
      <c r="I112" s="65"/>
      <c r="J112" s="237" t="s">
        <v>132</v>
      </c>
      <c r="K112" s="237" t="s">
        <v>3</v>
      </c>
      <c r="L112" s="59" t="s">
        <v>6</v>
      </c>
      <c r="M112" s="58" t="s">
        <v>202</v>
      </c>
      <c r="N112" s="130"/>
      <c r="O112" s="172"/>
      <c r="P112" s="172"/>
      <c r="Q112" s="237" t="s">
        <v>140</v>
      </c>
      <c r="R112" s="78"/>
      <c r="S112" s="78"/>
      <c r="T112" s="58" t="s">
        <v>423</v>
      </c>
      <c r="U112" s="237">
        <v>2026</v>
      </c>
      <c r="V112" s="88">
        <v>46387</v>
      </c>
      <c r="W112" s="78"/>
      <c r="X112" s="88">
        <v>46024</v>
      </c>
      <c r="Y112" s="131">
        <v>144000</v>
      </c>
      <c r="Z112" s="131">
        <v>0</v>
      </c>
      <c r="AA112" s="131">
        <f t="shared" si="14"/>
        <v>144000</v>
      </c>
      <c r="AB112" s="131">
        <v>0</v>
      </c>
      <c r="AC112" s="131">
        <f t="shared" si="15"/>
        <v>144000</v>
      </c>
      <c r="AD112" s="131">
        <f t="shared" si="16"/>
        <v>144000</v>
      </c>
      <c r="AE112" s="173" t="s">
        <v>102</v>
      </c>
      <c r="AF112" s="173"/>
      <c r="AG112" s="173"/>
      <c r="AH112" s="174"/>
      <c r="AI112" s="175"/>
      <c r="AJ112" s="174"/>
      <c r="AK112" s="176"/>
      <c r="AL112" s="174"/>
      <c r="AM112" s="177" t="s">
        <v>204</v>
      </c>
      <c r="AN112" s="243" t="s">
        <v>178</v>
      </c>
      <c r="AO112" s="178"/>
      <c r="AP112" s="179"/>
      <c r="AQ112" s="179"/>
      <c r="AR112" s="24"/>
      <c r="AS112" s="179"/>
    </row>
    <row r="113" spans="1:45" ht="30" customHeight="1" x14ac:dyDescent="0.35">
      <c r="A113" s="40">
        <v>2026</v>
      </c>
      <c r="B113" s="59" t="s">
        <v>65</v>
      </c>
      <c r="C113" s="58" t="s">
        <v>421</v>
      </c>
      <c r="D113" s="237" t="s">
        <v>114</v>
      </c>
      <c r="E113" s="105">
        <v>99</v>
      </c>
      <c r="F113" s="58" t="s">
        <v>424</v>
      </c>
      <c r="G113" s="237" t="s">
        <v>121</v>
      </c>
      <c r="H113" s="59" t="s">
        <v>126</v>
      </c>
      <c r="I113" s="65"/>
      <c r="J113" s="237" t="s">
        <v>132</v>
      </c>
      <c r="K113" s="237" t="s">
        <v>3</v>
      </c>
      <c r="L113" s="59" t="s">
        <v>6</v>
      </c>
      <c r="M113" s="58" t="s">
        <v>202</v>
      </c>
      <c r="N113" s="130"/>
      <c r="O113" s="172"/>
      <c r="P113" s="172"/>
      <c r="Q113" s="237" t="s">
        <v>140</v>
      </c>
      <c r="R113" s="78"/>
      <c r="S113" s="78"/>
      <c r="T113" s="58" t="s">
        <v>425</v>
      </c>
      <c r="U113" s="237">
        <v>2026</v>
      </c>
      <c r="V113" s="88">
        <v>46387</v>
      </c>
      <c r="W113" s="78"/>
      <c r="X113" s="88">
        <v>46024</v>
      </c>
      <c r="Y113" s="131">
        <v>100800</v>
      </c>
      <c r="Z113" s="131">
        <v>0</v>
      </c>
      <c r="AA113" s="131">
        <f t="shared" si="14"/>
        <v>100800</v>
      </c>
      <c r="AB113" s="131">
        <v>0</v>
      </c>
      <c r="AC113" s="131">
        <f t="shared" si="15"/>
        <v>100800</v>
      </c>
      <c r="AD113" s="131">
        <f t="shared" si="16"/>
        <v>100800</v>
      </c>
      <c r="AE113" s="173" t="s">
        <v>102</v>
      </c>
      <c r="AF113" s="173"/>
      <c r="AG113" s="173"/>
      <c r="AH113" s="174"/>
      <c r="AI113" s="175"/>
      <c r="AJ113" s="174"/>
      <c r="AK113" s="176"/>
      <c r="AL113" s="174"/>
      <c r="AM113" s="177" t="s">
        <v>204</v>
      </c>
      <c r="AN113" s="243" t="s">
        <v>178</v>
      </c>
      <c r="AO113" s="178"/>
      <c r="AP113" s="179"/>
      <c r="AQ113" s="179"/>
      <c r="AR113" s="24"/>
      <c r="AS113" s="179"/>
    </row>
    <row r="114" spans="1:45" ht="30" customHeight="1" x14ac:dyDescent="0.35">
      <c r="A114" s="40">
        <v>2026</v>
      </c>
      <c r="B114" s="59" t="s">
        <v>65</v>
      </c>
      <c r="C114" s="58" t="s">
        <v>421</v>
      </c>
      <c r="D114" s="237" t="s">
        <v>114</v>
      </c>
      <c r="E114" s="105">
        <v>100</v>
      </c>
      <c r="F114" s="58" t="s">
        <v>426</v>
      </c>
      <c r="G114" s="237" t="s">
        <v>121</v>
      </c>
      <c r="H114" s="59" t="s">
        <v>126</v>
      </c>
      <c r="I114" s="65"/>
      <c r="J114" s="237" t="s">
        <v>132</v>
      </c>
      <c r="K114" s="237" t="s">
        <v>3</v>
      </c>
      <c r="L114" s="59" t="s">
        <v>6</v>
      </c>
      <c r="M114" s="58" t="s">
        <v>202</v>
      </c>
      <c r="N114" s="130"/>
      <c r="O114" s="172"/>
      <c r="P114" s="172"/>
      <c r="Q114" s="237" t="s">
        <v>140</v>
      </c>
      <c r="R114" s="78"/>
      <c r="S114" s="78"/>
      <c r="T114" s="58" t="s">
        <v>427</v>
      </c>
      <c r="U114" s="237">
        <v>2026</v>
      </c>
      <c r="V114" s="88">
        <v>46387</v>
      </c>
      <c r="W114" s="78"/>
      <c r="X114" s="88">
        <v>46024</v>
      </c>
      <c r="Y114" s="131">
        <v>100800</v>
      </c>
      <c r="Z114" s="131">
        <v>0</v>
      </c>
      <c r="AA114" s="131">
        <f t="shared" si="14"/>
        <v>100800</v>
      </c>
      <c r="AB114" s="131">
        <v>0</v>
      </c>
      <c r="AC114" s="131">
        <f t="shared" si="15"/>
        <v>100800</v>
      </c>
      <c r="AD114" s="131">
        <f t="shared" si="16"/>
        <v>100800</v>
      </c>
      <c r="AE114" s="173" t="s">
        <v>102</v>
      </c>
      <c r="AF114" s="173"/>
      <c r="AG114" s="173"/>
      <c r="AH114" s="174"/>
      <c r="AI114" s="175"/>
      <c r="AJ114" s="174"/>
      <c r="AK114" s="176"/>
      <c r="AL114" s="174"/>
      <c r="AM114" s="177" t="s">
        <v>204</v>
      </c>
      <c r="AN114" s="243" t="s">
        <v>178</v>
      </c>
      <c r="AO114" s="178"/>
      <c r="AP114" s="179"/>
      <c r="AQ114" s="179"/>
      <c r="AR114" s="24"/>
      <c r="AS114" s="179"/>
    </row>
    <row r="115" spans="1:45" ht="30" customHeight="1" x14ac:dyDescent="0.35">
      <c r="A115" s="40">
        <v>2026</v>
      </c>
      <c r="B115" s="59" t="s">
        <v>65</v>
      </c>
      <c r="C115" s="58" t="s">
        <v>421</v>
      </c>
      <c r="D115" s="237" t="s">
        <v>114</v>
      </c>
      <c r="E115" s="105">
        <v>95</v>
      </c>
      <c r="F115" s="58" t="s">
        <v>428</v>
      </c>
      <c r="G115" s="237" t="s">
        <v>121</v>
      </c>
      <c r="H115" s="59" t="s">
        <v>126</v>
      </c>
      <c r="I115" s="65"/>
      <c r="J115" s="237" t="s">
        <v>132</v>
      </c>
      <c r="K115" s="237" t="s">
        <v>3</v>
      </c>
      <c r="L115" s="59" t="s">
        <v>6</v>
      </c>
      <c r="M115" s="58" t="s">
        <v>202</v>
      </c>
      <c r="N115" s="130"/>
      <c r="O115" s="172"/>
      <c r="P115" s="172"/>
      <c r="Q115" s="237" t="s">
        <v>140</v>
      </c>
      <c r="R115" s="78"/>
      <c r="S115" s="78"/>
      <c r="T115" s="58" t="s">
        <v>429</v>
      </c>
      <c r="U115" s="237">
        <v>2026</v>
      </c>
      <c r="V115" s="88">
        <v>46387</v>
      </c>
      <c r="W115" s="78"/>
      <c r="X115" s="88">
        <v>46024</v>
      </c>
      <c r="Y115" s="131">
        <v>144000</v>
      </c>
      <c r="Z115" s="131">
        <v>0</v>
      </c>
      <c r="AA115" s="131">
        <f t="shared" si="14"/>
        <v>144000</v>
      </c>
      <c r="AB115" s="131">
        <v>0</v>
      </c>
      <c r="AC115" s="131">
        <f t="shared" si="15"/>
        <v>144000</v>
      </c>
      <c r="AD115" s="131">
        <f t="shared" si="16"/>
        <v>144000</v>
      </c>
      <c r="AE115" s="173" t="s">
        <v>102</v>
      </c>
      <c r="AF115" s="173"/>
      <c r="AG115" s="173"/>
      <c r="AH115" s="174"/>
      <c r="AI115" s="175"/>
      <c r="AJ115" s="174"/>
      <c r="AK115" s="176"/>
      <c r="AL115" s="174"/>
      <c r="AM115" s="177" t="s">
        <v>204</v>
      </c>
      <c r="AN115" s="243" t="s">
        <v>178</v>
      </c>
      <c r="AO115" s="178"/>
      <c r="AP115" s="179"/>
      <c r="AQ115" s="179"/>
      <c r="AR115" s="24"/>
      <c r="AS115" s="179"/>
    </row>
    <row r="116" spans="1:45" ht="30" customHeight="1" x14ac:dyDescent="0.35">
      <c r="A116" s="40">
        <v>2026</v>
      </c>
      <c r="B116" s="59" t="s">
        <v>65</v>
      </c>
      <c r="C116" s="58" t="s">
        <v>421</v>
      </c>
      <c r="D116" s="237" t="s">
        <v>114</v>
      </c>
      <c r="E116" s="105">
        <v>96</v>
      </c>
      <c r="F116" s="58" t="s">
        <v>430</v>
      </c>
      <c r="G116" s="237" t="s">
        <v>121</v>
      </c>
      <c r="H116" s="59" t="s">
        <v>126</v>
      </c>
      <c r="I116" s="65"/>
      <c r="J116" s="237" t="s">
        <v>132</v>
      </c>
      <c r="K116" s="237" t="s">
        <v>3</v>
      </c>
      <c r="L116" s="59" t="s">
        <v>6</v>
      </c>
      <c r="M116" s="58" t="s">
        <v>202</v>
      </c>
      <c r="N116" s="130"/>
      <c r="O116" s="172"/>
      <c r="P116" s="172"/>
      <c r="Q116" s="237" t="s">
        <v>140</v>
      </c>
      <c r="R116" s="78"/>
      <c r="S116" s="78"/>
      <c r="T116" s="58" t="s">
        <v>431</v>
      </c>
      <c r="U116" s="237">
        <v>2026</v>
      </c>
      <c r="V116" s="88">
        <v>46387</v>
      </c>
      <c r="W116" s="78"/>
      <c r="X116" s="88">
        <v>46024</v>
      </c>
      <c r="Y116" s="131">
        <v>144000</v>
      </c>
      <c r="Z116" s="131">
        <v>0</v>
      </c>
      <c r="AA116" s="131">
        <f t="shared" si="14"/>
        <v>144000</v>
      </c>
      <c r="AB116" s="131">
        <v>0</v>
      </c>
      <c r="AC116" s="131">
        <f t="shared" si="15"/>
        <v>144000</v>
      </c>
      <c r="AD116" s="131">
        <f t="shared" si="16"/>
        <v>144000</v>
      </c>
      <c r="AE116" s="173" t="s">
        <v>102</v>
      </c>
      <c r="AF116" s="173"/>
      <c r="AG116" s="173"/>
      <c r="AH116" s="174"/>
      <c r="AI116" s="175"/>
      <c r="AJ116" s="174"/>
      <c r="AK116" s="176"/>
      <c r="AL116" s="174"/>
      <c r="AM116" s="177" t="s">
        <v>204</v>
      </c>
      <c r="AN116" s="243" t="s">
        <v>178</v>
      </c>
      <c r="AO116" s="178"/>
      <c r="AP116" s="179"/>
      <c r="AQ116" s="179"/>
      <c r="AR116" s="24"/>
      <c r="AS116" s="179"/>
    </row>
    <row r="117" spans="1:45" ht="30" customHeight="1" x14ac:dyDescent="0.35">
      <c r="A117" s="40">
        <v>2026</v>
      </c>
      <c r="B117" s="59" t="s">
        <v>65</v>
      </c>
      <c r="C117" s="58" t="s">
        <v>421</v>
      </c>
      <c r="D117" s="237" t="s">
        <v>114</v>
      </c>
      <c r="E117" s="105">
        <v>101</v>
      </c>
      <c r="F117" s="58" t="s">
        <v>432</v>
      </c>
      <c r="G117" s="237" t="s">
        <v>121</v>
      </c>
      <c r="H117" s="59" t="s">
        <v>126</v>
      </c>
      <c r="I117" s="65"/>
      <c r="J117" s="237" t="s">
        <v>132</v>
      </c>
      <c r="K117" s="237" t="s">
        <v>3</v>
      </c>
      <c r="L117" s="59" t="s">
        <v>6</v>
      </c>
      <c r="M117" s="58" t="s">
        <v>202</v>
      </c>
      <c r="N117" s="130"/>
      <c r="O117" s="172"/>
      <c r="P117" s="172"/>
      <c r="Q117" s="237" t="s">
        <v>140</v>
      </c>
      <c r="R117" s="78"/>
      <c r="S117" s="78"/>
      <c r="T117" s="58" t="s">
        <v>433</v>
      </c>
      <c r="U117" s="237">
        <v>2026</v>
      </c>
      <c r="V117" s="88">
        <v>46387</v>
      </c>
      <c r="W117" s="78"/>
      <c r="X117" s="88">
        <v>46024</v>
      </c>
      <c r="Y117" s="131">
        <v>100800</v>
      </c>
      <c r="Z117" s="131">
        <v>0</v>
      </c>
      <c r="AA117" s="131">
        <f t="shared" si="14"/>
        <v>100800</v>
      </c>
      <c r="AB117" s="131">
        <v>0</v>
      </c>
      <c r="AC117" s="131">
        <f t="shared" si="15"/>
        <v>100800</v>
      </c>
      <c r="AD117" s="131">
        <f t="shared" si="16"/>
        <v>100800</v>
      </c>
      <c r="AE117" s="173" t="s">
        <v>102</v>
      </c>
      <c r="AF117" s="173"/>
      <c r="AG117" s="173"/>
      <c r="AH117" s="174"/>
      <c r="AI117" s="175"/>
      <c r="AJ117" s="174"/>
      <c r="AK117" s="176"/>
      <c r="AL117" s="174"/>
      <c r="AM117" s="177" t="s">
        <v>204</v>
      </c>
      <c r="AN117" s="243" t="s">
        <v>178</v>
      </c>
      <c r="AO117" s="178"/>
      <c r="AP117" s="179"/>
      <c r="AQ117" s="179"/>
      <c r="AR117" s="24"/>
      <c r="AS117" s="179"/>
    </row>
    <row r="118" spans="1:45" ht="30" customHeight="1" x14ac:dyDescent="0.35">
      <c r="A118" s="40">
        <v>2026</v>
      </c>
      <c r="B118" s="59" t="s">
        <v>65</v>
      </c>
      <c r="C118" s="58" t="s">
        <v>421</v>
      </c>
      <c r="D118" s="237" t="s">
        <v>114</v>
      </c>
      <c r="E118" s="105">
        <v>102</v>
      </c>
      <c r="F118" s="58" t="s">
        <v>434</v>
      </c>
      <c r="G118" s="237" t="s">
        <v>121</v>
      </c>
      <c r="H118" s="59" t="s">
        <v>126</v>
      </c>
      <c r="I118" s="65"/>
      <c r="J118" s="237" t="s">
        <v>132</v>
      </c>
      <c r="K118" s="237" t="s">
        <v>3</v>
      </c>
      <c r="L118" s="59" t="s">
        <v>6</v>
      </c>
      <c r="M118" s="58" t="s">
        <v>202</v>
      </c>
      <c r="N118" s="130"/>
      <c r="O118" s="172"/>
      <c r="P118" s="172"/>
      <c r="Q118" s="237" t="s">
        <v>140</v>
      </c>
      <c r="R118" s="78"/>
      <c r="S118" s="78"/>
      <c r="T118" s="58" t="s">
        <v>435</v>
      </c>
      <c r="U118" s="237">
        <v>2026</v>
      </c>
      <c r="V118" s="88">
        <v>46387</v>
      </c>
      <c r="W118" s="78"/>
      <c r="X118" s="88">
        <v>46024</v>
      </c>
      <c r="Y118" s="131">
        <v>100800</v>
      </c>
      <c r="Z118" s="131">
        <v>0</v>
      </c>
      <c r="AA118" s="131">
        <f t="shared" si="14"/>
        <v>100800</v>
      </c>
      <c r="AB118" s="131">
        <v>0</v>
      </c>
      <c r="AC118" s="131">
        <f t="shared" si="15"/>
        <v>100800</v>
      </c>
      <c r="AD118" s="131">
        <f t="shared" si="16"/>
        <v>100800</v>
      </c>
      <c r="AE118" s="173" t="s">
        <v>102</v>
      </c>
      <c r="AF118" s="173"/>
      <c r="AG118" s="173"/>
      <c r="AH118" s="174"/>
      <c r="AI118" s="175"/>
      <c r="AJ118" s="174"/>
      <c r="AK118" s="176"/>
      <c r="AL118" s="174"/>
      <c r="AM118" s="177" t="s">
        <v>204</v>
      </c>
      <c r="AN118" s="243" t="s">
        <v>178</v>
      </c>
      <c r="AO118" s="178"/>
      <c r="AP118" s="179"/>
      <c r="AQ118" s="179"/>
      <c r="AR118" s="24"/>
      <c r="AS118" s="179"/>
    </row>
    <row r="119" spans="1:45" ht="30" customHeight="1" x14ac:dyDescent="0.35">
      <c r="A119" s="40">
        <v>2026</v>
      </c>
      <c r="B119" s="59" t="s">
        <v>65</v>
      </c>
      <c r="C119" s="58" t="s">
        <v>421</v>
      </c>
      <c r="D119" s="237" t="s">
        <v>114</v>
      </c>
      <c r="E119" s="105">
        <v>97</v>
      </c>
      <c r="F119" s="58" t="s">
        <v>436</v>
      </c>
      <c r="G119" s="237" t="s">
        <v>121</v>
      </c>
      <c r="H119" s="59" t="s">
        <v>126</v>
      </c>
      <c r="I119" s="65"/>
      <c r="J119" s="237" t="s">
        <v>132</v>
      </c>
      <c r="K119" s="237" t="s">
        <v>3</v>
      </c>
      <c r="L119" s="59" t="s">
        <v>6</v>
      </c>
      <c r="M119" s="58" t="s">
        <v>202</v>
      </c>
      <c r="N119" s="130"/>
      <c r="O119" s="172"/>
      <c r="P119" s="172"/>
      <c r="Q119" s="237" t="s">
        <v>140</v>
      </c>
      <c r="R119" s="78"/>
      <c r="S119" s="78"/>
      <c r="T119" s="58" t="s">
        <v>437</v>
      </c>
      <c r="U119" s="237">
        <v>2026</v>
      </c>
      <c r="V119" s="88">
        <v>46387</v>
      </c>
      <c r="W119" s="78"/>
      <c r="X119" s="88">
        <v>46024</v>
      </c>
      <c r="Y119" s="131">
        <v>144000</v>
      </c>
      <c r="Z119" s="131">
        <v>0</v>
      </c>
      <c r="AA119" s="131">
        <f t="shared" si="14"/>
        <v>144000</v>
      </c>
      <c r="AB119" s="131">
        <v>0</v>
      </c>
      <c r="AC119" s="131">
        <f t="shared" si="15"/>
        <v>144000</v>
      </c>
      <c r="AD119" s="131">
        <f t="shared" si="16"/>
        <v>144000</v>
      </c>
      <c r="AE119" s="173" t="s">
        <v>102</v>
      </c>
      <c r="AF119" s="173"/>
      <c r="AG119" s="173"/>
      <c r="AH119" s="174"/>
      <c r="AI119" s="175"/>
      <c r="AJ119" s="174"/>
      <c r="AK119" s="176"/>
      <c r="AL119" s="174"/>
      <c r="AM119" s="177" t="s">
        <v>204</v>
      </c>
      <c r="AN119" s="243" t="s">
        <v>178</v>
      </c>
      <c r="AO119" s="178"/>
      <c r="AP119" s="179"/>
      <c r="AQ119" s="179"/>
      <c r="AR119" s="24"/>
      <c r="AS119" s="179"/>
    </row>
    <row r="120" spans="1:45" ht="30" customHeight="1" x14ac:dyDescent="0.35">
      <c r="A120" s="40">
        <v>2026</v>
      </c>
      <c r="B120" s="59" t="s">
        <v>65</v>
      </c>
      <c r="C120" s="58" t="s">
        <v>421</v>
      </c>
      <c r="D120" s="237" t="s">
        <v>114</v>
      </c>
      <c r="E120" s="105">
        <v>106</v>
      </c>
      <c r="F120" s="58" t="s">
        <v>438</v>
      </c>
      <c r="G120" s="237" t="s">
        <v>121</v>
      </c>
      <c r="H120" s="59" t="s">
        <v>126</v>
      </c>
      <c r="I120" s="65"/>
      <c r="J120" s="237" t="s">
        <v>132</v>
      </c>
      <c r="K120" s="237" t="s">
        <v>3</v>
      </c>
      <c r="L120" s="59" t="s">
        <v>6</v>
      </c>
      <c r="M120" s="58" t="s">
        <v>202</v>
      </c>
      <c r="N120" s="130"/>
      <c r="O120" s="172"/>
      <c r="P120" s="172"/>
      <c r="Q120" s="237" t="s">
        <v>140</v>
      </c>
      <c r="R120" s="78"/>
      <c r="S120" s="78"/>
      <c r="T120" s="58" t="s">
        <v>439</v>
      </c>
      <c r="U120" s="237">
        <v>2026</v>
      </c>
      <c r="V120" s="88">
        <v>46387</v>
      </c>
      <c r="W120" s="78"/>
      <c r="X120" s="88">
        <v>46024</v>
      </c>
      <c r="Y120" s="131">
        <v>72000</v>
      </c>
      <c r="Z120" s="131">
        <v>0</v>
      </c>
      <c r="AA120" s="131">
        <f t="shared" si="14"/>
        <v>72000</v>
      </c>
      <c r="AB120" s="131">
        <v>0</v>
      </c>
      <c r="AC120" s="131">
        <f t="shared" si="15"/>
        <v>72000</v>
      </c>
      <c r="AD120" s="131">
        <f t="shared" si="16"/>
        <v>72000</v>
      </c>
      <c r="AE120" s="173" t="s">
        <v>102</v>
      </c>
      <c r="AF120" s="173"/>
      <c r="AG120" s="173"/>
      <c r="AH120" s="174"/>
      <c r="AI120" s="175"/>
      <c r="AJ120" s="174"/>
      <c r="AK120" s="176"/>
      <c r="AL120" s="174"/>
      <c r="AM120" s="177" t="s">
        <v>204</v>
      </c>
      <c r="AN120" s="243" t="s">
        <v>178</v>
      </c>
      <c r="AO120" s="178"/>
      <c r="AP120" s="179"/>
      <c r="AQ120" s="179"/>
      <c r="AR120" s="24"/>
      <c r="AS120" s="179"/>
    </row>
    <row r="121" spans="1:45" ht="30" customHeight="1" x14ac:dyDescent="0.35">
      <c r="A121" s="38">
        <v>2026</v>
      </c>
      <c r="B121" s="59" t="s">
        <v>66</v>
      </c>
      <c r="C121" s="58" t="s">
        <v>440</v>
      </c>
      <c r="D121" s="237" t="s">
        <v>114</v>
      </c>
      <c r="E121" s="105">
        <v>215</v>
      </c>
      <c r="F121" s="58" t="s">
        <v>441</v>
      </c>
      <c r="G121" s="237" t="s">
        <v>121</v>
      </c>
      <c r="H121" s="59" t="s">
        <v>126</v>
      </c>
      <c r="I121" s="65"/>
      <c r="J121" s="237" t="s">
        <v>132</v>
      </c>
      <c r="K121" s="237" t="s">
        <v>3</v>
      </c>
      <c r="L121" s="59" t="s">
        <v>6</v>
      </c>
      <c r="M121" s="58" t="s">
        <v>202</v>
      </c>
      <c r="N121" s="130"/>
      <c r="O121" s="172"/>
      <c r="P121" s="172"/>
      <c r="Q121" s="237" t="s">
        <v>140</v>
      </c>
      <c r="R121" s="78"/>
      <c r="S121" s="78"/>
      <c r="T121" s="58" t="s">
        <v>442</v>
      </c>
      <c r="U121" s="237">
        <v>2026</v>
      </c>
      <c r="V121" s="88">
        <v>46387</v>
      </c>
      <c r="W121" s="78"/>
      <c r="X121" s="88">
        <v>46024</v>
      </c>
      <c r="Y121" s="131">
        <v>257142.84</v>
      </c>
      <c r="Z121" s="131"/>
      <c r="AA121" s="131">
        <f t="shared" si="14"/>
        <v>257142.84</v>
      </c>
      <c r="AB121" s="131"/>
      <c r="AC121" s="131">
        <f t="shared" ref="AC121:AC152" si="17">Y121</f>
        <v>257142.84</v>
      </c>
      <c r="AD121" s="131">
        <f t="shared" ref="AD121:AD152" si="18">AA121</f>
        <v>257142.84</v>
      </c>
      <c r="AE121" s="173" t="s">
        <v>102</v>
      </c>
      <c r="AF121" s="173"/>
      <c r="AG121" s="173"/>
      <c r="AH121" s="174"/>
      <c r="AI121" s="175"/>
      <c r="AJ121" s="174"/>
      <c r="AK121" s="176"/>
      <c r="AL121" s="174"/>
      <c r="AM121" s="177" t="s">
        <v>204</v>
      </c>
      <c r="AN121" s="243" t="s">
        <v>178</v>
      </c>
      <c r="AO121" s="178"/>
      <c r="AP121" s="179"/>
      <c r="AQ121" s="179"/>
      <c r="AR121" s="24"/>
      <c r="AS121" s="179"/>
    </row>
    <row r="122" spans="1:45" ht="30" customHeight="1" x14ac:dyDescent="0.35">
      <c r="A122" s="38">
        <v>2026</v>
      </c>
      <c r="B122" s="59" t="s">
        <v>66</v>
      </c>
      <c r="C122" s="58" t="s">
        <v>440</v>
      </c>
      <c r="D122" s="237" t="s">
        <v>114</v>
      </c>
      <c r="E122" s="105">
        <v>215</v>
      </c>
      <c r="F122" s="58" t="s">
        <v>443</v>
      </c>
      <c r="G122" s="237" t="s">
        <v>121</v>
      </c>
      <c r="H122" s="59" t="s">
        <v>126</v>
      </c>
      <c r="I122" s="65"/>
      <c r="J122" s="237" t="s">
        <v>132</v>
      </c>
      <c r="K122" s="237" t="s">
        <v>3</v>
      </c>
      <c r="L122" s="59" t="s">
        <v>6</v>
      </c>
      <c r="M122" s="58" t="s">
        <v>202</v>
      </c>
      <c r="N122" s="130"/>
      <c r="O122" s="172"/>
      <c r="P122" s="172"/>
      <c r="Q122" s="237" t="s">
        <v>140</v>
      </c>
      <c r="R122" s="78"/>
      <c r="S122" s="78"/>
      <c r="T122" s="58" t="s">
        <v>444</v>
      </c>
      <c r="U122" s="237">
        <v>2026</v>
      </c>
      <c r="V122" s="88">
        <v>46387</v>
      </c>
      <c r="W122" s="78"/>
      <c r="X122" s="88">
        <v>46024</v>
      </c>
      <c r="Y122" s="131">
        <v>84000</v>
      </c>
      <c r="Z122" s="131"/>
      <c r="AA122" s="131">
        <f t="shared" si="14"/>
        <v>84000</v>
      </c>
      <c r="AB122" s="131"/>
      <c r="AC122" s="131">
        <f t="shared" si="17"/>
        <v>84000</v>
      </c>
      <c r="AD122" s="131">
        <f t="shared" si="18"/>
        <v>84000</v>
      </c>
      <c r="AE122" s="173" t="s">
        <v>102</v>
      </c>
      <c r="AF122" s="173"/>
      <c r="AG122" s="173"/>
      <c r="AH122" s="174"/>
      <c r="AI122" s="175"/>
      <c r="AJ122" s="174"/>
      <c r="AK122" s="176"/>
      <c r="AL122" s="174"/>
      <c r="AM122" s="177" t="s">
        <v>204</v>
      </c>
      <c r="AN122" s="243" t="s">
        <v>178</v>
      </c>
      <c r="AO122" s="178"/>
      <c r="AP122" s="179"/>
      <c r="AQ122" s="179"/>
      <c r="AR122" s="24"/>
      <c r="AS122" s="179"/>
    </row>
    <row r="123" spans="1:45" ht="30" customHeight="1" x14ac:dyDescent="0.35">
      <c r="A123" s="38">
        <v>2026</v>
      </c>
      <c r="B123" s="59" t="s">
        <v>66</v>
      </c>
      <c r="C123" s="58" t="s">
        <v>440</v>
      </c>
      <c r="D123" s="237" t="s">
        <v>114</v>
      </c>
      <c r="E123" s="105">
        <v>215</v>
      </c>
      <c r="F123" s="58" t="s">
        <v>445</v>
      </c>
      <c r="G123" s="237" t="s">
        <v>121</v>
      </c>
      <c r="H123" s="59" t="s">
        <v>126</v>
      </c>
      <c r="I123" s="65"/>
      <c r="J123" s="237" t="s">
        <v>132</v>
      </c>
      <c r="K123" s="237" t="s">
        <v>3</v>
      </c>
      <c r="L123" s="59" t="s">
        <v>6</v>
      </c>
      <c r="M123" s="58" t="s">
        <v>202</v>
      </c>
      <c r="N123" s="130"/>
      <c r="O123" s="172"/>
      <c r="P123" s="172"/>
      <c r="Q123" s="237" t="s">
        <v>140</v>
      </c>
      <c r="R123" s="78"/>
      <c r="S123" s="78"/>
      <c r="T123" s="58" t="s">
        <v>446</v>
      </c>
      <c r="U123" s="237">
        <v>2026</v>
      </c>
      <c r="V123" s="88">
        <v>46387</v>
      </c>
      <c r="W123" s="78"/>
      <c r="X123" s="88">
        <v>46024</v>
      </c>
      <c r="Y123" s="131">
        <v>120000</v>
      </c>
      <c r="Z123" s="131"/>
      <c r="AA123" s="131">
        <f t="shared" si="14"/>
        <v>120000</v>
      </c>
      <c r="AB123" s="131"/>
      <c r="AC123" s="131">
        <f t="shared" si="17"/>
        <v>120000</v>
      </c>
      <c r="AD123" s="131">
        <f t="shared" si="18"/>
        <v>120000</v>
      </c>
      <c r="AE123" s="173" t="s">
        <v>102</v>
      </c>
      <c r="AF123" s="173"/>
      <c r="AG123" s="173"/>
      <c r="AH123" s="174"/>
      <c r="AI123" s="175"/>
      <c r="AJ123" s="174"/>
      <c r="AK123" s="176"/>
      <c r="AL123" s="174"/>
      <c r="AM123" s="177" t="s">
        <v>204</v>
      </c>
      <c r="AN123" s="243" t="s">
        <v>178</v>
      </c>
      <c r="AO123" s="178"/>
      <c r="AP123" s="179"/>
      <c r="AQ123" s="179"/>
      <c r="AR123" s="24"/>
      <c r="AS123" s="179"/>
    </row>
    <row r="124" spans="1:45" ht="30" customHeight="1" x14ac:dyDescent="0.35">
      <c r="A124" s="38">
        <v>2026</v>
      </c>
      <c r="B124" s="59" t="s">
        <v>66</v>
      </c>
      <c r="C124" s="58" t="s">
        <v>440</v>
      </c>
      <c r="D124" s="237" t="s">
        <v>114</v>
      </c>
      <c r="E124" s="105">
        <v>215</v>
      </c>
      <c r="F124" s="58" t="s">
        <v>447</v>
      </c>
      <c r="G124" s="237" t="s">
        <v>121</v>
      </c>
      <c r="H124" s="59" t="s">
        <v>126</v>
      </c>
      <c r="I124" s="65"/>
      <c r="J124" s="237" t="s">
        <v>132</v>
      </c>
      <c r="K124" s="237" t="s">
        <v>3</v>
      </c>
      <c r="L124" s="59" t="s">
        <v>6</v>
      </c>
      <c r="M124" s="58" t="s">
        <v>202</v>
      </c>
      <c r="N124" s="130"/>
      <c r="O124" s="172"/>
      <c r="P124" s="172"/>
      <c r="Q124" s="237" t="s">
        <v>140</v>
      </c>
      <c r="R124" s="78"/>
      <c r="S124" s="78"/>
      <c r="T124" s="58" t="s">
        <v>448</v>
      </c>
      <c r="U124" s="237">
        <v>2026</v>
      </c>
      <c r="V124" s="88">
        <v>46387</v>
      </c>
      <c r="W124" s="78"/>
      <c r="X124" s="88">
        <v>46024</v>
      </c>
      <c r="Y124" s="131">
        <v>264000</v>
      </c>
      <c r="Z124" s="131"/>
      <c r="AA124" s="131">
        <f t="shared" si="14"/>
        <v>264000</v>
      </c>
      <c r="AB124" s="131"/>
      <c r="AC124" s="131">
        <f t="shared" si="17"/>
        <v>264000</v>
      </c>
      <c r="AD124" s="131">
        <f t="shared" si="18"/>
        <v>264000</v>
      </c>
      <c r="AE124" s="173" t="s">
        <v>102</v>
      </c>
      <c r="AF124" s="173"/>
      <c r="AG124" s="173"/>
      <c r="AH124" s="174"/>
      <c r="AI124" s="175"/>
      <c r="AJ124" s="174"/>
      <c r="AK124" s="176"/>
      <c r="AL124" s="174"/>
      <c r="AM124" s="177" t="s">
        <v>204</v>
      </c>
      <c r="AN124" s="243" t="s">
        <v>178</v>
      </c>
      <c r="AO124" s="178"/>
      <c r="AP124" s="179"/>
      <c r="AQ124" s="179"/>
      <c r="AR124" s="24"/>
      <c r="AS124" s="179"/>
    </row>
    <row r="125" spans="1:45" ht="30" customHeight="1" x14ac:dyDescent="0.35">
      <c r="A125" s="38">
        <v>2026</v>
      </c>
      <c r="B125" s="59" t="s">
        <v>66</v>
      </c>
      <c r="C125" s="58" t="s">
        <v>440</v>
      </c>
      <c r="D125" s="237" t="s">
        <v>114</v>
      </c>
      <c r="E125" s="105">
        <v>215</v>
      </c>
      <c r="F125" s="58" t="s">
        <v>449</v>
      </c>
      <c r="G125" s="237" t="s">
        <v>121</v>
      </c>
      <c r="H125" s="59" t="s">
        <v>126</v>
      </c>
      <c r="I125" s="65"/>
      <c r="J125" s="237" t="s">
        <v>132</v>
      </c>
      <c r="K125" s="237" t="s">
        <v>3</v>
      </c>
      <c r="L125" s="59" t="s">
        <v>6</v>
      </c>
      <c r="M125" s="58" t="s">
        <v>202</v>
      </c>
      <c r="N125" s="130"/>
      <c r="O125" s="172"/>
      <c r="P125" s="172"/>
      <c r="Q125" s="237" t="s">
        <v>140</v>
      </c>
      <c r="R125" s="78"/>
      <c r="S125" s="78"/>
      <c r="T125" s="58" t="s">
        <v>450</v>
      </c>
      <c r="U125" s="237">
        <v>2026</v>
      </c>
      <c r="V125" s="88">
        <v>46387</v>
      </c>
      <c r="W125" s="78"/>
      <c r="X125" s="88">
        <v>46024</v>
      </c>
      <c r="Y125" s="131">
        <v>216000</v>
      </c>
      <c r="Z125" s="131"/>
      <c r="AA125" s="131">
        <f t="shared" si="14"/>
        <v>216000</v>
      </c>
      <c r="AB125" s="131"/>
      <c r="AC125" s="131">
        <f t="shared" si="17"/>
        <v>216000</v>
      </c>
      <c r="AD125" s="131">
        <f t="shared" si="18"/>
        <v>216000</v>
      </c>
      <c r="AE125" s="173" t="s">
        <v>102</v>
      </c>
      <c r="AF125" s="173"/>
      <c r="AG125" s="173"/>
      <c r="AH125" s="174"/>
      <c r="AI125" s="175"/>
      <c r="AJ125" s="174"/>
      <c r="AK125" s="176"/>
      <c r="AL125" s="174"/>
      <c r="AM125" s="177" t="s">
        <v>204</v>
      </c>
      <c r="AN125" s="243" t="s">
        <v>178</v>
      </c>
      <c r="AO125" s="178"/>
      <c r="AP125" s="179"/>
      <c r="AQ125" s="179"/>
      <c r="AR125" s="24"/>
      <c r="AS125" s="179"/>
    </row>
    <row r="126" spans="1:45" ht="30" customHeight="1" x14ac:dyDescent="0.35">
      <c r="A126" s="38">
        <v>2026</v>
      </c>
      <c r="B126" s="59" t="s">
        <v>66</v>
      </c>
      <c r="C126" s="58" t="s">
        <v>440</v>
      </c>
      <c r="D126" s="237" t="s">
        <v>114</v>
      </c>
      <c r="E126" s="105">
        <v>215</v>
      </c>
      <c r="F126" s="58" t="s">
        <v>451</v>
      </c>
      <c r="G126" s="237" t="s">
        <v>121</v>
      </c>
      <c r="H126" s="59" t="s">
        <v>126</v>
      </c>
      <c r="I126" s="65"/>
      <c r="J126" s="237" t="s">
        <v>132</v>
      </c>
      <c r="K126" s="237" t="s">
        <v>3</v>
      </c>
      <c r="L126" s="59" t="s">
        <v>6</v>
      </c>
      <c r="M126" s="58" t="s">
        <v>202</v>
      </c>
      <c r="N126" s="130"/>
      <c r="O126" s="172"/>
      <c r="P126" s="172"/>
      <c r="Q126" s="237" t="s">
        <v>140</v>
      </c>
      <c r="R126" s="78"/>
      <c r="S126" s="78"/>
      <c r="T126" s="58" t="s">
        <v>452</v>
      </c>
      <c r="U126" s="237">
        <v>2026</v>
      </c>
      <c r="V126" s="88">
        <v>46387</v>
      </c>
      <c r="W126" s="78"/>
      <c r="X126" s="88">
        <v>46024</v>
      </c>
      <c r="Y126" s="131">
        <v>144000</v>
      </c>
      <c r="Z126" s="131"/>
      <c r="AA126" s="131">
        <f t="shared" si="14"/>
        <v>144000</v>
      </c>
      <c r="AB126" s="131"/>
      <c r="AC126" s="131">
        <f t="shared" si="17"/>
        <v>144000</v>
      </c>
      <c r="AD126" s="131">
        <f t="shared" si="18"/>
        <v>144000</v>
      </c>
      <c r="AE126" s="173" t="s">
        <v>102</v>
      </c>
      <c r="AF126" s="173"/>
      <c r="AG126" s="173"/>
      <c r="AH126" s="174"/>
      <c r="AI126" s="175"/>
      <c r="AJ126" s="174"/>
      <c r="AK126" s="176"/>
      <c r="AL126" s="174"/>
      <c r="AM126" s="177" t="s">
        <v>204</v>
      </c>
      <c r="AN126" s="243" t="s">
        <v>178</v>
      </c>
      <c r="AO126" s="178"/>
      <c r="AP126" s="179"/>
      <c r="AQ126" s="179"/>
      <c r="AR126" s="24"/>
      <c r="AS126" s="179"/>
    </row>
    <row r="127" spans="1:45" ht="30" customHeight="1" x14ac:dyDescent="0.35">
      <c r="A127" s="38">
        <v>2026</v>
      </c>
      <c r="B127" s="59" t="s">
        <v>66</v>
      </c>
      <c r="C127" s="58" t="s">
        <v>440</v>
      </c>
      <c r="D127" s="237" t="s">
        <v>114</v>
      </c>
      <c r="E127" s="105">
        <v>215</v>
      </c>
      <c r="F127" s="58" t="s">
        <v>453</v>
      </c>
      <c r="G127" s="237" t="s">
        <v>121</v>
      </c>
      <c r="H127" s="59" t="s">
        <v>126</v>
      </c>
      <c r="I127" s="65"/>
      <c r="J127" s="237" t="s">
        <v>132</v>
      </c>
      <c r="K127" s="237" t="s">
        <v>3</v>
      </c>
      <c r="L127" s="59" t="s">
        <v>6</v>
      </c>
      <c r="M127" s="58" t="s">
        <v>202</v>
      </c>
      <c r="N127" s="130"/>
      <c r="O127" s="172"/>
      <c r="P127" s="172"/>
      <c r="Q127" s="237" t="s">
        <v>140</v>
      </c>
      <c r="R127" s="78"/>
      <c r="S127" s="78"/>
      <c r="T127" s="58" t="s">
        <v>454</v>
      </c>
      <c r="U127" s="237">
        <v>2026</v>
      </c>
      <c r="V127" s="88">
        <v>46387</v>
      </c>
      <c r="W127" s="78"/>
      <c r="X127" s="88">
        <v>46024</v>
      </c>
      <c r="Y127" s="131">
        <v>132000</v>
      </c>
      <c r="Z127" s="131"/>
      <c r="AA127" s="131">
        <f t="shared" si="14"/>
        <v>132000</v>
      </c>
      <c r="AB127" s="131"/>
      <c r="AC127" s="131">
        <f t="shared" si="17"/>
        <v>132000</v>
      </c>
      <c r="AD127" s="131">
        <f t="shared" si="18"/>
        <v>132000</v>
      </c>
      <c r="AE127" s="173" t="s">
        <v>102</v>
      </c>
      <c r="AF127" s="173"/>
      <c r="AG127" s="173"/>
      <c r="AH127" s="174"/>
      <c r="AI127" s="175"/>
      <c r="AJ127" s="174"/>
      <c r="AK127" s="176"/>
      <c r="AL127" s="174"/>
      <c r="AM127" s="177" t="s">
        <v>204</v>
      </c>
      <c r="AN127" s="243" t="s">
        <v>178</v>
      </c>
      <c r="AO127" s="178"/>
      <c r="AP127" s="179"/>
      <c r="AQ127" s="179"/>
      <c r="AR127" s="24"/>
      <c r="AS127" s="179"/>
    </row>
    <row r="128" spans="1:45" ht="30" customHeight="1" x14ac:dyDescent="0.35">
      <c r="A128" s="38">
        <v>2026</v>
      </c>
      <c r="B128" s="59" t="s">
        <v>66</v>
      </c>
      <c r="C128" s="58" t="s">
        <v>440</v>
      </c>
      <c r="D128" s="237" t="s">
        <v>114</v>
      </c>
      <c r="E128" s="105">
        <v>215</v>
      </c>
      <c r="F128" s="58" t="s">
        <v>455</v>
      </c>
      <c r="G128" s="237" t="s">
        <v>121</v>
      </c>
      <c r="H128" s="59" t="s">
        <v>126</v>
      </c>
      <c r="I128" s="65"/>
      <c r="J128" s="237" t="s">
        <v>132</v>
      </c>
      <c r="K128" s="237" t="s">
        <v>3</v>
      </c>
      <c r="L128" s="59" t="s">
        <v>6</v>
      </c>
      <c r="M128" s="58" t="s">
        <v>202</v>
      </c>
      <c r="N128" s="130"/>
      <c r="O128" s="172"/>
      <c r="P128" s="172"/>
      <c r="Q128" s="237" t="s">
        <v>140</v>
      </c>
      <c r="R128" s="78"/>
      <c r="S128" s="78"/>
      <c r="T128" s="58" t="s">
        <v>456</v>
      </c>
      <c r="U128" s="237">
        <v>2026</v>
      </c>
      <c r="V128" s="88">
        <v>46387</v>
      </c>
      <c r="W128" s="78"/>
      <c r="X128" s="88">
        <v>46024</v>
      </c>
      <c r="Y128" s="131">
        <v>252000</v>
      </c>
      <c r="Z128" s="131"/>
      <c r="AA128" s="131">
        <f t="shared" si="14"/>
        <v>252000</v>
      </c>
      <c r="AB128" s="131"/>
      <c r="AC128" s="131">
        <f t="shared" si="17"/>
        <v>252000</v>
      </c>
      <c r="AD128" s="131">
        <f t="shared" si="18"/>
        <v>252000</v>
      </c>
      <c r="AE128" s="173" t="s">
        <v>102</v>
      </c>
      <c r="AF128" s="173"/>
      <c r="AG128" s="173"/>
      <c r="AH128" s="174"/>
      <c r="AI128" s="175"/>
      <c r="AJ128" s="174"/>
      <c r="AK128" s="176"/>
      <c r="AL128" s="174"/>
      <c r="AM128" s="177" t="s">
        <v>204</v>
      </c>
      <c r="AN128" s="243" t="s">
        <v>178</v>
      </c>
      <c r="AO128" s="178"/>
      <c r="AP128" s="179"/>
      <c r="AQ128" s="179"/>
      <c r="AR128" s="24"/>
      <c r="AS128" s="179"/>
    </row>
    <row r="129" spans="1:45" ht="30" customHeight="1" x14ac:dyDescent="0.35">
      <c r="A129" s="38">
        <v>2026</v>
      </c>
      <c r="B129" s="59" t="s">
        <v>66</v>
      </c>
      <c r="C129" s="58" t="s">
        <v>440</v>
      </c>
      <c r="D129" s="237" t="s">
        <v>114</v>
      </c>
      <c r="E129" s="105">
        <v>215</v>
      </c>
      <c r="F129" s="58" t="s">
        <v>457</v>
      </c>
      <c r="G129" s="237" t="s">
        <v>121</v>
      </c>
      <c r="H129" s="59" t="s">
        <v>126</v>
      </c>
      <c r="I129" s="65"/>
      <c r="J129" s="237" t="s">
        <v>132</v>
      </c>
      <c r="K129" s="237" t="s">
        <v>3</v>
      </c>
      <c r="L129" s="59" t="s">
        <v>6</v>
      </c>
      <c r="M129" s="58" t="s">
        <v>202</v>
      </c>
      <c r="N129" s="130"/>
      <c r="O129" s="172"/>
      <c r="P129" s="172"/>
      <c r="Q129" s="237" t="s">
        <v>140</v>
      </c>
      <c r="R129" s="78"/>
      <c r="S129" s="78"/>
      <c r="T129" s="58" t="s">
        <v>458</v>
      </c>
      <c r="U129" s="237">
        <v>2026</v>
      </c>
      <c r="V129" s="88">
        <v>46387</v>
      </c>
      <c r="W129" s="78"/>
      <c r="X129" s="88">
        <v>46024</v>
      </c>
      <c r="Y129" s="131">
        <v>84000</v>
      </c>
      <c r="Z129" s="131"/>
      <c r="AA129" s="131">
        <f t="shared" si="14"/>
        <v>84000</v>
      </c>
      <c r="AB129" s="131"/>
      <c r="AC129" s="131">
        <f t="shared" si="17"/>
        <v>84000</v>
      </c>
      <c r="AD129" s="131">
        <f t="shared" si="18"/>
        <v>84000</v>
      </c>
      <c r="AE129" s="173" t="s">
        <v>102</v>
      </c>
      <c r="AF129" s="173"/>
      <c r="AG129" s="173"/>
      <c r="AH129" s="174"/>
      <c r="AI129" s="175"/>
      <c r="AJ129" s="174"/>
      <c r="AK129" s="176"/>
      <c r="AL129" s="174"/>
      <c r="AM129" s="177" t="s">
        <v>204</v>
      </c>
      <c r="AN129" s="243" t="s">
        <v>178</v>
      </c>
      <c r="AO129" s="178"/>
      <c r="AP129" s="179"/>
      <c r="AQ129" s="179"/>
      <c r="AR129" s="24"/>
      <c r="AS129" s="179"/>
    </row>
    <row r="130" spans="1:45" ht="30" customHeight="1" x14ac:dyDescent="0.35">
      <c r="A130" s="38">
        <v>2026</v>
      </c>
      <c r="B130" s="59" t="s">
        <v>66</v>
      </c>
      <c r="C130" s="58" t="s">
        <v>440</v>
      </c>
      <c r="D130" s="237" t="s">
        <v>114</v>
      </c>
      <c r="E130" s="105">
        <v>215</v>
      </c>
      <c r="F130" s="58" t="s">
        <v>459</v>
      </c>
      <c r="G130" s="237" t="s">
        <v>121</v>
      </c>
      <c r="H130" s="59" t="s">
        <v>126</v>
      </c>
      <c r="I130" s="65"/>
      <c r="J130" s="237" t="s">
        <v>132</v>
      </c>
      <c r="K130" s="237" t="s">
        <v>3</v>
      </c>
      <c r="L130" s="59" t="s">
        <v>6</v>
      </c>
      <c r="M130" s="58" t="s">
        <v>202</v>
      </c>
      <c r="N130" s="130"/>
      <c r="O130" s="172"/>
      <c r="P130" s="172"/>
      <c r="Q130" s="237" t="s">
        <v>140</v>
      </c>
      <c r="R130" s="78"/>
      <c r="S130" s="78"/>
      <c r="T130" s="58" t="s">
        <v>460</v>
      </c>
      <c r="U130" s="237">
        <v>2026</v>
      </c>
      <c r="V130" s="88">
        <v>46387</v>
      </c>
      <c r="W130" s="78"/>
      <c r="X130" s="88">
        <v>46024</v>
      </c>
      <c r="Y130" s="131">
        <v>84000</v>
      </c>
      <c r="Z130" s="131"/>
      <c r="AA130" s="131">
        <f t="shared" si="14"/>
        <v>84000</v>
      </c>
      <c r="AB130" s="131"/>
      <c r="AC130" s="131">
        <f t="shared" si="17"/>
        <v>84000</v>
      </c>
      <c r="AD130" s="131">
        <f t="shared" si="18"/>
        <v>84000</v>
      </c>
      <c r="AE130" s="173" t="s">
        <v>102</v>
      </c>
      <c r="AF130" s="173"/>
      <c r="AG130" s="173"/>
      <c r="AH130" s="174"/>
      <c r="AI130" s="175"/>
      <c r="AJ130" s="174"/>
      <c r="AK130" s="176"/>
      <c r="AL130" s="174"/>
      <c r="AM130" s="177" t="s">
        <v>204</v>
      </c>
      <c r="AN130" s="243" t="s">
        <v>178</v>
      </c>
      <c r="AO130" s="178"/>
      <c r="AP130" s="179"/>
      <c r="AQ130" s="179"/>
      <c r="AR130" s="24"/>
      <c r="AS130" s="179"/>
    </row>
    <row r="131" spans="1:45" ht="30" customHeight="1" x14ac:dyDescent="0.35">
      <c r="A131" s="38">
        <v>2026</v>
      </c>
      <c r="B131" s="59" t="s">
        <v>66</v>
      </c>
      <c r="C131" s="58" t="s">
        <v>440</v>
      </c>
      <c r="D131" s="237" t="s">
        <v>114</v>
      </c>
      <c r="E131" s="105">
        <v>215</v>
      </c>
      <c r="F131" s="58" t="s">
        <v>461</v>
      </c>
      <c r="G131" s="237" t="s">
        <v>121</v>
      </c>
      <c r="H131" s="59" t="s">
        <v>126</v>
      </c>
      <c r="I131" s="65"/>
      <c r="J131" s="237" t="s">
        <v>132</v>
      </c>
      <c r="K131" s="237" t="s">
        <v>3</v>
      </c>
      <c r="L131" s="59" t="s">
        <v>6</v>
      </c>
      <c r="M131" s="58" t="s">
        <v>202</v>
      </c>
      <c r="N131" s="130"/>
      <c r="O131" s="172"/>
      <c r="P131" s="172"/>
      <c r="Q131" s="237" t="s">
        <v>140</v>
      </c>
      <c r="R131" s="78"/>
      <c r="S131" s="78"/>
      <c r="T131" s="58" t="s">
        <v>462</v>
      </c>
      <c r="U131" s="237">
        <v>2026</v>
      </c>
      <c r="V131" s="88">
        <v>46387</v>
      </c>
      <c r="W131" s="78"/>
      <c r="X131" s="88">
        <v>46024</v>
      </c>
      <c r="Y131" s="131">
        <v>276000</v>
      </c>
      <c r="Z131" s="131"/>
      <c r="AA131" s="131">
        <f t="shared" si="14"/>
        <v>276000</v>
      </c>
      <c r="AB131" s="131"/>
      <c r="AC131" s="131">
        <f t="shared" si="17"/>
        <v>276000</v>
      </c>
      <c r="AD131" s="131">
        <f t="shared" si="18"/>
        <v>276000</v>
      </c>
      <c r="AE131" s="173" t="s">
        <v>102</v>
      </c>
      <c r="AF131" s="173"/>
      <c r="AG131" s="173"/>
      <c r="AH131" s="174"/>
      <c r="AI131" s="175"/>
      <c r="AJ131" s="174"/>
      <c r="AK131" s="176"/>
      <c r="AL131" s="174"/>
      <c r="AM131" s="177" t="s">
        <v>204</v>
      </c>
      <c r="AN131" s="243" t="s">
        <v>178</v>
      </c>
      <c r="AO131" s="178"/>
      <c r="AP131" s="179"/>
      <c r="AQ131" s="179"/>
      <c r="AR131" s="24"/>
      <c r="AS131" s="179"/>
    </row>
    <row r="132" spans="1:45" ht="30" customHeight="1" x14ac:dyDescent="0.35">
      <c r="A132" s="38">
        <v>2026</v>
      </c>
      <c r="B132" s="59" t="s">
        <v>66</v>
      </c>
      <c r="C132" s="58" t="s">
        <v>440</v>
      </c>
      <c r="D132" s="237" t="s">
        <v>114</v>
      </c>
      <c r="E132" s="105">
        <v>215</v>
      </c>
      <c r="F132" s="58" t="s">
        <v>463</v>
      </c>
      <c r="G132" s="237" t="s">
        <v>121</v>
      </c>
      <c r="H132" s="59" t="s">
        <v>126</v>
      </c>
      <c r="I132" s="65"/>
      <c r="J132" s="237" t="s">
        <v>132</v>
      </c>
      <c r="K132" s="237" t="s">
        <v>3</v>
      </c>
      <c r="L132" s="59" t="s">
        <v>6</v>
      </c>
      <c r="M132" s="58" t="s">
        <v>202</v>
      </c>
      <c r="N132" s="130"/>
      <c r="O132" s="172"/>
      <c r="P132" s="172"/>
      <c r="Q132" s="237" t="s">
        <v>140</v>
      </c>
      <c r="R132" s="78"/>
      <c r="S132" s="78"/>
      <c r="T132" s="58" t="s">
        <v>464</v>
      </c>
      <c r="U132" s="237">
        <v>2026</v>
      </c>
      <c r="V132" s="88">
        <v>46387</v>
      </c>
      <c r="W132" s="78"/>
      <c r="X132" s="88">
        <v>46024</v>
      </c>
      <c r="Y132" s="131">
        <v>144000</v>
      </c>
      <c r="Z132" s="131"/>
      <c r="AA132" s="131">
        <f t="shared" si="14"/>
        <v>144000</v>
      </c>
      <c r="AB132" s="131"/>
      <c r="AC132" s="131">
        <f t="shared" si="17"/>
        <v>144000</v>
      </c>
      <c r="AD132" s="131">
        <f t="shared" si="18"/>
        <v>144000</v>
      </c>
      <c r="AE132" s="173" t="s">
        <v>102</v>
      </c>
      <c r="AF132" s="173"/>
      <c r="AG132" s="173"/>
      <c r="AH132" s="174"/>
      <c r="AI132" s="175"/>
      <c r="AJ132" s="174"/>
      <c r="AK132" s="176"/>
      <c r="AL132" s="174"/>
      <c r="AM132" s="177" t="s">
        <v>204</v>
      </c>
      <c r="AN132" s="243" t="s">
        <v>178</v>
      </c>
      <c r="AO132" s="178"/>
      <c r="AP132" s="179"/>
      <c r="AQ132" s="179"/>
      <c r="AR132" s="24"/>
      <c r="AS132" s="179"/>
    </row>
    <row r="133" spans="1:45" ht="30" customHeight="1" x14ac:dyDescent="0.35">
      <c r="A133" s="38">
        <v>2026</v>
      </c>
      <c r="B133" s="59" t="s">
        <v>66</v>
      </c>
      <c r="C133" s="58" t="s">
        <v>440</v>
      </c>
      <c r="D133" s="237" t="s">
        <v>114</v>
      </c>
      <c r="E133" s="105">
        <v>215</v>
      </c>
      <c r="F133" s="58" t="s">
        <v>465</v>
      </c>
      <c r="G133" s="237" t="s">
        <v>121</v>
      </c>
      <c r="H133" s="59" t="s">
        <v>126</v>
      </c>
      <c r="I133" s="65"/>
      <c r="J133" s="237" t="s">
        <v>132</v>
      </c>
      <c r="K133" s="237" t="s">
        <v>3</v>
      </c>
      <c r="L133" s="59" t="s">
        <v>6</v>
      </c>
      <c r="M133" s="58" t="s">
        <v>202</v>
      </c>
      <c r="N133" s="130"/>
      <c r="O133" s="172"/>
      <c r="P133" s="172"/>
      <c r="Q133" s="237" t="s">
        <v>140</v>
      </c>
      <c r="R133" s="78"/>
      <c r="S133" s="78"/>
      <c r="T133" s="58" t="s">
        <v>466</v>
      </c>
      <c r="U133" s="237">
        <v>2026</v>
      </c>
      <c r="V133" s="88">
        <v>46387</v>
      </c>
      <c r="W133" s="78"/>
      <c r="X133" s="88">
        <v>46024</v>
      </c>
      <c r="Y133" s="131">
        <v>108000</v>
      </c>
      <c r="Z133" s="131"/>
      <c r="AA133" s="131">
        <f t="shared" si="14"/>
        <v>108000</v>
      </c>
      <c r="AB133" s="131"/>
      <c r="AC133" s="131">
        <f t="shared" si="17"/>
        <v>108000</v>
      </c>
      <c r="AD133" s="131">
        <f t="shared" si="18"/>
        <v>108000</v>
      </c>
      <c r="AE133" s="173" t="s">
        <v>102</v>
      </c>
      <c r="AF133" s="173"/>
      <c r="AG133" s="173"/>
      <c r="AH133" s="174"/>
      <c r="AI133" s="175"/>
      <c r="AJ133" s="174"/>
      <c r="AK133" s="176"/>
      <c r="AL133" s="174"/>
      <c r="AM133" s="177" t="s">
        <v>204</v>
      </c>
      <c r="AN133" s="243" t="s">
        <v>178</v>
      </c>
      <c r="AO133" s="178"/>
      <c r="AP133" s="179"/>
      <c r="AQ133" s="179"/>
      <c r="AR133" s="24"/>
      <c r="AS133" s="179"/>
    </row>
    <row r="134" spans="1:45" ht="30" customHeight="1" x14ac:dyDescent="0.35">
      <c r="A134" s="38">
        <v>2026</v>
      </c>
      <c r="B134" s="59" t="s">
        <v>66</v>
      </c>
      <c r="C134" s="58" t="s">
        <v>440</v>
      </c>
      <c r="D134" s="237" t="s">
        <v>114</v>
      </c>
      <c r="E134" s="105">
        <v>215</v>
      </c>
      <c r="F134" s="58" t="s">
        <v>467</v>
      </c>
      <c r="G134" s="237" t="s">
        <v>121</v>
      </c>
      <c r="H134" s="59" t="s">
        <v>126</v>
      </c>
      <c r="I134" s="65"/>
      <c r="J134" s="237" t="s">
        <v>132</v>
      </c>
      <c r="K134" s="237" t="s">
        <v>3</v>
      </c>
      <c r="L134" s="59" t="s">
        <v>6</v>
      </c>
      <c r="M134" s="58" t="s">
        <v>202</v>
      </c>
      <c r="N134" s="130"/>
      <c r="O134" s="172"/>
      <c r="P134" s="172"/>
      <c r="Q134" s="237" t="s">
        <v>140</v>
      </c>
      <c r="R134" s="78"/>
      <c r="S134" s="78"/>
      <c r="T134" s="58" t="s">
        <v>468</v>
      </c>
      <c r="U134" s="237">
        <v>2026</v>
      </c>
      <c r="V134" s="88">
        <v>46387</v>
      </c>
      <c r="W134" s="78"/>
      <c r="X134" s="88">
        <v>46024</v>
      </c>
      <c r="Y134" s="131">
        <v>240000</v>
      </c>
      <c r="Z134" s="131"/>
      <c r="AA134" s="131">
        <f t="shared" si="14"/>
        <v>240000</v>
      </c>
      <c r="AB134" s="131"/>
      <c r="AC134" s="131">
        <f t="shared" si="17"/>
        <v>240000</v>
      </c>
      <c r="AD134" s="131">
        <f t="shared" si="18"/>
        <v>240000</v>
      </c>
      <c r="AE134" s="173" t="s">
        <v>102</v>
      </c>
      <c r="AF134" s="173"/>
      <c r="AG134" s="173"/>
      <c r="AH134" s="174"/>
      <c r="AI134" s="175"/>
      <c r="AJ134" s="174"/>
      <c r="AK134" s="176"/>
      <c r="AL134" s="174"/>
      <c r="AM134" s="177" t="s">
        <v>204</v>
      </c>
      <c r="AN134" s="243" t="s">
        <v>178</v>
      </c>
      <c r="AO134" s="178"/>
      <c r="AP134" s="179"/>
      <c r="AQ134" s="179"/>
      <c r="AR134" s="24"/>
      <c r="AS134" s="179"/>
    </row>
    <row r="135" spans="1:45" ht="30" customHeight="1" x14ac:dyDescent="0.35">
      <c r="A135" s="40">
        <v>2026</v>
      </c>
      <c r="B135" s="59" t="s">
        <v>79</v>
      </c>
      <c r="C135" s="58" t="s">
        <v>469</v>
      </c>
      <c r="D135" s="237" t="s">
        <v>114</v>
      </c>
      <c r="E135" s="180" t="s">
        <v>470</v>
      </c>
      <c r="F135" s="58" t="s">
        <v>471</v>
      </c>
      <c r="G135" s="237" t="s">
        <v>121</v>
      </c>
      <c r="H135" s="59" t="s">
        <v>126</v>
      </c>
      <c r="I135" s="65"/>
      <c r="J135" s="237" t="s">
        <v>132</v>
      </c>
      <c r="K135" s="237" t="s">
        <v>3</v>
      </c>
      <c r="L135" s="59" t="s">
        <v>6</v>
      </c>
      <c r="M135" s="58" t="s">
        <v>202</v>
      </c>
      <c r="N135" s="130"/>
      <c r="O135" s="172"/>
      <c r="P135" s="172"/>
      <c r="Q135" s="237" t="s">
        <v>140</v>
      </c>
      <c r="R135" s="78"/>
      <c r="S135" s="78"/>
      <c r="T135" s="58" t="s">
        <v>472</v>
      </c>
      <c r="U135" s="237">
        <v>2026</v>
      </c>
      <c r="V135" s="88">
        <v>46387</v>
      </c>
      <c r="W135" s="78"/>
      <c r="X135" s="88">
        <v>46024</v>
      </c>
      <c r="Y135" s="131">
        <v>84000</v>
      </c>
      <c r="Z135" s="131"/>
      <c r="AA135" s="131">
        <f t="shared" ref="AA135:AA166" si="19">Y135</f>
        <v>84000</v>
      </c>
      <c r="AB135" s="131"/>
      <c r="AC135" s="131">
        <f t="shared" si="17"/>
        <v>84000</v>
      </c>
      <c r="AD135" s="131">
        <f t="shared" si="18"/>
        <v>84000</v>
      </c>
      <c r="AE135" s="173" t="s">
        <v>102</v>
      </c>
      <c r="AF135" s="173"/>
      <c r="AG135" s="173"/>
      <c r="AH135" s="174"/>
      <c r="AI135" s="175"/>
      <c r="AJ135" s="174"/>
      <c r="AK135" s="176"/>
      <c r="AL135" s="174"/>
      <c r="AM135" s="177" t="s">
        <v>204</v>
      </c>
      <c r="AN135" s="243" t="s">
        <v>178</v>
      </c>
      <c r="AO135" s="178"/>
      <c r="AP135" s="179"/>
      <c r="AQ135" s="179"/>
      <c r="AR135" s="24"/>
      <c r="AS135" s="179"/>
    </row>
    <row r="136" spans="1:45" ht="30" customHeight="1" x14ac:dyDescent="0.35">
      <c r="A136" s="40">
        <v>2026</v>
      </c>
      <c r="B136" s="59" t="s">
        <v>79</v>
      </c>
      <c r="C136" s="58" t="s">
        <v>469</v>
      </c>
      <c r="D136" s="237" t="s">
        <v>114</v>
      </c>
      <c r="E136" s="180"/>
      <c r="F136" s="58" t="s">
        <v>473</v>
      </c>
      <c r="G136" s="237" t="s">
        <v>121</v>
      </c>
      <c r="H136" s="59" t="s">
        <v>126</v>
      </c>
      <c r="I136" s="65"/>
      <c r="J136" s="237" t="s">
        <v>132</v>
      </c>
      <c r="K136" s="237" t="s">
        <v>3</v>
      </c>
      <c r="L136" s="59" t="s">
        <v>6</v>
      </c>
      <c r="M136" s="58" t="s">
        <v>202</v>
      </c>
      <c r="N136" s="130"/>
      <c r="O136" s="172"/>
      <c r="P136" s="172"/>
      <c r="Q136" s="237" t="s">
        <v>140</v>
      </c>
      <c r="R136" s="78"/>
      <c r="S136" s="78"/>
      <c r="T136" s="58" t="s">
        <v>474</v>
      </c>
      <c r="U136" s="237">
        <v>2026</v>
      </c>
      <c r="V136" s="88">
        <v>46387</v>
      </c>
      <c r="W136" s="78"/>
      <c r="X136" s="88">
        <v>46024</v>
      </c>
      <c r="Y136" s="131">
        <v>120000</v>
      </c>
      <c r="Z136" s="131"/>
      <c r="AA136" s="131">
        <f t="shared" si="19"/>
        <v>120000</v>
      </c>
      <c r="AB136" s="131"/>
      <c r="AC136" s="131">
        <f t="shared" si="17"/>
        <v>120000</v>
      </c>
      <c r="AD136" s="131">
        <f t="shared" si="18"/>
        <v>120000</v>
      </c>
      <c r="AE136" s="173" t="s">
        <v>102</v>
      </c>
      <c r="AF136" s="173"/>
      <c r="AG136" s="173"/>
      <c r="AH136" s="174"/>
      <c r="AI136" s="175"/>
      <c r="AJ136" s="174"/>
      <c r="AK136" s="176"/>
      <c r="AL136" s="174"/>
      <c r="AM136" s="177" t="s">
        <v>204</v>
      </c>
      <c r="AN136" s="243" t="s">
        <v>178</v>
      </c>
      <c r="AO136" s="178"/>
      <c r="AP136" s="179"/>
      <c r="AQ136" s="179"/>
      <c r="AR136" s="24"/>
      <c r="AS136" s="179"/>
    </row>
    <row r="137" spans="1:45" ht="30" customHeight="1" x14ac:dyDescent="0.35">
      <c r="A137" s="40">
        <v>2026</v>
      </c>
      <c r="B137" s="59" t="s">
        <v>79</v>
      </c>
      <c r="C137" s="58" t="s">
        <v>469</v>
      </c>
      <c r="D137" s="237" t="s">
        <v>114</v>
      </c>
      <c r="E137" s="180"/>
      <c r="F137" s="58" t="s">
        <v>475</v>
      </c>
      <c r="G137" s="237" t="s">
        <v>121</v>
      </c>
      <c r="H137" s="59" t="s">
        <v>126</v>
      </c>
      <c r="I137" s="65"/>
      <c r="J137" s="237" t="s">
        <v>132</v>
      </c>
      <c r="K137" s="237" t="s">
        <v>3</v>
      </c>
      <c r="L137" s="59" t="s">
        <v>6</v>
      </c>
      <c r="M137" s="58" t="s">
        <v>202</v>
      </c>
      <c r="N137" s="130"/>
      <c r="O137" s="172"/>
      <c r="P137" s="172"/>
      <c r="Q137" s="237" t="s">
        <v>140</v>
      </c>
      <c r="R137" s="78"/>
      <c r="S137" s="78"/>
      <c r="T137" s="58" t="s">
        <v>476</v>
      </c>
      <c r="U137" s="237">
        <v>2026</v>
      </c>
      <c r="V137" s="88">
        <v>46387</v>
      </c>
      <c r="W137" s="78"/>
      <c r="X137" s="88">
        <v>46024</v>
      </c>
      <c r="Y137" s="131">
        <v>180000</v>
      </c>
      <c r="Z137" s="131"/>
      <c r="AA137" s="131">
        <f t="shared" si="19"/>
        <v>180000</v>
      </c>
      <c r="AB137" s="131"/>
      <c r="AC137" s="131">
        <f t="shared" si="17"/>
        <v>180000</v>
      </c>
      <c r="AD137" s="131">
        <f t="shared" si="18"/>
        <v>180000</v>
      </c>
      <c r="AE137" s="173" t="s">
        <v>102</v>
      </c>
      <c r="AF137" s="173"/>
      <c r="AG137" s="173"/>
      <c r="AH137" s="174"/>
      <c r="AI137" s="175"/>
      <c r="AJ137" s="174"/>
      <c r="AK137" s="176"/>
      <c r="AL137" s="174"/>
      <c r="AM137" s="177" t="s">
        <v>204</v>
      </c>
      <c r="AN137" s="243" t="s">
        <v>178</v>
      </c>
      <c r="AO137" s="178"/>
      <c r="AP137" s="179"/>
      <c r="AQ137" s="179"/>
      <c r="AR137" s="24"/>
      <c r="AS137" s="179"/>
    </row>
    <row r="138" spans="1:45" ht="30" customHeight="1" x14ac:dyDescent="0.35">
      <c r="A138" s="40">
        <v>2026</v>
      </c>
      <c r="B138" s="59" t="s">
        <v>79</v>
      </c>
      <c r="C138" s="58" t="s">
        <v>469</v>
      </c>
      <c r="D138" s="237" t="s">
        <v>114</v>
      </c>
      <c r="E138" s="180"/>
      <c r="F138" s="58" t="s">
        <v>477</v>
      </c>
      <c r="G138" s="237" t="s">
        <v>121</v>
      </c>
      <c r="H138" s="59" t="s">
        <v>126</v>
      </c>
      <c r="I138" s="65"/>
      <c r="J138" s="237" t="s">
        <v>132</v>
      </c>
      <c r="K138" s="237" t="s">
        <v>3</v>
      </c>
      <c r="L138" s="59" t="s">
        <v>6</v>
      </c>
      <c r="M138" s="58" t="s">
        <v>202</v>
      </c>
      <c r="N138" s="130"/>
      <c r="O138" s="172"/>
      <c r="P138" s="172"/>
      <c r="Q138" s="237" t="s">
        <v>140</v>
      </c>
      <c r="R138" s="78"/>
      <c r="S138" s="78"/>
      <c r="T138" s="58" t="s">
        <v>478</v>
      </c>
      <c r="U138" s="237">
        <v>2026</v>
      </c>
      <c r="V138" s="88">
        <v>46387</v>
      </c>
      <c r="W138" s="78"/>
      <c r="X138" s="88">
        <v>46024</v>
      </c>
      <c r="Y138" s="131">
        <v>120000</v>
      </c>
      <c r="Z138" s="131"/>
      <c r="AA138" s="131">
        <f t="shared" si="19"/>
        <v>120000</v>
      </c>
      <c r="AB138" s="131"/>
      <c r="AC138" s="131">
        <f t="shared" si="17"/>
        <v>120000</v>
      </c>
      <c r="AD138" s="131">
        <f t="shared" si="18"/>
        <v>120000</v>
      </c>
      <c r="AE138" s="173" t="s">
        <v>102</v>
      </c>
      <c r="AF138" s="173"/>
      <c r="AG138" s="173"/>
      <c r="AH138" s="174"/>
      <c r="AI138" s="175"/>
      <c r="AJ138" s="174"/>
      <c r="AK138" s="176"/>
      <c r="AL138" s="174"/>
      <c r="AM138" s="177" t="s">
        <v>204</v>
      </c>
      <c r="AN138" s="243" t="s">
        <v>178</v>
      </c>
      <c r="AO138" s="178"/>
      <c r="AP138" s="179"/>
      <c r="AQ138" s="179"/>
      <c r="AR138" s="24"/>
      <c r="AS138" s="179"/>
    </row>
    <row r="139" spans="1:45" ht="30" customHeight="1" x14ac:dyDescent="0.35">
      <c r="A139" s="40">
        <v>2026</v>
      </c>
      <c r="B139" s="59" t="s">
        <v>79</v>
      </c>
      <c r="C139" s="58" t="s">
        <v>469</v>
      </c>
      <c r="D139" s="237" t="s">
        <v>114</v>
      </c>
      <c r="E139" s="180"/>
      <c r="F139" s="58" t="s">
        <v>479</v>
      </c>
      <c r="G139" s="237" t="s">
        <v>121</v>
      </c>
      <c r="H139" s="59" t="s">
        <v>126</v>
      </c>
      <c r="I139" s="65"/>
      <c r="J139" s="237" t="s">
        <v>132</v>
      </c>
      <c r="K139" s="237" t="s">
        <v>3</v>
      </c>
      <c r="L139" s="59" t="s">
        <v>6</v>
      </c>
      <c r="M139" s="58" t="s">
        <v>202</v>
      </c>
      <c r="N139" s="130"/>
      <c r="O139" s="172"/>
      <c r="P139" s="172"/>
      <c r="Q139" s="237" t="s">
        <v>140</v>
      </c>
      <c r="R139" s="78"/>
      <c r="S139" s="78"/>
      <c r="T139" s="58" t="s">
        <v>480</v>
      </c>
      <c r="U139" s="237">
        <v>2026</v>
      </c>
      <c r="V139" s="88">
        <v>46387</v>
      </c>
      <c r="W139" s="78"/>
      <c r="X139" s="88">
        <v>46024</v>
      </c>
      <c r="Y139" s="131">
        <v>216000</v>
      </c>
      <c r="Z139" s="131"/>
      <c r="AA139" s="131">
        <f t="shared" si="19"/>
        <v>216000</v>
      </c>
      <c r="AB139" s="131"/>
      <c r="AC139" s="131">
        <f t="shared" si="17"/>
        <v>216000</v>
      </c>
      <c r="AD139" s="131">
        <f t="shared" si="18"/>
        <v>216000</v>
      </c>
      <c r="AE139" s="173" t="s">
        <v>102</v>
      </c>
      <c r="AF139" s="173"/>
      <c r="AG139" s="173"/>
      <c r="AH139" s="174"/>
      <c r="AI139" s="175"/>
      <c r="AJ139" s="174"/>
      <c r="AK139" s="176"/>
      <c r="AL139" s="174"/>
      <c r="AM139" s="177" t="s">
        <v>204</v>
      </c>
      <c r="AN139" s="243" t="s">
        <v>178</v>
      </c>
      <c r="AO139" s="178"/>
      <c r="AP139" s="179"/>
      <c r="AQ139" s="179"/>
      <c r="AR139" s="24"/>
      <c r="AS139" s="179"/>
    </row>
    <row r="140" spans="1:45" ht="30" customHeight="1" x14ac:dyDescent="0.35">
      <c r="A140" s="40">
        <v>2026</v>
      </c>
      <c r="B140" s="59" t="s">
        <v>79</v>
      </c>
      <c r="C140" s="58" t="s">
        <v>469</v>
      </c>
      <c r="D140" s="237" t="s">
        <v>114</v>
      </c>
      <c r="E140" s="180"/>
      <c r="F140" s="58" t="s">
        <v>481</v>
      </c>
      <c r="G140" s="237" t="s">
        <v>121</v>
      </c>
      <c r="H140" s="59" t="s">
        <v>126</v>
      </c>
      <c r="I140" s="65"/>
      <c r="J140" s="237" t="s">
        <v>132</v>
      </c>
      <c r="K140" s="237" t="s">
        <v>3</v>
      </c>
      <c r="L140" s="59" t="s">
        <v>6</v>
      </c>
      <c r="M140" s="58" t="s">
        <v>202</v>
      </c>
      <c r="N140" s="130"/>
      <c r="O140" s="172"/>
      <c r="P140" s="172"/>
      <c r="Q140" s="237" t="s">
        <v>140</v>
      </c>
      <c r="R140" s="78"/>
      <c r="S140" s="78"/>
      <c r="T140" s="58" t="s">
        <v>482</v>
      </c>
      <c r="U140" s="237">
        <v>2026</v>
      </c>
      <c r="V140" s="88">
        <v>46387</v>
      </c>
      <c r="W140" s="78"/>
      <c r="X140" s="88">
        <v>46024</v>
      </c>
      <c r="Y140" s="131">
        <v>240000</v>
      </c>
      <c r="Z140" s="131"/>
      <c r="AA140" s="131">
        <f t="shared" si="19"/>
        <v>240000</v>
      </c>
      <c r="AB140" s="131"/>
      <c r="AC140" s="131">
        <f t="shared" si="17"/>
        <v>240000</v>
      </c>
      <c r="AD140" s="131">
        <f t="shared" si="18"/>
        <v>240000</v>
      </c>
      <c r="AE140" s="173" t="s">
        <v>102</v>
      </c>
      <c r="AF140" s="173"/>
      <c r="AG140" s="173"/>
      <c r="AH140" s="174"/>
      <c r="AI140" s="175"/>
      <c r="AJ140" s="174"/>
      <c r="AK140" s="176"/>
      <c r="AL140" s="174"/>
      <c r="AM140" s="177" t="s">
        <v>204</v>
      </c>
      <c r="AN140" s="243" t="s">
        <v>178</v>
      </c>
      <c r="AO140" s="178"/>
      <c r="AP140" s="179"/>
      <c r="AQ140" s="179"/>
      <c r="AR140" s="24"/>
      <c r="AS140" s="179"/>
    </row>
    <row r="141" spans="1:45" ht="30" customHeight="1" x14ac:dyDescent="0.35">
      <c r="A141" s="40">
        <v>2026</v>
      </c>
      <c r="B141" s="59" t="s">
        <v>79</v>
      </c>
      <c r="C141" s="58" t="s">
        <v>469</v>
      </c>
      <c r="D141" s="237" t="s">
        <v>114</v>
      </c>
      <c r="E141" s="180"/>
      <c r="F141" s="58" t="s">
        <v>483</v>
      </c>
      <c r="G141" s="237" t="s">
        <v>121</v>
      </c>
      <c r="H141" s="59" t="s">
        <v>126</v>
      </c>
      <c r="I141" s="65"/>
      <c r="J141" s="237" t="s">
        <v>132</v>
      </c>
      <c r="K141" s="237" t="s">
        <v>3</v>
      </c>
      <c r="L141" s="59" t="s">
        <v>6</v>
      </c>
      <c r="M141" s="58" t="s">
        <v>202</v>
      </c>
      <c r="N141" s="130"/>
      <c r="O141" s="172"/>
      <c r="P141" s="172"/>
      <c r="Q141" s="237" t="s">
        <v>140</v>
      </c>
      <c r="R141" s="78"/>
      <c r="S141" s="78"/>
      <c r="T141" s="58" t="s">
        <v>484</v>
      </c>
      <c r="U141" s="237">
        <v>2026</v>
      </c>
      <c r="V141" s="88">
        <v>46387</v>
      </c>
      <c r="W141" s="78"/>
      <c r="X141" s="88">
        <v>46024</v>
      </c>
      <c r="Y141" s="131">
        <v>156000</v>
      </c>
      <c r="Z141" s="131"/>
      <c r="AA141" s="131">
        <f t="shared" si="19"/>
        <v>156000</v>
      </c>
      <c r="AB141" s="131"/>
      <c r="AC141" s="131">
        <f t="shared" si="17"/>
        <v>156000</v>
      </c>
      <c r="AD141" s="131">
        <f t="shared" si="18"/>
        <v>156000</v>
      </c>
      <c r="AE141" s="173" t="s">
        <v>102</v>
      </c>
      <c r="AF141" s="173"/>
      <c r="AG141" s="173"/>
      <c r="AH141" s="174"/>
      <c r="AI141" s="175"/>
      <c r="AJ141" s="174"/>
      <c r="AK141" s="176"/>
      <c r="AL141" s="174"/>
      <c r="AM141" s="177" t="s">
        <v>204</v>
      </c>
      <c r="AN141" s="243" t="s">
        <v>178</v>
      </c>
      <c r="AO141" s="178"/>
      <c r="AP141" s="179"/>
      <c r="AQ141" s="179"/>
      <c r="AR141" s="24"/>
      <c r="AS141" s="179"/>
    </row>
    <row r="142" spans="1:45" ht="30" customHeight="1" x14ac:dyDescent="0.35">
      <c r="A142" s="40">
        <v>2026</v>
      </c>
      <c r="B142" s="59" t="s">
        <v>79</v>
      </c>
      <c r="C142" s="58" t="s">
        <v>469</v>
      </c>
      <c r="D142" s="237" t="s">
        <v>114</v>
      </c>
      <c r="E142" s="180"/>
      <c r="F142" s="58" t="s">
        <v>485</v>
      </c>
      <c r="G142" s="237" t="s">
        <v>121</v>
      </c>
      <c r="H142" s="59" t="s">
        <v>126</v>
      </c>
      <c r="I142" s="65"/>
      <c r="J142" s="237" t="s">
        <v>132</v>
      </c>
      <c r="K142" s="237" t="s">
        <v>3</v>
      </c>
      <c r="L142" s="59" t="s">
        <v>6</v>
      </c>
      <c r="M142" s="58" t="s">
        <v>202</v>
      </c>
      <c r="N142" s="130"/>
      <c r="O142" s="172"/>
      <c r="P142" s="172"/>
      <c r="Q142" s="237" t="s">
        <v>140</v>
      </c>
      <c r="R142" s="78"/>
      <c r="S142" s="78"/>
      <c r="T142" s="58" t="s">
        <v>486</v>
      </c>
      <c r="U142" s="237">
        <v>2026</v>
      </c>
      <c r="V142" s="88">
        <v>46387</v>
      </c>
      <c r="W142" s="78"/>
      <c r="X142" s="88">
        <v>46024</v>
      </c>
      <c r="Y142" s="131">
        <v>96000</v>
      </c>
      <c r="Z142" s="131"/>
      <c r="AA142" s="131">
        <f t="shared" si="19"/>
        <v>96000</v>
      </c>
      <c r="AB142" s="131"/>
      <c r="AC142" s="131">
        <f t="shared" si="17"/>
        <v>96000</v>
      </c>
      <c r="AD142" s="131">
        <f t="shared" si="18"/>
        <v>96000</v>
      </c>
      <c r="AE142" s="173" t="s">
        <v>102</v>
      </c>
      <c r="AF142" s="173"/>
      <c r="AG142" s="173"/>
      <c r="AH142" s="174"/>
      <c r="AI142" s="175"/>
      <c r="AJ142" s="174"/>
      <c r="AK142" s="176"/>
      <c r="AL142" s="174"/>
      <c r="AM142" s="177" t="s">
        <v>204</v>
      </c>
      <c r="AN142" s="243" t="s">
        <v>178</v>
      </c>
      <c r="AO142" s="178"/>
      <c r="AP142" s="179"/>
      <c r="AQ142" s="179"/>
      <c r="AR142" s="24"/>
      <c r="AS142" s="179"/>
    </row>
    <row r="143" spans="1:45" ht="30" customHeight="1" x14ac:dyDescent="0.35">
      <c r="A143" s="40">
        <v>2026</v>
      </c>
      <c r="B143" s="59" t="s">
        <v>79</v>
      </c>
      <c r="C143" s="58" t="s">
        <v>469</v>
      </c>
      <c r="D143" s="237" t="s">
        <v>114</v>
      </c>
      <c r="E143" s="180"/>
      <c r="F143" s="58" t="s">
        <v>487</v>
      </c>
      <c r="G143" s="237" t="s">
        <v>121</v>
      </c>
      <c r="H143" s="59" t="s">
        <v>126</v>
      </c>
      <c r="I143" s="65"/>
      <c r="J143" s="237" t="s">
        <v>132</v>
      </c>
      <c r="K143" s="237" t="s">
        <v>3</v>
      </c>
      <c r="L143" s="59" t="s">
        <v>6</v>
      </c>
      <c r="M143" s="58" t="s">
        <v>202</v>
      </c>
      <c r="N143" s="130"/>
      <c r="O143" s="172"/>
      <c r="P143" s="172"/>
      <c r="Q143" s="237" t="s">
        <v>140</v>
      </c>
      <c r="R143" s="78"/>
      <c r="S143" s="78"/>
      <c r="T143" s="58" t="s">
        <v>488</v>
      </c>
      <c r="U143" s="237">
        <v>2026</v>
      </c>
      <c r="V143" s="88">
        <v>46387</v>
      </c>
      <c r="W143" s="78"/>
      <c r="X143" s="88">
        <v>46024</v>
      </c>
      <c r="Y143" s="131">
        <v>24000</v>
      </c>
      <c r="Z143" s="131"/>
      <c r="AA143" s="131">
        <f t="shared" si="19"/>
        <v>24000</v>
      </c>
      <c r="AB143" s="131"/>
      <c r="AC143" s="131">
        <f t="shared" si="17"/>
        <v>24000</v>
      </c>
      <c r="AD143" s="131">
        <f t="shared" si="18"/>
        <v>24000</v>
      </c>
      <c r="AE143" s="173" t="s">
        <v>102</v>
      </c>
      <c r="AF143" s="173"/>
      <c r="AG143" s="173"/>
      <c r="AH143" s="174"/>
      <c r="AI143" s="175"/>
      <c r="AJ143" s="174"/>
      <c r="AK143" s="176"/>
      <c r="AL143" s="174"/>
      <c r="AM143" s="177" t="s">
        <v>204</v>
      </c>
      <c r="AN143" s="243" t="s">
        <v>178</v>
      </c>
      <c r="AO143" s="178"/>
      <c r="AP143" s="179"/>
      <c r="AQ143" s="179"/>
      <c r="AR143" s="24"/>
      <c r="AS143" s="179"/>
    </row>
    <row r="144" spans="1:45" ht="30" customHeight="1" x14ac:dyDescent="0.35">
      <c r="A144" s="40">
        <v>2026</v>
      </c>
      <c r="B144" s="59" t="s">
        <v>79</v>
      </c>
      <c r="C144" s="58" t="s">
        <v>469</v>
      </c>
      <c r="D144" s="237" t="s">
        <v>114</v>
      </c>
      <c r="E144" s="180"/>
      <c r="F144" s="58" t="s">
        <v>489</v>
      </c>
      <c r="G144" s="237" t="s">
        <v>121</v>
      </c>
      <c r="H144" s="59" t="s">
        <v>126</v>
      </c>
      <c r="I144" s="65"/>
      <c r="J144" s="237" t="s">
        <v>132</v>
      </c>
      <c r="K144" s="237" t="s">
        <v>3</v>
      </c>
      <c r="L144" s="59" t="s">
        <v>6</v>
      </c>
      <c r="M144" s="58" t="s">
        <v>202</v>
      </c>
      <c r="N144" s="130"/>
      <c r="O144" s="172"/>
      <c r="P144" s="172"/>
      <c r="Q144" s="237" t="s">
        <v>140</v>
      </c>
      <c r="R144" s="78"/>
      <c r="S144" s="78"/>
      <c r="T144" s="58" t="s">
        <v>490</v>
      </c>
      <c r="U144" s="237">
        <v>2026</v>
      </c>
      <c r="V144" s="88">
        <v>46387</v>
      </c>
      <c r="W144" s="78"/>
      <c r="X144" s="88">
        <v>46024</v>
      </c>
      <c r="Y144" s="131">
        <v>96000</v>
      </c>
      <c r="Z144" s="131"/>
      <c r="AA144" s="131">
        <f t="shared" si="19"/>
        <v>96000</v>
      </c>
      <c r="AB144" s="131"/>
      <c r="AC144" s="131">
        <f t="shared" si="17"/>
        <v>96000</v>
      </c>
      <c r="AD144" s="131">
        <f t="shared" si="18"/>
        <v>96000</v>
      </c>
      <c r="AE144" s="173" t="s">
        <v>102</v>
      </c>
      <c r="AF144" s="173"/>
      <c r="AG144" s="173"/>
      <c r="AH144" s="174"/>
      <c r="AI144" s="175"/>
      <c r="AJ144" s="174"/>
      <c r="AK144" s="176"/>
      <c r="AL144" s="174"/>
      <c r="AM144" s="177" t="s">
        <v>204</v>
      </c>
      <c r="AN144" s="243" t="s">
        <v>178</v>
      </c>
      <c r="AO144" s="178"/>
      <c r="AP144" s="179"/>
      <c r="AQ144" s="179"/>
      <c r="AR144" s="24"/>
      <c r="AS144" s="179"/>
    </row>
    <row r="145" spans="1:45" ht="30" customHeight="1" x14ac:dyDescent="0.35">
      <c r="A145" s="40">
        <v>2026</v>
      </c>
      <c r="B145" s="59" t="s">
        <v>79</v>
      </c>
      <c r="C145" s="58" t="s">
        <v>469</v>
      </c>
      <c r="D145" s="237" t="s">
        <v>114</v>
      </c>
      <c r="E145" s="180"/>
      <c r="F145" s="58" t="s">
        <v>491</v>
      </c>
      <c r="G145" s="237" t="s">
        <v>121</v>
      </c>
      <c r="H145" s="59" t="s">
        <v>126</v>
      </c>
      <c r="I145" s="65"/>
      <c r="J145" s="237" t="s">
        <v>132</v>
      </c>
      <c r="K145" s="237" t="s">
        <v>3</v>
      </c>
      <c r="L145" s="59" t="s">
        <v>6</v>
      </c>
      <c r="M145" s="58" t="s">
        <v>202</v>
      </c>
      <c r="N145" s="130"/>
      <c r="O145" s="172"/>
      <c r="P145" s="172"/>
      <c r="Q145" s="237" t="s">
        <v>140</v>
      </c>
      <c r="R145" s="78"/>
      <c r="S145" s="78"/>
      <c r="T145" s="58" t="s">
        <v>492</v>
      </c>
      <c r="U145" s="237">
        <v>2026</v>
      </c>
      <c r="V145" s="88">
        <v>46387</v>
      </c>
      <c r="W145" s="78"/>
      <c r="X145" s="88">
        <v>46024</v>
      </c>
      <c r="Y145" s="131">
        <v>96000</v>
      </c>
      <c r="Z145" s="131"/>
      <c r="AA145" s="131">
        <f t="shared" si="19"/>
        <v>96000</v>
      </c>
      <c r="AB145" s="131"/>
      <c r="AC145" s="131">
        <f t="shared" si="17"/>
        <v>96000</v>
      </c>
      <c r="AD145" s="131">
        <f t="shared" si="18"/>
        <v>96000</v>
      </c>
      <c r="AE145" s="173" t="s">
        <v>102</v>
      </c>
      <c r="AF145" s="173"/>
      <c r="AG145" s="173"/>
      <c r="AH145" s="174"/>
      <c r="AI145" s="175"/>
      <c r="AJ145" s="174"/>
      <c r="AK145" s="176"/>
      <c r="AL145" s="174"/>
      <c r="AM145" s="177" t="s">
        <v>204</v>
      </c>
      <c r="AN145" s="243" t="s">
        <v>178</v>
      </c>
      <c r="AO145" s="178"/>
      <c r="AP145" s="179"/>
      <c r="AQ145" s="179"/>
      <c r="AR145" s="24"/>
      <c r="AS145" s="179"/>
    </row>
    <row r="146" spans="1:45" ht="30" customHeight="1" x14ac:dyDescent="0.35">
      <c r="A146" s="40">
        <v>2026</v>
      </c>
      <c r="B146" s="59" t="s">
        <v>79</v>
      </c>
      <c r="C146" s="58" t="s">
        <v>469</v>
      </c>
      <c r="D146" s="237" t="s">
        <v>114</v>
      </c>
      <c r="E146" s="180"/>
      <c r="F146" s="58" t="s">
        <v>493</v>
      </c>
      <c r="G146" s="237" t="s">
        <v>121</v>
      </c>
      <c r="H146" s="59" t="s">
        <v>126</v>
      </c>
      <c r="I146" s="65"/>
      <c r="J146" s="237" t="s">
        <v>132</v>
      </c>
      <c r="K146" s="237" t="s">
        <v>3</v>
      </c>
      <c r="L146" s="59" t="s">
        <v>6</v>
      </c>
      <c r="M146" s="58" t="s">
        <v>202</v>
      </c>
      <c r="N146" s="130"/>
      <c r="O146" s="172"/>
      <c r="P146" s="172"/>
      <c r="Q146" s="237" t="s">
        <v>140</v>
      </c>
      <c r="R146" s="78"/>
      <c r="S146" s="78"/>
      <c r="T146" s="58" t="s">
        <v>494</v>
      </c>
      <c r="U146" s="237">
        <v>2026</v>
      </c>
      <c r="V146" s="88">
        <v>46387</v>
      </c>
      <c r="W146" s="78"/>
      <c r="X146" s="88">
        <v>46024</v>
      </c>
      <c r="Y146" s="131">
        <v>60000</v>
      </c>
      <c r="Z146" s="131"/>
      <c r="AA146" s="131">
        <f t="shared" si="19"/>
        <v>60000</v>
      </c>
      <c r="AB146" s="131"/>
      <c r="AC146" s="131">
        <f t="shared" si="17"/>
        <v>60000</v>
      </c>
      <c r="AD146" s="131">
        <f t="shared" si="18"/>
        <v>60000</v>
      </c>
      <c r="AE146" s="173" t="s">
        <v>102</v>
      </c>
      <c r="AF146" s="173"/>
      <c r="AG146" s="173"/>
      <c r="AH146" s="174"/>
      <c r="AI146" s="175"/>
      <c r="AJ146" s="174"/>
      <c r="AK146" s="176"/>
      <c r="AL146" s="174"/>
      <c r="AM146" s="177" t="s">
        <v>204</v>
      </c>
      <c r="AN146" s="243" t="s">
        <v>178</v>
      </c>
      <c r="AO146" s="178"/>
      <c r="AP146" s="179"/>
      <c r="AQ146" s="179"/>
      <c r="AR146" s="24"/>
      <c r="AS146" s="179"/>
    </row>
    <row r="147" spans="1:45" ht="30" customHeight="1" x14ac:dyDescent="0.35">
      <c r="A147" s="40">
        <v>2026</v>
      </c>
      <c r="B147" s="59" t="s">
        <v>79</v>
      </c>
      <c r="C147" s="58" t="s">
        <v>469</v>
      </c>
      <c r="D147" s="237" t="s">
        <v>114</v>
      </c>
      <c r="E147" s="180"/>
      <c r="F147" s="58" t="s">
        <v>495</v>
      </c>
      <c r="G147" s="237" t="s">
        <v>121</v>
      </c>
      <c r="H147" s="59" t="s">
        <v>126</v>
      </c>
      <c r="I147" s="65"/>
      <c r="J147" s="237" t="s">
        <v>132</v>
      </c>
      <c r="K147" s="237" t="s">
        <v>3</v>
      </c>
      <c r="L147" s="59" t="s">
        <v>6</v>
      </c>
      <c r="M147" s="58" t="s">
        <v>202</v>
      </c>
      <c r="N147" s="130"/>
      <c r="O147" s="172"/>
      <c r="P147" s="172"/>
      <c r="Q147" s="237" t="s">
        <v>140</v>
      </c>
      <c r="R147" s="78"/>
      <c r="S147" s="78"/>
      <c r="T147" s="58" t="s">
        <v>496</v>
      </c>
      <c r="U147" s="237">
        <v>2026</v>
      </c>
      <c r="V147" s="88">
        <v>46387</v>
      </c>
      <c r="W147" s="78"/>
      <c r="X147" s="88">
        <v>46024</v>
      </c>
      <c r="Y147" s="131">
        <v>96000</v>
      </c>
      <c r="Z147" s="131"/>
      <c r="AA147" s="131">
        <f t="shared" si="19"/>
        <v>96000</v>
      </c>
      <c r="AB147" s="131"/>
      <c r="AC147" s="131">
        <f t="shared" si="17"/>
        <v>96000</v>
      </c>
      <c r="AD147" s="131">
        <f t="shared" si="18"/>
        <v>96000</v>
      </c>
      <c r="AE147" s="173" t="s">
        <v>102</v>
      </c>
      <c r="AF147" s="173"/>
      <c r="AG147" s="173"/>
      <c r="AH147" s="174"/>
      <c r="AI147" s="175"/>
      <c r="AJ147" s="174"/>
      <c r="AK147" s="176"/>
      <c r="AL147" s="174"/>
      <c r="AM147" s="177" t="s">
        <v>204</v>
      </c>
      <c r="AN147" s="243" t="s">
        <v>178</v>
      </c>
      <c r="AO147" s="178"/>
      <c r="AP147" s="179"/>
      <c r="AQ147" s="179"/>
      <c r="AR147" s="24"/>
      <c r="AS147" s="179"/>
    </row>
    <row r="148" spans="1:45" ht="30" customHeight="1" x14ac:dyDescent="0.35">
      <c r="A148" s="40">
        <v>2026</v>
      </c>
      <c r="B148" s="59" t="s">
        <v>79</v>
      </c>
      <c r="C148" s="58" t="s">
        <v>469</v>
      </c>
      <c r="D148" s="237" t="s">
        <v>114</v>
      </c>
      <c r="E148" s="180" t="s">
        <v>497</v>
      </c>
      <c r="F148" s="58" t="s">
        <v>498</v>
      </c>
      <c r="G148" s="237" t="s">
        <v>121</v>
      </c>
      <c r="H148" s="59" t="s">
        <v>126</v>
      </c>
      <c r="I148" s="65"/>
      <c r="J148" s="237" t="s">
        <v>132</v>
      </c>
      <c r="K148" s="237" t="s">
        <v>3</v>
      </c>
      <c r="L148" s="59" t="s">
        <v>6</v>
      </c>
      <c r="M148" s="58" t="s">
        <v>202</v>
      </c>
      <c r="N148" s="130"/>
      <c r="O148" s="172"/>
      <c r="P148" s="172"/>
      <c r="Q148" s="237" t="s">
        <v>140</v>
      </c>
      <c r="R148" s="78"/>
      <c r="S148" s="78"/>
      <c r="T148" s="58" t="s">
        <v>499</v>
      </c>
      <c r="U148" s="237">
        <v>2026</v>
      </c>
      <c r="V148" s="88">
        <v>46387</v>
      </c>
      <c r="W148" s="78"/>
      <c r="X148" s="88">
        <v>46024</v>
      </c>
      <c r="Y148" s="131">
        <v>84000</v>
      </c>
      <c r="Z148" s="131"/>
      <c r="AA148" s="131">
        <f t="shared" si="19"/>
        <v>84000</v>
      </c>
      <c r="AB148" s="131"/>
      <c r="AC148" s="131">
        <f t="shared" si="17"/>
        <v>84000</v>
      </c>
      <c r="AD148" s="131">
        <f t="shared" si="18"/>
        <v>84000</v>
      </c>
      <c r="AE148" s="173" t="s">
        <v>102</v>
      </c>
      <c r="AF148" s="173"/>
      <c r="AG148" s="173"/>
      <c r="AH148" s="174"/>
      <c r="AI148" s="175"/>
      <c r="AJ148" s="174"/>
      <c r="AK148" s="176"/>
      <c r="AL148" s="174"/>
      <c r="AM148" s="177" t="s">
        <v>204</v>
      </c>
      <c r="AN148" s="243" t="s">
        <v>178</v>
      </c>
      <c r="AO148" s="178"/>
      <c r="AP148" s="179"/>
      <c r="AQ148" s="179"/>
      <c r="AR148" s="24"/>
      <c r="AS148" s="179"/>
    </row>
    <row r="149" spans="1:45" ht="30" customHeight="1" x14ac:dyDescent="0.35">
      <c r="A149" s="40">
        <v>2026</v>
      </c>
      <c r="B149" s="59" t="s">
        <v>79</v>
      </c>
      <c r="C149" s="58" t="s">
        <v>469</v>
      </c>
      <c r="D149" s="237" t="s">
        <v>114</v>
      </c>
      <c r="E149" s="180"/>
      <c r="F149" s="58" t="s">
        <v>500</v>
      </c>
      <c r="G149" s="237" t="s">
        <v>121</v>
      </c>
      <c r="H149" s="59" t="s">
        <v>126</v>
      </c>
      <c r="I149" s="65"/>
      <c r="J149" s="237" t="s">
        <v>132</v>
      </c>
      <c r="K149" s="237" t="s">
        <v>3</v>
      </c>
      <c r="L149" s="59" t="s">
        <v>6</v>
      </c>
      <c r="M149" s="58" t="s">
        <v>202</v>
      </c>
      <c r="N149" s="130"/>
      <c r="O149" s="172"/>
      <c r="P149" s="172"/>
      <c r="Q149" s="237" t="s">
        <v>140</v>
      </c>
      <c r="R149" s="78"/>
      <c r="S149" s="78"/>
      <c r="T149" s="58" t="s">
        <v>501</v>
      </c>
      <c r="U149" s="237">
        <v>2026</v>
      </c>
      <c r="V149" s="88">
        <v>46387</v>
      </c>
      <c r="W149" s="78"/>
      <c r="X149" s="88">
        <v>46024</v>
      </c>
      <c r="Y149" s="131">
        <v>78000</v>
      </c>
      <c r="Z149" s="131"/>
      <c r="AA149" s="131">
        <f t="shared" si="19"/>
        <v>78000</v>
      </c>
      <c r="AB149" s="131"/>
      <c r="AC149" s="131">
        <f t="shared" si="17"/>
        <v>78000</v>
      </c>
      <c r="AD149" s="131">
        <f t="shared" si="18"/>
        <v>78000</v>
      </c>
      <c r="AE149" s="173" t="s">
        <v>102</v>
      </c>
      <c r="AF149" s="173"/>
      <c r="AG149" s="173"/>
      <c r="AH149" s="174"/>
      <c r="AI149" s="175"/>
      <c r="AJ149" s="174"/>
      <c r="AK149" s="176"/>
      <c r="AL149" s="174"/>
      <c r="AM149" s="177" t="s">
        <v>204</v>
      </c>
      <c r="AN149" s="243" t="s">
        <v>178</v>
      </c>
      <c r="AO149" s="178"/>
      <c r="AP149" s="179"/>
      <c r="AQ149" s="179"/>
      <c r="AR149" s="24"/>
      <c r="AS149" s="179"/>
    </row>
    <row r="150" spans="1:45" ht="30" customHeight="1" x14ac:dyDescent="0.35">
      <c r="A150" s="40">
        <v>2026</v>
      </c>
      <c r="B150" s="59" t="s">
        <v>79</v>
      </c>
      <c r="C150" s="58" t="s">
        <v>469</v>
      </c>
      <c r="D150" s="237" t="s">
        <v>114</v>
      </c>
      <c r="E150" s="180"/>
      <c r="F150" s="58" t="s">
        <v>502</v>
      </c>
      <c r="G150" s="237" t="s">
        <v>121</v>
      </c>
      <c r="H150" s="59" t="s">
        <v>126</v>
      </c>
      <c r="I150" s="65"/>
      <c r="J150" s="237" t="s">
        <v>132</v>
      </c>
      <c r="K150" s="237" t="s">
        <v>3</v>
      </c>
      <c r="L150" s="59" t="s">
        <v>6</v>
      </c>
      <c r="M150" s="58" t="s">
        <v>202</v>
      </c>
      <c r="N150" s="130"/>
      <c r="O150" s="172"/>
      <c r="P150" s="172"/>
      <c r="Q150" s="237" t="s">
        <v>140</v>
      </c>
      <c r="R150" s="78"/>
      <c r="S150" s="78"/>
      <c r="T150" s="58" t="s">
        <v>503</v>
      </c>
      <c r="U150" s="237">
        <v>2026</v>
      </c>
      <c r="V150" s="88">
        <v>46387</v>
      </c>
      <c r="W150" s="78"/>
      <c r="X150" s="88">
        <v>46024</v>
      </c>
      <c r="Y150" s="131">
        <v>78000</v>
      </c>
      <c r="Z150" s="131"/>
      <c r="AA150" s="131">
        <f t="shared" si="19"/>
        <v>78000</v>
      </c>
      <c r="AB150" s="131"/>
      <c r="AC150" s="131">
        <f t="shared" si="17"/>
        <v>78000</v>
      </c>
      <c r="AD150" s="131">
        <f t="shared" si="18"/>
        <v>78000</v>
      </c>
      <c r="AE150" s="173" t="s">
        <v>102</v>
      </c>
      <c r="AF150" s="173"/>
      <c r="AG150" s="173"/>
      <c r="AH150" s="174"/>
      <c r="AI150" s="175"/>
      <c r="AJ150" s="174"/>
      <c r="AK150" s="176"/>
      <c r="AL150" s="174"/>
      <c r="AM150" s="177" t="s">
        <v>204</v>
      </c>
      <c r="AN150" s="243" t="s">
        <v>178</v>
      </c>
      <c r="AO150" s="178"/>
      <c r="AP150" s="179"/>
      <c r="AQ150" s="179"/>
      <c r="AR150" s="24"/>
      <c r="AS150" s="179"/>
    </row>
    <row r="151" spans="1:45" ht="30" customHeight="1" x14ac:dyDescent="0.35">
      <c r="A151" s="40">
        <v>2026</v>
      </c>
      <c r="B151" s="59" t="s">
        <v>79</v>
      </c>
      <c r="C151" s="58" t="s">
        <v>469</v>
      </c>
      <c r="D151" s="237" t="s">
        <v>114</v>
      </c>
      <c r="E151" s="180"/>
      <c r="F151" s="58" t="s">
        <v>504</v>
      </c>
      <c r="G151" s="237" t="s">
        <v>121</v>
      </c>
      <c r="H151" s="59" t="s">
        <v>126</v>
      </c>
      <c r="I151" s="65"/>
      <c r="J151" s="237" t="s">
        <v>132</v>
      </c>
      <c r="K151" s="237" t="s">
        <v>3</v>
      </c>
      <c r="L151" s="59" t="s">
        <v>6</v>
      </c>
      <c r="M151" s="58" t="s">
        <v>202</v>
      </c>
      <c r="N151" s="130"/>
      <c r="O151" s="172"/>
      <c r="P151" s="172"/>
      <c r="Q151" s="237" t="s">
        <v>140</v>
      </c>
      <c r="R151" s="78"/>
      <c r="S151" s="78"/>
      <c r="T151" s="58" t="s">
        <v>505</v>
      </c>
      <c r="U151" s="237">
        <v>2026</v>
      </c>
      <c r="V151" s="88">
        <v>46387</v>
      </c>
      <c r="W151" s="78"/>
      <c r="X151" s="88">
        <v>46024</v>
      </c>
      <c r="Y151" s="131">
        <v>96000</v>
      </c>
      <c r="Z151" s="131"/>
      <c r="AA151" s="131">
        <f t="shared" si="19"/>
        <v>96000</v>
      </c>
      <c r="AB151" s="131"/>
      <c r="AC151" s="131">
        <f t="shared" si="17"/>
        <v>96000</v>
      </c>
      <c r="AD151" s="131">
        <f t="shared" si="18"/>
        <v>96000</v>
      </c>
      <c r="AE151" s="173" t="s">
        <v>102</v>
      </c>
      <c r="AF151" s="173"/>
      <c r="AG151" s="173"/>
      <c r="AH151" s="174"/>
      <c r="AI151" s="175"/>
      <c r="AJ151" s="174"/>
      <c r="AK151" s="176"/>
      <c r="AL151" s="174"/>
      <c r="AM151" s="177" t="s">
        <v>204</v>
      </c>
      <c r="AN151" s="243" t="s">
        <v>178</v>
      </c>
      <c r="AO151" s="178"/>
      <c r="AP151" s="179"/>
      <c r="AQ151" s="179"/>
      <c r="AR151" s="24"/>
      <c r="AS151" s="179"/>
    </row>
    <row r="152" spans="1:45" ht="30" customHeight="1" x14ac:dyDescent="0.35">
      <c r="A152" s="40">
        <v>2026</v>
      </c>
      <c r="B152" s="59" t="s">
        <v>79</v>
      </c>
      <c r="C152" s="58" t="s">
        <v>469</v>
      </c>
      <c r="D152" s="237" t="s">
        <v>114</v>
      </c>
      <c r="E152" s="180"/>
      <c r="F152" s="58" t="s">
        <v>506</v>
      </c>
      <c r="G152" s="237" t="s">
        <v>121</v>
      </c>
      <c r="H152" s="59" t="s">
        <v>126</v>
      </c>
      <c r="I152" s="65"/>
      <c r="J152" s="237" t="s">
        <v>132</v>
      </c>
      <c r="K152" s="237" t="s">
        <v>3</v>
      </c>
      <c r="L152" s="59" t="s">
        <v>6</v>
      </c>
      <c r="M152" s="58" t="s">
        <v>202</v>
      </c>
      <c r="N152" s="130"/>
      <c r="O152" s="172"/>
      <c r="P152" s="172"/>
      <c r="Q152" s="237" t="s">
        <v>140</v>
      </c>
      <c r="R152" s="78"/>
      <c r="S152" s="78"/>
      <c r="T152" s="58" t="s">
        <v>507</v>
      </c>
      <c r="U152" s="237">
        <v>2026</v>
      </c>
      <c r="V152" s="88">
        <v>46387</v>
      </c>
      <c r="W152" s="78"/>
      <c r="X152" s="88">
        <v>46024</v>
      </c>
      <c r="Y152" s="131">
        <v>96000</v>
      </c>
      <c r="Z152" s="131"/>
      <c r="AA152" s="131">
        <f t="shared" si="19"/>
        <v>96000</v>
      </c>
      <c r="AB152" s="131"/>
      <c r="AC152" s="131">
        <f t="shared" si="17"/>
        <v>96000</v>
      </c>
      <c r="AD152" s="131">
        <f t="shared" si="18"/>
        <v>96000</v>
      </c>
      <c r="AE152" s="173" t="s">
        <v>102</v>
      </c>
      <c r="AF152" s="173"/>
      <c r="AG152" s="173"/>
      <c r="AH152" s="174"/>
      <c r="AI152" s="175"/>
      <c r="AJ152" s="174"/>
      <c r="AK152" s="176"/>
      <c r="AL152" s="174"/>
      <c r="AM152" s="177" t="s">
        <v>204</v>
      </c>
      <c r="AN152" s="243" t="s">
        <v>178</v>
      </c>
      <c r="AO152" s="178"/>
      <c r="AP152" s="179"/>
      <c r="AQ152" s="179"/>
      <c r="AR152" s="24"/>
      <c r="AS152" s="179"/>
    </row>
    <row r="153" spans="1:45" ht="30" customHeight="1" x14ac:dyDescent="0.35">
      <c r="A153" s="40">
        <v>2026</v>
      </c>
      <c r="B153" s="59" t="s">
        <v>79</v>
      </c>
      <c r="C153" s="58" t="s">
        <v>469</v>
      </c>
      <c r="D153" s="237" t="s">
        <v>114</v>
      </c>
      <c r="E153" s="180"/>
      <c r="F153" s="58" t="s">
        <v>508</v>
      </c>
      <c r="G153" s="237" t="s">
        <v>121</v>
      </c>
      <c r="H153" s="59" t="s">
        <v>126</v>
      </c>
      <c r="I153" s="65"/>
      <c r="J153" s="237" t="s">
        <v>132</v>
      </c>
      <c r="K153" s="237" t="s">
        <v>3</v>
      </c>
      <c r="L153" s="59" t="s">
        <v>6</v>
      </c>
      <c r="M153" s="58" t="s">
        <v>202</v>
      </c>
      <c r="N153" s="130"/>
      <c r="O153" s="172"/>
      <c r="P153" s="172"/>
      <c r="Q153" s="237" t="s">
        <v>140</v>
      </c>
      <c r="R153" s="78"/>
      <c r="S153" s="78"/>
      <c r="T153" s="58" t="s">
        <v>509</v>
      </c>
      <c r="U153" s="237">
        <v>2026</v>
      </c>
      <c r="V153" s="88">
        <v>46387</v>
      </c>
      <c r="W153" s="78"/>
      <c r="X153" s="88">
        <v>46024</v>
      </c>
      <c r="Y153" s="131">
        <v>96000</v>
      </c>
      <c r="Z153" s="131"/>
      <c r="AA153" s="131">
        <f t="shared" si="19"/>
        <v>96000</v>
      </c>
      <c r="AB153" s="131"/>
      <c r="AC153" s="131">
        <f t="shared" ref="AC153:AC184" si="20">Y153</f>
        <v>96000</v>
      </c>
      <c r="AD153" s="131">
        <f t="shared" ref="AD153:AD184" si="21">AA153</f>
        <v>96000</v>
      </c>
      <c r="AE153" s="173" t="s">
        <v>102</v>
      </c>
      <c r="AF153" s="173"/>
      <c r="AG153" s="173"/>
      <c r="AH153" s="174"/>
      <c r="AI153" s="175"/>
      <c r="AJ153" s="174"/>
      <c r="AK153" s="176"/>
      <c r="AL153" s="174"/>
      <c r="AM153" s="177" t="s">
        <v>204</v>
      </c>
      <c r="AN153" s="243" t="s">
        <v>178</v>
      </c>
      <c r="AO153" s="178"/>
      <c r="AP153" s="179"/>
      <c r="AQ153" s="179"/>
      <c r="AR153" s="24"/>
      <c r="AS153" s="179"/>
    </row>
    <row r="154" spans="1:45" ht="30" customHeight="1" x14ac:dyDescent="0.35">
      <c r="A154" s="40">
        <v>2026</v>
      </c>
      <c r="B154" s="59" t="s">
        <v>79</v>
      </c>
      <c r="C154" s="58" t="s">
        <v>469</v>
      </c>
      <c r="D154" s="237" t="s">
        <v>114</v>
      </c>
      <c r="E154" s="180"/>
      <c r="F154" s="58" t="s">
        <v>510</v>
      </c>
      <c r="G154" s="237" t="s">
        <v>121</v>
      </c>
      <c r="H154" s="59" t="s">
        <v>126</v>
      </c>
      <c r="I154" s="65"/>
      <c r="J154" s="237" t="s">
        <v>132</v>
      </c>
      <c r="K154" s="237" t="s">
        <v>3</v>
      </c>
      <c r="L154" s="59" t="s">
        <v>6</v>
      </c>
      <c r="M154" s="58" t="s">
        <v>202</v>
      </c>
      <c r="N154" s="130"/>
      <c r="O154" s="172"/>
      <c r="P154" s="172"/>
      <c r="Q154" s="237" t="s">
        <v>140</v>
      </c>
      <c r="R154" s="78"/>
      <c r="S154" s="78"/>
      <c r="T154" s="58" t="s">
        <v>511</v>
      </c>
      <c r="U154" s="237">
        <v>2026</v>
      </c>
      <c r="V154" s="88">
        <v>46387</v>
      </c>
      <c r="W154" s="78"/>
      <c r="X154" s="88">
        <v>46024</v>
      </c>
      <c r="Y154" s="131">
        <v>48000</v>
      </c>
      <c r="Z154" s="131"/>
      <c r="AA154" s="131">
        <f t="shared" si="19"/>
        <v>48000</v>
      </c>
      <c r="AB154" s="131"/>
      <c r="AC154" s="131">
        <f t="shared" si="20"/>
        <v>48000</v>
      </c>
      <c r="AD154" s="131">
        <f t="shared" si="21"/>
        <v>48000</v>
      </c>
      <c r="AE154" s="173" t="s">
        <v>102</v>
      </c>
      <c r="AF154" s="173"/>
      <c r="AG154" s="173"/>
      <c r="AH154" s="174"/>
      <c r="AI154" s="175"/>
      <c r="AJ154" s="174"/>
      <c r="AK154" s="176"/>
      <c r="AL154" s="174"/>
      <c r="AM154" s="177" t="s">
        <v>204</v>
      </c>
      <c r="AN154" s="243" t="s">
        <v>178</v>
      </c>
      <c r="AO154" s="178"/>
      <c r="AP154" s="179"/>
      <c r="AQ154" s="179"/>
      <c r="AR154" s="24"/>
      <c r="AS154" s="179"/>
    </row>
    <row r="155" spans="1:45" ht="30" customHeight="1" x14ac:dyDescent="0.35">
      <c r="A155" s="40">
        <v>2026</v>
      </c>
      <c r="B155" s="59" t="s">
        <v>79</v>
      </c>
      <c r="C155" s="58" t="s">
        <v>469</v>
      </c>
      <c r="D155" s="237" t="s">
        <v>114</v>
      </c>
      <c r="E155" s="180"/>
      <c r="F155" s="58" t="s">
        <v>512</v>
      </c>
      <c r="G155" s="237" t="s">
        <v>121</v>
      </c>
      <c r="H155" s="59" t="s">
        <v>126</v>
      </c>
      <c r="I155" s="65"/>
      <c r="J155" s="237" t="s">
        <v>132</v>
      </c>
      <c r="K155" s="237" t="s">
        <v>3</v>
      </c>
      <c r="L155" s="59" t="s">
        <v>6</v>
      </c>
      <c r="M155" s="58" t="s">
        <v>202</v>
      </c>
      <c r="N155" s="130"/>
      <c r="O155" s="172"/>
      <c r="P155" s="172"/>
      <c r="Q155" s="237" t="s">
        <v>140</v>
      </c>
      <c r="R155" s="78"/>
      <c r="S155" s="78"/>
      <c r="T155" s="58" t="s">
        <v>513</v>
      </c>
      <c r="U155" s="237">
        <v>2026</v>
      </c>
      <c r="V155" s="88">
        <v>46387</v>
      </c>
      <c r="W155" s="78"/>
      <c r="X155" s="88">
        <v>46024</v>
      </c>
      <c r="Y155" s="131">
        <v>72000</v>
      </c>
      <c r="Z155" s="131"/>
      <c r="AA155" s="131">
        <f t="shared" si="19"/>
        <v>72000</v>
      </c>
      <c r="AB155" s="131"/>
      <c r="AC155" s="131">
        <f t="shared" si="20"/>
        <v>72000</v>
      </c>
      <c r="AD155" s="131">
        <f t="shared" si="21"/>
        <v>72000</v>
      </c>
      <c r="AE155" s="173" t="s">
        <v>102</v>
      </c>
      <c r="AF155" s="173"/>
      <c r="AG155" s="173"/>
      <c r="AH155" s="174"/>
      <c r="AI155" s="175"/>
      <c r="AJ155" s="174"/>
      <c r="AK155" s="176"/>
      <c r="AL155" s="174"/>
      <c r="AM155" s="177" t="s">
        <v>204</v>
      </c>
      <c r="AN155" s="243" t="s">
        <v>178</v>
      </c>
      <c r="AO155" s="178"/>
      <c r="AP155" s="179"/>
      <c r="AQ155" s="179"/>
      <c r="AR155" s="24"/>
      <c r="AS155" s="179"/>
    </row>
    <row r="156" spans="1:45" ht="30" customHeight="1" x14ac:dyDescent="0.35">
      <c r="A156" s="40">
        <v>2026</v>
      </c>
      <c r="B156" s="59" t="s">
        <v>79</v>
      </c>
      <c r="C156" s="58" t="s">
        <v>469</v>
      </c>
      <c r="D156" s="237" t="s">
        <v>114</v>
      </c>
      <c r="E156" s="180"/>
      <c r="F156" s="58" t="s">
        <v>514</v>
      </c>
      <c r="G156" s="237" t="s">
        <v>121</v>
      </c>
      <c r="H156" s="59" t="s">
        <v>126</v>
      </c>
      <c r="I156" s="65"/>
      <c r="J156" s="237" t="s">
        <v>132</v>
      </c>
      <c r="K156" s="237" t="s">
        <v>3</v>
      </c>
      <c r="L156" s="59" t="s">
        <v>6</v>
      </c>
      <c r="M156" s="58" t="s">
        <v>202</v>
      </c>
      <c r="N156" s="130"/>
      <c r="O156" s="172"/>
      <c r="P156" s="172"/>
      <c r="Q156" s="237" t="s">
        <v>140</v>
      </c>
      <c r="R156" s="78"/>
      <c r="S156" s="78"/>
      <c r="T156" s="58" t="s">
        <v>515</v>
      </c>
      <c r="U156" s="237">
        <v>2026</v>
      </c>
      <c r="V156" s="88">
        <v>46387</v>
      </c>
      <c r="W156" s="78"/>
      <c r="X156" s="88">
        <v>46024</v>
      </c>
      <c r="Y156" s="131">
        <v>72000</v>
      </c>
      <c r="Z156" s="131"/>
      <c r="AA156" s="131">
        <f t="shared" si="19"/>
        <v>72000</v>
      </c>
      <c r="AB156" s="131"/>
      <c r="AC156" s="131">
        <f t="shared" si="20"/>
        <v>72000</v>
      </c>
      <c r="AD156" s="131">
        <f t="shared" si="21"/>
        <v>72000</v>
      </c>
      <c r="AE156" s="173" t="s">
        <v>102</v>
      </c>
      <c r="AF156" s="173"/>
      <c r="AG156" s="173"/>
      <c r="AH156" s="174"/>
      <c r="AI156" s="175"/>
      <c r="AJ156" s="174"/>
      <c r="AK156" s="176"/>
      <c r="AL156" s="174"/>
      <c r="AM156" s="177" t="s">
        <v>204</v>
      </c>
      <c r="AN156" s="243" t="s">
        <v>178</v>
      </c>
      <c r="AO156" s="178"/>
      <c r="AP156" s="179"/>
      <c r="AQ156" s="179"/>
      <c r="AR156" s="24"/>
      <c r="AS156" s="179"/>
    </row>
    <row r="157" spans="1:45" ht="30" customHeight="1" x14ac:dyDescent="0.35">
      <c r="A157" s="40">
        <v>2026</v>
      </c>
      <c r="B157" s="59" t="s">
        <v>79</v>
      </c>
      <c r="C157" s="58" t="s">
        <v>469</v>
      </c>
      <c r="D157" s="237" t="s">
        <v>114</v>
      </c>
      <c r="E157" s="180"/>
      <c r="F157" s="58" t="s">
        <v>516</v>
      </c>
      <c r="G157" s="237" t="s">
        <v>121</v>
      </c>
      <c r="H157" s="59" t="s">
        <v>126</v>
      </c>
      <c r="I157" s="65"/>
      <c r="J157" s="237" t="s">
        <v>132</v>
      </c>
      <c r="K157" s="237" t="s">
        <v>3</v>
      </c>
      <c r="L157" s="59" t="s">
        <v>6</v>
      </c>
      <c r="M157" s="58" t="s">
        <v>202</v>
      </c>
      <c r="N157" s="130"/>
      <c r="O157" s="172"/>
      <c r="P157" s="172"/>
      <c r="Q157" s="237" t="s">
        <v>140</v>
      </c>
      <c r="R157" s="78"/>
      <c r="S157" s="78"/>
      <c r="T157" s="58" t="s">
        <v>517</v>
      </c>
      <c r="U157" s="237">
        <v>2026</v>
      </c>
      <c r="V157" s="88">
        <v>46387</v>
      </c>
      <c r="W157" s="78"/>
      <c r="X157" s="88">
        <v>46024</v>
      </c>
      <c r="Y157" s="131">
        <v>96000</v>
      </c>
      <c r="Z157" s="131"/>
      <c r="AA157" s="131">
        <f t="shared" si="19"/>
        <v>96000</v>
      </c>
      <c r="AB157" s="131"/>
      <c r="AC157" s="131">
        <f t="shared" si="20"/>
        <v>96000</v>
      </c>
      <c r="AD157" s="131">
        <f t="shared" si="21"/>
        <v>96000</v>
      </c>
      <c r="AE157" s="173" t="s">
        <v>102</v>
      </c>
      <c r="AF157" s="173"/>
      <c r="AG157" s="173"/>
      <c r="AH157" s="174"/>
      <c r="AI157" s="175"/>
      <c r="AJ157" s="174"/>
      <c r="AK157" s="176"/>
      <c r="AL157" s="174"/>
      <c r="AM157" s="177" t="s">
        <v>204</v>
      </c>
      <c r="AN157" s="243" t="s">
        <v>178</v>
      </c>
      <c r="AO157" s="178"/>
      <c r="AP157" s="179"/>
      <c r="AQ157" s="179"/>
      <c r="AR157" s="24"/>
      <c r="AS157" s="179"/>
    </row>
    <row r="158" spans="1:45" ht="30" customHeight="1" x14ac:dyDescent="0.35">
      <c r="A158" s="40">
        <v>2026</v>
      </c>
      <c r="B158" s="59" t="s">
        <v>79</v>
      </c>
      <c r="C158" s="58" t="s">
        <v>469</v>
      </c>
      <c r="D158" s="237" t="s">
        <v>114</v>
      </c>
      <c r="E158" s="180"/>
      <c r="F158" s="58" t="s">
        <v>518</v>
      </c>
      <c r="G158" s="237" t="s">
        <v>121</v>
      </c>
      <c r="H158" s="59" t="s">
        <v>126</v>
      </c>
      <c r="I158" s="65"/>
      <c r="J158" s="237" t="s">
        <v>132</v>
      </c>
      <c r="K158" s="237" t="s">
        <v>3</v>
      </c>
      <c r="L158" s="59" t="s">
        <v>6</v>
      </c>
      <c r="M158" s="58" t="s">
        <v>202</v>
      </c>
      <c r="N158" s="130"/>
      <c r="O158" s="172"/>
      <c r="P158" s="172"/>
      <c r="Q158" s="237" t="s">
        <v>140</v>
      </c>
      <c r="R158" s="78"/>
      <c r="S158" s="78"/>
      <c r="T158" s="58" t="s">
        <v>519</v>
      </c>
      <c r="U158" s="237">
        <v>2026</v>
      </c>
      <c r="V158" s="88">
        <v>46387</v>
      </c>
      <c r="W158" s="78"/>
      <c r="X158" s="88">
        <v>46024</v>
      </c>
      <c r="Y158" s="131">
        <v>180000</v>
      </c>
      <c r="Z158" s="131"/>
      <c r="AA158" s="131">
        <f t="shared" si="19"/>
        <v>180000</v>
      </c>
      <c r="AB158" s="131"/>
      <c r="AC158" s="131">
        <f t="shared" si="20"/>
        <v>180000</v>
      </c>
      <c r="AD158" s="131">
        <f t="shared" si="21"/>
        <v>180000</v>
      </c>
      <c r="AE158" s="173" t="s">
        <v>102</v>
      </c>
      <c r="AF158" s="173"/>
      <c r="AG158" s="173"/>
      <c r="AH158" s="174"/>
      <c r="AI158" s="175"/>
      <c r="AJ158" s="174"/>
      <c r="AK158" s="176"/>
      <c r="AL158" s="174"/>
      <c r="AM158" s="177" t="s">
        <v>204</v>
      </c>
      <c r="AN158" s="243" t="s">
        <v>178</v>
      </c>
      <c r="AO158" s="178"/>
      <c r="AP158" s="179"/>
      <c r="AQ158" s="179"/>
      <c r="AR158" s="24"/>
      <c r="AS158" s="179"/>
    </row>
    <row r="159" spans="1:45" ht="30" customHeight="1" x14ac:dyDescent="0.35">
      <c r="A159" s="40">
        <v>2026</v>
      </c>
      <c r="B159" s="59" t="s">
        <v>79</v>
      </c>
      <c r="C159" s="58" t="s">
        <v>469</v>
      </c>
      <c r="D159" s="237" t="s">
        <v>114</v>
      </c>
      <c r="E159" s="180"/>
      <c r="F159" s="58" t="s">
        <v>520</v>
      </c>
      <c r="G159" s="237" t="s">
        <v>121</v>
      </c>
      <c r="H159" s="59" t="s">
        <v>126</v>
      </c>
      <c r="I159" s="65"/>
      <c r="J159" s="237" t="s">
        <v>132</v>
      </c>
      <c r="K159" s="237" t="s">
        <v>3</v>
      </c>
      <c r="L159" s="59" t="s">
        <v>6</v>
      </c>
      <c r="M159" s="58" t="s">
        <v>202</v>
      </c>
      <c r="N159" s="130"/>
      <c r="O159" s="172"/>
      <c r="P159" s="172"/>
      <c r="Q159" s="237" t="s">
        <v>140</v>
      </c>
      <c r="R159" s="78"/>
      <c r="S159" s="78"/>
      <c r="T159" s="58" t="s">
        <v>521</v>
      </c>
      <c r="U159" s="237">
        <v>2026</v>
      </c>
      <c r="V159" s="88">
        <v>46387</v>
      </c>
      <c r="W159" s="78"/>
      <c r="X159" s="88">
        <v>46024</v>
      </c>
      <c r="Y159" s="131">
        <v>96000</v>
      </c>
      <c r="Z159" s="131"/>
      <c r="AA159" s="131">
        <f t="shared" si="19"/>
        <v>96000</v>
      </c>
      <c r="AB159" s="131"/>
      <c r="AC159" s="131">
        <f t="shared" si="20"/>
        <v>96000</v>
      </c>
      <c r="AD159" s="131">
        <f t="shared" si="21"/>
        <v>96000</v>
      </c>
      <c r="AE159" s="173" t="s">
        <v>102</v>
      </c>
      <c r="AF159" s="173"/>
      <c r="AG159" s="173"/>
      <c r="AH159" s="174"/>
      <c r="AI159" s="175"/>
      <c r="AJ159" s="174"/>
      <c r="AK159" s="176"/>
      <c r="AL159" s="174"/>
      <c r="AM159" s="177" t="s">
        <v>204</v>
      </c>
      <c r="AN159" s="243" t="s">
        <v>178</v>
      </c>
      <c r="AO159" s="178"/>
      <c r="AP159" s="179"/>
      <c r="AQ159" s="179"/>
      <c r="AR159" s="24"/>
      <c r="AS159" s="179"/>
    </row>
    <row r="160" spans="1:45" ht="30" customHeight="1" x14ac:dyDescent="0.35">
      <c r="A160" s="40">
        <v>2026</v>
      </c>
      <c r="B160" s="59" t="s">
        <v>79</v>
      </c>
      <c r="C160" s="58" t="s">
        <v>469</v>
      </c>
      <c r="D160" s="237" t="s">
        <v>114</v>
      </c>
      <c r="E160" s="180"/>
      <c r="F160" s="58" t="s">
        <v>522</v>
      </c>
      <c r="G160" s="237" t="s">
        <v>121</v>
      </c>
      <c r="H160" s="59" t="s">
        <v>126</v>
      </c>
      <c r="I160" s="65"/>
      <c r="J160" s="237" t="s">
        <v>132</v>
      </c>
      <c r="K160" s="237" t="s">
        <v>3</v>
      </c>
      <c r="L160" s="59" t="s">
        <v>6</v>
      </c>
      <c r="M160" s="58" t="s">
        <v>202</v>
      </c>
      <c r="N160" s="130"/>
      <c r="O160" s="172"/>
      <c r="P160" s="172"/>
      <c r="Q160" s="237" t="s">
        <v>140</v>
      </c>
      <c r="R160" s="78"/>
      <c r="S160" s="78"/>
      <c r="T160" s="58" t="s">
        <v>523</v>
      </c>
      <c r="U160" s="237">
        <v>2026</v>
      </c>
      <c r="V160" s="88">
        <v>46387</v>
      </c>
      <c r="W160" s="78"/>
      <c r="X160" s="88">
        <v>46024</v>
      </c>
      <c r="Y160" s="131">
        <v>96000</v>
      </c>
      <c r="Z160" s="131"/>
      <c r="AA160" s="131">
        <f t="shared" si="19"/>
        <v>96000</v>
      </c>
      <c r="AB160" s="131"/>
      <c r="AC160" s="131">
        <f t="shared" si="20"/>
        <v>96000</v>
      </c>
      <c r="AD160" s="131">
        <f t="shared" si="21"/>
        <v>96000</v>
      </c>
      <c r="AE160" s="173" t="s">
        <v>102</v>
      </c>
      <c r="AF160" s="173"/>
      <c r="AG160" s="173"/>
      <c r="AH160" s="174"/>
      <c r="AI160" s="175"/>
      <c r="AJ160" s="174"/>
      <c r="AK160" s="176"/>
      <c r="AL160" s="174"/>
      <c r="AM160" s="177" t="s">
        <v>204</v>
      </c>
      <c r="AN160" s="243" t="s">
        <v>178</v>
      </c>
      <c r="AO160" s="178"/>
      <c r="AP160" s="179"/>
      <c r="AQ160" s="179"/>
      <c r="AR160" s="24"/>
      <c r="AS160" s="179"/>
    </row>
    <row r="161" spans="1:45" ht="30" customHeight="1" x14ac:dyDescent="0.35">
      <c r="A161" s="40">
        <v>2026</v>
      </c>
      <c r="B161" s="59" t="s">
        <v>79</v>
      </c>
      <c r="C161" s="58" t="s">
        <v>469</v>
      </c>
      <c r="D161" s="237" t="s">
        <v>114</v>
      </c>
      <c r="E161" s="180"/>
      <c r="F161" s="58" t="s">
        <v>524</v>
      </c>
      <c r="G161" s="237" t="s">
        <v>121</v>
      </c>
      <c r="H161" s="59" t="s">
        <v>126</v>
      </c>
      <c r="I161" s="65"/>
      <c r="J161" s="237" t="s">
        <v>132</v>
      </c>
      <c r="K161" s="237" t="s">
        <v>3</v>
      </c>
      <c r="L161" s="59" t="s">
        <v>6</v>
      </c>
      <c r="M161" s="58" t="s">
        <v>202</v>
      </c>
      <c r="N161" s="130"/>
      <c r="O161" s="172"/>
      <c r="P161" s="172"/>
      <c r="Q161" s="237" t="s">
        <v>140</v>
      </c>
      <c r="R161" s="78"/>
      <c r="S161" s="78"/>
      <c r="T161" s="58" t="s">
        <v>525</v>
      </c>
      <c r="U161" s="237">
        <v>2026</v>
      </c>
      <c r="V161" s="88">
        <v>46387</v>
      </c>
      <c r="W161" s="78"/>
      <c r="X161" s="88">
        <v>46024</v>
      </c>
      <c r="Y161" s="131">
        <v>96000</v>
      </c>
      <c r="Z161" s="131"/>
      <c r="AA161" s="131">
        <f t="shared" si="19"/>
        <v>96000</v>
      </c>
      <c r="AB161" s="131"/>
      <c r="AC161" s="131">
        <f t="shared" si="20"/>
        <v>96000</v>
      </c>
      <c r="AD161" s="131">
        <f t="shared" si="21"/>
        <v>96000</v>
      </c>
      <c r="AE161" s="173" t="s">
        <v>102</v>
      </c>
      <c r="AF161" s="173"/>
      <c r="AG161" s="173"/>
      <c r="AH161" s="174"/>
      <c r="AI161" s="175"/>
      <c r="AJ161" s="174"/>
      <c r="AK161" s="176"/>
      <c r="AL161" s="174"/>
      <c r="AM161" s="177" t="s">
        <v>204</v>
      </c>
      <c r="AN161" s="243" t="s">
        <v>178</v>
      </c>
      <c r="AO161" s="178"/>
      <c r="AP161" s="179"/>
      <c r="AQ161" s="179"/>
      <c r="AR161" s="24"/>
      <c r="AS161" s="179"/>
    </row>
    <row r="162" spans="1:45" ht="30" customHeight="1" x14ac:dyDescent="0.35">
      <c r="A162" s="40">
        <v>2026</v>
      </c>
      <c r="B162" s="59" t="s">
        <v>79</v>
      </c>
      <c r="C162" s="58" t="s">
        <v>469</v>
      </c>
      <c r="D162" s="237" t="s">
        <v>114</v>
      </c>
      <c r="E162" s="180"/>
      <c r="F162" s="58" t="s">
        <v>526</v>
      </c>
      <c r="G162" s="237" t="s">
        <v>121</v>
      </c>
      <c r="H162" s="59" t="s">
        <v>126</v>
      </c>
      <c r="I162" s="65"/>
      <c r="J162" s="237" t="s">
        <v>132</v>
      </c>
      <c r="K162" s="237" t="s">
        <v>3</v>
      </c>
      <c r="L162" s="59" t="s">
        <v>6</v>
      </c>
      <c r="M162" s="58" t="s">
        <v>202</v>
      </c>
      <c r="N162" s="130"/>
      <c r="O162" s="172"/>
      <c r="P162" s="172"/>
      <c r="Q162" s="237" t="s">
        <v>140</v>
      </c>
      <c r="R162" s="78"/>
      <c r="S162" s="78"/>
      <c r="T162" s="58" t="s">
        <v>527</v>
      </c>
      <c r="U162" s="237">
        <v>2026</v>
      </c>
      <c r="V162" s="88">
        <v>46387</v>
      </c>
      <c r="W162" s="78"/>
      <c r="X162" s="88">
        <v>46024</v>
      </c>
      <c r="Y162" s="131">
        <v>96000</v>
      </c>
      <c r="Z162" s="131"/>
      <c r="AA162" s="131">
        <f t="shared" si="19"/>
        <v>96000</v>
      </c>
      <c r="AB162" s="131"/>
      <c r="AC162" s="131">
        <f t="shared" si="20"/>
        <v>96000</v>
      </c>
      <c r="AD162" s="131">
        <f t="shared" si="21"/>
        <v>96000</v>
      </c>
      <c r="AE162" s="173" t="s">
        <v>102</v>
      </c>
      <c r="AF162" s="173"/>
      <c r="AG162" s="173"/>
      <c r="AH162" s="174"/>
      <c r="AI162" s="175"/>
      <c r="AJ162" s="174"/>
      <c r="AK162" s="176"/>
      <c r="AL162" s="174"/>
      <c r="AM162" s="177" t="s">
        <v>204</v>
      </c>
      <c r="AN162" s="243" t="s">
        <v>178</v>
      </c>
      <c r="AO162" s="178"/>
      <c r="AP162" s="179"/>
      <c r="AQ162" s="179"/>
      <c r="AR162" s="24"/>
      <c r="AS162" s="179"/>
    </row>
    <row r="163" spans="1:45" ht="30" customHeight="1" x14ac:dyDescent="0.35">
      <c r="A163" s="40">
        <v>2026</v>
      </c>
      <c r="B163" s="59" t="s">
        <v>79</v>
      </c>
      <c r="C163" s="58" t="s">
        <v>469</v>
      </c>
      <c r="D163" s="237" t="s">
        <v>114</v>
      </c>
      <c r="E163" s="180"/>
      <c r="F163" s="58" t="s">
        <v>528</v>
      </c>
      <c r="G163" s="237" t="s">
        <v>121</v>
      </c>
      <c r="H163" s="59" t="s">
        <v>126</v>
      </c>
      <c r="I163" s="65"/>
      <c r="J163" s="237" t="s">
        <v>132</v>
      </c>
      <c r="K163" s="237" t="s">
        <v>3</v>
      </c>
      <c r="L163" s="59" t="s">
        <v>6</v>
      </c>
      <c r="M163" s="58" t="s">
        <v>202</v>
      </c>
      <c r="N163" s="130"/>
      <c r="O163" s="172"/>
      <c r="P163" s="172"/>
      <c r="Q163" s="237" t="s">
        <v>140</v>
      </c>
      <c r="R163" s="78"/>
      <c r="S163" s="78"/>
      <c r="T163" s="58" t="s">
        <v>529</v>
      </c>
      <c r="U163" s="237">
        <v>2026</v>
      </c>
      <c r="V163" s="88">
        <v>46387</v>
      </c>
      <c r="W163" s="78"/>
      <c r="X163" s="88">
        <v>46024</v>
      </c>
      <c r="Y163" s="131">
        <v>96000</v>
      </c>
      <c r="Z163" s="131"/>
      <c r="AA163" s="131">
        <f t="shared" si="19"/>
        <v>96000</v>
      </c>
      <c r="AB163" s="131"/>
      <c r="AC163" s="131">
        <f t="shared" si="20"/>
        <v>96000</v>
      </c>
      <c r="AD163" s="131">
        <f t="shared" si="21"/>
        <v>96000</v>
      </c>
      <c r="AE163" s="173" t="s">
        <v>102</v>
      </c>
      <c r="AF163" s="173"/>
      <c r="AG163" s="173"/>
      <c r="AH163" s="174"/>
      <c r="AI163" s="175"/>
      <c r="AJ163" s="174"/>
      <c r="AK163" s="176"/>
      <c r="AL163" s="174"/>
      <c r="AM163" s="177" t="s">
        <v>204</v>
      </c>
      <c r="AN163" s="243" t="s">
        <v>178</v>
      </c>
      <c r="AO163" s="178"/>
      <c r="AP163" s="179"/>
      <c r="AQ163" s="179"/>
      <c r="AR163" s="24"/>
      <c r="AS163" s="179"/>
    </row>
    <row r="164" spans="1:45" ht="30" customHeight="1" x14ac:dyDescent="0.35">
      <c r="A164" s="40">
        <v>2026</v>
      </c>
      <c r="B164" s="59" t="s">
        <v>79</v>
      </c>
      <c r="C164" s="58" t="s">
        <v>469</v>
      </c>
      <c r="D164" s="237" t="s">
        <v>114</v>
      </c>
      <c r="E164" s="180"/>
      <c r="F164" s="58" t="s">
        <v>530</v>
      </c>
      <c r="G164" s="237" t="s">
        <v>121</v>
      </c>
      <c r="H164" s="59" t="s">
        <v>126</v>
      </c>
      <c r="I164" s="65"/>
      <c r="J164" s="237" t="s">
        <v>132</v>
      </c>
      <c r="K164" s="237" t="s">
        <v>3</v>
      </c>
      <c r="L164" s="59" t="s">
        <v>6</v>
      </c>
      <c r="M164" s="58" t="s">
        <v>202</v>
      </c>
      <c r="N164" s="130"/>
      <c r="O164" s="172"/>
      <c r="P164" s="172"/>
      <c r="Q164" s="237" t="s">
        <v>140</v>
      </c>
      <c r="R164" s="78"/>
      <c r="S164" s="78"/>
      <c r="T164" s="58" t="s">
        <v>531</v>
      </c>
      <c r="U164" s="237">
        <v>2026</v>
      </c>
      <c r="V164" s="88">
        <v>46387</v>
      </c>
      <c r="W164" s="78"/>
      <c r="X164" s="88">
        <v>46024</v>
      </c>
      <c r="Y164" s="131">
        <v>96000</v>
      </c>
      <c r="Z164" s="131"/>
      <c r="AA164" s="131">
        <f t="shared" si="19"/>
        <v>96000</v>
      </c>
      <c r="AB164" s="131"/>
      <c r="AC164" s="131">
        <f t="shared" si="20"/>
        <v>96000</v>
      </c>
      <c r="AD164" s="131">
        <f t="shared" si="21"/>
        <v>96000</v>
      </c>
      <c r="AE164" s="173" t="s">
        <v>102</v>
      </c>
      <c r="AF164" s="173"/>
      <c r="AG164" s="173"/>
      <c r="AH164" s="174"/>
      <c r="AI164" s="175"/>
      <c r="AJ164" s="174"/>
      <c r="AK164" s="176"/>
      <c r="AL164" s="174"/>
      <c r="AM164" s="177" t="s">
        <v>204</v>
      </c>
      <c r="AN164" s="243" t="s">
        <v>178</v>
      </c>
      <c r="AO164" s="178"/>
      <c r="AP164" s="179"/>
      <c r="AQ164" s="179"/>
      <c r="AR164" s="24"/>
      <c r="AS164" s="179"/>
    </row>
    <row r="165" spans="1:45" ht="30" customHeight="1" x14ac:dyDescent="0.35">
      <c r="A165" s="40">
        <v>2026</v>
      </c>
      <c r="B165" s="59" t="s">
        <v>79</v>
      </c>
      <c r="C165" s="58" t="s">
        <v>469</v>
      </c>
      <c r="D165" s="237" t="s">
        <v>114</v>
      </c>
      <c r="E165" s="180"/>
      <c r="F165" s="58" t="s">
        <v>532</v>
      </c>
      <c r="G165" s="237" t="s">
        <v>121</v>
      </c>
      <c r="H165" s="59" t="s">
        <v>126</v>
      </c>
      <c r="I165" s="65"/>
      <c r="J165" s="237" t="s">
        <v>132</v>
      </c>
      <c r="K165" s="237" t="s">
        <v>3</v>
      </c>
      <c r="L165" s="59" t="s">
        <v>6</v>
      </c>
      <c r="M165" s="58" t="s">
        <v>202</v>
      </c>
      <c r="N165" s="130"/>
      <c r="O165" s="172"/>
      <c r="P165" s="172"/>
      <c r="Q165" s="237" t="s">
        <v>140</v>
      </c>
      <c r="R165" s="78"/>
      <c r="S165" s="78"/>
      <c r="T165" s="58" t="s">
        <v>533</v>
      </c>
      <c r="U165" s="237">
        <v>2026</v>
      </c>
      <c r="V165" s="88">
        <v>46387</v>
      </c>
      <c r="W165" s="78"/>
      <c r="X165" s="88">
        <v>46024</v>
      </c>
      <c r="Y165" s="131">
        <v>72000</v>
      </c>
      <c r="Z165" s="131"/>
      <c r="AA165" s="131">
        <f t="shared" si="19"/>
        <v>72000</v>
      </c>
      <c r="AB165" s="131"/>
      <c r="AC165" s="131">
        <f t="shared" si="20"/>
        <v>72000</v>
      </c>
      <c r="AD165" s="131">
        <f t="shared" si="21"/>
        <v>72000</v>
      </c>
      <c r="AE165" s="173" t="s">
        <v>102</v>
      </c>
      <c r="AF165" s="173"/>
      <c r="AG165" s="173"/>
      <c r="AH165" s="174"/>
      <c r="AI165" s="175"/>
      <c r="AJ165" s="174"/>
      <c r="AK165" s="176"/>
      <c r="AL165" s="174"/>
      <c r="AM165" s="177" t="s">
        <v>204</v>
      </c>
      <c r="AN165" s="243" t="s">
        <v>178</v>
      </c>
      <c r="AO165" s="178"/>
      <c r="AP165" s="179"/>
      <c r="AQ165" s="179"/>
      <c r="AR165" s="24"/>
      <c r="AS165" s="179"/>
    </row>
    <row r="166" spans="1:45" ht="30" customHeight="1" x14ac:dyDescent="0.35">
      <c r="A166" s="40">
        <v>2026</v>
      </c>
      <c r="B166" s="59" t="s">
        <v>79</v>
      </c>
      <c r="C166" s="58" t="s">
        <v>469</v>
      </c>
      <c r="D166" s="237" t="s">
        <v>114</v>
      </c>
      <c r="E166" s="105"/>
      <c r="F166" s="58" t="s">
        <v>534</v>
      </c>
      <c r="G166" s="237" t="s">
        <v>121</v>
      </c>
      <c r="H166" s="59" t="s">
        <v>126</v>
      </c>
      <c r="I166" s="65"/>
      <c r="J166" s="237" t="s">
        <v>132</v>
      </c>
      <c r="K166" s="237" t="s">
        <v>3</v>
      </c>
      <c r="L166" s="59" t="s">
        <v>6</v>
      </c>
      <c r="M166" s="58" t="s">
        <v>202</v>
      </c>
      <c r="N166" s="130"/>
      <c r="O166" s="172"/>
      <c r="P166" s="172"/>
      <c r="Q166" s="237" t="s">
        <v>140</v>
      </c>
      <c r="R166" s="78"/>
      <c r="S166" s="78"/>
      <c r="T166" s="58" t="s">
        <v>535</v>
      </c>
      <c r="U166" s="237">
        <v>2026</v>
      </c>
      <c r="V166" s="88">
        <v>46387</v>
      </c>
      <c r="W166" s="78"/>
      <c r="X166" s="88">
        <v>46024</v>
      </c>
      <c r="Y166" s="131">
        <v>120000</v>
      </c>
      <c r="Z166" s="131"/>
      <c r="AA166" s="131">
        <f t="shared" si="19"/>
        <v>120000</v>
      </c>
      <c r="AB166" s="131"/>
      <c r="AC166" s="131">
        <f t="shared" si="20"/>
        <v>120000</v>
      </c>
      <c r="AD166" s="131">
        <f t="shared" si="21"/>
        <v>120000</v>
      </c>
      <c r="AE166" s="173" t="s">
        <v>102</v>
      </c>
      <c r="AF166" s="173"/>
      <c r="AG166" s="173"/>
      <c r="AH166" s="174"/>
      <c r="AI166" s="175"/>
      <c r="AJ166" s="174"/>
      <c r="AK166" s="176"/>
      <c r="AL166" s="174"/>
      <c r="AM166" s="177" t="s">
        <v>204</v>
      </c>
      <c r="AN166" s="244" t="s">
        <v>347</v>
      </c>
      <c r="AO166" s="178"/>
      <c r="AP166" s="179"/>
      <c r="AQ166" s="179"/>
      <c r="AR166" s="24"/>
      <c r="AS166" s="179"/>
    </row>
    <row r="167" spans="1:45" ht="30" customHeight="1" x14ac:dyDescent="0.35">
      <c r="A167" s="40">
        <v>2026</v>
      </c>
      <c r="B167" s="59" t="s">
        <v>79</v>
      </c>
      <c r="C167" s="58" t="s">
        <v>469</v>
      </c>
      <c r="D167" s="237" t="s">
        <v>114</v>
      </c>
      <c r="E167" s="105"/>
      <c r="F167" s="58" t="s">
        <v>536</v>
      </c>
      <c r="G167" s="237" t="s">
        <v>121</v>
      </c>
      <c r="H167" s="59" t="s">
        <v>126</v>
      </c>
      <c r="I167" s="65"/>
      <c r="J167" s="237" t="s">
        <v>132</v>
      </c>
      <c r="K167" s="237" t="s">
        <v>3</v>
      </c>
      <c r="L167" s="59" t="s">
        <v>6</v>
      </c>
      <c r="M167" s="58" t="s">
        <v>202</v>
      </c>
      <c r="N167" s="130"/>
      <c r="O167" s="172"/>
      <c r="P167" s="172"/>
      <c r="Q167" s="237" t="s">
        <v>140</v>
      </c>
      <c r="R167" s="78"/>
      <c r="S167" s="78"/>
      <c r="T167" s="58" t="s">
        <v>537</v>
      </c>
      <c r="U167" s="237">
        <v>2026</v>
      </c>
      <c r="V167" s="88">
        <v>46387</v>
      </c>
      <c r="W167" s="78"/>
      <c r="X167" s="88">
        <v>46024</v>
      </c>
      <c r="Y167" s="131">
        <v>120000</v>
      </c>
      <c r="Z167" s="131"/>
      <c r="AA167" s="131">
        <f t="shared" ref="AA167:AA198" si="22">Y167</f>
        <v>120000</v>
      </c>
      <c r="AB167" s="131"/>
      <c r="AC167" s="131">
        <f t="shared" si="20"/>
        <v>120000</v>
      </c>
      <c r="AD167" s="131">
        <f t="shared" si="21"/>
        <v>120000</v>
      </c>
      <c r="AE167" s="173" t="s">
        <v>102</v>
      </c>
      <c r="AF167" s="173"/>
      <c r="AG167" s="173"/>
      <c r="AH167" s="174"/>
      <c r="AI167" s="175"/>
      <c r="AJ167" s="174"/>
      <c r="AK167" s="176"/>
      <c r="AL167" s="174"/>
      <c r="AM167" s="177" t="s">
        <v>204</v>
      </c>
      <c r="AN167" s="244" t="s">
        <v>347</v>
      </c>
      <c r="AO167" s="178"/>
      <c r="AP167" s="179"/>
      <c r="AQ167" s="179"/>
      <c r="AR167" s="24"/>
      <c r="AS167" s="179"/>
    </row>
    <row r="168" spans="1:45" ht="30" customHeight="1" x14ac:dyDescent="0.35">
      <c r="A168" s="40">
        <v>2026</v>
      </c>
      <c r="B168" s="59" t="s">
        <v>79</v>
      </c>
      <c r="C168" s="58" t="s">
        <v>469</v>
      </c>
      <c r="D168" s="237" t="s">
        <v>114</v>
      </c>
      <c r="E168" s="180" t="s">
        <v>497</v>
      </c>
      <c r="F168" s="58" t="s">
        <v>538</v>
      </c>
      <c r="G168" s="237" t="s">
        <v>121</v>
      </c>
      <c r="H168" s="59" t="s">
        <v>126</v>
      </c>
      <c r="I168" s="65"/>
      <c r="J168" s="237" t="s">
        <v>132</v>
      </c>
      <c r="K168" s="237" t="s">
        <v>3</v>
      </c>
      <c r="L168" s="59" t="s">
        <v>6</v>
      </c>
      <c r="M168" s="58" t="s">
        <v>202</v>
      </c>
      <c r="N168" s="130"/>
      <c r="O168" s="172"/>
      <c r="P168" s="172"/>
      <c r="Q168" s="237" t="s">
        <v>140</v>
      </c>
      <c r="R168" s="78"/>
      <c r="S168" s="78"/>
      <c r="T168" s="58" t="s">
        <v>539</v>
      </c>
      <c r="U168" s="237">
        <v>2026</v>
      </c>
      <c r="V168" s="88">
        <v>46387</v>
      </c>
      <c r="W168" s="78"/>
      <c r="X168" s="88">
        <v>46024</v>
      </c>
      <c r="Y168" s="131">
        <v>96000</v>
      </c>
      <c r="Z168" s="131"/>
      <c r="AA168" s="131">
        <f t="shared" si="22"/>
        <v>96000</v>
      </c>
      <c r="AB168" s="131"/>
      <c r="AC168" s="131">
        <f t="shared" si="20"/>
        <v>96000</v>
      </c>
      <c r="AD168" s="131">
        <f t="shared" si="21"/>
        <v>96000</v>
      </c>
      <c r="AE168" s="173" t="s">
        <v>102</v>
      </c>
      <c r="AF168" s="173"/>
      <c r="AG168" s="173"/>
      <c r="AH168" s="174"/>
      <c r="AI168" s="175"/>
      <c r="AJ168" s="174"/>
      <c r="AK168" s="176"/>
      <c r="AL168" s="174"/>
      <c r="AM168" s="177" t="s">
        <v>204</v>
      </c>
      <c r="AN168" s="243" t="s">
        <v>178</v>
      </c>
      <c r="AO168" s="178"/>
      <c r="AP168" s="179"/>
      <c r="AQ168" s="179"/>
      <c r="AR168" s="24"/>
      <c r="AS168" s="179"/>
    </row>
    <row r="169" spans="1:45" ht="30" customHeight="1" x14ac:dyDescent="0.35">
      <c r="A169" s="40">
        <v>2026</v>
      </c>
      <c r="B169" s="59" t="s">
        <v>79</v>
      </c>
      <c r="C169" s="58" t="s">
        <v>469</v>
      </c>
      <c r="D169" s="237" t="s">
        <v>114</v>
      </c>
      <c r="E169" s="180"/>
      <c r="F169" s="58" t="s">
        <v>540</v>
      </c>
      <c r="G169" s="237" t="s">
        <v>121</v>
      </c>
      <c r="H169" s="59" t="s">
        <v>126</v>
      </c>
      <c r="I169" s="65"/>
      <c r="J169" s="237" t="s">
        <v>132</v>
      </c>
      <c r="K169" s="237" t="s">
        <v>3</v>
      </c>
      <c r="L169" s="59" t="s">
        <v>6</v>
      </c>
      <c r="M169" s="58" t="s">
        <v>202</v>
      </c>
      <c r="N169" s="130"/>
      <c r="O169" s="172"/>
      <c r="P169" s="172"/>
      <c r="Q169" s="237" t="s">
        <v>140</v>
      </c>
      <c r="R169" s="78"/>
      <c r="S169" s="78"/>
      <c r="T169" s="58" t="s">
        <v>541</v>
      </c>
      <c r="U169" s="237">
        <v>2026</v>
      </c>
      <c r="V169" s="88">
        <v>46387</v>
      </c>
      <c r="W169" s="78"/>
      <c r="X169" s="88">
        <v>46024</v>
      </c>
      <c r="Y169" s="131">
        <v>300000</v>
      </c>
      <c r="Z169" s="131"/>
      <c r="AA169" s="131">
        <f t="shared" si="22"/>
        <v>300000</v>
      </c>
      <c r="AB169" s="131"/>
      <c r="AC169" s="131">
        <f t="shared" si="20"/>
        <v>300000</v>
      </c>
      <c r="AD169" s="131">
        <f t="shared" si="21"/>
        <v>300000</v>
      </c>
      <c r="AE169" s="173" t="s">
        <v>102</v>
      </c>
      <c r="AF169" s="173"/>
      <c r="AG169" s="173"/>
      <c r="AH169" s="174"/>
      <c r="AI169" s="175"/>
      <c r="AJ169" s="174"/>
      <c r="AK169" s="176"/>
      <c r="AL169" s="174"/>
      <c r="AM169" s="177" t="s">
        <v>204</v>
      </c>
      <c r="AN169" s="243" t="s">
        <v>178</v>
      </c>
      <c r="AO169" s="178"/>
      <c r="AP169" s="179"/>
      <c r="AQ169" s="179"/>
      <c r="AR169" s="24"/>
      <c r="AS169" s="179"/>
    </row>
    <row r="170" spans="1:45" ht="30" customHeight="1" x14ac:dyDescent="0.35">
      <c r="A170" s="40">
        <v>2026</v>
      </c>
      <c r="B170" s="59" t="s">
        <v>79</v>
      </c>
      <c r="C170" s="58" t="s">
        <v>469</v>
      </c>
      <c r="D170" s="237" t="s">
        <v>114</v>
      </c>
      <c r="E170" s="180"/>
      <c r="F170" s="58" t="s">
        <v>542</v>
      </c>
      <c r="G170" s="237" t="s">
        <v>121</v>
      </c>
      <c r="H170" s="59" t="s">
        <v>126</v>
      </c>
      <c r="I170" s="65"/>
      <c r="J170" s="237" t="s">
        <v>132</v>
      </c>
      <c r="K170" s="237" t="s">
        <v>3</v>
      </c>
      <c r="L170" s="59" t="s">
        <v>6</v>
      </c>
      <c r="M170" s="58" t="s">
        <v>202</v>
      </c>
      <c r="N170" s="130"/>
      <c r="O170" s="172"/>
      <c r="P170" s="172"/>
      <c r="Q170" s="237" t="s">
        <v>140</v>
      </c>
      <c r="R170" s="78"/>
      <c r="S170" s="78"/>
      <c r="T170" s="58" t="s">
        <v>543</v>
      </c>
      <c r="U170" s="237">
        <v>2026</v>
      </c>
      <c r="V170" s="88">
        <v>46387</v>
      </c>
      <c r="W170" s="78"/>
      <c r="X170" s="88">
        <v>46024</v>
      </c>
      <c r="Y170" s="131">
        <v>130000</v>
      </c>
      <c r="Z170" s="131"/>
      <c r="AA170" s="131">
        <f t="shared" si="22"/>
        <v>130000</v>
      </c>
      <c r="AB170" s="131"/>
      <c r="AC170" s="131">
        <f t="shared" si="20"/>
        <v>130000</v>
      </c>
      <c r="AD170" s="131">
        <f t="shared" si="21"/>
        <v>130000</v>
      </c>
      <c r="AE170" s="173" t="s">
        <v>102</v>
      </c>
      <c r="AF170" s="173"/>
      <c r="AG170" s="173"/>
      <c r="AH170" s="174"/>
      <c r="AI170" s="175"/>
      <c r="AJ170" s="174"/>
      <c r="AK170" s="176"/>
      <c r="AL170" s="174"/>
      <c r="AM170" s="177" t="s">
        <v>204</v>
      </c>
      <c r="AN170" s="243" t="s">
        <v>178</v>
      </c>
      <c r="AO170" s="178"/>
      <c r="AP170" s="179"/>
      <c r="AQ170" s="179"/>
      <c r="AR170" s="24"/>
      <c r="AS170" s="179"/>
    </row>
    <row r="171" spans="1:45" ht="30" customHeight="1" x14ac:dyDescent="0.35">
      <c r="A171" s="40">
        <v>2026</v>
      </c>
      <c r="B171" s="59" t="s">
        <v>79</v>
      </c>
      <c r="C171" s="58" t="s">
        <v>469</v>
      </c>
      <c r="D171" s="237" t="s">
        <v>114</v>
      </c>
      <c r="E171" s="180"/>
      <c r="F171" s="58" t="s">
        <v>544</v>
      </c>
      <c r="G171" s="237" t="s">
        <v>121</v>
      </c>
      <c r="H171" s="59" t="s">
        <v>126</v>
      </c>
      <c r="I171" s="65"/>
      <c r="J171" s="237" t="s">
        <v>132</v>
      </c>
      <c r="K171" s="237" t="s">
        <v>3</v>
      </c>
      <c r="L171" s="59" t="s">
        <v>6</v>
      </c>
      <c r="M171" s="58" t="s">
        <v>202</v>
      </c>
      <c r="N171" s="130"/>
      <c r="O171" s="172"/>
      <c r="P171" s="172"/>
      <c r="Q171" s="237" t="s">
        <v>140</v>
      </c>
      <c r="R171" s="78"/>
      <c r="S171" s="78"/>
      <c r="T171" s="58" t="s">
        <v>407</v>
      </c>
      <c r="U171" s="237">
        <v>2026</v>
      </c>
      <c r="V171" s="88">
        <v>46387</v>
      </c>
      <c r="W171" s="78"/>
      <c r="X171" s="88">
        <v>46024</v>
      </c>
      <c r="Y171" s="131">
        <v>130000</v>
      </c>
      <c r="Z171" s="131"/>
      <c r="AA171" s="131">
        <f t="shared" si="22"/>
        <v>130000</v>
      </c>
      <c r="AB171" s="131"/>
      <c r="AC171" s="131">
        <f t="shared" si="20"/>
        <v>130000</v>
      </c>
      <c r="AD171" s="131">
        <f t="shared" si="21"/>
        <v>130000</v>
      </c>
      <c r="AE171" s="173" t="s">
        <v>102</v>
      </c>
      <c r="AF171" s="173"/>
      <c r="AG171" s="173"/>
      <c r="AH171" s="174"/>
      <c r="AI171" s="175"/>
      <c r="AJ171" s="174"/>
      <c r="AK171" s="176"/>
      <c r="AL171" s="174"/>
      <c r="AM171" s="177" t="s">
        <v>204</v>
      </c>
      <c r="AN171" s="243" t="s">
        <v>178</v>
      </c>
      <c r="AO171" s="178"/>
      <c r="AP171" s="179"/>
      <c r="AQ171" s="179"/>
      <c r="AR171" s="24"/>
      <c r="AS171" s="179"/>
    </row>
    <row r="172" spans="1:45" ht="30" customHeight="1" x14ac:dyDescent="0.35">
      <c r="A172" s="40">
        <v>2026</v>
      </c>
      <c r="B172" s="59" t="s">
        <v>79</v>
      </c>
      <c r="C172" s="58" t="s">
        <v>469</v>
      </c>
      <c r="D172" s="237" t="s">
        <v>114</v>
      </c>
      <c r="E172" s="105"/>
      <c r="F172" s="58" t="s">
        <v>545</v>
      </c>
      <c r="G172" s="237" t="s">
        <v>121</v>
      </c>
      <c r="H172" s="59" t="s">
        <v>126</v>
      </c>
      <c r="I172" s="65"/>
      <c r="J172" s="237" t="s">
        <v>132</v>
      </c>
      <c r="K172" s="237" t="s">
        <v>3</v>
      </c>
      <c r="L172" s="59" t="s">
        <v>6</v>
      </c>
      <c r="M172" s="58" t="s">
        <v>202</v>
      </c>
      <c r="N172" s="130"/>
      <c r="O172" s="172"/>
      <c r="P172" s="172"/>
      <c r="Q172" s="237" t="s">
        <v>140</v>
      </c>
      <c r="R172" s="78"/>
      <c r="S172" s="78"/>
      <c r="T172" s="58" t="s">
        <v>546</v>
      </c>
      <c r="U172" s="237">
        <v>2026</v>
      </c>
      <c r="V172" s="88">
        <v>46387</v>
      </c>
      <c r="W172" s="78"/>
      <c r="X172" s="88">
        <v>46024</v>
      </c>
      <c r="Y172" s="131">
        <v>78000</v>
      </c>
      <c r="Z172" s="131"/>
      <c r="AA172" s="131">
        <f t="shared" si="22"/>
        <v>78000</v>
      </c>
      <c r="AB172" s="131"/>
      <c r="AC172" s="131">
        <f t="shared" si="20"/>
        <v>78000</v>
      </c>
      <c r="AD172" s="131">
        <f t="shared" si="21"/>
        <v>78000</v>
      </c>
      <c r="AE172" s="173" t="s">
        <v>102</v>
      </c>
      <c r="AF172" s="173"/>
      <c r="AG172" s="173"/>
      <c r="AH172" s="174"/>
      <c r="AI172" s="175"/>
      <c r="AJ172" s="174"/>
      <c r="AK172" s="176"/>
      <c r="AL172" s="174"/>
      <c r="AM172" s="177" t="s">
        <v>204</v>
      </c>
      <c r="AN172" s="244" t="s">
        <v>347</v>
      </c>
      <c r="AO172" s="178"/>
      <c r="AP172" s="179"/>
      <c r="AQ172" s="179"/>
      <c r="AR172" s="24"/>
      <c r="AS172" s="179"/>
    </row>
    <row r="173" spans="1:45" ht="30" customHeight="1" x14ac:dyDescent="0.35">
      <c r="A173" s="40">
        <v>2026</v>
      </c>
      <c r="B173" s="59" t="s">
        <v>79</v>
      </c>
      <c r="C173" s="58" t="s">
        <v>469</v>
      </c>
      <c r="D173" s="237" t="s">
        <v>114</v>
      </c>
      <c r="E173" s="180"/>
      <c r="F173" s="58" t="s">
        <v>547</v>
      </c>
      <c r="G173" s="237" t="s">
        <v>121</v>
      </c>
      <c r="H173" s="59" t="s">
        <v>126</v>
      </c>
      <c r="I173" s="65"/>
      <c r="J173" s="237" t="s">
        <v>132</v>
      </c>
      <c r="K173" s="237" t="s">
        <v>3</v>
      </c>
      <c r="L173" s="59" t="s">
        <v>6</v>
      </c>
      <c r="M173" s="58" t="s">
        <v>202</v>
      </c>
      <c r="N173" s="130"/>
      <c r="O173" s="172"/>
      <c r="P173" s="172"/>
      <c r="Q173" s="237" t="s">
        <v>140</v>
      </c>
      <c r="R173" s="78"/>
      <c r="S173" s="78"/>
      <c r="T173" s="58" t="s">
        <v>548</v>
      </c>
      <c r="U173" s="237">
        <v>2026</v>
      </c>
      <c r="V173" s="88">
        <v>46387</v>
      </c>
      <c r="W173" s="78"/>
      <c r="X173" s="88">
        <v>46024</v>
      </c>
      <c r="Y173" s="131">
        <v>130000</v>
      </c>
      <c r="Z173" s="131"/>
      <c r="AA173" s="131">
        <f t="shared" si="22"/>
        <v>130000</v>
      </c>
      <c r="AB173" s="131"/>
      <c r="AC173" s="131">
        <f t="shared" si="20"/>
        <v>130000</v>
      </c>
      <c r="AD173" s="131">
        <f t="shared" si="21"/>
        <v>130000</v>
      </c>
      <c r="AE173" s="173" t="s">
        <v>102</v>
      </c>
      <c r="AF173" s="173"/>
      <c r="AG173" s="173"/>
      <c r="AH173" s="174"/>
      <c r="AI173" s="175"/>
      <c r="AJ173" s="174"/>
      <c r="AK173" s="176"/>
      <c r="AL173" s="174"/>
      <c r="AM173" s="177" t="s">
        <v>204</v>
      </c>
      <c r="AN173" s="243" t="s">
        <v>178</v>
      </c>
      <c r="AO173" s="178"/>
      <c r="AP173" s="179"/>
      <c r="AQ173" s="179"/>
      <c r="AR173" s="24"/>
      <c r="AS173" s="179"/>
    </row>
    <row r="174" spans="1:45" ht="30" customHeight="1" x14ac:dyDescent="0.35">
      <c r="A174" s="40">
        <v>2026</v>
      </c>
      <c r="B174" s="59" t="s">
        <v>61</v>
      </c>
      <c r="C174" s="58" t="s">
        <v>549</v>
      </c>
      <c r="D174" s="237" t="s">
        <v>114</v>
      </c>
      <c r="E174" s="180"/>
      <c r="F174" s="58" t="s">
        <v>550</v>
      </c>
      <c r="G174" s="237" t="s">
        <v>121</v>
      </c>
      <c r="H174" s="59" t="s">
        <v>126</v>
      </c>
      <c r="I174" s="65"/>
      <c r="J174" s="237" t="s">
        <v>132</v>
      </c>
      <c r="K174" s="237" t="s">
        <v>3</v>
      </c>
      <c r="L174" s="59" t="s">
        <v>6</v>
      </c>
      <c r="M174" s="58" t="s">
        <v>202</v>
      </c>
      <c r="N174" s="130"/>
      <c r="O174" s="172"/>
      <c r="P174" s="172"/>
      <c r="Q174" s="237" t="s">
        <v>140</v>
      </c>
      <c r="R174" s="78"/>
      <c r="S174" s="78"/>
      <c r="T174" s="58" t="s">
        <v>551</v>
      </c>
      <c r="U174" s="237">
        <v>2026</v>
      </c>
      <c r="V174" s="88">
        <v>46387</v>
      </c>
      <c r="W174" s="78"/>
      <c r="X174" s="88">
        <v>46024</v>
      </c>
      <c r="Y174" s="131">
        <v>120000</v>
      </c>
      <c r="Z174" s="131"/>
      <c r="AA174" s="131">
        <f t="shared" si="22"/>
        <v>120000</v>
      </c>
      <c r="AB174" s="131"/>
      <c r="AC174" s="131">
        <f t="shared" si="20"/>
        <v>120000</v>
      </c>
      <c r="AD174" s="131">
        <f t="shared" si="21"/>
        <v>120000</v>
      </c>
      <c r="AE174" s="173" t="s">
        <v>102</v>
      </c>
      <c r="AF174" s="173"/>
      <c r="AG174" s="173"/>
      <c r="AH174" s="174"/>
      <c r="AI174" s="175"/>
      <c r="AJ174" s="174"/>
      <c r="AK174" s="176"/>
      <c r="AL174" s="174"/>
      <c r="AM174" s="177" t="s">
        <v>204</v>
      </c>
      <c r="AN174" s="243" t="s">
        <v>178</v>
      </c>
      <c r="AO174" s="178"/>
      <c r="AP174" s="179"/>
      <c r="AQ174" s="179"/>
      <c r="AR174" s="24"/>
      <c r="AS174" s="179"/>
    </row>
    <row r="175" spans="1:45" ht="30" customHeight="1" x14ac:dyDescent="0.35">
      <c r="A175" s="40">
        <v>2026</v>
      </c>
      <c r="B175" s="59" t="s">
        <v>61</v>
      </c>
      <c r="C175" s="58" t="s">
        <v>549</v>
      </c>
      <c r="D175" s="237" t="s">
        <v>114</v>
      </c>
      <c r="E175" s="105">
        <v>493</v>
      </c>
      <c r="F175" s="58" t="s">
        <v>552</v>
      </c>
      <c r="G175" s="237" t="s">
        <v>121</v>
      </c>
      <c r="H175" s="59" t="s">
        <v>126</v>
      </c>
      <c r="I175" s="65"/>
      <c r="J175" s="237" t="s">
        <v>132</v>
      </c>
      <c r="K175" s="237" t="s">
        <v>3</v>
      </c>
      <c r="L175" s="59" t="s">
        <v>6</v>
      </c>
      <c r="M175" s="58" t="s">
        <v>202</v>
      </c>
      <c r="N175" s="130"/>
      <c r="O175" s="172"/>
      <c r="P175" s="172"/>
      <c r="Q175" s="237" t="s">
        <v>140</v>
      </c>
      <c r="R175" s="78"/>
      <c r="S175" s="78"/>
      <c r="T175" s="58" t="s">
        <v>553</v>
      </c>
      <c r="U175" s="237">
        <v>2026</v>
      </c>
      <c r="V175" s="88">
        <v>46387</v>
      </c>
      <c r="W175" s="78"/>
      <c r="X175" s="88">
        <v>46024</v>
      </c>
      <c r="Y175" s="131">
        <v>120000</v>
      </c>
      <c r="Z175" s="131"/>
      <c r="AA175" s="131">
        <f t="shared" si="22"/>
        <v>120000</v>
      </c>
      <c r="AB175" s="131"/>
      <c r="AC175" s="131">
        <f t="shared" si="20"/>
        <v>120000</v>
      </c>
      <c r="AD175" s="131">
        <f t="shared" si="21"/>
        <v>120000</v>
      </c>
      <c r="AE175" s="173" t="s">
        <v>102</v>
      </c>
      <c r="AF175" s="173"/>
      <c r="AG175" s="173"/>
      <c r="AH175" s="174"/>
      <c r="AI175" s="175"/>
      <c r="AJ175" s="174"/>
      <c r="AK175" s="176"/>
      <c r="AL175" s="174"/>
      <c r="AM175" s="177" t="s">
        <v>204</v>
      </c>
      <c r="AN175" s="243" t="s">
        <v>178</v>
      </c>
      <c r="AO175" s="178"/>
      <c r="AP175" s="179"/>
      <c r="AQ175" s="179"/>
      <c r="AR175" s="24"/>
      <c r="AS175" s="179"/>
    </row>
    <row r="176" spans="1:45" ht="30" customHeight="1" x14ac:dyDescent="0.35">
      <c r="A176" s="40">
        <v>2026</v>
      </c>
      <c r="B176" s="59" t="s">
        <v>61</v>
      </c>
      <c r="C176" s="58" t="s">
        <v>549</v>
      </c>
      <c r="D176" s="237" t="s">
        <v>114</v>
      </c>
      <c r="E176" s="180"/>
      <c r="F176" s="58" t="s">
        <v>554</v>
      </c>
      <c r="G176" s="237" t="s">
        <v>121</v>
      </c>
      <c r="H176" s="59" t="s">
        <v>126</v>
      </c>
      <c r="I176" s="65"/>
      <c r="J176" s="237" t="s">
        <v>132</v>
      </c>
      <c r="K176" s="237" t="s">
        <v>3</v>
      </c>
      <c r="L176" s="59" t="s">
        <v>6</v>
      </c>
      <c r="M176" s="58" t="s">
        <v>202</v>
      </c>
      <c r="N176" s="130"/>
      <c r="O176" s="172"/>
      <c r="P176" s="172"/>
      <c r="Q176" s="237" t="s">
        <v>140</v>
      </c>
      <c r="R176" s="78"/>
      <c r="S176" s="78"/>
      <c r="T176" s="58" t="s">
        <v>555</v>
      </c>
      <c r="U176" s="237">
        <v>2026</v>
      </c>
      <c r="V176" s="88">
        <v>46387</v>
      </c>
      <c r="W176" s="78"/>
      <c r="X176" s="88">
        <v>46024</v>
      </c>
      <c r="Y176" s="131">
        <v>121212.12</v>
      </c>
      <c r="Z176" s="131"/>
      <c r="AA176" s="131">
        <f t="shared" si="22"/>
        <v>121212.12</v>
      </c>
      <c r="AB176" s="131"/>
      <c r="AC176" s="131">
        <f t="shared" si="20"/>
        <v>121212.12</v>
      </c>
      <c r="AD176" s="131">
        <f t="shared" si="21"/>
        <v>121212.12</v>
      </c>
      <c r="AE176" s="173" t="s">
        <v>102</v>
      </c>
      <c r="AF176" s="173"/>
      <c r="AG176" s="173"/>
      <c r="AH176" s="174"/>
      <c r="AI176" s="175"/>
      <c r="AJ176" s="174"/>
      <c r="AK176" s="176"/>
      <c r="AL176" s="174"/>
      <c r="AM176" s="177" t="s">
        <v>204</v>
      </c>
      <c r="AN176" s="243" t="s">
        <v>178</v>
      </c>
      <c r="AO176" s="178"/>
      <c r="AP176" s="179"/>
      <c r="AQ176" s="179"/>
      <c r="AR176" s="24"/>
      <c r="AS176" s="179"/>
    </row>
    <row r="177" spans="1:45" ht="30" customHeight="1" x14ac:dyDescent="0.35">
      <c r="A177" s="40">
        <v>2026</v>
      </c>
      <c r="B177" s="59" t="s">
        <v>61</v>
      </c>
      <c r="C177" s="58" t="s">
        <v>556</v>
      </c>
      <c r="D177" s="237" t="s">
        <v>114</v>
      </c>
      <c r="E177" s="180"/>
      <c r="F177" s="58" t="s">
        <v>557</v>
      </c>
      <c r="G177" s="237" t="s">
        <v>121</v>
      </c>
      <c r="H177" s="59" t="s">
        <v>126</v>
      </c>
      <c r="I177" s="65"/>
      <c r="J177" s="237" t="s">
        <v>132</v>
      </c>
      <c r="K177" s="237" t="s">
        <v>3</v>
      </c>
      <c r="L177" s="59" t="s">
        <v>6</v>
      </c>
      <c r="M177" s="58" t="s">
        <v>202</v>
      </c>
      <c r="N177" s="130"/>
      <c r="O177" s="172"/>
      <c r="P177" s="172"/>
      <c r="Q177" s="237" t="s">
        <v>140</v>
      </c>
      <c r="R177" s="78"/>
      <c r="S177" s="78"/>
      <c r="T177" s="58" t="s">
        <v>558</v>
      </c>
      <c r="U177" s="237">
        <v>2026</v>
      </c>
      <c r="V177" s="88">
        <v>46387</v>
      </c>
      <c r="W177" s="78"/>
      <c r="X177" s="88">
        <v>46024</v>
      </c>
      <c r="Y177" s="131">
        <v>694285.68</v>
      </c>
      <c r="Z177" s="131"/>
      <c r="AA177" s="131">
        <f t="shared" si="22"/>
        <v>694285.68</v>
      </c>
      <c r="AB177" s="131"/>
      <c r="AC177" s="131">
        <f t="shared" si="20"/>
        <v>694285.68</v>
      </c>
      <c r="AD177" s="131">
        <f t="shared" si="21"/>
        <v>694285.68</v>
      </c>
      <c r="AE177" s="173" t="s">
        <v>102</v>
      </c>
      <c r="AF177" s="173"/>
      <c r="AG177" s="173"/>
      <c r="AH177" s="174"/>
      <c r="AI177" s="175"/>
      <c r="AJ177" s="174"/>
      <c r="AK177" s="176"/>
      <c r="AL177" s="174"/>
      <c r="AM177" s="177" t="s">
        <v>204</v>
      </c>
      <c r="AN177" s="243" t="s">
        <v>178</v>
      </c>
      <c r="AO177" s="178"/>
      <c r="AP177" s="179"/>
      <c r="AQ177" s="179"/>
      <c r="AR177" s="24"/>
      <c r="AS177" s="179"/>
    </row>
    <row r="178" spans="1:45" ht="30" customHeight="1" x14ac:dyDescent="0.35">
      <c r="A178" s="40">
        <v>2026</v>
      </c>
      <c r="B178" s="59" t="s">
        <v>61</v>
      </c>
      <c r="C178" s="58" t="s">
        <v>556</v>
      </c>
      <c r="D178" s="237" t="s">
        <v>114</v>
      </c>
      <c r="E178" s="105">
        <v>470</v>
      </c>
      <c r="F178" s="58" t="s">
        <v>559</v>
      </c>
      <c r="G178" s="237" t="s">
        <v>121</v>
      </c>
      <c r="H178" s="59" t="s">
        <v>126</v>
      </c>
      <c r="I178" s="65"/>
      <c r="J178" s="237" t="s">
        <v>132</v>
      </c>
      <c r="K178" s="237" t="s">
        <v>3</v>
      </c>
      <c r="L178" s="59" t="s">
        <v>6</v>
      </c>
      <c r="M178" s="58" t="s">
        <v>202</v>
      </c>
      <c r="N178" s="130"/>
      <c r="O178" s="172"/>
      <c r="P178" s="172"/>
      <c r="Q178" s="237" t="s">
        <v>140</v>
      </c>
      <c r="R178" s="78"/>
      <c r="S178" s="78"/>
      <c r="T178" s="58" t="s">
        <v>560</v>
      </c>
      <c r="U178" s="237">
        <v>2026</v>
      </c>
      <c r="V178" s="88">
        <v>46387</v>
      </c>
      <c r="W178" s="78"/>
      <c r="X178" s="88">
        <v>46024</v>
      </c>
      <c r="Y178" s="131">
        <v>127272.72</v>
      </c>
      <c r="Z178" s="131"/>
      <c r="AA178" s="131">
        <f t="shared" si="22"/>
        <v>127272.72</v>
      </c>
      <c r="AB178" s="131"/>
      <c r="AC178" s="131">
        <f t="shared" si="20"/>
        <v>127272.72</v>
      </c>
      <c r="AD178" s="131">
        <f t="shared" si="21"/>
        <v>127272.72</v>
      </c>
      <c r="AE178" s="173" t="s">
        <v>102</v>
      </c>
      <c r="AF178" s="173"/>
      <c r="AG178" s="173"/>
      <c r="AH178" s="174"/>
      <c r="AI178" s="175"/>
      <c r="AJ178" s="174"/>
      <c r="AK178" s="176"/>
      <c r="AL178" s="174"/>
      <c r="AM178" s="177" t="s">
        <v>204</v>
      </c>
      <c r="AN178" s="243" t="s">
        <v>178</v>
      </c>
      <c r="AO178" s="178"/>
      <c r="AP178" s="179"/>
      <c r="AQ178" s="179"/>
      <c r="AR178" s="24"/>
      <c r="AS178" s="179"/>
    </row>
    <row r="179" spans="1:45" ht="30" customHeight="1" x14ac:dyDescent="0.35">
      <c r="A179" s="40">
        <v>2026</v>
      </c>
      <c r="B179" s="59" t="s">
        <v>61</v>
      </c>
      <c r="C179" s="58" t="s">
        <v>556</v>
      </c>
      <c r="D179" s="237" t="s">
        <v>114</v>
      </c>
      <c r="E179" s="105">
        <v>470</v>
      </c>
      <c r="F179" s="58" t="s">
        <v>561</v>
      </c>
      <c r="G179" s="237" t="s">
        <v>121</v>
      </c>
      <c r="H179" s="59" t="s">
        <v>126</v>
      </c>
      <c r="I179" s="65"/>
      <c r="J179" s="237" t="s">
        <v>132</v>
      </c>
      <c r="K179" s="237" t="s">
        <v>3</v>
      </c>
      <c r="L179" s="59" t="s">
        <v>6</v>
      </c>
      <c r="M179" s="58" t="s">
        <v>202</v>
      </c>
      <c r="N179" s="130"/>
      <c r="O179" s="172"/>
      <c r="P179" s="172"/>
      <c r="Q179" s="237" t="s">
        <v>140</v>
      </c>
      <c r="R179" s="78"/>
      <c r="S179" s="78"/>
      <c r="T179" s="58" t="s">
        <v>562</v>
      </c>
      <c r="U179" s="237">
        <v>2026</v>
      </c>
      <c r="V179" s="88">
        <v>46387</v>
      </c>
      <c r="W179" s="78"/>
      <c r="X179" s="88">
        <v>46024</v>
      </c>
      <c r="Y179" s="131">
        <v>193939.44</v>
      </c>
      <c r="Z179" s="131"/>
      <c r="AA179" s="131">
        <f t="shared" si="22"/>
        <v>193939.44</v>
      </c>
      <c r="AB179" s="131"/>
      <c r="AC179" s="131">
        <f t="shared" si="20"/>
        <v>193939.44</v>
      </c>
      <c r="AD179" s="131">
        <f t="shared" si="21"/>
        <v>193939.44</v>
      </c>
      <c r="AE179" s="173" t="s">
        <v>102</v>
      </c>
      <c r="AF179" s="173"/>
      <c r="AG179" s="173"/>
      <c r="AH179" s="174"/>
      <c r="AI179" s="175"/>
      <c r="AJ179" s="174"/>
      <c r="AK179" s="176"/>
      <c r="AL179" s="174"/>
      <c r="AM179" s="177" t="s">
        <v>204</v>
      </c>
      <c r="AN179" s="243" t="s">
        <v>178</v>
      </c>
      <c r="AO179" s="178"/>
      <c r="AP179" s="179"/>
      <c r="AQ179" s="179"/>
      <c r="AR179" s="24"/>
      <c r="AS179" s="179"/>
    </row>
    <row r="180" spans="1:45" ht="30" customHeight="1" x14ac:dyDescent="0.35">
      <c r="A180" s="40">
        <v>2026</v>
      </c>
      <c r="B180" s="59" t="s">
        <v>61</v>
      </c>
      <c r="C180" s="58" t="s">
        <v>556</v>
      </c>
      <c r="D180" s="237" t="s">
        <v>114</v>
      </c>
      <c r="E180" s="105">
        <v>470</v>
      </c>
      <c r="F180" s="58" t="s">
        <v>563</v>
      </c>
      <c r="G180" s="237" t="s">
        <v>121</v>
      </c>
      <c r="H180" s="59" t="s">
        <v>126</v>
      </c>
      <c r="I180" s="65"/>
      <c r="J180" s="237" t="s">
        <v>132</v>
      </c>
      <c r="K180" s="237" t="s">
        <v>3</v>
      </c>
      <c r="L180" s="59" t="s">
        <v>6</v>
      </c>
      <c r="M180" s="58" t="s">
        <v>202</v>
      </c>
      <c r="N180" s="130"/>
      <c r="O180" s="172"/>
      <c r="P180" s="172"/>
      <c r="Q180" s="237" t="s">
        <v>140</v>
      </c>
      <c r="R180" s="78"/>
      <c r="S180" s="78"/>
      <c r="T180" s="58" t="s">
        <v>564</v>
      </c>
      <c r="U180" s="237">
        <v>2026</v>
      </c>
      <c r="V180" s="88">
        <v>46387</v>
      </c>
      <c r="W180" s="78"/>
      <c r="X180" s="88">
        <v>46024</v>
      </c>
      <c r="Y180" s="131">
        <v>240000</v>
      </c>
      <c r="Z180" s="131"/>
      <c r="AA180" s="131">
        <f t="shared" si="22"/>
        <v>240000</v>
      </c>
      <c r="AB180" s="131"/>
      <c r="AC180" s="131">
        <f t="shared" si="20"/>
        <v>240000</v>
      </c>
      <c r="AD180" s="131">
        <f t="shared" si="21"/>
        <v>240000</v>
      </c>
      <c r="AE180" s="173" t="s">
        <v>102</v>
      </c>
      <c r="AF180" s="173"/>
      <c r="AG180" s="173"/>
      <c r="AH180" s="174"/>
      <c r="AI180" s="175"/>
      <c r="AJ180" s="174"/>
      <c r="AK180" s="176"/>
      <c r="AL180" s="174"/>
      <c r="AM180" s="177" t="s">
        <v>204</v>
      </c>
      <c r="AN180" s="243" t="s">
        <v>178</v>
      </c>
      <c r="AO180" s="178"/>
      <c r="AP180" s="179"/>
      <c r="AQ180" s="179"/>
      <c r="AR180" s="24"/>
      <c r="AS180" s="179"/>
    </row>
    <row r="181" spans="1:45" ht="30" customHeight="1" x14ac:dyDescent="0.35">
      <c r="A181" s="40">
        <v>2026</v>
      </c>
      <c r="B181" s="59" t="s">
        <v>61</v>
      </c>
      <c r="C181" s="58" t="s">
        <v>556</v>
      </c>
      <c r="D181" s="237" t="s">
        <v>114</v>
      </c>
      <c r="E181" s="105">
        <v>470</v>
      </c>
      <c r="F181" s="58" t="s">
        <v>565</v>
      </c>
      <c r="G181" s="237" t="s">
        <v>121</v>
      </c>
      <c r="H181" s="59" t="s">
        <v>126</v>
      </c>
      <c r="I181" s="65"/>
      <c r="J181" s="237" t="s">
        <v>132</v>
      </c>
      <c r="K181" s="237" t="s">
        <v>3</v>
      </c>
      <c r="L181" s="59" t="s">
        <v>6</v>
      </c>
      <c r="M181" s="58" t="s">
        <v>202</v>
      </c>
      <c r="N181" s="130"/>
      <c r="O181" s="172"/>
      <c r="P181" s="172"/>
      <c r="Q181" s="237" t="s">
        <v>140</v>
      </c>
      <c r="R181" s="78"/>
      <c r="S181" s="78"/>
      <c r="T181" s="58" t="s">
        <v>566</v>
      </c>
      <c r="U181" s="237">
        <v>2026</v>
      </c>
      <c r="V181" s="88">
        <v>46387</v>
      </c>
      <c r="W181" s="78"/>
      <c r="X181" s="88">
        <v>46024</v>
      </c>
      <c r="Y181" s="131">
        <v>377142.72</v>
      </c>
      <c r="Z181" s="131"/>
      <c r="AA181" s="131">
        <f t="shared" si="22"/>
        <v>377142.72</v>
      </c>
      <c r="AB181" s="131"/>
      <c r="AC181" s="131">
        <f t="shared" si="20"/>
        <v>377142.72</v>
      </c>
      <c r="AD181" s="131">
        <f t="shared" si="21"/>
        <v>377142.72</v>
      </c>
      <c r="AE181" s="173" t="s">
        <v>102</v>
      </c>
      <c r="AF181" s="173"/>
      <c r="AG181" s="173"/>
      <c r="AH181" s="174"/>
      <c r="AI181" s="175"/>
      <c r="AJ181" s="174"/>
      <c r="AK181" s="176"/>
      <c r="AL181" s="174"/>
      <c r="AM181" s="177" t="s">
        <v>204</v>
      </c>
      <c r="AN181" s="243" t="s">
        <v>178</v>
      </c>
      <c r="AO181" s="178"/>
      <c r="AP181" s="179"/>
      <c r="AQ181" s="179"/>
      <c r="AR181" s="24"/>
      <c r="AS181" s="179"/>
    </row>
    <row r="182" spans="1:45" ht="30" customHeight="1" x14ac:dyDescent="0.35">
      <c r="A182" s="40">
        <v>2026</v>
      </c>
      <c r="B182" s="59" t="s">
        <v>61</v>
      </c>
      <c r="C182" s="58" t="s">
        <v>556</v>
      </c>
      <c r="D182" s="237" t="s">
        <v>114</v>
      </c>
      <c r="E182" s="105">
        <v>470</v>
      </c>
      <c r="F182" s="58" t="s">
        <v>567</v>
      </c>
      <c r="G182" s="237" t="s">
        <v>121</v>
      </c>
      <c r="H182" s="59" t="s">
        <v>126</v>
      </c>
      <c r="I182" s="65"/>
      <c r="J182" s="237" t="s">
        <v>132</v>
      </c>
      <c r="K182" s="237" t="s">
        <v>3</v>
      </c>
      <c r="L182" s="59" t="s">
        <v>6</v>
      </c>
      <c r="M182" s="58" t="s">
        <v>202</v>
      </c>
      <c r="N182" s="130"/>
      <c r="O182" s="172"/>
      <c r="P182" s="172"/>
      <c r="Q182" s="237" t="s">
        <v>140</v>
      </c>
      <c r="R182" s="78"/>
      <c r="S182" s="78"/>
      <c r="T182" s="58" t="s">
        <v>568</v>
      </c>
      <c r="U182" s="237">
        <v>2026</v>
      </c>
      <c r="V182" s="88">
        <v>46387</v>
      </c>
      <c r="W182" s="78"/>
      <c r="X182" s="88">
        <v>46024</v>
      </c>
      <c r="Y182" s="131">
        <v>342857.04</v>
      </c>
      <c r="Z182" s="131"/>
      <c r="AA182" s="131">
        <f t="shared" si="22"/>
        <v>342857.04</v>
      </c>
      <c r="AB182" s="131"/>
      <c r="AC182" s="131">
        <f t="shared" si="20"/>
        <v>342857.04</v>
      </c>
      <c r="AD182" s="131">
        <f t="shared" si="21"/>
        <v>342857.04</v>
      </c>
      <c r="AE182" s="173" t="s">
        <v>102</v>
      </c>
      <c r="AF182" s="173"/>
      <c r="AG182" s="173"/>
      <c r="AH182" s="174"/>
      <c r="AI182" s="175"/>
      <c r="AJ182" s="174"/>
      <c r="AK182" s="176"/>
      <c r="AL182" s="174"/>
      <c r="AM182" s="177" t="s">
        <v>204</v>
      </c>
      <c r="AN182" s="243" t="s">
        <v>178</v>
      </c>
      <c r="AO182" s="178"/>
      <c r="AP182" s="179"/>
      <c r="AQ182" s="179"/>
      <c r="AR182" s="24"/>
      <c r="AS182" s="179"/>
    </row>
    <row r="183" spans="1:45" ht="30" customHeight="1" x14ac:dyDescent="0.35">
      <c r="A183" s="40">
        <v>2026</v>
      </c>
      <c r="B183" s="59" t="s">
        <v>61</v>
      </c>
      <c r="C183" s="58" t="s">
        <v>556</v>
      </c>
      <c r="D183" s="237" t="s">
        <v>114</v>
      </c>
      <c r="E183" s="105">
        <v>470</v>
      </c>
      <c r="F183" s="58" t="s">
        <v>569</v>
      </c>
      <c r="G183" s="237" t="s">
        <v>121</v>
      </c>
      <c r="H183" s="59" t="s">
        <v>126</v>
      </c>
      <c r="I183" s="65"/>
      <c r="J183" s="237" t="s">
        <v>132</v>
      </c>
      <c r="K183" s="237" t="s">
        <v>3</v>
      </c>
      <c r="L183" s="59" t="s">
        <v>6</v>
      </c>
      <c r="M183" s="58" t="s">
        <v>202</v>
      </c>
      <c r="N183" s="130"/>
      <c r="O183" s="172"/>
      <c r="P183" s="172"/>
      <c r="Q183" s="237" t="s">
        <v>140</v>
      </c>
      <c r="R183" s="78"/>
      <c r="S183" s="78"/>
      <c r="T183" s="58" t="s">
        <v>570</v>
      </c>
      <c r="U183" s="237">
        <v>2026</v>
      </c>
      <c r="V183" s="88">
        <v>46387</v>
      </c>
      <c r="W183" s="78"/>
      <c r="X183" s="88">
        <v>46024</v>
      </c>
      <c r="Y183" s="131">
        <v>126000</v>
      </c>
      <c r="Z183" s="131"/>
      <c r="AA183" s="131">
        <f t="shared" si="22"/>
        <v>126000</v>
      </c>
      <c r="AB183" s="131"/>
      <c r="AC183" s="131">
        <f t="shared" si="20"/>
        <v>126000</v>
      </c>
      <c r="AD183" s="131">
        <f t="shared" si="21"/>
        <v>126000</v>
      </c>
      <c r="AE183" s="173" t="s">
        <v>102</v>
      </c>
      <c r="AF183" s="173"/>
      <c r="AG183" s="173"/>
      <c r="AH183" s="174"/>
      <c r="AI183" s="175"/>
      <c r="AJ183" s="174"/>
      <c r="AK183" s="176"/>
      <c r="AL183" s="174"/>
      <c r="AM183" s="177" t="s">
        <v>204</v>
      </c>
      <c r="AN183" s="243" t="s">
        <v>178</v>
      </c>
      <c r="AO183" s="178"/>
      <c r="AP183" s="179"/>
      <c r="AQ183" s="179"/>
      <c r="AR183" s="24"/>
      <c r="AS183" s="179"/>
    </row>
    <row r="184" spans="1:45" ht="30" customHeight="1" x14ac:dyDescent="0.35">
      <c r="A184" s="40">
        <v>2026</v>
      </c>
      <c r="B184" s="59" t="s">
        <v>61</v>
      </c>
      <c r="C184" s="58" t="s">
        <v>556</v>
      </c>
      <c r="D184" s="237" t="s">
        <v>114</v>
      </c>
      <c r="E184" s="105">
        <v>470</v>
      </c>
      <c r="F184" s="58" t="s">
        <v>571</v>
      </c>
      <c r="G184" s="237" t="s">
        <v>121</v>
      </c>
      <c r="H184" s="59" t="s">
        <v>126</v>
      </c>
      <c r="I184" s="65"/>
      <c r="J184" s="237" t="s">
        <v>132</v>
      </c>
      <c r="K184" s="237" t="s">
        <v>3</v>
      </c>
      <c r="L184" s="59" t="s">
        <v>6</v>
      </c>
      <c r="M184" s="58" t="s">
        <v>202</v>
      </c>
      <c r="N184" s="130"/>
      <c r="O184" s="172"/>
      <c r="P184" s="172"/>
      <c r="Q184" s="237" t="s">
        <v>140</v>
      </c>
      <c r="R184" s="78"/>
      <c r="S184" s="78"/>
      <c r="T184" s="58" t="s">
        <v>572</v>
      </c>
      <c r="U184" s="237">
        <v>2026</v>
      </c>
      <c r="V184" s="88">
        <v>46387</v>
      </c>
      <c r="W184" s="78"/>
      <c r="X184" s="88">
        <v>46024</v>
      </c>
      <c r="Y184" s="131">
        <v>126000</v>
      </c>
      <c r="Z184" s="131"/>
      <c r="AA184" s="131">
        <f t="shared" si="22"/>
        <v>126000</v>
      </c>
      <c r="AB184" s="131"/>
      <c r="AC184" s="131">
        <f t="shared" si="20"/>
        <v>126000</v>
      </c>
      <c r="AD184" s="131">
        <f t="shared" si="21"/>
        <v>126000</v>
      </c>
      <c r="AE184" s="173" t="s">
        <v>102</v>
      </c>
      <c r="AF184" s="173"/>
      <c r="AG184" s="173"/>
      <c r="AH184" s="174"/>
      <c r="AI184" s="175"/>
      <c r="AJ184" s="174"/>
      <c r="AK184" s="176"/>
      <c r="AL184" s="174"/>
      <c r="AM184" s="177" t="s">
        <v>204</v>
      </c>
      <c r="AN184" s="243" t="s">
        <v>178</v>
      </c>
      <c r="AO184" s="178"/>
      <c r="AP184" s="179"/>
      <c r="AQ184" s="179"/>
      <c r="AR184" s="24"/>
      <c r="AS184" s="179"/>
    </row>
    <row r="185" spans="1:45" ht="30" customHeight="1" x14ac:dyDescent="0.35">
      <c r="A185" s="38">
        <v>2026</v>
      </c>
      <c r="B185" s="59" t="s">
        <v>67</v>
      </c>
      <c r="C185" s="58" t="s">
        <v>573</v>
      </c>
      <c r="D185" s="237" t="s">
        <v>114</v>
      </c>
      <c r="E185" s="180"/>
      <c r="F185" s="58" t="s">
        <v>574</v>
      </c>
      <c r="G185" s="237" t="s">
        <v>121</v>
      </c>
      <c r="H185" s="59" t="s">
        <v>126</v>
      </c>
      <c r="I185" s="65"/>
      <c r="J185" s="237" t="s">
        <v>132</v>
      </c>
      <c r="K185" s="237" t="s">
        <v>3</v>
      </c>
      <c r="L185" s="59" t="s">
        <v>6</v>
      </c>
      <c r="M185" s="58" t="s">
        <v>202</v>
      </c>
      <c r="N185" s="130"/>
      <c r="O185" s="172"/>
      <c r="P185" s="172"/>
      <c r="Q185" s="237" t="s">
        <v>140</v>
      </c>
      <c r="R185" s="78"/>
      <c r="S185" s="78"/>
      <c r="T185" s="58" t="s">
        <v>575</v>
      </c>
      <c r="U185" s="237">
        <v>2026</v>
      </c>
      <c r="V185" s="88">
        <v>46387</v>
      </c>
      <c r="W185" s="78"/>
      <c r="X185" s="88">
        <v>46024</v>
      </c>
      <c r="Y185" s="131">
        <v>84000</v>
      </c>
      <c r="Z185" s="131"/>
      <c r="AA185" s="131">
        <f t="shared" si="22"/>
        <v>84000</v>
      </c>
      <c r="AB185" s="131"/>
      <c r="AC185" s="131">
        <f t="shared" ref="AC185:AC216" si="23">Y185</f>
        <v>84000</v>
      </c>
      <c r="AD185" s="131">
        <f t="shared" ref="AD185:AD216" si="24">AA185</f>
        <v>84000</v>
      </c>
      <c r="AE185" s="173" t="s">
        <v>102</v>
      </c>
      <c r="AF185" s="173"/>
      <c r="AG185" s="173"/>
      <c r="AH185" s="174"/>
      <c r="AI185" s="175"/>
      <c r="AJ185" s="174"/>
      <c r="AK185" s="176"/>
      <c r="AL185" s="174"/>
      <c r="AM185" s="177" t="s">
        <v>204</v>
      </c>
      <c r="AN185" s="243" t="s">
        <v>178</v>
      </c>
      <c r="AO185" s="178"/>
      <c r="AP185" s="179"/>
      <c r="AQ185" s="179"/>
      <c r="AR185" s="24"/>
      <c r="AS185" s="179"/>
    </row>
    <row r="186" spans="1:45" ht="30" customHeight="1" x14ac:dyDescent="0.35">
      <c r="A186" s="38">
        <v>2026</v>
      </c>
      <c r="B186" s="59" t="s">
        <v>67</v>
      </c>
      <c r="C186" s="58" t="s">
        <v>573</v>
      </c>
      <c r="D186" s="237" t="s">
        <v>114</v>
      </c>
      <c r="E186" s="180"/>
      <c r="F186" s="58" t="s">
        <v>576</v>
      </c>
      <c r="G186" s="237" t="s">
        <v>121</v>
      </c>
      <c r="H186" s="59" t="s">
        <v>126</v>
      </c>
      <c r="I186" s="65"/>
      <c r="J186" s="237" t="s">
        <v>132</v>
      </c>
      <c r="K186" s="237" t="s">
        <v>3</v>
      </c>
      <c r="L186" s="59" t="s">
        <v>6</v>
      </c>
      <c r="M186" s="58" t="s">
        <v>202</v>
      </c>
      <c r="N186" s="130"/>
      <c r="O186" s="172"/>
      <c r="P186" s="172"/>
      <c r="Q186" s="237" t="s">
        <v>140</v>
      </c>
      <c r="R186" s="78"/>
      <c r="S186" s="78"/>
      <c r="T186" s="58" t="s">
        <v>577</v>
      </c>
      <c r="U186" s="237">
        <v>2026</v>
      </c>
      <c r="V186" s="88">
        <v>46387</v>
      </c>
      <c r="W186" s="78"/>
      <c r="X186" s="88">
        <v>46024</v>
      </c>
      <c r="Y186" s="131">
        <v>109200</v>
      </c>
      <c r="Z186" s="131"/>
      <c r="AA186" s="131">
        <f t="shared" si="22"/>
        <v>109200</v>
      </c>
      <c r="AB186" s="131"/>
      <c r="AC186" s="131">
        <f t="shared" si="23"/>
        <v>109200</v>
      </c>
      <c r="AD186" s="131">
        <f t="shared" si="24"/>
        <v>109200</v>
      </c>
      <c r="AE186" s="173" t="s">
        <v>102</v>
      </c>
      <c r="AF186" s="173"/>
      <c r="AG186" s="173"/>
      <c r="AH186" s="174"/>
      <c r="AI186" s="175"/>
      <c r="AJ186" s="174"/>
      <c r="AK186" s="176"/>
      <c r="AL186" s="174"/>
      <c r="AM186" s="177" t="s">
        <v>204</v>
      </c>
      <c r="AN186" s="243" t="s">
        <v>178</v>
      </c>
      <c r="AO186" s="178"/>
      <c r="AP186" s="179"/>
      <c r="AQ186" s="179"/>
      <c r="AR186" s="24"/>
      <c r="AS186" s="179"/>
    </row>
    <row r="187" spans="1:45" ht="30" customHeight="1" x14ac:dyDescent="0.35">
      <c r="A187" s="38">
        <v>2026</v>
      </c>
      <c r="B187" s="59" t="s">
        <v>67</v>
      </c>
      <c r="C187" s="58" t="s">
        <v>573</v>
      </c>
      <c r="D187" s="237" t="s">
        <v>114</v>
      </c>
      <c r="E187" s="180"/>
      <c r="F187" s="58" t="s">
        <v>578</v>
      </c>
      <c r="G187" s="237" t="s">
        <v>121</v>
      </c>
      <c r="H187" s="59" t="s">
        <v>126</v>
      </c>
      <c r="I187" s="65"/>
      <c r="J187" s="237" t="s">
        <v>132</v>
      </c>
      <c r="K187" s="237" t="s">
        <v>3</v>
      </c>
      <c r="L187" s="59" t="s">
        <v>6</v>
      </c>
      <c r="M187" s="58" t="s">
        <v>202</v>
      </c>
      <c r="N187" s="130"/>
      <c r="O187" s="172"/>
      <c r="P187" s="172"/>
      <c r="Q187" s="237" t="s">
        <v>140</v>
      </c>
      <c r="R187" s="78"/>
      <c r="S187" s="78"/>
      <c r="T187" s="58" t="s">
        <v>579</v>
      </c>
      <c r="U187" s="237">
        <v>2026</v>
      </c>
      <c r="V187" s="88">
        <v>46387</v>
      </c>
      <c r="W187" s="78"/>
      <c r="X187" s="88">
        <v>46024</v>
      </c>
      <c r="Y187" s="131">
        <v>124800</v>
      </c>
      <c r="Z187" s="131"/>
      <c r="AA187" s="131">
        <f t="shared" si="22"/>
        <v>124800</v>
      </c>
      <c r="AB187" s="131"/>
      <c r="AC187" s="131">
        <f t="shared" si="23"/>
        <v>124800</v>
      </c>
      <c r="AD187" s="131">
        <f t="shared" si="24"/>
        <v>124800</v>
      </c>
      <c r="AE187" s="173" t="s">
        <v>102</v>
      </c>
      <c r="AF187" s="173"/>
      <c r="AG187" s="173"/>
      <c r="AH187" s="174"/>
      <c r="AI187" s="175"/>
      <c r="AJ187" s="174"/>
      <c r="AK187" s="176"/>
      <c r="AL187" s="174"/>
      <c r="AM187" s="177" t="s">
        <v>204</v>
      </c>
      <c r="AN187" s="243" t="s">
        <v>178</v>
      </c>
      <c r="AO187" s="178"/>
      <c r="AP187" s="179"/>
      <c r="AQ187" s="179"/>
      <c r="AR187" s="24"/>
      <c r="AS187" s="179"/>
    </row>
    <row r="188" spans="1:45" ht="30" customHeight="1" x14ac:dyDescent="0.35">
      <c r="A188" s="38">
        <v>2026</v>
      </c>
      <c r="B188" s="59" t="s">
        <v>67</v>
      </c>
      <c r="C188" s="58" t="s">
        <v>573</v>
      </c>
      <c r="D188" s="237" t="s">
        <v>114</v>
      </c>
      <c r="E188" s="180"/>
      <c r="F188" s="58" t="s">
        <v>580</v>
      </c>
      <c r="G188" s="237" t="s">
        <v>121</v>
      </c>
      <c r="H188" s="59" t="s">
        <v>126</v>
      </c>
      <c r="I188" s="65"/>
      <c r="J188" s="237" t="s">
        <v>132</v>
      </c>
      <c r="K188" s="237" t="s">
        <v>3</v>
      </c>
      <c r="L188" s="59" t="s">
        <v>6</v>
      </c>
      <c r="M188" s="58" t="s">
        <v>202</v>
      </c>
      <c r="N188" s="130"/>
      <c r="O188" s="172"/>
      <c r="P188" s="172"/>
      <c r="Q188" s="237" t="s">
        <v>140</v>
      </c>
      <c r="R188" s="78"/>
      <c r="S188" s="78"/>
      <c r="T188" s="58" t="s">
        <v>581</v>
      </c>
      <c r="U188" s="237">
        <v>2026</v>
      </c>
      <c r="V188" s="88">
        <v>46387</v>
      </c>
      <c r="W188" s="78"/>
      <c r="X188" s="88">
        <v>46024</v>
      </c>
      <c r="Y188" s="131">
        <v>85800</v>
      </c>
      <c r="Z188" s="131"/>
      <c r="AA188" s="131">
        <f t="shared" si="22"/>
        <v>85800</v>
      </c>
      <c r="AB188" s="131"/>
      <c r="AC188" s="131">
        <f t="shared" si="23"/>
        <v>85800</v>
      </c>
      <c r="AD188" s="131">
        <f t="shared" si="24"/>
        <v>85800</v>
      </c>
      <c r="AE188" s="173" t="s">
        <v>102</v>
      </c>
      <c r="AF188" s="173"/>
      <c r="AG188" s="173"/>
      <c r="AH188" s="174"/>
      <c r="AI188" s="175"/>
      <c r="AJ188" s="174"/>
      <c r="AK188" s="176"/>
      <c r="AL188" s="174"/>
      <c r="AM188" s="177" t="s">
        <v>204</v>
      </c>
      <c r="AN188" s="243" t="s">
        <v>178</v>
      </c>
      <c r="AO188" s="178"/>
      <c r="AP188" s="179"/>
      <c r="AQ188" s="179"/>
      <c r="AR188" s="24"/>
      <c r="AS188" s="179"/>
    </row>
    <row r="189" spans="1:45" ht="30" customHeight="1" x14ac:dyDescent="0.35">
      <c r="A189" s="38">
        <v>2026</v>
      </c>
      <c r="B189" s="59" t="s">
        <v>67</v>
      </c>
      <c r="C189" s="58" t="s">
        <v>573</v>
      </c>
      <c r="D189" s="237" t="s">
        <v>114</v>
      </c>
      <c r="E189" s="180"/>
      <c r="F189" s="58" t="s">
        <v>582</v>
      </c>
      <c r="G189" s="237" t="s">
        <v>121</v>
      </c>
      <c r="H189" s="59" t="s">
        <v>126</v>
      </c>
      <c r="I189" s="65"/>
      <c r="J189" s="237" t="s">
        <v>132</v>
      </c>
      <c r="K189" s="237" t="s">
        <v>3</v>
      </c>
      <c r="L189" s="59" t="s">
        <v>6</v>
      </c>
      <c r="M189" s="58" t="s">
        <v>202</v>
      </c>
      <c r="N189" s="130"/>
      <c r="O189" s="172"/>
      <c r="P189" s="172"/>
      <c r="Q189" s="237" t="s">
        <v>140</v>
      </c>
      <c r="R189" s="78"/>
      <c r="S189" s="78"/>
      <c r="T189" s="58" t="s">
        <v>583</v>
      </c>
      <c r="U189" s="237">
        <v>2026</v>
      </c>
      <c r="V189" s="88">
        <v>46387</v>
      </c>
      <c r="W189" s="78"/>
      <c r="X189" s="88">
        <v>46024</v>
      </c>
      <c r="Y189" s="131">
        <v>109200</v>
      </c>
      <c r="Z189" s="131"/>
      <c r="AA189" s="131">
        <f t="shared" si="22"/>
        <v>109200</v>
      </c>
      <c r="AB189" s="131"/>
      <c r="AC189" s="131">
        <f t="shared" si="23"/>
        <v>109200</v>
      </c>
      <c r="AD189" s="131">
        <f t="shared" si="24"/>
        <v>109200</v>
      </c>
      <c r="AE189" s="173" t="s">
        <v>102</v>
      </c>
      <c r="AF189" s="173"/>
      <c r="AG189" s="173"/>
      <c r="AH189" s="174"/>
      <c r="AI189" s="175"/>
      <c r="AJ189" s="174"/>
      <c r="AK189" s="176"/>
      <c r="AL189" s="174"/>
      <c r="AM189" s="177" t="s">
        <v>204</v>
      </c>
      <c r="AN189" s="243" t="s">
        <v>178</v>
      </c>
      <c r="AO189" s="178"/>
      <c r="AP189" s="179"/>
      <c r="AQ189" s="179"/>
      <c r="AR189" s="24"/>
      <c r="AS189" s="179"/>
    </row>
    <row r="190" spans="1:45" ht="30" customHeight="1" x14ac:dyDescent="0.35">
      <c r="A190" s="38">
        <v>2026</v>
      </c>
      <c r="B190" s="59" t="s">
        <v>67</v>
      </c>
      <c r="C190" s="58" t="s">
        <v>573</v>
      </c>
      <c r="D190" s="237" t="s">
        <v>114</v>
      </c>
      <c r="E190" s="180"/>
      <c r="F190" s="58" t="s">
        <v>584</v>
      </c>
      <c r="G190" s="237" t="s">
        <v>121</v>
      </c>
      <c r="H190" s="59" t="s">
        <v>126</v>
      </c>
      <c r="I190" s="65"/>
      <c r="J190" s="237" t="s">
        <v>132</v>
      </c>
      <c r="K190" s="237" t="s">
        <v>3</v>
      </c>
      <c r="L190" s="59" t="s">
        <v>6</v>
      </c>
      <c r="M190" s="58" t="s">
        <v>202</v>
      </c>
      <c r="N190" s="130"/>
      <c r="O190" s="172"/>
      <c r="P190" s="172"/>
      <c r="Q190" s="237" t="s">
        <v>140</v>
      </c>
      <c r="R190" s="78"/>
      <c r="S190" s="78"/>
      <c r="T190" s="58" t="s">
        <v>585</v>
      </c>
      <c r="U190" s="237">
        <v>2026</v>
      </c>
      <c r="V190" s="88">
        <v>46387</v>
      </c>
      <c r="W190" s="78"/>
      <c r="X190" s="88">
        <v>46024</v>
      </c>
      <c r="Y190" s="131">
        <v>78000</v>
      </c>
      <c r="Z190" s="131"/>
      <c r="AA190" s="131">
        <f t="shared" si="22"/>
        <v>78000</v>
      </c>
      <c r="AB190" s="131"/>
      <c r="AC190" s="131">
        <f t="shared" si="23"/>
        <v>78000</v>
      </c>
      <c r="AD190" s="131">
        <f t="shared" si="24"/>
        <v>78000</v>
      </c>
      <c r="AE190" s="173" t="s">
        <v>102</v>
      </c>
      <c r="AF190" s="173"/>
      <c r="AG190" s="173"/>
      <c r="AH190" s="174"/>
      <c r="AI190" s="175"/>
      <c r="AJ190" s="174"/>
      <c r="AK190" s="176"/>
      <c r="AL190" s="174"/>
      <c r="AM190" s="177" t="s">
        <v>204</v>
      </c>
      <c r="AN190" s="243" t="s">
        <v>178</v>
      </c>
      <c r="AO190" s="178"/>
      <c r="AP190" s="179"/>
      <c r="AQ190" s="179"/>
      <c r="AR190" s="24"/>
      <c r="AS190" s="179"/>
    </row>
    <row r="191" spans="1:45" ht="30" customHeight="1" x14ac:dyDescent="0.35">
      <c r="A191" s="38">
        <v>2026</v>
      </c>
      <c r="B191" s="59" t="s">
        <v>67</v>
      </c>
      <c r="C191" s="58" t="s">
        <v>573</v>
      </c>
      <c r="D191" s="237" t="s">
        <v>114</v>
      </c>
      <c r="E191" s="180"/>
      <c r="F191" s="58" t="s">
        <v>586</v>
      </c>
      <c r="G191" s="237" t="s">
        <v>121</v>
      </c>
      <c r="H191" s="59" t="s">
        <v>126</v>
      </c>
      <c r="I191" s="65"/>
      <c r="J191" s="237" t="s">
        <v>132</v>
      </c>
      <c r="K191" s="237" t="s">
        <v>3</v>
      </c>
      <c r="L191" s="59" t="s">
        <v>6</v>
      </c>
      <c r="M191" s="58" t="s">
        <v>202</v>
      </c>
      <c r="N191" s="130"/>
      <c r="O191" s="172"/>
      <c r="P191" s="172"/>
      <c r="Q191" s="237" t="s">
        <v>140</v>
      </c>
      <c r="R191" s="78"/>
      <c r="S191" s="78"/>
      <c r="T191" s="58" t="s">
        <v>587</v>
      </c>
      <c r="U191" s="237">
        <v>2026</v>
      </c>
      <c r="V191" s="88">
        <v>46387</v>
      </c>
      <c r="W191" s="78"/>
      <c r="X191" s="88">
        <v>46024</v>
      </c>
      <c r="Y191" s="131">
        <v>62400</v>
      </c>
      <c r="Z191" s="131"/>
      <c r="AA191" s="131">
        <f t="shared" si="22"/>
        <v>62400</v>
      </c>
      <c r="AB191" s="131"/>
      <c r="AC191" s="131">
        <f t="shared" si="23"/>
        <v>62400</v>
      </c>
      <c r="AD191" s="131">
        <f t="shared" si="24"/>
        <v>62400</v>
      </c>
      <c r="AE191" s="173" t="s">
        <v>102</v>
      </c>
      <c r="AF191" s="173"/>
      <c r="AG191" s="173"/>
      <c r="AH191" s="174"/>
      <c r="AI191" s="175"/>
      <c r="AJ191" s="174"/>
      <c r="AK191" s="176"/>
      <c r="AL191" s="174"/>
      <c r="AM191" s="177" t="s">
        <v>204</v>
      </c>
      <c r="AN191" s="243" t="s">
        <v>178</v>
      </c>
      <c r="AO191" s="178"/>
      <c r="AP191" s="179"/>
      <c r="AQ191" s="179"/>
      <c r="AR191" s="24"/>
      <c r="AS191" s="179"/>
    </row>
    <row r="192" spans="1:45" ht="30" customHeight="1" x14ac:dyDescent="0.35">
      <c r="A192" s="38">
        <v>2026</v>
      </c>
      <c r="B192" s="59" t="s">
        <v>67</v>
      </c>
      <c r="C192" s="58" t="s">
        <v>573</v>
      </c>
      <c r="D192" s="237" t="s">
        <v>114</v>
      </c>
      <c r="E192" s="180"/>
      <c r="F192" s="58" t="s">
        <v>588</v>
      </c>
      <c r="G192" s="237" t="s">
        <v>121</v>
      </c>
      <c r="H192" s="59" t="s">
        <v>126</v>
      </c>
      <c r="I192" s="65"/>
      <c r="J192" s="237" t="s">
        <v>132</v>
      </c>
      <c r="K192" s="237" t="s">
        <v>3</v>
      </c>
      <c r="L192" s="59" t="s">
        <v>6</v>
      </c>
      <c r="M192" s="58" t="s">
        <v>202</v>
      </c>
      <c r="N192" s="130"/>
      <c r="O192" s="172"/>
      <c r="P192" s="172"/>
      <c r="Q192" s="237" t="s">
        <v>140</v>
      </c>
      <c r="R192" s="78"/>
      <c r="S192" s="78"/>
      <c r="T192" s="58" t="s">
        <v>589</v>
      </c>
      <c r="U192" s="237">
        <v>2026</v>
      </c>
      <c r="V192" s="88">
        <v>46387</v>
      </c>
      <c r="W192" s="78"/>
      <c r="X192" s="88">
        <v>46024</v>
      </c>
      <c r="Y192" s="131">
        <v>72000</v>
      </c>
      <c r="Z192" s="131"/>
      <c r="AA192" s="131">
        <f t="shared" si="22"/>
        <v>72000</v>
      </c>
      <c r="AB192" s="131"/>
      <c r="AC192" s="131">
        <f t="shared" si="23"/>
        <v>72000</v>
      </c>
      <c r="AD192" s="131">
        <f t="shared" si="24"/>
        <v>72000</v>
      </c>
      <c r="AE192" s="173" t="s">
        <v>102</v>
      </c>
      <c r="AF192" s="173"/>
      <c r="AG192" s="173"/>
      <c r="AH192" s="174"/>
      <c r="AI192" s="175"/>
      <c r="AJ192" s="174"/>
      <c r="AK192" s="176"/>
      <c r="AL192" s="174"/>
      <c r="AM192" s="177" t="s">
        <v>204</v>
      </c>
      <c r="AN192" s="243" t="s">
        <v>178</v>
      </c>
      <c r="AO192" s="178"/>
      <c r="AP192" s="179"/>
      <c r="AQ192" s="179"/>
      <c r="AR192" s="24"/>
      <c r="AS192" s="179"/>
    </row>
    <row r="193" spans="1:45" ht="30" customHeight="1" x14ac:dyDescent="0.35">
      <c r="A193" s="38">
        <v>2026</v>
      </c>
      <c r="B193" s="59" t="s">
        <v>67</v>
      </c>
      <c r="C193" s="58" t="s">
        <v>573</v>
      </c>
      <c r="D193" s="237" t="s">
        <v>114</v>
      </c>
      <c r="E193" s="180"/>
      <c r="F193" s="58" t="s">
        <v>590</v>
      </c>
      <c r="G193" s="237" t="s">
        <v>121</v>
      </c>
      <c r="H193" s="59" t="s">
        <v>126</v>
      </c>
      <c r="I193" s="65"/>
      <c r="J193" s="237" t="s">
        <v>132</v>
      </c>
      <c r="K193" s="237" t="s">
        <v>3</v>
      </c>
      <c r="L193" s="59" t="s">
        <v>6</v>
      </c>
      <c r="M193" s="58" t="s">
        <v>202</v>
      </c>
      <c r="N193" s="130"/>
      <c r="O193" s="172"/>
      <c r="P193" s="172"/>
      <c r="Q193" s="237" t="s">
        <v>140</v>
      </c>
      <c r="R193" s="78"/>
      <c r="S193" s="78"/>
      <c r="T193" s="58" t="s">
        <v>591</v>
      </c>
      <c r="U193" s="237">
        <v>2026</v>
      </c>
      <c r="V193" s="88">
        <v>46387</v>
      </c>
      <c r="W193" s="78"/>
      <c r="X193" s="88">
        <v>46024</v>
      </c>
      <c r="Y193" s="131">
        <v>90000</v>
      </c>
      <c r="Z193" s="131"/>
      <c r="AA193" s="131">
        <f t="shared" si="22"/>
        <v>90000</v>
      </c>
      <c r="AB193" s="131"/>
      <c r="AC193" s="131">
        <f t="shared" si="23"/>
        <v>90000</v>
      </c>
      <c r="AD193" s="131">
        <f t="shared" si="24"/>
        <v>90000</v>
      </c>
      <c r="AE193" s="173" t="s">
        <v>102</v>
      </c>
      <c r="AF193" s="173"/>
      <c r="AG193" s="173"/>
      <c r="AH193" s="174"/>
      <c r="AI193" s="175"/>
      <c r="AJ193" s="174"/>
      <c r="AK193" s="176"/>
      <c r="AL193" s="174"/>
      <c r="AM193" s="177" t="s">
        <v>204</v>
      </c>
      <c r="AN193" s="243" t="s">
        <v>178</v>
      </c>
      <c r="AO193" s="178"/>
      <c r="AP193" s="179"/>
      <c r="AQ193" s="179"/>
      <c r="AR193" s="24"/>
      <c r="AS193" s="179"/>
    </row>
    <row r="194" spans="1:45" ht="30" customHeight="1" x14ac:dyDescent="0.35">
      <c r="A194" s="38">
        <v>2026</v>
      </c>
      <c r="B194" s="59" t="s">
        <v>67</v>
      </c>
      <c r="C194" s="58" t="s">
        <v>573</v>
      </c>
      <c r="D194" s="237" t="s">
        <v>114</v>
      </c>
      <c r="E194" s="180"/>
      <c r="F194" s="58" t="s">
        <v>592</v>
      </c>
      <c r="G194" s="237" t="s">
        <v>121</v>
      </c>
      <c r="H194" s="59" t="s">
        <v>126</v>
      </c>
      <c r="I194" s="65"/>
      <c r="J194" s="237" t="s">
        <v>132</v>
      </c>
      <c r="K194" s="237" t="s">
        <v>3</v>
      </c>
      <c r="L194" s="59" t="s">
        <v>6</v>
      </c>
      <c r="M194" s="58" t="s">
        <v>202</v>
      </c>
      <c r="N194" s="130"/>
      <c r="O194" s="172"/>
      <c r="P194" s="172"/>
      <c r="Q194" s="237" t="s">
        <v>140</v>
      </c>
      <c r="R194" s="78"/>
      <c r="S194" s="78"/>
      <c r="T194" s="58" t="s">
        <v>593</v>
      </c>
      <c r="U194" s="237">
        <v>2026</v>
      </c>
      <c r="V194" s="88">
        <v>46387</v>
      </c>
      <c r="W194" s="78"/>
      <c r="X194" s="88">
        <v>46024</v>
      </c>
      <c r="Y194" s="131">
        <v>84000</v>
      </c>
      <c r="Z194" s="131"/>
      <c r="AA194" s="131">
        <f t="shared" si="22"/>
        <v>84000</v>
      </c>
      <c r="AB194" s="131"/>
      <c r="AC194" s="131">
        <f t="shared" si="23"/>
        <v>84000</v>
      </c>
      <c r="AD194" s="131">
        <f t="shared" si="24"/>
        <v>84000</v>
      </c>
      <c r="AE194" s="173" t="s">
        <v>102</v>
      </c>
      <c r="AF194" s="173"/>
      <c r="AG194" s="173"/>
      <c r="AH194" s="174"/>
      <c r="AI194" s="175"/>
      <c r="AJ194" s="174"/>
      <c r="AK194" s="176"/>
      <c r="AL194" s="174"/>
      <c r="AM194" s="177" t="s">
        <v>204</v>
      </c>
      <c r="AN194" s="243" t="s">
        <v>178</v>
      </c>
      <c r="AO194" s="178"/>
      <c r="AP194" s="179"/>
      <c r="AQ194" s="179"/>
      <c r="AR194" s="24"/>
      <c r="AS194" s="179"/>
    </row>
    <row r="195" spans="1:45" ht="30" customHeight="1" x14ac:dyDescent="0.35">
      <c r="A195" s="38">
        <v>2026</v>
      </c>
      <c r="B195" s="59" t="s">
        <v>67</v>
      </c>
      <c r="C195" s="58" t="s">
        <v>573</v>
      </c>
      <c r="D195" s="237" t="s">
        <v>114</v>
      </c>
      <c r="E195" s="180"/>
      <c r="F195" s="58" t="s">
        <v>594</v>
      </c>
      <c r="G195" s="237" t="s">
        <v>121</v>
      </c>
      <c r="H195" s="59" t="s">
        <v>126</v>
      </c>
      <c r="I195" s="65"/>
      <c r="J195" s="237" t="s">
        <v>132</v>
      </c>
      <c r="K195" s="237" t="s">
        <v>3</v>
      </c>
      <c r="L195" s="59" t="s">
        <v>6</v>
      </c>
      <c r="M195" s="58" t="s">
        <v>202</v>
      </c>
      <c r="N195" s="130"/>
      <c r="O195" s="172"/>
      <c r="P195" s="172"/>
      <c r="Q195" s="237" t="s">
        <v>140</v>
      </c>
      <c r="R195" s="78"/>
      <c r="S195" s="78"/>
      <c r="T195" s="58" t="s">
        <v>595</v>
      </c>
      <c r="U195" s="237">
        <v>2026</v>
      </c>
      <c r="V195" s="88">
        <v>46387</v>
      </c>
      <c r="W195" s="78"/>
      <c r="X195" s="88">
        <v>46024</v>
      </c>
      <c r="Y195" s="131">
        <v>84000</v>
      </c>
      <c r="Z195" s="131"/>
      <c r="AA195" s="131">
        <f t="shared" si="22"/>
        <v>84000</v>
      </c>
      <c r="AB195" s="131"/>
      <c r="AC195" s="131">
        <f t="shared" si="23"/>
        <v>84000</v>
      </c>
      <c r="AD195" s="131">
        <f t="shared" si="24"/>
        <v>84000</v>
      </c>
      <c r="AE195" s="173" t="s">
        <v>102</v>
      </c>
      <c r="AF195" s="173"/>
      <c r="AG195" s="173"/>
      <c r="AH195" s="174"/>
      <c r="AI195" s="175"/>
      <c r="AJ195" s="174"/>
      <c r="AK195" s="176"/>
      <c r="AL195" s="174"/>
      <c r="AM195" s="177" t="s">
        <v>204</v>
      </c>
      <c r="AN195" s="243" t="s">
        <v>178</v>
      </c>
      <c r="AO195" s="178"/>
      <c r="AP195" s="179"/>
      <c r="AQ195" s="179"/>
      <c r="AR195" s="24"/>
      <c r="AS195" s="179"/>
    </row>
    <row r="196" spans="1:45" ht="30" customHeight="1" x14ac:dyDescent="0.35">
      <c r="A196" s="38">
        <v>2026</v>
      </c>
      <c r="B196" s="59" t="s">
        <v>67</v>
      </c>
      <c r="C196" s="58" t="s">
        <v>573</v>
      </c>
      <c r="D196" s="237" t="s">
        <v>114</v>
      </c>
      <c r="E196" s="180"/>
      <c r="F196" s="58" t="s">
        <v>596</v>
      </c>
      <c r="G196" s="237" t="s">
        <v>121</v>
      </c>
      <c r="H196" s="59" t="s">
        <v>126</v>
      </c>
      <c r="I196" s="65"/>
      <c r="J196" s="237" t="s">
        <v>132</v>
      </c>
      <c r="K196" s="237" t="s">
        <v>3</v>
      </c>
      <c r="L196" s="59" t="s">
        <v>6</v>
      </c>
      <c r="M196" s="58" t="s">
        <v>202</v>
      </c>
      <c r="N196" s="130"/>
      <c r="O196" s="172"/>
      <c r="P196" s="172"/>
      <c r="Q196" s="237" t="s">
        <v>140</v>
      </c>
      <c r="R196" s="78"/>
      <c r="S196" s="78"/>
      <c r="T196" s="58" t="s">
        <v>597</v>
      </c>
      <c r="U196" s="237">
        <v>2026</v>
      </c>
      <c r="V196" s="88">
        <v>46387</v>
      </c>
      <c r="W196" s="78"/>
      <c r="X196" s="88">
        <v>46024</v>
      </c>
      <c r="Y196" s="131">
        <v>96000</v>
      </c>
      <c r="Z196" s="131"/>
      <c r="AA196" s="131">
        <f t="shared" si="22"/>
        <v>96000</v>
      </c>
      <c r="AB196" s="131"/>
      <c r="AC196" s="131">
        <f t="shared" si="23"/>
        <v>96000</v>
      </c>
      <c r="AD196" s="131">
        <f t="shared" si="24"/>
        <v>96000</v>
      </c>
      <c r="AE196" s="173" t="s">
        <v>102</v>
      </c>
      <c r="AF196" s="173"/>
      <c r="AG196" s="173"/>
      <c r="AH196" s="174"/>
      <c r="AI196" s="175"/>
      <c r="AJ196" s="174"/>
      <c r="AK196" s="176"/>
      <c r="AL196" s="174"/>
      <c r="AM196" s="177" t="s">
        <v>204</v>
      </c>
      <c r="AN196" s="243" t="s">
        <v>178</v>
      </c>
      <c r="AO196" s="178"/>
      <c r="AP196" s="179"/>
      <c r="AQ196" s="179"/>
      <c r="AR196" s="24"/>
      <c r="AS196" s="179"/>
    </row>
    <row r="197" spans="1:45" ht="30" customHeight="1" x14ac:dyDescent="0.35">
      <c r="A197" s="38">
        <v>2026</v>
      </c>
      <c r="B197" s="59" t="s">
        <v>67</v>
      </c>
      <c r="C197" s="58" t="s">
        <v>573</v>
      </c>
      <c r="D197" s="237" t="s">
        <v>114</v>
      </c>
      <c r="E197" s="180"/>
      <c r="F197" s="58" t="s">
        <v>598</v>
      </c>
      <c r="G197" s="237" t="s">
        <v>121</v>
      </c>
      <c r="H197" s="59" t="s">
        <v>126</v>
      </c>
      <c r="I197" s="65"/>
      <c r="J197" s="237" t="s">
        <v>132</v>
      </c>
      <c r="K197" s="237" t="s">
        <v>3</v>
      </c>
      <c r="L197" s="59" t="s">
        <v>6</v>
      </c>
      <c r="M197" s="58" t="s">
        <v>202</v>
      </c>
      <c r="N197" s="130"/>
      <c r="O197" s="172"/>
      <c r="P197" s="172"/>
      <c r="Q197" s="237" t="s">
        <v>140</v>
      </c>
      <c r="R197" s="78"/>
      <c r="S197" s="78"/>
      <c r="T197" s="58" t="s">
        <v>599</v>
      </c>
      <c r="U197" s="237">
        <v>2026</v>
      </c>
      <c r="V197" s="88">
        <v>46387</v>
      </c>
      <c r="W197" s="78"/>
      <c r="X197" s="88">
        <v>46024</v>
      </c>
      <c r="Y197" s="131">
        <v>108000</v>
      </c>
      <c r="Z197" s="131"/>
      <c r="AA197" s="131">
        <f t="shared" si="22"/>
        <v>108000</v>
      </c>
      <c r="AB197" s="131"/>
      <c r="AC197" s="131">
        <f t="shared" si="23"/>
        <v>108000</v>
      </c>
      <c r="AD197" s="131">
        <f t="shared" si="24"/>
        <v>108000</v>
      </c>
      <c r="AE197" s="173" t="s">
        <v>102</v>
      </c>
      <c r="AF197" s="173"/>
      <c r="AG197" s="173"/>
      <c r="AH197" s="174"/>
      <c r="AI197" s="175"/>
      <c r="AJ197" s="174"/>
      <c r="AK197" s="176"/>
      <c r="AL197" s="174"/>
      <c r="AM197" s="177" t="s">
        <v>204</v>
      </c>
      <c r="AN197" s="243" t="s">
        <v>178</v>
      </c>
      <c r="AO197" s="178"/>
      <c r="AP197" s="179"/>
      <c r="AQ197" s="179"/>
      <c r="AR197" s="24"/>
      <c r="AS197" s="179"/>
    </row>
    <row r="198" spans="1:45" ht="30" customHeight="1" x14ac:dyDescent="0.35">
      <c r="A198" s="38">
        <v>2026</v>
      </c>
      <c r="B198" s="59" t="s">
        <v>67</v>
      </c>
      <c r="C198" s="58" t="s">
        <v>573</v>
      </c>
      <c r="D198" s="237" t="s">
        <v>114</v>
      </c>
      <c r="E198" s="180"/>
      <c r="F198" s="58" t="s">
        <v>600</v>
      </c>
      <c r="G198" s="237" t="s">
        <v>121</v>
      </c>
      <c r="H198" s="59" t="s">
        <v>126</v>
      </c>
      <c r="I198" s="65"/>
      <c r="J198" s="237" t="s">
        <v>132</v>
      </c>
      <c r="K198" s="237" t="s">
        <v>3</v>
      </c>
      <c r="L198" s="59" t="s">
        <v>6</v>
      </c>
      <c r="M198" s="58" t="s">
        <v>202</v>
      </c>
      <c r="N198" s="130"/>
      <c r="O198" s="172"/>
      <c r="P198" s="172"/>
      <c r="Q198" s="237" t="s">
        <v>140</v>
      </c>
      <c r="R198" s="78"/>
      <c r="S198" s="78"/>
      <c r="T198" s="58" t="s">
        <v>601</v>
      </c>
      <c r="U198" s="237">
        <v>2026</v>
      </c>
      <c r="V198" s="88">
        <v>46387</v>
      </c>
      <c r="W198" s="78"/>
      <c r="X198" s="88">
        <v>46024</v>
      </c>
      <c r="Y198" s="131">
        <v>78000</v>
      </c>
      <c r="Z198" s="131"/>
      <c r="AA198" s="131">
        <f t="shared" si="22"/>
        <v>78000</v>
      </c>
      <c r="AB198" s="131"/>
      <c r="AC198" s="131">
        <f t="shared" si="23"/>
        <v>78000</v>
      </c>
      <c r="AD198" s="131">
        <f t="shared" si="24"/>
        <v>78000</v>
      </c>
      <c r="AE198" s="173" t="s">
        <v>102</v>
      </c>
      <c r="AF198" s="173"/>
      <c r="AG198" s="173"/>
      <c r="AH198" s="174"/>
      <c r="AI198" s="175"/>
      <c r="AJ198" s="174"/>
      <c r="AK198" s="176"/>
      <c r="AL198" s="174"/>
      <c r="AM198" s="177" t="s">
        <v>204</v>
      </c>
      <c r="AN198" s="243" t="s">
        <v>178</v>
      </c>
      <c r="AO198" s="178"/>
      <c r="AP198" s="179"/>
      <c r="AQ198" s="179"/>
      <c r="AR198" s="24"/>
      <c r="AS198" s="179"/>
    </row>
    <row r="199" spans="1:45" ht="30" customHeight="1" x14ac:dyDescent="0.35">
      <c r="A199" s="38">
        <v>2026</v>
      </c>
      <c r="B199" s="59" t="s">
        <v>67</v>
      </c>
      <c r="C199" s="58" t="s">
        <v>573</v>
      </c>
      <c r="D199" s="237" t="s">
        <v>114</v>
      </c>
      <c r="E199" s="180"/>
      <c r="F199" s="58" t="s">
        <v>602</v>
      </c>
      <c r="G199" s="237" t="s">
        <v>121</v>
      </c>
      <c r="H199" s="59" t="s">
        <v>126</v>
      </c>
      <c r="I199" s="65"/>
      <c r="J199" s="237" t="s">
        <v>132</v>
      </c>
      <c r="K199" s="237" t="s">
        <v>3</v>
      </c>
      <c r="L199" s="59" t="s">
        <v>6</v>
      </c>
      <c r="M199" s="58" t="s">
        <v>202</v>
      </c>
      <c r="N199" s="130"/>
      <c r="O199" s="172"/>
      <c r="P199" s="172"/>
      <c r="Q199" s="237" t="s">
        <v>140</v>
      </c>
      <c r="R199" s="78"/>
      <c r="S199" s="78"/>
      <c r="T199" s="58" t="s">
        <v>603</v>
      </c>
      <c r="U199" s="237">
        <v>2026</v>
      </c>
      <c r="V199" s="88">
        <v>46387</v>
      </c>
      <c r="W199" s="78"/>
      <c r="X199" s="88">
        <v>46024</v>
      </c>
      <c r="Y199" s="131">
        <v>84000</v>
      </c>
      <c r="Z199" s="131"/>
      <c r="AA199" s="131">
        <f t="shared" ref="AA199:AA234" si="25">Y199</f>
        <v>84000</v>
      </c>
      <c r="AB199" s="131"/>
      <c r="AC199" s="131">
        <f t="shared" si="23"/>
        <v>84000</v>
      </c>
      <c r="AD199" s="131">
        <f t="shared" si="24"/>
        <v>84000</v>
      </c>
      <c r="AE199" s="173" t="s">
        <v>102</v>
      </c>
      <c r="AF199" s="173"/>
      <c r="AG199" s="173"/>
      <c r="AH199" s="174"/>
      <c r="AI199" s="175"/>
      <c r="AJ199" s="174"/>
      <c r="AK199" s="176"/>
      <c r="AL199" s="174"/>
      <c r="AM199" s="177" t="s">
        <v>204</v>
      </c>
      <c r="AN199" s="243" t="s">
        <v>178</v>
      </c>
      <c r="AO199" s="178"/>
      <c r="AP199" s="179"/>
      <c r="AQ199" s="179"/>
      <c r="AR199" s="24"/>
      <c r="AS199" s="179"/>
    </row>
    <row r="200" spans="1:45" ht="30" customHeight="1" x14ac:dyDescent="0.35">
      <c r="A200" s="38">
        <v>2026</v>
      </c>
      <c r="B200" s="59" t="s">
        <v>67</v>
      </c>
      <c r="C200" s="58" t="s">
        <v>573</v>
      </c>
      <c r="D200" s="237" t="s">
        <v>114</v>
      </c>
      <c r="E200" s="180"/>
      <c r="F200" s="58" t="s">
        <v>604</v>
      </c>
      <c r="G200" s="237" t="s">
        <v>121</v>
      </c>
      <c r="H200" s="59" t="s">
        <v>126</v>
      </c>
      <c r="I200" s="65"/>
      <c r="J200" s="237" t="s">
        <v>132</v>
      </c>
      <c r="K200" s="237" t="s">
        <v>3</v>
      </c>
      <c r="L200" s="59" t="s">
        <v>6</v>
      </c>
      <c r="M200" s="58" t="s">
        <v>202</v>
      </c>
      <c r="N200" s="130"/>
      <c r="O200" s="172"/>
      <c r="P200" s="172"/>
      <c r="Q200" s="237" t="s">
        <v>140</v>
      </c>
      <c r="R200" s="78"/>
      <c r="S200" s="78"/>
      <c r="T200" s="58" t="s">
        <v>605</v>
      </c>
      <c r="U200" s="237">
        <v>2026</v>
      </c>
      <c r="V200" s="88">
        <v>46387</v>
      </c>
      <c r="W200" s="78"/>
      <c r="X200" s="88">
        <v>46024</v>
      </c>
      <c r="Y200" s="131">
        <v>96000</v>
      </c>
      <c r="Z200" s="131"/>
      <c r="AA200" s="131">
        <f t="shared" si="25"/>
        <v>96000</v>
      </c>
      <c r="AB200" s="131"/>
      <c r="AC200" s="131">
        <f t="shared" si="23"/>
        <v>96000</v>
      </c>
      <c r="AD200" s="131">
        <f t="shared" si="24"/>
        <v>96000</v>
      </c>
      <c r="AE200" s="173" t="s">
        <v>102</v>
      </c>
      <c r="AF200" s="173"/>
      <c r="AG200" s="173"/>
      <c r="AH200" s="174"/>
      <c r="AI200" s="175"/>
      <c r="AJ200" s="174"/>
      <c r="AK200" s="176"/>
      <c r="AL200" s="174"/>
      <c r="AM200" s="177" t="s">
        <v>204</v>
      </c>
      <c r="AN200" s="243" t="s">
        <v>178</v>
      </c>
      <c r="AO200" s="178"/>
      <c r="AP200" s="179"/>
      <c r="AQ200" s="179"/>
      <c r="AR200" s="24"/>
      <c r="AS200" s="179"/>
    </row>
    <row r="201" spans="1:45" ht="30" customHeight="1" x14ac:dyDescent="0.35">
      <c r="A201" s="38">
        <v>2026</v>
      </c>
      <c r="B201" s="59" t="s">
        <v>67</v>
      </c>
      <c r="C201" s="58" t="s">
        <v>573</v>
      </c>
      <c r="D201" s="237" t="s">
        <v>114</v>
      </c>
      <c r="E201" s="180"/>
      <c r="F201" s="58" t="s">
        <v>606</v>
      </c>
      <c r="G201" s="237" t="s">
        <v>121</v>
      </c>
      <c r="H201" s="59" t="s">
        <v>126</v>
      </c>
      <c r="I201" s="65"/>
      <c r="J201" s="237" t="s">
        <v>132</v>
      </c>
      <c r="K201" s="237" t="s">
        <v>3</v>
      </c>
      <c r="L201" s="59" t="s">
        <v>6</v>
      </c>
      <c r="M201" s="58" t="s">
        <v>202</v>
      </c>
      <c r="N201" s="130"/>
      <c r="O201" s="172"/>
      <c r="P201" s="172"/>
      <c r="Q201" s="237" t="s">
        <v>140</v>
      </c>
      <c r="R201" s="78"/>
      <c r="S201" s="78"/>
      <c r="T201" s="58" t="s">
        <v>607</v>
      </c>
      <c r="U201" s="237">
        <v>2026</v>
      </c>
      <c r="V201" s="88">
        <v>46387</v>
      </c>
      <c r="W201" s="78"/>
      <c r="X201" s="88">
        <v>46024</v>
      </c>
      <c r="Y201" s="131">
        <v>96000</v>
      </c>
      <c r="Z201" s="131"/>
      <c r="AA201" s="131">
        <f t="shared" si="25"/>
        <v>96000</v>
      </c>
      <c r="AB201" s="131"/>
      <c r="AC201" s="131">
        <f t="shared" si="23"/>
        <v>96000</v>
      </c>
      <c r="AD201" s="131">
        <f t="shared" si="24"/>
        <v>96000</v>
      </c>
      <c r="AE201" s="173" t="s">
        <v>102</v>
      </c>
      <c r="AF201" s="173"/>
      <c r="AG201" s="173"/>
      <c r="AH201" s="174"/>
      <c r="AI201" s="175"/>
      <c r="AJ201" s="174"/>
      <c r="AK201" s="176"/>
      <c r="AL201" s="174"/>
      <c r="AM201" s="177" t="s">
        <v>204</v>
      </c>
      <c r="AN201" s="243" t="s">
        <v>178</v>
      </c>
      <c r="AO201" s="178"/>
      <c r="AP201" s="179"/>
      <c r="AQ201" s="179"/>
      <c r="AR201" s="24"/>
      <c r="AS201" s="179"/>
    </row>
    <row r="202" spans="1:45" ht="30" customHeight="1" x14ac:dyDescent="0.35">
      <c r="A202" s="38">
        <v>2026</v>
      </c>
      <c r="B202" s="59" t="s">
        <v>67</v>
      </c>
      <c r="C202" s="58" t="s">
        <v>573</v>
      </c>
      <c r="D202" s="237" t="s">
        <v>114</v>
      </c>
      <c r="E202" s="180"/>
      <c r="F202" s="58" t="s">
        <v>608</v>
      </c>
      <c r="G202" s="237" t="s">
        <v>121</v>
      </c>
      <c r="H202" s="59" t="s">
        <v>126</v>
      </c>
      <c r="I202" s="65"/>
      <c r="J202" s="237" t="s">
        <v>132</v>
      </c>
      <c r="K202" s="237" t="s">
        <v>3</v>
      </c>
      <c r="L202" s="59" t="s">
        <v>6</v>
      </c>
      <c r="M202" s="58" t="s">
        <v>202</v>
      </c>
      <c r="N202" s="130"/>
      <c r="O202" s="172"/>
      <c r="P202" s="172"/>
      <c r="Q202" s="237" t="s">
        <v>140</v>
      </c>
      <c r="R202" s="78"/>
      <c r="S202" s="78"/>
      <c r="T202" s="58" t="s">
        <v>609</v>
      </c>
      <c r="U202" s="237">
        <v>2026</v>
      </c>
      <c r="V202" s="88">
        <v>46387</v>
      </c>
      <c r="W202" s="78"/>
      <c r="X202" s="88">
        <v>46024</v>
      </c>
      <c r="Y202" s="131">
        <v>72000</v>
      </c>
      <c r="Z202" s="131"/>
      <c r="AA202" s="131">
        <f t="shared" si="25"/>
        <v>72000</v>
      </c>
      <c r="AB202" s="131"/>
      <c r="AC202" s="131">
        <f t="shared" si="23"/>
        <v>72000</v>
      </c>
      <c r="AD202" s="131">
        <f t="shared" si="24"/>
        <v>72000</v>
      </c>
      <c r="AE202" s="173" t="s">
        <v>102</v>
      </c>
      <c r="AF202" s="173"/>
      <c r="AG202" s="173"/>
      <c r="AH202" s="174"/>
      <c r="AI202" s="175"/>
      <c r="AJ202" s="174"/>
      <c r="AK202" s="176"/>
      <c r="AL202" s="174"/>
      <c r="AM202" s="177" t="s">
        <v>204</v>
      </c>
      <c r="AN202" s="243" t="s">
        <v>178</v>
      </c>
      <c r="AO202" s="178"/>
      <c r="AP202" s="179"/>
      <c r="AQ202" s="179"/>
      <c r="AR202" s="24"/>
      <c r="AS202" s="179"/>
    </row>
    <row r="203" spans="1:45" ht="30" customHeight="1" x14ac:dyDescent="0.35">
      <c r="A203" s="38">
        <v>2026</v>
      </c>
      <c r="B203" s="59" t="s">
        <v>67</v>
      </c>
      <c r="C203" s="58" t="s">
        <v>573</v>
      </c>
      <c r="D203" s="237" t="s">
        <v>114</v>
      </c>
      <c r="E203" s="180"/>
      <c r="F203" s="58" t="s">
        <v>610</v>
      </c>
      <c r="G203" s="237" t="s">
        <v>121</v>
      </c>
      <c r="H203" s="59" t="s">
        <v>126</v>
      </c>
      <c r="I203" s="65"/>
      <c r="J203" s="237" t="s">
        <v>132</v>
      </c>
      <c r="K203" s="237" t="s">
        <v>3</v>
      </c>
      <c r="L203" s="59" t="s">
        <v>6</v>
      </c>
      <c r="M203" s="58" t="s">
        <v>202</v>
      </c>
      <c r="N203" s="130"/>
      <c r="O203" s="172"/>
      <c r="P203" s="172"/>
      <c r="Q203" s="237" t="s">
        <v>140</v>
      </c>
      <c r="R203" s="78"/>
      <c r="S203" s="78"/>
      <c r="T203" s="58" t="s">
        <v>611</v>
      </c>
      <c r="U203" s="237">
        <v>2026</v>
      </c>
      <c r="V203" s="88">
        <v>46387</v>
      </c>
      <c r="W203" s="78"/>
      <c r="X203" s="88">
        <v>46024</v>
      </c>
      <c r="Y203" s="131">
        <v>72000</v>
      </c>
      <c r="Z203" s="131"/>
      <c r="AA203" s="131">
        <f t="shared" si="25"/>
        <v>72000</v>
      </c>
      <c r="AB203" s="131"/>
      <c r="AC203" s="131">
        <f t="shared" si="23"/>
        <v>72000</v>
      </c>
      <c r="AD203" s="131">
        <f t="shared" si="24"/>
        <v>72000</v>
      </c>
      <c r="AE203" s="173" t="s">
        <v>102</v>
      </c>
      <c r="AF203" s="173"/>
      <c r="AG203" s="173"/>
      <c r="AH203" s="174"/>
      <c r="AI203" s="175"/>
      <c r="AJ203" s="174"/>
      <c r="AK203" s="176"/>
      <c r="AL203" s="174"/>
      <c r="AM203" s="177" t="s">
        <v>204</v>
      </c>
      <c r="AN203" s="243" t="s">
        <v>178</v>
      </c>
      <c r="AO203" s="178"/>
      <c r="AP203" s="179"/>
      <c r="AQ203" s="179"/>
      <c r="AR203" s="24"/>
      <c r="AS203" s="179"/>
    </row>
    <row r="204" spans="1:45" ht="30" customHeight="1" x14ac:dyDescent="0.35">
      <c r="A204" s="38">
        <v>2026</v>
      </c>
      <c r="B204" s="59" t="s">
        <v>67</v>
      </c>
      <c r="C204" s="58" t="s">
        <v>573</v>
      </c>
      <c r="D204" s="237" t="s">
        <v>114</v>
      </c>
      <c r="E204" s="180"/>
      <c r="F204" s="58" t="s">
        <v>612</v>
      </c>
      <c r="G204" s="237" t="s">
        <v>121</v>
      </c>
      <c r="H204" s="59" t="s">
        <v>126</v>
      </c>
      <c r="I204" s="65"/>
      <c r="J204" s="237" t="s">
        <v>132</v>
      </c>
      <c r="K204" s="237" t="s">
        <v>3</v>
      </c>
      <c r="L204" s="59" t="s">
        <v>6</v>
      </c>
      <c r="M204" s="58" t="s">
        <v>202</v>
      </c>
      <c r="N204" s="130"/>
      <c r="O204" s="172"/>
      <c r="P204" s="172"/>
      <c r="Q204" s="237" t="s">
        <v>140</v>
      </c>
      <c r="R204" s="78"/>
      <c r="S204" s="78"/>
      <c r="T204" s="58" t="s">
        <v>613</v>
      </c>
      <c r="U204" s="237">
        <v>2026</v>
      </c>
      <c r="V204" s="88">
        <v>46387</v>
      </c>
      <c r="W204" s="78"/>
      <c r="X204" s="88">
        <v>46024</v>
      </c>
      <c r="Y204" s="131">
        <v>96000</v>
      </c>
      <c r="Z204" s="131"/>
      <c r="AA204" s="131">
        <f t="shared" si="25"/>
        <v>96000</v>
      </c>
      <c r="AB204" s="131"/>
      <c r="AC204" s="131">
        <f t="shared" si="23"/>
        <v>96000</v>
      </c>
      <c r="AD204" s="131">
        <f t="shared" si="24"/>
        <v>96000</v>
      </c>
      <c r="AE204" s="173" t="s">
        <v>102</v>
      </c>
      <c r="AF204" s="173"/>
      <c r="AG204" s="173"/>
      <c r="AH204" s="174"/>
      <c r="AI204" s="175"/>
      <c r="AJ204" s="174"/>
      <c r="AK204" s="176"/>
      <c r="AL204" s="174"/>
      <c r="AM204" s="177" t="s">
        <v>204</v>
      </c>
      <c r="AN204" s="243" t="s">
        <v>178</v>
      </c>
      <c r="AO204" s="178"/>
      <c r="AP204" s="179"/>
      <c r="AQ204" s="179"/>
      <c r="AR204" s="24"/>
      <c r="AS204" s="179"/>
    </row>
    <row r="205" spans="1:45" ht="30" customHeight="1" x14ac:dyDescent="0.35">
      <c r="A205" s="38">
        <v>2026</v>
      </c>
      <c r="B205" s="59" t="s">
        <v>67</v>
      </c>
      <c r="C205" s="58" t="s">
        <v>573</v>
      </c>
      <c r="D205" s="237" t="s">
        <v>114</v>
      </c>
      <c r="E205" s="180"/>
      <c r="F205" s="58" t="s">
        <v>614</v>
      </c>
      <c r="G205" s="237" t="s">
        <v>121</v>
      </c>
      <c r="H205" s="59" t="s">
        <v>126</v>
      </c>
      <c r="I205" s="65"/>
      <c r="J205" s="237" t="s">
        <v>132</v>
      </c>
      <c r="K205" s="237" t="s">
        <v>3</v>
      </c>
      <c r="L205" s="59" t="s">
        <v>6</v>
      </c>
      <c r="M205" s="58" t="s">
        <v>202</v>
      </c>
      <c r="N205" s="130"/>
      <c r="O205" s="172"/>
      <c r="P205" s="172"/>
      <c r="Q205" s="237" t="s">
        <v>140</v>
      </c>
      <c r="R205" s="78"/>
      <c r="S205" s="78"/>
      <c r="T205" s="58" t="s">
        <v>615</v>
      </c>
      <c r="U205" s="237">
        <v>2026</v>
      </c>
      <c r="V205" s="88">
        <v>46387</v>
      </c>
      <c r="W205" s="78"/>
      <c r="X205" s="88">
        <v>46024</v>
      </c>
      <c r="Y205" s="131">
        <v>144000</v>
      </c>
      <c r="Z205" s="131"/>
      <c r="AA205" s="131">
        <f t="shared" si="25"/>
        <v>144000</v>
      </c>
      <c r="AB205" s="131"/>
      <c r="AC205" s="131">
        <f t="shared" si="23"/>
        <v>144000</v>
      </c>
      <c r="AD205" s="131">
        <f t="shared" si="24"/>
        <v>144000</v>
      </c>
      <c r="AE205" s="173" t="s">
        <v>102</v>
      </c>
      <c r="AF205" s="173"/>
      <c r="AG205" s="173"/>
      <c r="AH205" s="174"/>
      <c r="AI205" s="175"/>
      <c r="AJ205" s="174"/>
      <c r="AK205" s="176"/>
      <c r="AL205" s="174"/>
      <c r="AM205" s="177" t="s">
        <v>204</v>
      </c>
      <c r="AN205" s="243" t="s">
        <v>178</v>
      </c>
      <c r="AO205" s="178"/>
      <c r="AP205" s="179"/>
      <c r="AQ205" s="179"/>
      <c r="AR205" s="24"/>
      <c r="AS205" s="179"/>
    </row>
    <row r="206" spans="1:45" ht="30" customHeight="1" x14ac:dyDescent="0.35">
      <c r="A206" s="38">
        <v>2026</v>
      </c>
      <c r="B206" s="59" t="s">
        <v>67</v>
      </c>
      <c r="C206" s="58" t="s">
        <v>573</v>
      </c>
      <c r="D206" s="237" t="s">
        <v>114</v>
      </c>
      <c r="E206" s="180"/>
      <c r="F206" s="58" t="s">
        <v>616</v>
      </c>
      <c r="G206" s="237" t="s">
        <v>121</v>
      </c>
      <c r="H206" s="59" t="s">
        <v>126</v>
      </c>
      <c r="I206" s="65"/>
      <c r="J206" s="237" t="s">
        <v>132</v>
      </c>
      <c r="K206" s="237" t="s">
        <v>3</v>
      </c>
      <c r="L206" s="59" t="s">
        <v>6</v>
      </c>
      <c r="M206" s="58" t="s">
        <v>202</v>
      </c>
      <c r="N206" s="130"/>
      <c r="O206" s="172"/>
      <c r="P206" s="172"/>
      <c r="Q206" s="237" t="s">
        <v>140</v>
      </c>
      <c r="R206" s="78"/>
      <c r="S206" s="78"/>
      <c r="T206" s="58" t="s">
        <v>617</v>
      </c>
      <c r="U206" s="237">
        <v>2026</v>
      </c>
      <c r="V206" s="88">
        <v>46387</v>
      </c>
      <c r="W206" s="78"/>
      <c r="X206" s="88">
        <v>46024</v>
      </c>
      <c r="Y206" s="131">
        <v>132000</v>
      </c>
      <c r="Z206" s="131"/>
      <c r="AA206" s="131">
        <f t="shared" si="25"/>
        <v>132000</v>
      </c>
      <c r="AB206" s="131"/>
      <c r="AC206" s="131">
        <f t="shared" si="23"/>
        <v>132000</v>
      </c>
      <c r="AD206" s="131">
        <f t="shared" si="24"/>
        <v>132000</v>
      </c>
      <c r="AE206" s="173" t="s">
        <v>102</v>
      </c>
      <c r="AF206" s="173"/>
      <c r="AG206" s="173"/>
      <c r="AH206" s="174"/>
      <c r="AI206" s="175"/>
      <c r="AJ206" s="174"/>
      <c r="AK206" s="176"/>
      <c r="AL206" s="174"/>
      <c r="AM206" s="177" t="s">
        <v>204</v>
      </c>
      <c r="AN206" s="243" t="s">
        <v>178</v>
      </c>
      <c r="AO206" s="178"/>
      <c r="AP206" s="179"/>
      <c r="AQ206" s="179"/>
      <c r="AR206" s="24"/>
      <c r="AS206" s="179"/>
    </row>
    <row r="207" spans="1:45" ht="30" customHeight="1" x14ac:dyDescent="0.35">
      <c r="A207" s="38">
        <v>2026</v>
      </c>
      <c r="B207" s="59" t="s">
        <v>67</v>
      </c>
      <c r="C207" s="58" t="s">
        <v>573</v>
      </c>
      <c r="D207" s="237" t="s">
        <v>114</v>
      </c>
      <c r="E207" s="180"/>
      <c r="F207" s="58" t="s">
        <v>618</v>
      </c>
      <c r="G207" s="237" t="s">
        <v>121</v>
      </c>
      <c r="H207" s="59" t="s">
        <v>126</v>
      </c>
      <c r="I207" s="65"/>
      <c r="J207" s="237" t="s">
        <v>132</v>
      </c>
      <c r="K207" s="237" t="s">
        <v>3</v>
      </c>
      <c r="L207" s="59" t="s">
        <v>6</v>
      </c>
      <c r="M207" s="58" t="s">
        <v>202</v>
      </c>
      <c r="N207" s="130"/>
      <c r="O207" s="172"/>
      <c r="P207" s="172"/>
      <c r="Q207" s="237" t="s">
        <v>140</v>
      </c>
      <c r="R207" s="78"/>
      <c r="S207" s="78"/>
      <c r="T207" s="58" t="s">
        <v>619</v>
      </c>
      <c r="U207" s="237">
        <v>2026</v>
      </c>
      <c r="V207" s="88">
        <v>46387</v>
      </c>
      <c r="W207" s="78"/>
      <c r="X207" s="88">
        <v>46024</v>
      </c>
      <c r="Y207" s="131">
        <v>96000</v>
      </c>
      <c r="Z207" s="131"/>
      <c r="AA207" s="131">
        <f t="shared" si="25"/>
        <v>96000</v>
      </c>
      <c r="AB207" s="131"/>
      <c r="AC207" s="131">
        <f t="shared" si="23"/>
        <v>96000</v>
      </c>
      <c r="AD207" s="131">
        <f t="shared" si="24"/>
        <v>96000</v>
      </c>
      <c r="AE207" s="173" t="s">
        <v>102</v>
      </c>
      <c r="AF207" s="173"/>
      <c r="AG207" s="173"/>
      <c r="AH207" s="174"/>
      <c r="AI207" s="175"/>
      <c r="AJ207" s="174"/>
      <c r="AK207" s="176"/>
      <c r="AL207" s="174"/>
      <c r="AM207" s="177" t="s">
        <v>204</v>
      </c>
      <c r="AN207" s="243" t="s">
        <v>178</v>
      </c>
      <c r="AO207" s="178"/>
      <c r="AP207" s="179"/>
      <c r="AQ207" s="179"/>
      <c r="AR207" s="24"/>
      <c r="AS207" s="179"/>
    </row>
    <row r="208" spans="1:45" ht="30" customHeight="1" x14ac:dyDescent="0.35">
      <c r="A208" s="38">
        <v>2026</v>
      </c>
      <c r="B208" s="59" t="s">
        <v>67</v>
      </c>
      <c r="C208" s="58" t="s">
        <v>573</v>
      </c>
      <c r="D208" s="237" t="s">
        <v>114</v>
      </c>
      <c r="E208" s="180"/>
      <c r="F208" s="58" t="s">
        <v>620</v>
      </c>
      <c r="G208" s="237" t="s">
        <v>121</v>
      </c>
      <c r="H208" s="59" t="s">
        <v>126</v>
      </c>
      <c r="I208" s="65"/>
      <c r="J208" s="237" t="s">
        <v>132</v>
      </c>
      <c r="K208" s="237" t="s">
        <v>3</v>
      </c>
      <c r="L208" s="59" t="s">
        <v>6</v>
      </c>
      <c r="M208" s="58" t="s">
        <v>202</v>
      </c>
      <c r="N208" s="130"/>
      <c r="O208" s="172"/>
      <c r="P208" s="172"/>
      <c r="Q208" s="237" t="s">
        <v>140</v>
      </c>
      <c r="R208" s="78"/>
      <c r="S208" s="78"/>
      <c r="T208" s="58" t="s">
        <v>621</v>
      </c>
      <c r="U208" s="237">
        <v>2026</v>
      </c>
      <c r="V208" s="88">
        <v>46387</v>
      </c>
      <c r="W208" s="78"/>
      <c r="X208" s="88">
        <v>46024</v>
      </c>
      <c r="Y208" s="131">
        <v>124800</v>
      </c>
      <c r="Z208" s="131"/>
      <c r="AA208" s="131">
        <f t="shared" si="25"/>
        <v>124800</v>
      </c>
      <c r="AB208" s="131"/>
      <c r="AC208" s="131">
        <f t="shared" si="23"/>
        <v>124800</v>
      </c>
      <c r="AD208" s="131">
        <f t="shared" si="24"/>
        <v>124800</v>
      </c>
      <c r="AE208" s="173" t="s">
        <v>102</v>
      </c>
      <c r="AF208" s="173"/>
      <c r="AG208" s="173"/>
      <c r="AH208" s="174"/>
      <c r="AI208" s="175"/>
      <c r="AJ208" s="174"/>
      <c r="AK208" s="176"/>
      <c r="AL208" s="174"/>
      <c r="AM208" s="177" t="s">
        <v>204</v>
      </c>
      <c r="AN208" s="243" t="s">
        <v>178</v>
      </c>
      <c r="AO208" s="178"/>
      <c r="AP208" s="179"/>
      <c r="AQ208" s="179"/>
      <c r="AR208" s="24"/>
      <c r="AS208" s="179"/>
    </row>
    <row r="209" spans="1:45" ht="30" customHeight="1" x14ac:dyDescent="0.35">
      <c r="A209" s="38">
        <v>2026</v>
      </c>
      <c r="B209" s="59" t="s">
        <v>67</v>
      </c>
      <c r="C209" s="58" t="s">
        <v>573</v>
      </c>
      <c r="D209" s="237" t="s">
        <v>114</v>
      </c>
      <c r="E209" s="180"/>
      <c r="F209" s="58" t="s">
        <v>622</v>
      </c>
      <c r="G209" s="237" t="s">
        <v>121</v>
      </c>
      <c r="H209" s="59" t="s">
        <v>126</v>
      </c>
      <c r="I209" s="65"/>
      <c r="J209" s="237" t="s">
        <v>132</v>
      </c>
      <c r="K209" s="237" t="s">
        <v>3</v>
      </c>
      <c r="L209" s="59" t="s">
        <v>6</v>
      </c>
      <c r="M209" s="58" t="s">
        <v>202</v>
      </c>
      <c r="N209" s="130"/>
      <c r="O209" s="172"/>
      <c r="P209" s="172"/>
      <c r="Q209" s="237" t="s">
        <v>140</v>
      </c>
      <c r="R209" s="78"/>
      <c r="S209" s="78"/>
      <c r="T209" s="58" t="s">
        <v>623</v>
      </c>
      <c r="U209" s="237">
        <v>2026</v>
      </c>
      <c r="V209" s="88">
        <v>46387</v>
      </c>
      <c r="W209" s="78"/>
      <c r="X209" s="88">
        <v>46024</v>
      </c>
      <c r="Y209" s="131">
        <v>171428.52</v>
      </c>
      <c r="Z209" s="131"/>
      <c r="AA209" s="131">
        <f t="shared" si="25"/>
        <v>171428.52</v>
      </c>
      <c r="AB209" s="131"/>
      <c r="AC209" s="131">
        <f t="shared" si="23"/>
        <v>171428.52</v>
      </c>
      <c r="AD209" s="131">
        <f t="shared" si="24"/>
        <v>171428.52</v>
      </c>
      <c r="AE209" s="173" t="s">
        <v>102</v>
      </c>
      <c r="AF209" s="173"/>
      <c r="AG209" s="173"/>
      <c r="AH209" s="174"/>
      <c r="AI209" s="175"/>
      <c r="AJ209" s="174"/>
      <c r="AK209" s="176"/>
      <c r="AL209" s="174"/>
      <c r="AM209" s="177" t="s">
        <v>204</v>
      </c>
      <c r="AN209" s="243" t="s">
        <v>178</v>
      </c>
      <c r="AO209" s="178"/>
      <c r="AP209" s="179"/>
      <c r="AQ209" s="179"/>
      <c r="AR209" s="24"/>
      <c r="AS209" s="179"/>
    </row>
    <row r="210" spans="1:45" ht="30" customHeight="1" x14ac:dyDescent="0.35">
      <c r="A210" s="38">
        <v>2026</v>
      </c>
      <c r="B210" s="59" t="s">
        <v>67</v>
      </c>
      <c r="C210" s="58" t="s">
        <v>573</v>
      </c>
      <c r="D210" s="237" t="s">
        <v>114</v>
      </c>
      <c r="E210" s="105">
        <v>324</v>
      </c>
      <c r="F210" s="58" t="s">
        <v>624</v>
      </c>
      <c r="G210" s="237" t="s">
        <v>121</v>
      </c>
      <c r="H210" s="59" t="s">
        <v>126</v>
      </c>
      <c r="I210" s="65"/>
      <c r="J210" s="237" t="s">
        <v>132</v>
      </c>
      <c r="K210" s="237" t="s">
        <v>3</v>
      </c>
      <c r="L210" s="59" t="s">
        <v>6</v>
      </c>
      <c r="M210" s="58" t="s">
        <v>202</v>
      </c>
      <c r="N210" s="130"/>
      <c r="O210" s="172"/>
      <c r="P210" s="172"/>
      <c r="Q210" s="237" t="s">
        <v>140</v>
      </c>
      <c r="R210" s="78"/>
      <c r="S210" s="78"/>
      <c r="T210" s="58" t="s">
        <v>625</v>
      </c>
      <c r="U210" s="237">
        <v>2026</v>
      </c>
      <c r="V210" s="88">
        <v>46387</v>
      </c>
      <c r="W210" s="78"/>
      <c r="X210" s="88">
        <v>46024</v>
      </c>
      <c r="Y210" s="131">
        <v>180000</v>
      </c>
      <c r="Z210" s="131"/>
      <c r="AA210" s="131">
        <f t="shared" si="25"/>
        <v>180000</v>
      </c>
      <c r="AB210" s="131"/>
      <c r="AC210" s="131">
        <f t="shared" si="23"/>
        <v>180000</v>
      </c>
      <c r="AD210" s="131">
        <f t="shared" si="24"/>
        <v>180000</v>
      </c>
      <c r="AE210" s="173" t="s">
        <v>102</v>
      </c>
      <c r="AF210" s="173"/>
      <c r="AG210" s="173"/>
      <c r="AH210" s="174"/>
      <c r="AI210" s="175"/>
      <c r="AJ210" s="174"/>
      <c r="AK210" s="176"/>
      <c r="AL210" s="174"/>
      <c r="AM210" s="177" t="s">
        <v>204</v>
      </c>
      <c r="AN210" s="243" t="s">
        <v>178</v>
      </c>
      <c r="AO210" s="178"/>
      <c r="AP210" s="179"/>
      <c r="AQ210" s="179"/>
      <c r="AR210" s="24"/>
      <c r="AS210" s="179"/>
    </row>
    <row r="211" spans="1:45" ht="30" customHeight="1" x14ac:dyDescent="0.35">
      <c r="A211" s="38">
        <v>2026</v>
      </c>
      <c r="B211" s="59" t="s">
        <v>67</v>
      </c>
      <c r="C211" s="58" t="s">
        <v>573</v>
      </c>
      <c r="D211" s="237" t="s">
        <v>114</v>
      </c>
      <c r="E211" s="180"/>
      <c r="F211" s="58" t="s">
        <v>626</v>
      </c>
      <c r="G211" s="237" t="s">
        <v>121</v>
      </c>
      <c r="H211" s="59" t="s">
        <v>120</v>
      </c>
      <c r="I211" s="65"/>
      <c r="J211" s="237" t="s">
        <v>132</v>
      </c>
      <c r="K211" s="237" t="s">
        <v>3</v>
      </c>
      <c r="L211" s="59" t="s">
        <v>6</v>
      </c>
      <c r="M211" s="58" t="s">
        <v>202</v>
      </c>
      <c r="N211" s="130"/>
      <c r="O211" s="172"/>
      <c r="P211" s="172"/>
      <c r="Q211" s="237" t="s">
        <v>140</v>
      </c>
      <c r="R211" s="78"/>
      <c r="S211" s="78"/>
      <c r="T211" s="58" t="s">
        <v>627</v>
      </c>
      <c r="U211" s="237">
        <v>2026</v>
      </c>
      <c r="V211" s="88">
        <v>46387</v>
      </c>
      <c r="W211" s="78"/>
      <c r="X211" s="88">
        <v>46024</v>
      </c>
      <c r="Y211" s="131">
        <v>120000</v>
      </c>
      <c r="Z211" s="131"/>
      <c r="AA211" s="131">
        <f t="shared" si="25"/>
        <v>120000</v>
      </c>
      <c r="AB211" s="131"/>
      <c r="AC211" s="131">
        <f t="shared" si="23"/>
        <v>120000</v>
      </c>
      <c r="AD211" s="131">
        <f t="shared" si="24"/>
        <v>120000</v>
      </c>
      <c r="AE211" s="173" t="s">
        <v>102</v>
      </c>
      <c r="AF211" s="173"/>
      <c r="AG211" s="173"/>
      <c r="AH211" s="174"/>
      <c r="AI211" s="175"/>
      <c r="AJ211" s="174"/>
      <c r="AK211" s="176"/>
      <c r="AL211" s="174"/>
      <c r="AM211" s="177" t="s">
        <v>204</v>
      </c>
      <c r="AN211" s="243" t="s">
        <v>178</v>
      </c>
      <c r="AO211" s="178"/>
      <c r="AP211" s="179"/>
      <c r="AQ211" s="179"/>
      <c r="AR211" s="24"/>
      <c r="AS211" s="179"/>
    </row>
    <row r="212" spans="1:45" ht="30" customHeight="1" x14ac:dyDescent="0.35">
      <c r="A212" s="38">
        <v>2026</v>
      </c>
      <c r="B212" s="59" t="s">
        <v>67</v>
      </c>
      <c r="C212" s="58" t="s">
        <v>573</v>
      </c>
      <c r="D212" s="237" t="s">
        <v>114</v>
      </c>
      <c r="E212" s="180"/>
      <c r="F212" s="58" t="s">
        <v>628</v>
      </c>
      <c r="G212" s="237" t="s">
        <v>121</v>
      </c>
      <c r="H212" s="59" t="s">
        <v>126</v>
      </c>
      <c r="I212" s="65"/>
      <c r="J212" s="237" t="s">
        <v>132</v>
      </c>
      <c r="K212" s="237" t="s">
        <v>3</v>
      </c>
      <c r="L212" s="59" t="s">
        <v>6</v>
      </c>
      <c r="M212" s="58" t="s">
        <v>202</v>
      </c>
      <c r="N212" s="130"/>
      <c r="O212" s="172"/>
      <c r="P212" s="172"/>
      <c r="Q212" s="237" t="s">
        <v>140</v>
      </c>
      <c r="R212" s="78"/>
      <c r="S212" s="78"/>
      <c r="T212" s="58" t="s">
        <v>629</v>
      </c>
      <c r="U212" s="237">
        <v>2026</v>
      </c>
      <c r="V212" s="88">
        <v>46387</v>
      </c>
      <c r="W212" s="78"/>
      <c r="X212" s="88">
        <v>46024</v>
      </c>
      <c r="Y212" s="131">
        <v>96000</v>
      </c>
      <c r="Z212" s="131"/>
      <c r="AA212" s="131">
        <f t="shared" si="25"/>
        <v>96000</v>
      </c>
      <c r="AB212" s="131"/>
      <c r="AC212" s="131">
        <f t="shared" si="23"/>
        <v>96000</v>
      </c>
      <c r="AD212" s="131">
        <f t="shared" si="24"/>
        <v>96000</v>
      </c>
      <c r="AE212" s="173" t="s">
        <v>102</v>
      </c>
      <c r="AF212" s="173"/>
      <c r="AG212" s="173"/>
      <c r="AH212" s="174"/>
      <c r="AI212" s="175"/>
      <c r="AJ212" s="174"/>
      <c r="AK212" s="176"/>
      <c r="AL212" s="174"/>
      <c r="AM212" s="177" t="s">
        <v>204</v>
      </c>
      <c r="AN212" s="243" t="s">
        <v>178</v>
      </c>
      <c r="AO212" s="178"/>
      <c r="AP212" s="179"/>
      <c r="AQ212" s="179"/>
      <c r="AR212" s="24"/>
      <c r="AS212" s="179"/>
    </row>
    <row r="213" spans="1:45" ht="30" customHeight="1" x14ac:dyDescent="0.35">
      <c r="A213" s="38">
        <v>2026</v>
      </c>
      <c r="B213" s="59" t="s">
        <v>67</v>
      </c>
      <c r="C213" s="58" t="s">
        <v>573</v>
      </c>
      <c r="D213" s="237" t="s">
        <v>114</v>
      </c>
      <c r="E213" s="180"/>
      <c r="F213" s="58" t="s">
        <v>630</v>
      </c>
      <c r="G213" s="237" t="s">
        <v>121</v>
      </c>
      <c r="H213" s="59" t="s">
        <v>126</v>
      </c>
      <c r="I213" s="65"/>
      <c r="J213" s="237" t="s">
        <v>132</v>
      </c>
      <c r="K213" s="237" t="s">
        <v>3</v>
      </c>
      <c r="L213" s="59" t="s">
        <v>6</v>
      </c>
      <c r="M213" s="58" t="s">
        <v>202</v>
      </c>
      <c r="N213" s="130"/>
      <c r="O213" s="172"/>
      <c r="P213" s="172"/>
      <c r="Q213" s="237" t="s">
        <v>140</v>
      </c>
      <c r="R213" s="78"/>
      <c r="S213" s="78"/>
      <c r="T213" s="58" t="s">
        <v>631</v>
      </c>
      <c r="U213" s="237">
        <v>2026</v>
      </c>
      <c r="V213" s="88">
        <v>46387</v>
      </c>
      <c r="W213" s="78"/>
      <c r="X213" s="88">
        <v>46024</v>
      </c>
      <c r="Y213" s="131">
        <v>84000</v>
      </c>
      <c r="Z213" s="131"/>
      <c r="AA213" s="131">
        <f t="shared" si="25"/>
        <v>84000</v>
      </c>
      <c r="AB213" s="131"/>
      <c r="AC213" s="131">
        <f t="shared" si="23"/>
        <v>84000</v>
      </c>
      <c r="AD213" s="131">
        <f t="shared" si="24"/>
        <v>84000</v>
      </c>
      <c r="AE213" s="173" t="s">
        <v>102</v>
      </c>
      <c r="AF213" s="173"/>
      <c r="AG213" s="173"/>
      <c r="AH213" s="174"/>
      <c r="AI213" s="175"/>
      <c r="AJ213" s="174"/>
      <c r="AK213" s="176"/>
      <c r="AL213" s="174"/>
      <c r="AM213" s="177" t="s">
        <v>204</v>
      </c>
      <c r="AN213" s="243" t="s">
        <v>178</v>
      </c>
      <c r="AO213" s="178"/>
      <c r="AP213" s="179"/>
      <c r="AQ213" s="179"/>
      <c r="AR213" s="24"/>
      <c r="AS213" s="179"/>
    </row>
    <row r="214" spans="1:45" ht="30" customHeight="1" x14ac:dyDescent="0.35">
      <c r="A214" s="38">
        <v>2026</v>
      </c>
      <c r="B214" s="59" t="s">
        <v>67</v>
      </c>
      <c r="C214" s="58" t="s">
        <v>573</v>
      </c>
      <c r="D214" s="237" t="s">
        <v>114</v>
      </c>
      <c r="E214" s="180"/>
      <c r="F214" s="58" t="s">
        <v>632</v>
      </c>
      <c r="G214" s="237" t="s">
        <v>121</v>
      </c>
      <c r="H214" s="59" t="s">
        <v>126</v>
      </c>
      <c r="I214" s="65"/>
      <c r="J214" s="237" t="s">
        <v>132</v>
      </c>
      <c r="K214" s="237" t="s">
        <v>3</v>
      </c>
      <c r="L214" s="59" t="s">
        <v>6</v>
      </c>
      <c r="M214" s="58" t="s">
        <v>202</v>
      </c>
      <c r="N214" s="130"/>
      <c r="O214" s="172"/>
      <c r="P214" s="172"/>
      <c r="Q214" s="237" t="s">
        <v>140</v>
      </c>
      <c r="R214" s="78"/>
      <c r="S214" s="78"/>
      <c r="T214" s="58" t="s">
        <v>633</v>
      </c>
      <c r="U214" s="237">
        <v>2026</v>
      </c>
      <c r="V214" s="88">
        <v>46387</v>
      </c>
      <c r="W214" s="78"/>
      <c r="X214" s="88">
        <v>46024</v>
      </c>
      <c r="Y214" s="131">
        <v>96000</v>
      </c>
      <c r="Z214" s="131"/>
      <c r="AA214" s="131">
        <f t="shared" si="25"/>
        <v>96000</v>
      </c>
      <c r="AB214" s="131"/>
      <c r="AC214" s="131">
        <f t="shared" si="23"/>
        <v>96000</v>
      </c>
      <c r="AD214" s="131">
        <f t="shared" si="24"/>
        <v>96000</v>
      </c>
      <c r="AE214" s="173" t="s">
        <v>102</v>
      </c>
      <c r="AF214" s="173"/>
      <c r="AG214" s="173"/>
      <c r="AH214" s="174"/>
      <c r="AI214" s="175"/>
      <c r="AJ214" s="174"/>
      <c r="AK214" s="176"/>
      <c r="AL214" s="174"/>
      <c r="AM214" s="177" t="s">
        <v>204</v>
      </c>
      <c r="AN214" s="243" t="s">
        <v>178</v>
      </c>
      <c r="AO214" s="178"/>
      <c r="AP214" s="179"/>
      <c r="AQ214" s="179"/>
      <c r="AR214" s="24"/>
      <c r="AS214" s="179"/>
    </row>
    <row r="215" spans="1:45" ht="30" customHeight="1" x14ac:dyDescent="0.35">
      <c r="A215" s="38">
        <v>2026</v>
      </c>
      <c r="B215" s="59" t="s">
        <v>67</v>
      </c>
      <c r="C215" s="58" t="s">
        <v>573</v>
      </c>
      <c r="D215" s="237" t="s">
        <v>114</v>
      </c>
      <c r="E215" s="180"/>
      <c r="F215" s="58" t="s">
        <v>634</v>
      </c>
      <c r="G215" s="237" t="s">
        <v>121</v>
      </c>
      <c r="H215" s="59" t="s">
        <v>126</v>
      </c>
      <c r="I215" s="65"/>
      <c r="J215" s="237" t="s">
        <v>132</v>
      </c>
      <c r="K215" s="237" t="s">
        <v>3</v>
      </c>
      <c r="L215" s="59" t="s">
        <v>6</v>
      </c>
      <c r="M215" s="58" t="s">
        <v>202</v>
      </c>
      <c r="N215" s="130"/>
      <c r="O215" s="172"/>
      <c r="P215" s="172"/>
      <c r="Q215" s="237" t="s">
        <v>140</v>
      </c>
      <c r="R215" s="78"/>
      <c r="S215" s="78"/>
      <c r="T215" s="58" t="s">
        <v>635</v>
      </c>
      <c r="U215" s="237">
        <v>2026</v>
      </c>
      <c r="V215" s="88">
        <v>46387</v>
      </c>
      <c r="W215" s="78"/>
      <c r="X215" s="88">
        <v>46024</v>
      </c>
      <c r="Y215" s="131">
        <v>96000</v>
      </c>
      <c r="Z215" s="131"/>
      <c r="AA215" s="131">
        <f t="shared" si="25"/>
        <v>96000</v>
      </c>
      <c r="AB215" s="131"/>
      <c r="AC215" s="131">
        <f t="shared" si="23"/>
        <v>96000</v>
      </c>
      <c r="AD215" s="131">
        <f t="shared" si="24"/>
        <v>96000</v>
      </c>
      <c r="AE215" s="173" t="s">
        <v>102</v>
      </c>
      <c r="AF215" s="173"/>
      <c r="AG215" s="173"/>
      <c r="AH215" s="174"/>
      <c r="AI215" s="175"/>
      <c r="AJ215" s="174"/>
      <c r="AK215" s="176"/>
      <c r="AL215" s="174"/>
      <c r="AM215" s="177" t="s">
        <v>204</v>
      </c>
      <c r="AN215" s="243" t="s">
        <v>178</v>
      </c>
      <c r="AO215" s="178"/>
      <c r="AP215" s="179"/>
      <c r="AQ215" s="179"/>
      <c r="AR215" s="24"/>
      <c r="AS215" s="179"/>
    </row>
    <row r="216" spans="1:45" ht="30" customHeight="1" x14ac:dyDescent="0.35">
      <c r="A216" s="38">
        <v>2026</v>
      </c>
      <c r="B216" s="59" t="s">
        <v>67</v>
      </c>
      <c r="C216" s="58" t="s">
        <v>573</v>
      </c>
      <c r="D216" s="237" t="s">
        <v>114</v>
      </c>
      <c r="E216" s="180"/>
      <c r="F216" s="58" t="s">
        <v>636</v>
      </c>
      <c r="G216" s="237" t="s">
        <v>121</v>
      </c>
      <c r="H216" s="59" t="s">
        <v>126</v>
      </c>
      <c r="I216" s="65"/>
      <c r="J216" s="237" t="s">
        <v>132</v>
      </c>
      <c r="K216" s="237" t="s">
        <v>3</v>
      </c>
      <c r="L216" s="59" t="s">
        <v>6</v>
      </c>
      <c r="M216" s="58" t="s">
        <v>202</v>
      </c>
      <c r="N216" s="130"/>
      <c r="O216" s="172"/>
      <c r="P216" s="172"/>
      <c r="Q216" s="237" t="s">
        <v>140</v>
      </c>
      <c r="R216" s="78"/>
      <c r="S216" s="78"/>
      <c r="T216" s="58" t="s">
        <v>637</v>
      </c>
      <c r="U216" s="237">
        <v>2026</v>
      </c>
      <c r="V216" s="88">
        <v>46387</v>
      </c>
      <c r="W216" s="78"/>
      <c r="X216" s="88">
        <v>46024</v>
      </c>
      <c r="Y216" s="131">
        <v>84000</v>
      </c>
      <c r="Z216" s="131"/>
      <c r="AA216" s="131">
        <f t="shared" si="25"/>
        <v>84000</v>
      </c>
      <c r="AB216" s="131"/>
      <c r="AC216" s="131">
        <f t="shared" si="23"/>
        <v>84000</v>
      </c>
      <c r="AD216" s="131">
        <f t="shared" si="24"/>
        <v>84000</v>
      </c>
      <c r="AE216" s="173" t="s">
        <v>102</v>
      </c>
      <c r="AF216" s="173"/>
      <c r="AG216" s="173"/>
      <c r="AH216" s="174"/>
      <c r="AI216" s="175"/>
      <c r="AJ216" s="174"/>
      <c r="AK216" s="176"/>
      <c r="AL216" s="174"/>
      <c r="AM216" s="177" t="s">
        <v>204</v>
      </c>
      <c r="AN216" s="243" t="s">
        <v>178</v>
      </c>
      <c r="AO216" s="178"/>
      <c r="AP216" s="179"/>
      <c r="AQ216" s="179"/>
      <c r="AR216" s="24"/>
      <c r="AS216" s="179"/>
    </row>
    <row r="217" spans="1:45" ht="30" customHeight="1" x14ac:dyDescent="0.35">
      <c r="A217" s="38">
        <v>2026</v>
      </c>
      <c r="B217" s="59" t="s">
        <v>67</v>
      </c>
      <c r="C217" s="58" t="s">
        <v>573</v>
      </c>
      <c r="D217" s="237" t="s">
        <v>114</v>
      </c>
      <c r="E217" s="180"/>
      <c r="F217" s="58" t="s">
        <v>638</v>
      </c>
      <c r="G217" s="237" t="s">
        <v>121</v>
      </c>
      <c r="H217" s="59" t="s">
        <v>126</v>
      </c>
      <c r="I217" s="65"/>
      <c r="J217" s="237" t="s">
        <v>132</v>
      </c>
      <c r="K217" s="237" t="s">
        <v>3</v>
      </c>
      <c r="L217" s="59" t="s">
        <v>6</v>
      </c>
      <c r="M217" s="58" t="s">
        <v>202</v>
      </c>
      <c r="N217" s="130"/>
      <c r="O217" s="172"/>
      <c r="P217" s="172"/>
      <c r="Q217" s="237" t="s">
        <v>140</v>
      </c>
      <c r="R217" s="78"/>
      <c r="S217" s="78"/>
      <c r="T217" s="58" t="s">
        <v>639</v>
      </c>
      <c r="U217" s="237">
        <v>2026</v>
      </c>
      <c r="V217" s="88">
        <v>46387</v>
      </c>
      <c r="W217" s="78"/>
      <c r="X217" s="88">
        <v>46024</v>
      </c>
      <c r="Y217" s="131">
        <v>96000</v>
      </c>
      <c r="Z217" s="131"/>
      <c r="AA217" s="131">
        <f t="shared" si="25"/>
        <v>96000</v>
      </c>
      <c r="AB217" s="131"/>
      <c r="AC217" s="131">
        <f t="shared" ref="AC217:AC234" si="26">Y217</f>
        <v>96000</v>
      </c>
      <c r="AD217" s="131">
        <f t="shared" ref="AD217:AD234" si="27">AA217</f>
        <v>96000</v>
      </c>
      <c r="AE217" s="173" t="s">
        <v>102</v>
      </c>
      <c r="AF217" s="173"/>
      <c r="AG217" s="173"/>
      <c r="AH217" s="174"/>
      <c r="AI217" s="175"/>
      <c r="AJ217" s="174"/>
      <c r="AK217" s="176"/>
      <c r="AL217" s="174"/>
      <c r="AM217" s="177" t="s">
        <v>204</v>
      </c>
      <c r="AN217" s="243" t="s">
        <v>178</v>
      </c>
      <c r="AO217" s="178"/>
      <c r="AP217" s="179"/>
      <c r="AQ217" s="179"/>
      <c r="AR217" s="24"/>
      <c r="AS217" s="179"/>
    </row>
    <row r="218" spans="1:45" ht="30" customHeight="1" x14ac:dyDescent="0.35">
      <c r="A218" s="38">
        <v>2026</v>
      </c>
      <c r="B218" s="59" t="s">
        <v>67</v>
      </c>
      <c r="C218" s="58" t="s">
        <v>573</v>
      </c>
      <c r="D218" s="237" t="s">
        <v>114</v>
      </c>
      <c r="E218" s="180"/>
      <c r="F218" s="58" t="s">
        <v>640</v>
      </c>
      <c r="G218" s="237" t="s">
        <v>121</v>
      </c>
      <c r="H218" s="59" t="s">
        <v>126</v>
      </c>
      <c r="I218" s="65"/>
      <c r="J218" s="237" t="s">
        <v>132</v>
      </c>
      <c r="K218" s="237" t="s">
        <v>3</v>
      </c>
      <c r="L218" s="59" t="s">
        <v>6</v>
      </c>
      <c r="M218" s="58" t="s">
        <v>202</v>
      </c>
      <c r="N218" s="130"/>
      <c r="O218" s="172"/>
      <c r="P218" s="172"/>
      <c r="Q218" s="237" t="s">
        <v>140</v>
      </c>
      <c r="R218" s="78"/>
      <c r="S218" s="78"/>
      <c r="T218" s="58" t="s">
        <v>641</v>
      </c>
      <c r="U218" s="237">
        <v>2026</v>
      </c>
      <c r="V218" s="88">
        <v>46387</v>
      </c>
      <c r="W218" s="78"/>
      <c r="X218" s="88">
        <v>46024</v>
      </c>
      <c r="Y218" s="131">
        <v>96000</v>
      </c>
      <c r="Z218" s="131"/>
      <c r="AA218" s="131">
        <f t="shared" si="25"/>
        <v>96000</v>
      </c>
      <c r="AB218" s="131"/>
      <c r="AC218" s="131">
        <f t="shared" si="26"/>
        <v>96000</v>
      </c>
      <c r="AD218" s="131">
        <f t="shared" si="27"/>
        <v>96000</v>
      </c>
      <c r="AE218" s="173" t="s">
        <v>102</v>
      </c>
      <c r="AF218" s="173"/>
      <c r="AG218" s="173"/>
      <c r="AH218" s="174"/>
      <c r="AI218" s="175"/>
      <c r="AJ218" s="174"/>
      <c r="AK218" s="176"/>
      <c r="AL218" s="174"/>
      <c r="AM218" s="177" t="s">
        <v>204</v>
      </c>
      <c r="AN218" s="243" t="s">
        <v>178</v>
      </c>
      <c r="AO218" s="178"/>
      <c r="AP218" s="179"/>
      <c r="AQ218" s="179"/>
      <c r="AR218" s="24"/>
      <c r="AS218" s="179"/>
    </row>
    <row r="219" spans="1:45" ht="30" customHeight="1" x14ac:dyDescent="0.35">
      <c r="A219" s="38">
        <v>2026</v>
      </c>
      <c r="B219" s="59" t="s">
        <v>67</v>
      </c>
      <c r="C219" s="58" t="s">
        <v>573</v>
      </c>
      <c r="D219" s="237" t="s">
        <v>114</v>
      </c>
      <c r="E219" s="180"/>
      <c r="F219" s="58" t="s">
        <v>642</v>
      </c>
      <c r="G219" s="237" t="s">
        <v>121</v>
      </c>
      <c r="H219" s="59" t="s">
        <v>126</v>
      </c>
      <c r="I219" s="65"/>
      <c r="J219" s="237" t="s">
        <v>132</v>
      </c>
      <c r="K219" s="237" t="s">
        <v>3</v>
      </c>
      <c r="L219" s="59" t="s">
        <v>6</v>
      </c>
      <c r="M219" s="58" t="s">
        <v>202</v>
      </c>
      <c r="N219" s="130"/>
      <c r="O219" s="172"/>
      <c r="P219" s="172"/>
      <c r="Q219" s="237" t="s">
        <v>140</v>
      </c>
      <c r="R219" s="78"/>
      <c r="S219" s="78"/>
      <c r="T219" s="58" t="s">
        <v>643</v>
      </c>
      <c r="U219" s="237">
        <v>2026</v>
      </c>
      <c r="V219" s="88">
        <v>46387</v>
      </c>
      <c r="W219" s="78"/>
      <c r="X219" s="88">
        <v>46024</v>
      </c>
      <c r="Y219" s="131">
        <v>96000</v>
      </c>
      <c r="Z219" s="131"/>
      <c r="AA219" s="131">
        <f t="shared" si="25"/>
        <v>96000</v>
      </c>
      <c r="AB219" s="131"/>
      <c r="AC219" s="131">
        <f t="shared" si="26"/>
        <v>96000</v>
      </c>
      <c r="AD219" s="131">
        <f t="shared" si="27"/>
        <v>96000</v>
      </c>
      <c r="AE219" s="173" t="s">
        <v>102</v>
      </c>
      <c r="AF219" s="173"/>
      <c r="AG219" s="173"/>
      <c r="AH219" s="174"/>
      <c r="AI219" s="175"/>
      <c r="AJ219" s="174"/>
      <c r="AK219" s="176"/>
      <c r="AL219" s="174"/>
      <c r="AM219" s="177" t="s">
        <v>204</v>
      </c>
      <c r="AN219" s="243" t="s">
        <v>178</v>
      </c>
      <c r="AO219" s="178"/>
      <c r="AP219" s="179"/>
      <c r="AQ219" s="179"/>
      <c r="AR219" s="24"/>
      <c r="AS219" s="179"/>
    </row>
    <row r="220" spans="1:45" ht="30" customHeight="1" x14ac:dyDescent="0.35">
      <c r="A220" s="38">
        <v>2026</v>
      </c>
      <c r="B220" s="59" t="s">
        <v>67</v>
      </c>
      <c r="C220" s="58" t="s">
        <v>573</v>
      </c>
      <c r="D220" s="237" t="s">
        <v>114</v>
      </c>
      <c r="E220" s="180"/>
      <c r="F220" s="58" t="s">
        <v>644</v>
      </c>
      <c r="G220" s="237" t="s">
        <v>121</v>
      </c>
      <c r="H220" s="59" t="s">
        <v>126</v>
      </c>
      <c r="I220" s="65"/>
      <c r="J220" s="237" t="s">
        <v>132</v>
      </c>
      <c r="K220" s="237" t="s">
        <v>3</v>
      </c>
      <c r="L220" s="59" t="s">
        <v>6</v>
      </c>
      <c r="M220" s="58" t="s">
        <v>202</v>
      </c>
      <c r="N220" s="130"/>
      <c r="O220" s="172"/>
      <c r="P220" s="172"/>
      <c r="Q220" s="237" t="s">
        <v>140</v>
      </c>
      <c r="R220" s="78"/>
      <c r="S220" s="78"/>
      <c r="T220" s="58" t="s">
        <v>645</v>
      </c>
      <c r="U220" s="237">
        <v>2026</v>
      </c>
      <c r="V220" s="88">
        <v>46387</v>
      </c>
      <c r="W220" s="78"/>
      <c r="X220" s="88">
        <v>46024</v>
      </c>
      <c r="Y220" s="131">
        <v>96000</v>
      </c>
      <c r="Z220" s="131"/>
      <c r="AA220" s="131">
        <f t="shared" si="25"/>
        <v>96000</v>
      </c>
      <c r="AB220" s="131"/>
      <c r="AC220" s="131">
        <f t="shared" si="26"/>
        <v>96000</v>
      </c>
      <c r="AD220" s="131">
        <f t="shared" si="27"/>
        <v>96000</v>
      </c>
      <c r="AE220" s="173" t="s">
        <v>102</v>
      </c>
      <c r="AF220" s="173"/>
      <c r="AG220" s="173"/>
      <c r="AH220" s="174"/>
      <c r="AI220" s="175"/>
      <c r="AJ220" s="174"/>
      <c r="AK220" s="176"/>
      <c r="AL220" s="174"/>
      <c r="AM220" s="177" t="s">
        <v>204</v>
      </c>
      <c r="AN220" s="243" t="s">
        <v>178</v>
      </c>
      <c r="AO220" s="178"/>
      <c r="AP220" s="179"/>
      <c r="AQ220" s="179"/>
      <c r="AR220" s="24"/>
      <c r="AS220" s="179"/>
    </row>
    <row r="221" spans="1:45" ht="30" customHeight="1" x14ac:dyDescent="0.35">
      <c r="A221" s="38">
        <v>2026</v>
      </c>
      <c r="B221" s="59" t="s">
        <v>67</v>
      </c>
      <c r="C221" s="58" t="s">
        <v>573</v>
      </c>
      <c r="D221" s="237" t="s">
        <v>114</v>
      </c>
      <c r="E221" s="105">
        <v>342</v>
      </c>
      <c r="F221" s="58" t="s">
        <v>646</v>
      </c>
      <c r="G221" s="237" t="s">
        <v>121</v>
      </c>
      <c r="H221" s="59" t="s">
        <v>126</v>
      </c>
      <c r="I221" s="65"/>
      <c r="J221" s="237" t="s">
        <v>132</v>
      </c>
      <c r="K221" s="237" t="s">
        <v>3</v>
      </c>
      <c r="L221" s="59" t="s">
        <v>6</v>
      </c>
      <c r="M221" s="58" t="s">
        <v>202</v>
      </c>
      <c r="N221" s="130"/>
      <c r="O221" s="172"/>
      <c r="P221" s="172"/>
      <c r="Q221" s="237" t="s">
        <v>140</v>
      </c>
      <c r="R221" s="78"/>
      <c r="S221" s="78"/>
      <c r="T221" s="58" t="s">
        <v>647</v>
      </c>
      <c r="U221" s="237">
        <v>2026</v>
      </c>
      <c r="V221" s="88">
        <v>46387</v>
      </c>
      <c r="W221" s="78"/>
      <c r="X221" s="88">
        <v>46024</v>
      </c>
      <c r="Y221" s="131">
        <v>96000</v>
      </c>
      <c r="Z221" s="131"/>
      <c r="AA221" s="131">
        <f t="shared" si="25"/>
        <v>96000</v>
      </c>
      <c r="AB221" s="131"/>
      <c r="AC221" s="131">
        <f t="shared" si="26"/>
        <v>96000</v>
      </c>
      <c r="AD221" s="131">
        <f t="shared" si="27"/>
        <v>96000</v>
      </c>
      <c r="AE221" s="173" t="s">
        <v>102</v>
      </c>
      <c r="AF221" s="173"/>
      <c r="AG221" s="173"/>
      <c r="AH221" s="174"/>
      <c r="AI221" s="175"/>
      <c r="AJ221" s="174"/>
      <c r="AK221" s="176"/>
      <c r="AL221" s="174"/>
      <c r="AM221" s="177" t="s">
        <v>204</v>
      </c>
      <c r="AN221" s="243" t="s">
        <v>178</v>
      </c>
      <c r="AO221" s="178"/>
      <c r="AP221" s="179"/>
      <c r="AQ221" s="179"/>
      <c r="AR221" s="24"/>
      <c r="AS221" s="179"/>
    </row>
    <row r="222" spans="1:45" ht="30" customHeight="1" x14ac:dyDescent="0.35">
      <c r="A222" s="38">
        <v>2026</v>
      </c>
      <c r="B222" s="59" t="s">
        <v>67</v>
      </c>
      <c r="C222" s="58" t="s">
        <v>573</v>
      </c>
      <c r="D222" s="237" t="s">
        <v>114</v>
      </c>
      <c r="E222" s="180"/>
      <c r="F222" s="58" t="s">
        <v>648</v>
      </c>
      <c r="G222" s="237" t="s">
        <v>121</v>
      </c>
      <c r="H222" s="59" t="s">
        <v>126</v>
      </c>
      <c r="I222" s="65"/>
      <c r="J222" s="237" t="s">
        <v>132</v>
      </c>
      <c r="K222" s="237" t="s">
        <v>3</v>
      </c>
      <c r="L222" s="59" t="s">
        <v>6</v>
      </c>
      <c r="M222" s="58" t="s">
        <v>202</v>
      </c>
      <c r="N222" s="130"/>
      <c r="O222" s="172"/>
      <c r="P222" s="172"/>
      <c r="Q222" s="237" t="s">
        <v>140</v>
      </c>
      <c r="R222" s="78"/>
      <c r="S222" s="78"/>
      <c r="T222" s="58" t="s">
        <v>649</v>
      </c>
      <c r="U222" s="237">
        <v>2026</v>
      </c>
      <c r="V222" s="88">
        <v>46387</v>
      </c>
      <c r="W222" s="78"/>
      <c r="X222" s="88">
        <v>46024</v>
      </c>
      <c r="Y222" s="131">
        <v>96000</v>
      </c>
      <c r="Z222" s="131"/>
      <c r="AA222" s="131">
        <f t="shared" si="25"/>
        <v>96000</v>
      </c>
      <c r="AB222" s="131"/>
      <c r="AC222" s="131">
        <f t="shared" si="26"/>
        <v>96000</v>
      </c>
      <c r="AD222" s="131">
        <f t="shared" si="27"/>
        <v>96000</v>
      </c>
      <c r="AE222" s="173" t="s">
        <v>102</v>
      </c>
      <c r="AF222" s="173"/>
      <c r="AG222" s="173"/>
      <c r="AH222" s="174"/>
      <c r="AI222" s="175"/>
      <c r="AJ222" s="174"/>
      <c r="AK222" s="176"/>
      <c r="AL222" s="174"/>
      <c r="AM222" s="177" t="s">
        <v>204</v>
      </c>
      <c r="AN222" s="243" t="s">
        <v>178</v>
      </c>
      <c r="AO222" s="178"/>
      <c r="AP222" s="179"/>
      <c r="AQ222" s="179"/>
      <c r="AR222" s="24"/>
      <c r="AS222" s="179"/>
    </row>
    <row r="223" spans="1:45" ht="30" customHeight="1" x14ac:dyDescent="0.35">
      <c r="A223" s="38">
        <v>2026</v>
      </c>
      <c r="B223" s="59" t="s">
        <v>67</v>
      </c>
      <c r="C223" s="58" t="s">
        <v>573</v>
      </c>
      <c r="D223" s="237" t="s">
        <v>114</v>
      </c>
      <c r="E223" s="180"/>
      <c r="F223" s="58" t="s">
        <v>650</v>
      </c>
      <c r="G223" s="237" t="s">
        <v>121</v>
      </c>
      <c r="H223" s="59" t="s">
        <v>126</v>
      </c>
      <c r="I223" s="65"/>
      <c r="J223" s="237" t="s">
        <v>132</v>
      </c>
      <c r="K223" s="237" t="s">
        <v>3</v>
      </c>
      <c r="L223" s="59" t="s">
        <v>6</v>
      </c>
      <c r="M223" s="58" t="s">
        <v>202</v>
      </c>
      <c r="N223" s="130"/>
      <c r="O223" s="172"/>
      <c r="P223" s="172"/>
      <c r="Q223" s="237" t="s">
        <v>140</v>
      </c>
      <c r="R223" s="78"/>
      <c r="S223" s="78"/>
      <c r="T223" s="58" t="s">
        <v>651</v>
      </c>
      <c r="U223" s="237">
        <v>2026</v>
      </c>
      <c r="V223" s="88">
        <v>46387</v>
      </c>
      <c r="W223" s="78"/>
      <c r="X223" s="88">
        <v>46024</v>
      </c>
      <c r="Y223" s="131">
        <v>96000</v>
      </c>
      <c r="Z223" s="131"/>
      <c r="AA223" s="131">
        <f t="shared" si="25"/>
        <v>96000</v>
      </c>
      <c r="AB223" s="131"/>
      <c r="AC223" s="131">
        <f t="shared" si="26"/>
        <v>96000</v>
      </c>
      <c r="AD223" s="131">
        <f t="shared" si="27"/>
        <v>96000</v>
      </c>
      <c r="AE223" s="173" t="s">
        <v>102</v>
      </c>
      <c r="AF223" s="173"/>
      <c r="AG223" s="173"/>
      <c r="AH223" s="174"/>
      <c r="AI223" s="175"/>
      <c r="AJ223" s="174"/>
      <c r="AK223" s="176"/>
      <c r="AL223" s="174"/>
      <c r="AM223" s="177" t="s">
        <v>204</v>
      </c>
      <c r="AN223" s="243" t="s">
        <v>178</v>
      </c>
      <c r="AO223" s="178"/>
      <c r="AP223" s="179"/>
      <c r="AQ223" s="179"/>
      <c r="AR223" s="24"/>
      <c r="AS223" s="179"/>
    </row>
    <row r="224" spans="1:45" ht="30" customHeight="1" x14ac:dyDescent="0.35">
      <c r="A224" s="38">
        <v>2026</v>
      </c>
      <c r="B224" s="59" t="s">
        <v>67</v>
      </c>
      <c r="C224" s="58" t="s">
        <v>573</v>
      </c>
      <c r="D224" s="237" t="s">
        <v>114</v>
      </c>
      <c r="E224" s="180"/>
      <c r="F224" s="58" t="s">
        <v>652</v>
      </c>
      <c r="G224" s="237" t="s">
        <v>121</v>
      </c>
      <c r="H224" s="59" t="s">
        <v>126</v>
      </c>
      <c r="I224" s="65"/>
      <c r="J224" s="237" t="s">
        <v>132</v>
      </c>
      <c r="K224" s="237" t="s">
        <v>3</v>
      </c>
      <c r="L224" s="59" t="s">
        <v>6</v>
      </c>
      <c r="M224" s="58" t="s">
        <v>202</v>
      </c>
      <c r="N224" s="130"/>
      <c r="O224" s="172"/>
      <c r="P224" s="172"/>
      <c r="Q224" s="237" t="s">
        <v>140</v>
      </c>
      <c r="R224" s="78"/>
      <c r="S224" s="78"/>
      <c r="T224" s="58" t="s">
        <v>653</v>
      </c>
      <c r="U224" s="237">
        <v>2026</v>
      </c>
      <c r="V224" s="88">
        <v>46387</v>
      </c>
      <c r="W224" s="78"/>
      <c r="X224" s="88">
        <v>46024</v>
      </c>
      <c r="Y224" s="131">
        <v>96000</v>
      </c>
      <c r="Z224" s="131"/>
      <c r="AA224" s="131">
        <f t="shared" si="25"/>
        <v>96000</v>
      </c>
      <c r="AB224" s="131"/>
      <c r="AC224" s="131">
        <f t="shared" si="26"/>
        <v>96000</v>
      </c>
      <c r="AD224" s="131">
        <f t="shared" si="27"/>
        <v>96000</v>
      </c>
      <c r="AE224" s="173" t="s">
        <v>102</v>
      </c>
      <c r="AF224" s="173"/>
      <c r="AG224" s="173"/>
      <c r="AH224" s="174"/>
      <c r="AI224" s="175"/>
      <c r="AJ224" s="174"/>
      <c r="AK224" s="176"/>
      <c r="AL224" s="174"/>
      <c r="AM224" s="177" t="s">
        <v>204</v>
      </c>
      <c r="AN224" s="243" t="s">
        <v>178</v>
      </c>
      <c r="AO224" s="178"/>
      <c r="AP224" s="179"/>
      <c r="AQ224" s="179"/>
      <c r="AR224" s="24"/>
      <c r="AS224" s="179"/>
    </row>
    <row r="225" spans="1:45" ht="30" customHeight="1" x14ac:dyDescent="0.35">
      <c r="A225" s="38">
        <v>2026</v>
      </c>
      <c r="B225" s="59" t="s">
        <v>67</v>
      </c>
      <c r="C225" s="58" t="s">
        <v>573</v>
      </c>
      <c r="D225" s="237" t="s">
        <v>114</v>
      </c>
      <c r="E225" s="180"/>
      <c r="F225" s="58" t="s">
        <v>654</v>
      </c>
      <c r="G225" s="237" t="s">
        <v>121</v>
      </c>
      <c r="H225" s="59" t="s">
        <v>126</v>
      </c>
      <c r="I225" s="65"/>
      <c r="J225" s="237" t="s">
        <v>132</v>
      </c>
      <c r="K225" s="237" t="s">
        <v>3</v>
      </c>
      <c r="L225" s="59" t="s">
        <v>6</v>
      </c>
      <c r="M225" s="58" t="s">
        <v>202</v>
      </c>
      <c r="N225" s="130"/>
      <c r="O225" s="172"/>
      <c r="P225" s="172"/>
      <c r="Q225" s="237" t="s">
        <v>140</v>
      </c>
      <c r="R225" s="78"/>
      <c r="S225" s="78"/>
      <c r="T225" s="58" t="s">
        <v>655</v>
      </c>
      <c r="U225" s="237">
        <v>2026</v>
      </c>
      <c r="V225" s="88">
        <v>46387</v>
      </c>
      <c r="W225" s="78"/>
      <c r="X225" s="88">
        <v>46024</v>
      </c>
      <c r="Y225" s="131">
        <v>96000</v>
      </c>
      <c r="Z225" s="131"/>
      <c r="AA225" s="131">
        <f t="shared" si="25"/>
        <v>96000</v>
      </c>
      <c r="AB225" s="131"/>
      <c r="AC225" s="131">
        <f t="shared" si="26"/>
        <v>96000</v>
      </c>
      <c r="AD225" s="131">
        <f t="shared" si="27"/>
        <v>96000</v>
      </c>
      <c r="AE225" s="173" t="s">
        <v>102</v>
      </c>
      <c r="AF225" s="173"/>
      <c r="AG225" s="173"/>
      <c r="AH225" s="174"/>
      <c r="AI225" s="175"/>
      <c r="AJ225" s="174"/>
      <c r="AK225" s="176"/>
      <c r="AL225" s="174"/>
      <c r="AM225" s="177" t="s">
        <v>204</v>
      </c>
      <c r="AN225" s="243" t="s">
        <v>178</v>
      </c>
      <c r="AO225" s="178"/>
      <c r="AP225" s="179"/>
      <c r="AQ225" s="179"/>
      <c r="AR225" s="24"/>
      <c r="AS225" s="179"/>
    </row>
    <row r="226" spans="1:45" ht="30" customHeight="1" x14ac:dyDescent="0.35">
      <c r="A226" s="38">
        <v>2026</v>
      </c>
      <c r="B226" s="59" t="s">
        <v>67</v>
      </c>
      <c r="C226" s="58" t="s">
        <v>573</v>
      </c>
      <c r="D226" s="237" t="s">
        <v>114</v>
      </c>
      <c r="E226" s="180"/>
      <c r="F226" s="58" t="s">
        <v>656</v>
      </c>
      <c r="G226" s="237" t="s">
        <v>121</v>
      </c>
      <c r="H226" s="59" t="s">
        <v>126</v>
      </c>
      <c r="I226" s="65"/>
      <c r="J226" s="237" t="s">
        <v>132</v>
      </c>
      <c r="K226" s="237" t="s">
        <v>3</v>
      </c>
      <c r="L226" s="59" t="s">
        <v>6</v>
      </c>
      <c r="M226" s="58" t="s">
        <v>202</v>
      </c>
      <c r="N226" s="130"/>
      <c r="O226" s="172"/>
      <c r="P226" s="172"/>
      <c r="Q226" s="237" t="s">
        <v>140</v>
      </c>
      <c r="R226" s="78"/>
      <c r="S226" s="78"/>
      <c r="T226" s="58" t="s">
        <v>657</v>
      </c>
      <c r="U226" s="237">
        <v>2026</v>
      </c>
      <c r="V226" s="88">
        <v>46387</v>
      </c>
      <c r="W226" s="78"/>
      <c r="X226" s="88">
        <v>46024</v>
      </c>
      <c r="Y226" s="131">
        <v>132000</v>
      </c>
      <c r="Z226" s="131"/>
      <c r="AA226" s="131">
        <f t="shared" si="25"/>
        <v>132000</v>
      </c>
      <c r="AB226" s="131"/>
      <c r="AC226" s="131">
        <f t="shared" si="26"/>
        <v>132000</v>
      </c>
      <c r="AD226" s="131">
        <f t="shared" si="27"/>
        <v>132000</v>
      </c>
      <c r="AE226" s="173" t="s">
        <v>102</v>
      </c>
      <c r="AF226" s="173"/>
      <c r="AG226" s="173"/>
      <c r="AH226" s="174"/>
      <c r="AI226" s="175"/>
      <c r="AJ226" s="174"/>
      <c r="AK226" s="176"/>
      <c r="AL226" s="174"/>
      <c r="AM226" s="177" t="s">
        <v>204</v>
      </c>
      <c r="AN226" s="243" t="s">
        <v>178</v>
      </c>
      <c r="AO226" s="178"/>
      <c r="AP226" s="179"/>
      <c r="AQ226" s="179"/>
      <c r="AR226" s="24"/>
      <c r="AS226" s="179"/>
    </row>
    <row r="227" spans="1:45" ht="30" customHeight="1" x14ac:dyDescent="0.35">
      <c r="A227" s="38">
        <v>2026</v>
      </c>
      <c r="B227" s="59" t="s">
        <v>67</v>
      </c>
      <c r="C227" s="58" t="s">
        <v>573</v>
      </c>
      <c r="D227" s="237" t="s">
        <v>114</v>
      </c>
      <c r="E227" s="180"/>
      <c r="F227" s="58" t="s">
        <v>658</v>
      </c>
      <c r="G227" s="237" t="s">
        <v>121</v>
      </c>
      <c r="H227" s="59" t="s">
        <v>126</v>
      </c>
      <c r="I227" s="65"/>
      <c r="J227" s="237" t="s">
        <v>132</v>
      </c>
      <c r="K227" s="237" t="s">
        <v>3</v>
      </c>
      <c r="L227" s="59" t="s">
        <v>6</v>
      </c>
      <c r="M227" s="58" t="s">
        <v>202</v>
      </c>
      <c r="N227" s="130"/>
      <c r="O227" s="172"/>
      <c r="P227" s="172"/>
      <c r="Q227" s="237" t="s">
        <v>140</v>
      </c>
      <c r="R227" s="78"/>
      <c r="S227" s="78"/>
      <c r="T227" s="58" t="s">
        <v>659</v>
      </c>
      <c r="U227" s="237">
        <v>2026</v>
      </c>
      <c r="V227" s="88">
        <v>46387</v>
      </c>
      <c r="W227" s="78"/>
      <c r="X227" s="88">
        <v>46024</v>
      </c>
      <c r="Y227" s="131">
        <v>84000</v>
      </c>
      <c r="Z227" s="131"/>
      <c r="AA227" s="131">
        <f t="shared" si="25"/>
        <v>84000</v>
      </c>
      <c r="AB227" s="131"/>
      <c r="AC227" s="131">
        <f t="shared" si="26"/>
        <v>84000</v>
      </c>
      <c r="AD227" s="131">
        <f t="shared" si="27"/>
        <v>84000</v>
      </c>
      <c r="AE227" s="173" t="s">
        <v>102</v>
      </c>
      <c r="AF227" s="173"/>
      <c r="AG227" s="173"/>
      <c r="AH227" s="174"/>
      <c r="AI227" s="175"/>
      <c r="AJ227" s="174"/>
      <c r="AK227" s="176"/>
      <c r="AL227" s="174"/>
      <c r="AM227" s="177" t="s">
        <v>204</v>
      </c>
      <c r="AN227" s="243" t="s">
        <v>178</v>
      </c>
      <c r="AO227" s="178"/>
      <c r="AP227" s="179"/>
      <c r="AQ227" s="179"/>
      <c r="AR227" s="24"/>
      <c r="AS227" s="179"/>
    </row>
    <row r="228" spans="1:45" ht="30" customHeight="1" x14ac:dyDescent="0.35">
      <c r="A228" s="38">
        <v>2026</v>
      </c>
      <c r="B228" s="59" t="s">
        <v>67</v>
      </c>
      <c r="C228" s="58" t="s">
        <v>573</v>
      </c>
      <c r="D228" s="237" t="s">
        <v>114</v>
      </c>
      <c r="E228" s="180"/>
      <c r="F228" s="58" t="s">
        <v>660</v>
      </c>
      <c r="G228" s="237" t="s">
        <v>121</v>
      </c>
      <c r="H228" s="59" t="s">
        <v>126</v>
      </c>
      <c r="I228" s="65"/>
      <c r="J228" s="237" t="s">
        <v>132</v>
      </c>
      <c r="K228" s="237" t="s">
        <v>3</v>
      </c>
      <c r="L228" s="59" t="s">
        <v>6</v>
      </c>
      <c r="M228" s="58" t="s">
        <v>202</v>
      </c>
      <c r="N228" s="130"/>
      <c r="O228" s="172"/>
      <c r="P228" s="172"/>
      <c r="Q228" s="237" t="s">
        <v>140</v>
      </c>
      <c r="R228" s="78"/>
      <c r="S228" s="78"/>
      <c r="T228" s="58" t="s">
        <v>661</v>
      </c>
      <c r="U228" s="237">
        <v>2026</v>
      </c>
      <c r="V228" s="88">
        <v>46387</v>
      </c>
      <c r="W228" s="78"/>
      <c r="X228" s="88">
        <v>46024</v>
      </c>
      <c r="Y228" s="131">
        <v>96000</v>
      </c>
      <c r="Z228" s="131"/>
      <c r="AA228" s="131">
        <f t="shared" si="25"/>
        <v>96000</v>
      </c>
      <c r="AB228" s="131"/>
      <c r="AC228" s="131">
        <f t="shared" si="26"/>
        <v>96000</v>
      </c>
      <c r="AD228" s="131">
        <f t="shared" si="27"/>
        <v>96000</v>
      </c>
      <c r="AE228" s="173" t="s">
        <v>102</v>
      </c>
      <c r="AF228" s="173"/>
      <c r="AG228" s="173"/>
      <c r="AH228" s="174"/>
      <c r="AI228" s="175"/>
      <c r="AJ228" s="174"/>
      <c r="AK228" s="176"/>
      <c r="AL228" s="174"/>
      <c r="AM228" s="177" t="s">
        <v>204</v>
      </c>
      <c r="AN228" s="243" t="s">
        <v>178</v>
      </c>
      <c r="AO228" s="178"/>
      <c r="AP228" s="179"/>
      <c r="AQ228" s="179"/>
      <c r="AR228" s="24"/>
      <c r="AS228" s="179"/>
    </row>
    <row r="229" spans="1:45" ht="30" customHeight="1" x14ac:dyDescent="0.35">
      <c r="A229" s="38">
        <v>2026</v>
      </c>
      <c r="B229" s="59" t="s">
        <v>67</v>
      </c>
      <c r="C229" s="58" t="s">
        <v>573</v>
      </c>
      <c r="D229" s="237" t="s">
        <v>114</v>
      </c>
      <c r="E229" s="180"/>
      <c r="F229" s="58" t="s">
        <v>662</v>
      </c>
      <c r="G229" s="237" t="s">
        <v>121</v>
      </c>
      <c r="H229" s="59" t="s">
        <v>126</v>
      </c>
      <c r="I229" s="65"/>
      <c r="J229" s="237" t="s">
        <v>132</v>
      </c>
      <c r="K229" s="237" t="s">
        <v>3</v>
      </c>
      <c r="L229" s="59" t="s">
        <v>6</v>
      </c>
      <c r="M229" s="58" t="s">
        <v>202</v>
      </c>
      <c r="N229" s="130"/>
      <c r="O229" s="172"/>
      <c r="P229" s="172"/>
      <c r="Q229" s="237" t="s">
        <v>140</v>
      </c>
      <c r="R229" s="78"/>
      <c r="S229" s="78"/>
      <c r="T229" s="58" t="s">
        <v>663</v>
      </c>
      <c r="U229" s="237">
        <v>2026</v>
      </c>
      <c r="V229" s="88">
        <v>46387</v>
      </c>
      <c r="W229" s="78"/>
      <c r="X229" s="88">
        <v>46024</v>
      </c>
      <c r="Y229" s="131">
        <v>96000</v>
      </c>
      <c r="Z229" s="131"/>
      <c r="AA229" s="131">
        <f t="shared" si="25"/>
        <v>96000</v>
      </c>
      <c r="AB229" s="131"/>
      <c r="AC229" s="131">
        <f t="shared" si="26"/>
        <v>96000</v>
      </c>
      <c r="AD229" s="131">
        <f t="shared" si="27"/>
        <v>96000</v>
      </c>
      <c r="AE229" s="173" t="s">
        <v>102</v>
      </c>
      <c r="AF229" s="173"/>
      <c r="AG229" s="173"/>
      <c r="AH229" s="174"/>
      <c r="AI229" s="175"/>
      <c r="AJ229" s="174"/>
      <c r="AK229" s="176"/>
      <c r="AL229" s="174"/>
      <c r="AM229" s="177" t="s">
        <v>204</v>
      </c>
      <c r="AN229" s="243" t="s">
        <v>178</v>
      </c>
      <c r="AO229" s="178"/>
      <c r="AP229" s="179"/>
      <c r="AQ229" s="179"/>
      <c r="AR229" s="24"/>
      <c r="AS229" s="179"/>
    </row>
    <row r="230" spans="1:45" ht="30" customHeight="1" x14ac:dyDescent="0.35">
      <c r="A230" s="38">
        <v>2026</v>
      </c>
      <c r="B230" s="59" t="s">
        <v>67</v>
      </c>
      <c r="C230" s="58" t="s">
        <v>573</v>
      </c>
      <c r="D230" s="237" t="s">
        <v>114</v>
      </c>
      <c r="E230" s="180"/>
      <c r="F230" s="58" t="s">
        <v>664</v>
      </c>
      <c r="G230" s="237" t="s">
        <v>121</v>
      </c>
      <c r="H230" s="59" t="s">
        <v>126</v>
      </c>
      <c r="I230" s="65"/>
      <c r="J230" s="237" t="s">
        <v>132</v>
      </c>
      <c r="K230" s="237" t="s">
        <v>3</v>
      </c>
      <c r="L230" s="59" t="s">
        <v>6</v>
      </c>
      <c r="M230" s="58" t="s">
        <v>202</v>
      </c>
      <c r="N230" s="130"/>
      <c r="O230" s="172"/>
      <c r="P230" s="172"/>
      <c r="Q230" s="237" t="s">
        <v>140</v>
      </c>
      <c r="R230" s="78"/>
      <c r="S230" s="78"/>
      <c r="T230" s="58" t="s">
        <v>665</v>
      </c>
      <c r="U230" s="237">
        <v>2026</v>
      </c>
      <c r="V230" s="88">
        <v>46387</v>
      </c>
      <c r="W230" s="78"/>
      <c r="X230" s="88">
        <v>46024</v>
      </c>
      <c r="Y230" s="131">
        <v>96000</v>
      </c>
      <c r="Z230" s="131"/>
      <c r="AA230" s="131">
        <f t="shared" si="25"/>
        <v>96000</v>
      </c>
      <c r="AB230" s="131"/>
      <c r="AC230" s="131">
        <f t="shared" si="26"/>
        <v>96000</v>
      </c>
      <c r="AD230" s="131">
        <f t="shared" si="27"/>
        <v>96000</v>
      </c>
      <c r="AE230" s="173" t="s">
        <v>102</v>
      </c>
      <c r="AF230" s="173"/>
      <c r="AG230" s="173"/>
      <c r="AH230" s="174"/>
      <c r="AI230" s="175"/>
      <c r="AJ230" s="174"/>
      <c r="AK230" s="176"/>
      <c r="AL230" s="174"/>
      <c r="AM230" s="177" t="s">
        <v>204</v>
      </c>
      <c r="AN230" s="243" t="s">
        <v>178</v>
      </c>
      <c r="AO230" s="178"/>
      <c r="AP230" s="179"/>
      <c r="AQ230" s="179"/>
      <c r="AR230" s="24"/>
      <c r="AS230" s="179"/>
    </row>
    <row r="231" spans="1:45" ht="30" customHeight="1" x14ac:dyDescent="0.35">
      <c r="A231" s="38">
        <v>2026</v>
      </c>
      <c r="B231" s="59" t="s">
        <v>67</v>
      </c>
      <c r="C231" s="58" t="s">
        <v>573</v>
      </c>
      <c r="D231" s="237" t="s">
        <v>114</v>
      </c>
      <c r="E231" s="180"/>
      <c r="F231" s="58" t="s">
        <v>666</v>
      </c>
      <c r="G231" s="237" t="s">
        <v>121</v>
      </c>
      <c r="H231" s="59" t="s">
        <v>126</v>
      </c>
      <c r="I231" s="65"/>
      <c r="J231" s="237" t="s">
        <v>132</v>
      </c>
      <c r="K231" s="237" t="s">
        <v>3</v>
      </c>
      <c r="L231" s="59" t="s">
        <v>6</v>
      </c>
      <c r="M231" s="58" t="s">
        <v>202</v>
      </c>
      <c r="N231" s="130"/>
      <c r="O231" s="172"/>
      <c r="P231" s="172"/>
      <c r="Q231" s="237" t="s">
        <v>140</v>
      </c>
      <c r="R231" s="78"/>
      <c r="S231" s="78"/>
      <c r="T231" s="58" t="s">
        <v>667</v>
      </c>
      <c r="U231" s="237">
        <v>2026</v>
      </c>
      <c r="V231" s="88">
        <v>46387</v>
      </c>
      <c r="W231" s="78"/>
      <c r="X231" s="88">
        <v>46024</v>
      </c>
      <c r="Y231" s="131">
        <v>96000</v>
      </c>
      <c r="Z231" s="131"/>
      <c r="AA231" s="131">
        <f t="shared" si="25"/>
        <v>96000</v>
      </c>
      <c r="AB231" s="131"/>
      <c r="AC231" s="131">
        <f t="shared" si="26"/>
        <v>96000</v>
      </c>
      <c r="AD231" s="131">
        <f t="shared" si="27"/>
        <v>96000</v>
      </c>
      <c r="AE231" s="173" t="s">
        <v>102</v>
      </c>
      <c r="AF231" s="173"/>
      <c r="AG231" s="173"/>
      <c r="AH231" s="174"/>
      <c r="AI231" s="175"/>
      <c r="AJ231" s="174"/>
      <c r="AK231" s="176"/>
      <c r="AL231" s="174"/>
      <c r="AM231" s="177" t="s">
        <v>204</v>
      </c>
      <c r="AN231" s="243" t="s">
        <v>178</v>
      </c>
      <c r="AO231" s="178"/>
      <c r="AP231" s="179"/>
      <c r="AQ231" s="179"/>
      <c r="AR231" s="24"/>
      <c r="AS231" s="179"/>
    </row>
    <row r="232" spans="1:45" ht="30" customHeight="1" x14ac:dyDescent="0.35">
      <c r="A232" s="38">
        <v>2026</v>
      </c>
      <c r="B232" s="59" t="s">
        <v>67</v>
      </c>
      <c r="C232" s="58" t="s">
        <v>573</v>
      </c>
      <c r="D232" s="237" t="s">
        <v>114</v>
      </c>
      <c r="E232" s="180"/>
      <c r="F232" s="58" t="s">
        <v>668</v>
      </c>
      <c r="G232" s="237" t="s">
        <v>121</v>
      </c>
      <c r="H232" s="59" t="s">
        <v>126</v>
      </c>
      <c r="I232" s="65"/>
      <c r="J232" s="237" t="s">
        <v>132</v>
      </c>
      <c r="K232" s="237" t="s">
        <v>3</v>
      </c>
      <c r="L232" s="59" t="s">
        <v>6</v>
      </c>
      <c r="M232" s="58" t="s">
        <v>202</v>
      </c>
      <c r="N232" s="130"/>
      <c r="O232" s="172"/>
      <c r="P232" s="172"/>
      <c r="Q232" s="237" t="s">
        <v>140</v>
      </c>
      <c r="R232" s="78"/>
      <c r="S232" s="78"/>
      <c r="T232" s="58" t="s">
        <v>669</v>
      </c>
      <c r="U232" s="237">
        <v>2026</v>
      </c>
      <c r="V232" s="88">
        <v>46387</v>
      </c>
      <c r="W232" s="78"/>
      <c r="X232" s="88">
        <v>46024</v>
      </c>
      <c r="Y232" s="131">
        <v>96000</v>
      </c>
      <c r="Z232" s="131"/>
      <c r="AA232" s="131">
        <f t="shared" si="25"/>
        <v>96000</v>
      </c>
      <c r="AB232" s="131"/>
      <c r="AC232" s="131">
        <f t="shared" si="26"/>
        <v>96000</v>
      </c>
      <c r="AD232" s="131">
        <f t="shared" si="27"/>
        <v>96000</v>
      </c>
      <c r="AE232" s="173" t="s">
        <v>102</v>
      </c>
      <c r="AF232" s="173"/>
      <c r="AG232" s="173"/>
      <c r="AH232" s="174"/>
      <c r="AI232" s="175"/>
      <c r="AJ232" s="174"/>
      <c r="AK232" s="176"/>
      <c r="AL232" s="174"/>
      <c r="AM232" s="177" t="s">
        <v>204</v>
      </c>
      <c r="AN232" s="243" t="s">
        <v>178</v>
      </c>
      <c r="AO232" s="178"/>
      <c r="AP232" s="179"/>
      <c r="AQ232" s="179"/>
      <c r="AR232" s="24"/>
      <c r="AS232" s="179"/>
    </row>
    <row r="233" spans="1:45" ht="30" customHeight="1" x14ac:dyDescent="0.35">
      <c r="A233" s="38">
        <v>2026</v>
      </c>
      <c r="B233" s="59" t="s">
        <v>67</v>
      </c>
      <c r="C233" s="58" t="s">
        <v>573</v>
      </c>
      <c r="D233" s="237" t="s">
        <v>114</v>
      </c>
      <c r="E233" s="180"/>
      <c r="F233" s="58" t="s">
        <v>670</v>
      </c>
      <c r="G233" s="237" t="s">
        <v>121</v>
      </c>
      <c r="H233" s="59" t="s">
        <v>126</v>
      </c>
      <c r="I233" s="65"/>
      <c r="J233" s="237" t="s">
        <v>132</v>
      </c>
      <c r="K233" s="237" t="s">
        <v>3</v>
      </c>
      <c r="L233" s="59" t="s">
        <v>6</v>
      </c>
      <c r="M233" s="58" t="s">
        <v>202</v>
      </c>
      <c r="N233" s="130"/>
      <c r="O233" s="172"/>
      <c r="P233" s="172"/>
      <c r="Q233" s="237" t="s">
        <v>140</v>
      </c>
      <c r="R233" s="78"/>
      <c r="S233" s="78"/>
      <c r="T233" s="58" t="s">
        <v>671</v>
      </c>
      <c r="U233" s="237">
        <v>2026</v>
      </c>
      <c r="V233" s="88">
        <v>46387</v>
      </c>
      <c r="W233" s="78"/>
      <c r="X233" s="88">
        <v>46024</v>
      </c>
      <c r="Y233" s="131">
        <v>96000</v>
      </c>
      <c r="Z233" s="131"/>
      <c r="AA233" s="131">
        <f t="shared" si="25"/>
        <v>96000</v>
      </c>
      <c r="AB233" s="131"/>
      <c r="AC233" s="131">
        <f t="shared" si="26"/>
        <v>96000</v>
      </c>
      <c r="AD233" s="131">
        <f t="shared" si="27"/>
        <v>96000</v>
      </c>
      <c r="AE233" s="173" t="s">
        <v>102</v>
      </c>
      <c r="AF233" s="173"/>
      <c r="AG233" s="173"/>
      <c r="AH233" s="174"/>
      <c r="AI233" s="175"/>
      <c r="AJ233" s="174"/>
      <c r="AK233" s="176"/>
      <c r="AL233" s="174"/>
      <c r="AM233" s="177" t="s">
        <v>204</v>
      </c>
      <c r="AN233" s="243" t="s">
        <v>178</v>
      </c>
      <c r="AO233" s="178"/>
      <c r="AP233" s="179"/>
      <c r="AQ233" s="179"/>
      <c r="AR233" s="24"/>
      <c r="AS233" s="179"/>
    </row>
    <row r="234" spans="1:45" ht="30" customHeight="1" x14ac:dyDescent="0.35">
      <c r="A234" s="38">
        <v>2026</v>
      </c>
      <c r="B234" s="59" t="s">
        <v>67</v>
      </c>
      <c r="C234" s="58" t="s">
        <v>573</v>
      </c>
      <c r="D234" s="237" t="s">
        <v>114</v>
      </c>
      <c r="E234" s="180"/>
      <c r="F234" s="58" t="s">
        <v>672</v>
      </c>
      <c r="G234" s="237" t="s">
        <v>121</v>
      </c>
      <c r="H234" s="59" t="s">
        <v>126</v>
      </c>
      <c r="I234" s="65"/>
      <c r="J234" s="237" t="s">
        <v>132</v>
      </c>
      <c r="K234" s="237" t="s">
        <v>3</v>
      </c>
      <c r="L234" s="59" t="s">
        <v>6</v>
      </c>
      <c r="M234" s="58" t="s">
        <v>202</v>
      </c>
      <c r="N234" s="130"/>
      <c r="O234" s="172"/>
      <c r="P234" s="172"/>
      <c r="Q234" s="237" t="s">
        <v>140</v>
      </c>
      <c r="R234" s="78"/>
      <c r="S234" s="78"/>
      <c r="T234" s="58" t="s">
        <v>673</v>
      </c>
      <c r="U234" s="237">
        <v>2026</v>
      </c>
      <c r="V234" s="88">
        <v>46387</v>
      </c>
      <c r="W234" s="78"/>
      <c r="X234" s="88">
        <v>46024</v>
      </c>
      <c r="Y234" s="131">
        <v>457142.72</v>
      </c>
      <c r="Z234" s="131"/>
      <c r="AA234" s="131">
        <f t="shared" si="25"/>
        <v>457142.72</v>
      </c>
      <c r="AB234" s="131"/>
      <c r="AC234" s="131">
        <f t="shared" si="26"/>
        <v>457142.72</v>
      </c>
      <c r="AD234" s="131">
        <f t="shared" si="27"/>
        <v>457142.72</v>
      </c>
      <c r="AE234" s="173" t="s">
        <v>102</v>
      </c>
      <c r="AF234" s="173"/>
      <c r="AG234" s="173"/>
      <c r="AH234" s="174"/>
      <c r="AI234" s="175"/>
      <c r="AJ234" s="174"/>
      <c r="AK234" s="176"/>
      <c r="AL234" s="174"/>
      <c r="AM234" s="177" t="s">
        <v>204</v>
      </c>
      <c r="AN234" s="243" t="s">
        <v>178</v>
      </c>
      <c r="AO234" s="178"/>
      <c r="AP234" s="179"/>
      <c r="AQ234" s="179"/>
      <c r="AR234" s="24"/>
      <c r="AS234" s="179"/>
    </row>
    <row r="235" spans="1:45" ht="30" customHeight="1" x14ac:dyDescent="0.35">
      <c r="A235" s="38">
        <v>2026</v>
      </c>
      <c r="B235" s="59" t="s">
        <v>67</v>
      </c>
      <c r="C235" s="58" t="s">
        <v>573</v>
      </c>
      <c r="D235" s="237" t="s">
        <v>114</v>
      </c>
      <c r="E235" s="180"/>
      <c r="F235" s="58" t="s">
        <v>674</v>
      </c>
      <c r="G235" s="237" t="s">
        <v>121</v>
      </c>
      <c r="H235" s="59" t="s">
        <v>126</v>
      </c>
      <c r="I235" s="65"/>
      <c r="J235" s="237" t="s">
        <v>132</v>
      </c>
      <c r="K235" s="237" t="s">
        <v>3</v>
      </c>
      <c r="L235" s="59" t="s">
        <v>6</v>
      </c>
      <c r="M235" s="58" t="s">
        <v>202</v>
      </c>
      <c r="N235" s="130"/>
      <c r="O235" s="172"/>
      <c r="P235" s="172"/>
      <c r="Q235" s="237" t="s">
        <v>140</v>
      </c>
      <c r="R235" s="78"/>
      <c r="S235" s="78"/>
      <c r="T235" s="58" t="s">
        <v>675</v>
      </c>
      <c r="U235" s="237">
        <v>2026</v>
      </c>
      <c r="V235" s="88">
        <v>46387</v>
      </c>
      <c r="W235" s="78"/>
      <c r="X235" s="88">
        <v>46024</v>
      </c>
      <c r="Y235" s="131">
        <v>41600</v>
      </c>
      <c r="Z235" s="131"/>
      <c r="AA235" s="131">
        <v>41600</v>
      </c>
      <c r="AB235" s="131"/>
      <c r="AC235" s="131">
        <v>41600</v>
      </c>
      <c r="AD235" s="131">
        <v>41600</v>
      </c>
      <c r="AE235" s="173" t="s">
        <v>102</v>
      </c>
      <c r="AF235" s="173"/>
      <c r="AG235" s="173"/>
      <c r="AH235" s="174"/>
      <c r="AI235" s="175"/>
      <c r="AJ235" s="174"/>
      <c r="AK235" s="176"/>
      <c r="AL235" s="174"/>
      <c r="AM235" s="177" t="s">
        <v>204</v>
      </c>
      <c r="AN235" s="243" t="s">
        <v>178</v>
      </c>
      <c r="AO235" s="178"/>
      <c r="AP235" s="179"/>
      <c r="AQ235" s="179"/>
      <c r="AR235" s="24"/>
      <c r="AS235" s="179"/>
    </row>
    <row r="236" spans="1:45" ht="30" customHeight="1" x14ac:dyDescent="0.35">
      <c r="A236" s="38">
        <v>2026</v>
      </c>
      <c r="B236" s="59" t="s">
        <v>67</v>
      </c>
      <c r="C236" s="58" t="s">
        <v>573</v>
      </c>
      <c r="D236" s="237" t="s">
        <v>114</v>
      </c>
      <c r="E236" s="105">
        <v>331</v>
      </c>
      <c r="F236" s="58" t="s">
        <v>676</v>
      </c>
      <c r="G236" s="237" t="s">
        <v>121</v>
      </c>
      <c r="H236" s="59" t="s">
        <v>126</v>
      </c>
      <c r="I236" s="65"/>
      <c r="J236" s="237" t="s">
        <v>132</v>
      </c>
      <c r="K236" s="237" t="s">
        <v>3</v>
      </c>
      <c r="L236" s="59" t="s">
        <v>6</v>
      </c>
      <c r="M236" s="58" t="s">
        <v>202</v>
      </c>
      <c r="N236" s="130"/>
      <c r="O236" s="172"/>
      <c r="P236" s="172"/>
      <c r="Q236" s="237" t="s">
        <v>140</v>
      </c>
      <c r="R236" s="78"/>
      <c r="S236" s="78"/>
      <c r="T236" s="58" t="s">
        <v>677</v>
      </c>
      <c r="U236" s="237">
        <v>2026</v>
      </c>
      <c r="V236" s="88">
        <v>46387</v>
      </c>
      <c r="W236" s="78"/>
      <c r="X236" s="88">
        <v>46024</v>
      </c>
      <c r="Y236" s="131">
        <v>71400</v>
      </c>
      <c r="Z236" s="131"/>
      <c r="AA236" s="131">
        <f t="shared" ref="AA236:AA255" si="28">Y236</f>
        <v>71400</v>
      </c>
      <c r="AB236" s="131"/>
      <c r="AC236" s="131">
        <f t="shared" ref="AC236:AC255" si="29">Y236</f>
        <v>71400</v>
      </c>
      <c r="AD236" s="131">
        <f t="shared" ref="AD236:AD267" si="30">AA236</f>
        <v>71400</v>
      </c>
      <c r="AE236" s="173" t="s">
        <v>102</v>
      </c>
      <c r="AF236" s="173"/>
      <c r="AG236" s="173"/>
      <c r="AH236" s="174"/>
      <c r="AI236" s="175"/>
      <c r="AJ236" s="174"/>
      <c r="AK236" s="176"/>
      <c r="AL236" s="174"/>
      <c r="AM236" s="177" t="s">
        <v>204</v>
      </c>
      <c r="AN236" s="243" t="s">
        <v>178</v>
      </c>
      <c r="AO236" s="178"/>
      <c r="AP236" s="179"/>
      <c r="AQ236" s="179"/>
      <c r="AR236" s="24"/>
      <c r="AS236" s="179"/>
    </row>
    <row r="237" spans="1:45" ht="30" customHeight="1" x14ac:dyDescent="0.35">
      <c r="A237" s="38">
        <v>2026</v>
      </c>
      <c r="B237" s="59" t="s">
        <v>67</v>
      </c>
      <c r="C237" s="58" t="s">
        <v>573</v>
      </c>
      <c r="D237" s="237" t="s">
        <v>114</v>
      </c>
      <c r="E237" s="180"/>
      <c r="F237" s="58" t="s">
        <v>678</v>
      </c>
      <c r="G237" s="237" t="s">
        <v>121</v>
      </c>
      <c r="H237" s="59" t="s">
        <v>126</v>
      </c>
      <c r="I237" s="65"/>
      <c r="J237" s="237" t="s">
        <v>132</v>
      </c>
      <c r="K237" s="237" t="s">
        <v>3</v>
      </c>
      <c r="L237" s="59" t="s">
        <v>6</v>
      </c>
      <c r="M237" s="58" t="s">
        <v>202</v>
      </c>
      <c r="N237" s="130"/>
      <c r="O237" s="172"/>
      <c r="P237" s="172"/>
      <c r="Q237" s="237" t="s">
        <v>140</v>
      </c>
      <c r="R237" s="78"/>
      <c r="S237" s="78"/>
      <c r="T237" s="58" t="s">
        <v>679</v>
      </c>
      <c r="U237" s="237">
        <v>2026</v>
      </c>
      <c r="V237" s="88">
        <v>46387</v>
      </c>
      <c r="W237" s="78"/>
      <c r="X237" s="88">
        <v>46024</v>
      </c>
      <c r="Y237" s="131">
        <v>71400</v>
      </c>
      <c r="Z237" s="131"/>
      <c r="AA237" s="131">
        <f t="shared" si="28"/>
        <v>71400</v>
      </c>
      <c r="AB237" s="131"/>
      <c r="AC237" s="131">
        <f t="shared" si="29"/>
        <v>71400</v>
      </c>
      <c r="AD237" s="131">
        <f t="shared" si="30"/>
        <v>71400</v>
      </c>
      <c r="AE237" s="173" t="s">
        <v>102</v>
      </c>
      <c r="AF237" s="173"/>
      <c r="AG237" s="173"/>
      <c r="AH237" s="174"/>
      <c r="AI237" s="175"/>
      <c r="AJ237" s="174"/>
      <c r="AK237" s="176"/>
      <c r="AL237" s="174"/>
      <c r="AM237" s="177" t="s">
        <v>204</v>
      </c>
      <c r="AN237" s="243" t="s">
        <v>178</v>
      </c>
      <c r="AO237" s="178"/>
      <c r="AP237" s="179"/>
      <c r="AQ237" s="179"/>
      <c r="AR237" s="24"/>
      <c r="AS237" s="179"/>
    </row>
    <row r="238" spans="1:45" ht="30" customHeight="1" x14ac:dyDescent="0.35">
      <c r="A238" s="38">
        <v>2026</v>
      </c>
      <c r="B238" s="59" t="s">
        <v>67</v>
      </c>
      <c r="C238" s="58" t="s">
        <v>573</v>
      </c>
      <c r="D238" s="237" t="s">
        <v>114</v>
      </c>
      <c r="E238" s="180"/>
      <c r="F238" s="58" t="s">
        <v>680</v>
      </c>
      <c r="G238" s="237" t="s">
        <v>121</v>
      </c>
      <c r="H238" s="59" t="s">
        <v>126</v>
      </c>
      <c r="I238" s="65"/>
      <c r="J238" s="237" t="s">
        <v>132</v>
      </c>
      <c r="K238" s="237" t="s">
        <v>3</v>
      </c>
      <c r="L238" s="59" t="s">
        <v>6</v>
      </c>
      <c r="M238" s="58" t="s">
        <v>202</v>
      </c>
      <c r="N238" s="130"/>
      <c r="O238" s="172"/>
      <c r="P238" s="172"/>
      <c r="Q238" s="237" t="s">
        <v>140</v>
      </c>
      <c r="R238" s="78"/>
      <c r="S238" s="78"/>
      <c r="T238" s="58" t="s">
        <v>681</v>
      </c>
      <c r="U238" s="237">
        <v>2026</v>
      </c>
      <c r="V238" s="88">
        <v>46387</v>
      </c>
      <c r="W238" s="78"/>
      <c r="X238" s="88">
        <v>46024</v>
      </c>
      <c r="Y238" s="131">
        <v>71400</v>
      </c>
      <c r="Z238" s="131"/>
      <c r="AA238" s="131">
        <f t="shared" si="28"/>
        <v>71400</v>
      </c>
      <c r="AB238" s="131"/>
      <c r="AC238" s="131">
        <f t="shared" si="29"/>
        <v>71400</v>
      </c>
      <c r="AD238" s="131">
        <f t="shared" si="30"/>
        <v>71400</v>
      </c>
      <c r="AE238" s="173" t="s">
        <v>102</v>
      </c>
      <c r="AF238" s="173"/>
      <c r="AG238" s="173"/>
      <c r="AH238" s="174"/>
      <c r="AI238" s="175"/>
      <c r="AJ238" s="174"/>
      <c r="AK238" s="176"/>
      <c r="AL238" s="174"/>
      <c r="AM238" s="177" t="s">
        <v>204</v>
      </c>
      <c r="AN238" s="243" t="s">
        <v>178</v>
      </c>
      <c r="AO238" s="178"/>
      <c r="AP238" s="179"/>
      <c r="AQ238" s="179"/>
      <c r="AR238" s="24"/>
      <c r="AS238" s="179"/>
    </row>
    <row r="239" spans="1:45" ht="30" customHeight="1" x14ac:dyDescent="0.35">
      <c r="A239" s="38">
        <v>2026</v>
      </c>
      <c r="B239" s="59" t="s">
        <v>67</v>
      </c>
      <c r="C239" s="58" t="s">
        <v>573</v>
      </c>
      <c r="D239" s="237" t="s">
        <v>114</v>
      </c>
      <c r="E239" s="180"/>
      <c r="F239" s="58" t="s">
        <v>682</v>
      </c>
      <c r="G239" s="237" t="s">
        <v>121</v>
      </c>
      <c r="H239" s="59" t="s">
        <v>126</v>
      </c>
      <c r="I239" s="65"/>
      <c r="J239" s="237" t="s">
        <v>132</v>
      </c>
      <c r="K239" s="237" t="s">
        <v>3</v>
      </c>
      <c r="L239" s="59" t="s">
        <v>6</v>
      </c>
      <c r="M239" s="58" t="s">
        <v>202</v>
      </c>
      <c r="N239" s="130"/>
      <c r="O239" s="172"/>
      <c r="P239" s="172"/>
      <c r="Q239" s="237" t="s">
        <v>140</v>
      </c>
      <c r="R239" s="78"/>
      <c r="S239" s="78"/>
      <c r="T239" s="58" t="s">
        <v>683</v>
      </c>
      <c r="U239" s="237">
        <v>2026</v>
      </c>
      <c r="V239" s="88">
        <v>46387</v>
      </c>
      <c r="W239" s="78"/>
      <c r="X239" s="88">
        <v>46024</v>
      </c>
      <c r="Y239" s="131">
        <v>41600</v>
      </c>
      <c r="Z239" s="131"/>
      <c r="AA239" s="131">
        <f t="shared" si="28"/>
        <v>41600</v>
      </c>
      <c r="AB239" s="131"/>
      <c r="AC239" s="131">
        <f t="shared" si="29"/>
        <v>41600</v>
      </c>
      <c r="AD239" s="131">
        <f t="shared" si="30"/>
        <v>41600</v>
      </c>
      <c r="AE239" s="173" t="s">
        <v>102</v>
      </c>
      <c r="AF239" s="173"/>
      <c r="AG239" s="173"/>
      <c r="AH239" s="174"/>
      <c r="AI239" s="175"/>
      <c r="AJ239" s="174"/>
      <c r="AK239" s="176"/>
      <c r="AL239" s="174"/>
      <c r="AM239" s="177" t="s">
        <v>204</v>
      </c>
      <c r="AN239" s="243" t="s">
        <v>178</v>
      </c>
      <c r="AO239" s="178"/>
      <c r="AP239" s="179"/>
      <c r="AQ239" s="179"/>
      <c r="AR239" s="24"/>
      <c r="AS239" s="179"/>
    </row>
    <row r="240" spans="1:45" ht="30" customHeight="1" x14ac:dyDescent="0.35">
      <c r="A240" s="40">
        <v>2026</v>
      </c>
      <c r="B240" s="59" t="s">
        <v>72</v>
      </c>
      <c r="C240" s="58" t="s">
        <v>684</v>
      </c>
      <c r="D240" s="237" t="s">
        <v>114</v>
      </c>
      <c r="E240" s="180"/>
      <c r="F240" s="58" t="s">
        <v>685</v>
      </c>
      <c r="G240" s="237" t="s">
        <v>121</v>
      </c>
      <c r="H240" s="59" t="s">
        <v>126</v>
      </c>
      <c r="I240" s="65"/>
      <c r="J240" s="237" t="s">
        <v>132</v>
      </c>
      <c r="K240" s="237" t="s">
        <v>3</v>
      </c>
      <c r="L240" s="59" t="s">
        <v>6</v>
      </c>
      <c r="M240" s="58" t="s">
        <v>202</v>
      </c>
      <c r="N240" s="130"/>
      <c r="O240" s="172"/>
      <c r="P240" s="172"/>
      <c r="Q240" s="237" t="s">
        <v>140</v>
      </c>
      <c r="R240" s="78"/>
      <c r="S240" s="78"/>
      <c r="T240" s="58" t="s">
        <v>686</v>
      </c>
      <c r="U240" s="237">
        <v>2026</v>
      </c>
      <c r="V240" s="88">
        <v>46387</v>
      </c>
      <c r="W240" s="78"/>
      <c r="X240" s="88">
        <v>46024</v>
      </c>
      <c r="Y240" s="131">
        <v>96000</v>
      </c>
      <c r="Z240" s="131"/>
      <c r="AA240" s="131">
        <f t="shared" si="28"/>
        <v>96000</v>
      </c>
      <c r="AB240" s="131"/>
      <c r="AC240" s="131">
        <f t="shared" si="29"/>
        <v>96000</v>
      </c>
      <c r="AD240" s="131">
        <f t="shared" si="30"/>
        <v>96000</v>
      </c>
      <c r="AE240" s="173" t="s">
        <v>102</v>
      </c>
      <c r="AF240" s="173"/>
      <c r="AG240" s="173"/>
      <c r="AH240" s="174"/>
      <c r="AI240" s="175"/>
      <c r="AJ240" s="174"/>
      <c r="AK240" s="176"/>
      <c r="AL240" s="174"/>
      <c r="AM240" s="177" t="s">
        <v>204</v>
      </c>
      <c r="AN240" s="243" t="s">
        <v>178</v>
      </c>
      <c r="AO240" s="178"/>
      <c r="AP240" s="179"/>
      <c r="AQ240" s="179"/>
      <c r="AR240" s="24"/>
      <c r="AS240" s="179"/>
    </row>
    <row r="241" spans="1:45" ht="30" customHeight="1" x14ac:dyDescent="0.35">
      <c r="A241" s="40">
        <v>2026</v>
      </c>
      <c r="B241" s="59" t="s">
        <v>72</v>
      </c>
      <c r="C241" s="58" t="s">
        <v>684</v>
      </c>
      <c r="D241" s="237" t="s">
        <v>114</v>
      </c>
      <c r="E241" s="180">
        <v>422</v>
      </c>
      <c r="F241" s="58" t="s">
        <v>687</v>
      </c>
      <c r="G241" s="237" t="s">
        <v>121</v>
      </c>
      <c r="H241" s="59" t="s">
        <v>126</v>
      </c>
      <c r="I241" s="65"/>
      <c r="J241" s="237" t="s">
        <v>132</v>
      </c>
      <c r="K241" s="237" t="s">
        <v>3</v>
      </c>
      <c r="L241" s="59" t="s">
        <v>6</v>
      </c>
      <c r="M241" s="58" t="s">
        <v>202</v>
      </c>
      <c r="N241" s="130"/>
      <c r="O241" s="172"/>
      <c r="P241" s="172"/>
      <c r="Q241" s="237" t="s">
        <v>140</v>
      </c>
      <c r="R241" s="78"/>
      <c r="S241" s="78"/>
      <c r="T241" s="58" t="s">
        <v>688</v>
      </c>
      <c r="U241" s="237">
        <v>2026</v>
      </c>
      <c r="V241" s="88">
        <v>46387</v>
      </c>
      <c r="W241" s="78"/>
      <c r="X241" s="88">
        <v>46024</v>
      </c>
      <c r="Y241" s="131">
        <v>51600</v>
      </c>
      <c r="Z241" s="131"/>
      <c r="AA241" s="131">
        <f t="shared" si="28"/>
        <v>51600</v>
      </c>
      <c r="AB241" s="131"/>
      <c r="AC241" s="131">
        <f t="shared" si="29"/>
        <v>51600</v>
      </c>
      <c r="AD241" s="131">
        <f t="shared" si="30"/>
        <v>51600</v>
      </c>
      <c r="AE241" s="173" t="s">
        <v>102</v>
      </c>
      <c r="AF241" s="173"/>
      <c r="AG241" s="173"/>
      <c r="AH241" s="174"/>
      <c r="AI241" s="175"/>
      <c r="AJ241" s="174"/>
      <c r="AK241" s="176"/>
      <c r="AL241" s="174"/>
      <c r="AM241" s="177" t="s">
        <v>204</v>
      </c>
      <c r="AN241" s="243" t="s">
        <v>178</v>
      </c>
      <c r="AO241" s="178"/>
      <c r="AP241" s="179"/>
      <c r="AQ241" s="179"/>
      <c r="AR241" s="24"/>
      <c r="AS241" s="179"/>
    </row>
    <row r="242" spans="1:45" ht="30" customHeight="1" x14ac:dyDescent="0.35">
      <c r="A242" s="40">
        <v>2026</v>
      </c>
      <c r="B242" s="59" t="s">
        <v>72</v>
      </c>
      <c r="C242" s="58" t="s">
        <v>684</v>
      </c>
      <c r="D242" s="237" t="s">
        <v>114</v>
      </c>
      <c r="E242" s="180">
        <v>423</v>
      </c>
      <c r="F242" s="58" t="s">
        <v>689</v>
      </c>
      <c r="G242" s="237" t="s">
        <v>121</v>
      </c>
      <c r="H242" s="59" t="s">
        <v>126</v>
      </c>
      <c r="I242" s="65"/>
      <c r="J242" s="237" t="s">
        <v>132</v>
      </c>
      <c r="K242" s="237" t="s">
        <v>3</v>
      </c>
      <c r="L242" s="59" t="s">
        <v>6</v>
      </c>
      <c r="M242" s="58" t="s">
        <v>202</v>
      </c>
      <c r="N242" s="130"/>
      <c r="O242" s="172"/>
      <c r="P242" s="172"/>
      <c r="Q242" s="237" t="s">
        <v>140</v>
      </c>
      <c r="R242" s="78"/>
      <c r="S242" s="78"/>
      <c r="T242" s="58" t="s">
        <v>690</v>
      </c>
      <c r="U242" s="237">
        <v>2026</v>
      </c>
      <c r="V242" s="88">
        <v>46387</v>
      </c>
      <c r="W242" s="78"/>
      <c r="X242" s="88">
        <v>46024</v>
      </c>
      <c r="Y242" s="131">
        <v>51600</v>
      </c>
      <c r="Z242" s="131"/>
      <c r="AA242" s="131">
        <f t="shared" si="28"/>
        <v>51600</v>
      </c>
      <c r="AB242" s="131"/>
      <c r="AC242" s="131">
        <f t="shared" si="29"/>
        <v>51600</v>
      </c>
      <c r="AD242" s="131">
        <f t="shared" si="30"/>
        <v>51600</v>
      </c>
      <c r="AE242" s="173" t="s">
        <v>102</v>
      </c>
      <c r="AF242" s="173"/>
      <c r="AG242" s="173"/>
      <c r="AH242" s="174"/>
      <c r="AI242" s="175"/>
      <c r="AJ242" s="174"/>
      <c r="AK242" s="176"/>
      <c r="AL242" s="174"/>
      <c r="AM242" s="177" t="s">
        <v>204</v>
      </c>
      <c r="AN242" s="243" t="s">
        <v>178</v>
      </c>
      <c r="AO242" s="178"/>
      <c r="AP242" s="179"/>
      <c r="AQ242" s="179"/>
      <c r="AR242" s="24"/>
      <c r="AS242" s="179"/>
    </row>
    <row r="243" spans="1:45" ht="30" customHeight="1" x14ac:dyDescent="0.35">
      <c r="A243" s="40">
        <v>2026</v>
      </c>
      <c r="B243" s="59" t="s">
        <v>72</v>
      </c>
      <c r="C243" s="58" t="s">
        <v>684</v>
      </c>
      <c r="D243" s="237" t="s">
        <v>114</v>
      </c>
      <c r="E243" s="180">
        <v>424</v>
      </c>
      <c r="F243" s="58" t="s">
        <v>691</v>
      </c>
      <c r="G243" s="237" t="s">
        <v>121</v>
      </c>
      <c r="H243" s="59" t="s">
        <v>126</v>
      </c>
      <c r="I243" s="65"/>
      <c r="J243" s="237" t="s">
        <v>132</v>
      </c>
      <c r="K243" s="237" t="s">
        <v>3</v>
      </c>
      <c r="L243" s="59" t="s">
        <v>6</v>
      </c>
      <c r="M243" s="58" t="s">
        <v>202</v>
      </c>
      <c r="N243" s="130"/>
      <c r="O243" s="172"/>
      <c r="P243" s="172"/>
      <c r="Q243" s="237" t="s">
        <v>140</v>
      </c>
      <c r="R243" s="78"/>
      <c r="S243" s="78"/>
      <c r="T243" s="58" t="s">
        <v>692</v>
      </c>
      <c r="U243" s="237">
        <v>2026</v>
      </c>
      <c r="V243" s="88">
        <v>46387</v>
      </c>
      <c r="W243" s="78"/>
      <c r="X243" s="88">
        <v>46024</v>
      </c>
      <c r="Y243" s="131">
        <v>51600</v>
      </c>
      <c r="Z243" s="131"/>
      <c r="AA243" s="131">
        <f t="shared" si="28"/>
        <v>51600</v>
      </c>
      <c r="AB243" s="131"/>
      <c r="AC243" s="131">
        <f t="shared" si="29"/>
        <v>51600</v>
      </c>
      <c r="AD243" s="131">
        <f t="shared" si="30"/>
        <v>51600</v>
      </c>
      <c r="AE243" s="173" t="s">
        <v>102</v>
      </c>
      <c r="AF243" s="173"/>
      <c r="AG243" s="173"/>
      <c r="AH243" s="174"/>
      <c r="AI243" s="175"/>
      <c r="AJ243" s="174"/>
      <c r="AK243" s="176"/>
      <c r="AL243" s="174"/>
      <c r="AM243" s="177" t="s">
        <v>204</v>
      </c>
      <c r="AN243" s="243" t="s">
        <v>178</v>
      </c>
      <c r="AO243" s="178"/>
      <c r="AP243" s="179"/>
      <c r="AQ243" s="179"/>
      <c r="AR243" s="24"/>
      <c r="AS243" s="179"/>
    </row>
    <row r="244" spans="1:45" ht="30" customHeight="1" x14ac:dyDescent="0.35">
      <c r="A244" s="40">
        <v>2026</v>
      </c>
      <c r="B244" s="59" t="s">
        <v>72</v>
      </c>
      <c r="C244" s="58" t="s">
        <v>684</v>
      </c>
      <c r="D244" s="237" t="s">
        <v>114</v>
      </c>
      <c r="E244" s="180"/>
      <c r="F244" s="58" t="s">
        <v>693</v>
      </c>
      <c r="G244" s="237" t="s">
        <v>121</v>
      </c>
      <c r="H244" s="59" t="s">
        <v>126</v>
      </c>
      <c r="I244" s="65"/>
      <c r="J244" s="237" t="s">
        <v>132</v>
      </c>
      <c r="K244" s="237" t="s">
        <v>3</v>
      </c>
      <c r="L244" s="59" t="s">
        <v>6</v>
      </c>
      <c r="M244" s="58" t="s">
        <v>202</v>
      </c>
      <c r="N244" s="130"/>
      <c r="O244" s="172"/>
      <c r="P244" s="172"/>
      <c r="Q244" s="237" t="s">
        <v>140</v>
      </c>
      <c r="R244" s="78"/>
      <c r="S244" s="78"/>
      <c r="T244" s="58" t="s">
        <v>694</v>
      </c>
      <c r="U244" s="237">
        <v>2026</v>
      </c>
      <c r="V244" s="88">
        <v>46387</v>
      </c>
      <c r="W244" s="78"/>
      <c r="X244" s="88">
        <v>46024</v>
      </c>
      <c r="Y244" s="131">
        <v>51600</v>
      </c>
      <c r="Z244" s="131"/>
      <c r="AA244" s="131">
        <f t="shared" si="28"/>
        <v>51600</v>
      </c>
      <c r="AB244" s="131"/>
      <c r="AC244" s="131">
        <f t="shared" si="29"/>
        <v>51600</v>
      </c>
      <c r="AD244" s="131">
        <f t="shared" si="30"/>
        <v>51600</v>
      </c>
      <c r="AE244" s="173" t="s">
        <v>102</v>
      </c>
      <c r="AF244" s="173"/>
      <c r="AG244" s="173"/>
      <c r="AH244" s="174"/>
      <c r="AI244" s="175"/>
      <c r="AJ244" s="174"/>
      <c r="AK244" s="176"/>
      <c r="AL244" s="174"/>
      <c r="AM244" s="177" t="s">
        <v>204</v>
      </c>
      <c r="AN244" s="243" t="s">
        <v>178</v>
      </c>
      <c r="AO244" s="178"/>
      <c r="AP244" s="179"/>
      <c r="AQ244" s="179"/>
      <c r="AR244" s="24"/>
      <c r="AS244" s="179"/>
    </row>
    <row r="245" spans="1:45" ht="30" customHeight="1" x14ac:dyDescent="0.35">
      <c r="A245" s="40">
        <v>2026</v>
      </c>
      <c r="B245" s="59" t="s">
        <v>72</v>
      </c>
      <c r="C245" s="58" t="s">
        <v>684</v>
      </c>
      <c r="D245" s="237" t="s">
        <v>114</v>
      </c>
      <c r="E245" s="180"/>
      <c r="F245" s="58" t="s">
        <v>695</v>
      </c>
      <c r="G245" s="237" t="s">
        <v>121</v>
      </c>
      <c r="H245" s="59" t="s">
        <v>126</v>
      </c>
      <c r="I245" s="65"/>
      <c r="J245" s="237" t="s">
        <v>132</v>
      </c>
      <c r="K245" s="237" t="s">
        <v>3</v>
      </c>
      <c r="L245" s="59" t="s">
        <v>6</v>
      </c>
      <c r="M245" s="58" t="s">
        <v>202</v>
      </c>
      <c r="N245" s="130"/>
      <c r="O245" s="172"/>
      <c r="P245" s="172"/>
      <c r="Q245" s="237" t="s">
        <v>140</v>
      </c>
      <c r="R245" s="78"/>
      <c r="S245" s="78"/>
      <c r="T245" s="58" t="s">
        <v>696</v>
      </c>
      <c r="U245" s="237">
        <v>2026</v>
      </c>
      <c r="V245" s="88">
        <v>46387</v>
      </c>
      <c r="W245" s="78"/>
      <c r="X245" s="88">
        <v>46024</v>
      </c>
      <c r="Y245" s="131">
        <v>51600</v>
      </c>
      <c r="Z245" s="131"/>
      <c r="AA245" s="131">
        <f t="shared" si="28"/>
        <v>51600</v>
      </c>
      <c r="AB245" s="131"/>
      <c r="AC245" s="131">
        <f t="shared" si="29"/>
        <v>51600</v>
      </c>
      <c r="AD245" s="131">
        <f t="shared" si="30"/>
        <v>51600</v>
      </c>
      <c r="AE245" s="173" t="s">
        <v>102</v>
      </c>
      <c r="AF245" s="173"/>
      <c r="AG245" s="173"/>
      <c r="AH245" s="174"/>
      <c r="AI245" s="175"/>
      <c r="AJ245" s="174"/>
      <c r="AK245" s="176"/>
      <c r="AL245" s="174"/>
      <c r="AM245" s="177" t="s">
        <v>204</v>
      </c>
      <c r="AN245" s="243" t="s">
        <v>178</v>
      </c>
      <c r="AO245" s="178"/>
      <c r="AP245" s="179"/>
      <c r="AQ245" s="179"/>
      <c r="AR245" s="24"/>
      <c r="AS245" s="179"/>
    </row>
    <row r="246" spans="1:45" ht="30" customHeight="1" x14ac:dyDescent="0.35">
      <c r="A246" s="40">
        <v>2026</v>
      </c>
      <c r="B246" s="59" t="s">
        <v>72</v>
      </c>
      <c r="C246" s="58" t="s">
        <v>684</v>
      </c>
      <c r="D246" s="237" t="s">
        <v>114</v>
      </c>
      <c r="E246" s="180"/>
      <c r="F246" s="58" t="s">
        <v>697</v>
      </c>
      <c r="G246" s="237" t="s">
        <v>121</v>
      </c>
      <c r="H246" s="59" t="s">
        <v>126</v>
      </c>
      <c r="I246" s="65"/>
      <c r="J246" s="237" t="s">
        <v>132</v>
      </c>
      <c r="K246" s="237" t="s">
        <v>3</v>
      </c>
      <c r="L246" s="59" t="s">
        <v>6</v>
      </c>
      <c r="M246" s="58" t="s">
        <v>202</v>
      </c>
      <c r="N246" s="130"/>
      <c r="O246" s="172"/>
      <c r="P246" s="172"/>
      <c r="Q246" s="237" t="s">
        <v>140</v>
      </c>
      <c r="R246" s="78"/>
      <c r="S246" s="78"/>
      <c r="T246" s="58" t="s">
        <v>698</v>
      </c>
      <c r="U246" s="237">
        <v>2026</v>
      </c>
      <c r="V246" s="88">
        <v>46387</v>
      </c>
      <c r="W246" s="78"/>
      <c r="X246" s="88">
        <v>46024</v>
      </c>
      <c r="Y246" s="131">
        <v>51600</v>
      </c>
      <c r="Z246" s="131"/>
      <c r="AA246" s="131">
        <f t="shared" si="28"/>
        <v>51600</v>
      </c>
      <c r="AB246" s="131"/>
      <c r="AC246" s="131">
        <f t="shared" si="29"/>
        <v>51600</v>
      </c>
      <c r="AD246" s="131">
        <f t="shared" si="30"/>
        <v>51600</v>
      </c>
      <c r="AE246" s="173" t="s">
        <v>102</v>
      </c>
      <c r="AF246" s="173"/>
      <c r="AG246" s="173"/>
      <c r="AH246" s="174"/>
      <c r="AI246" s="175"/>
      <c r="AJ246" s="174"/>
      <c r="AK246" s="176"/>
      <c r="AL246" s="174"/>
      <c r="AM246" s="177" t="s">
        <v>204</v>
      </c>
      <c r="AN246" s="243" t="s">
        <v>178</v>
      </c>
      <c r="AO246" s="178"/>
      <c r="AP246" s="179"/>
      <c r="AQ246" s="179"/>
      <c r="AR246" s="24"/>
      <c r="AS246" s="179"/>
    </row>
    <row r="247" spans="1:45" ht="30" customHeight="1" x14ac:dyDescent="0.35">
      <c r="A247" s="40">
        <v>2026</v>
      </c>
      <c r="B247" s="59" t="s">
        <v>72</v>
      </c>
      <c r="C247" s="58" t="s">
        <v>684</v>
      </c>
      <c r="D247" s="237" t="s">
        <v>114</v>
      </c>
      <c r="E247" s="180">
        <v>428</v>
      </c>
      <c r="F247" s="58" t="s">
        <v>699</v>
      </c>
      <c r="G247" s="237" t="s">
        <v>121</v>
      </c>
      <c r="H247" s="59" t="s">
        <v>126</v>
      </c>
      <c r="I247" s="65"/>
      <c r="J247" s="237" t="s">
        <v>132</v>
      </c>
      <c r="K247" s="237" t="s">
        <v>3</v>
      </c>
      <c r="L247" s="59" t="s">
        <v>6</v>
      </c>
      <c r="M247" s="58" t="s">
        <v>202</v>
      </c>
      <c r="N247" s="130"/>
      <c r="O247" s="172"/>
      <c r="P247" s="172"/>
      <c r="Q247" s="237" t="s">
        <v>140</v>
      </c>
      <c r="R247" s="78"/>
      <c r="S247" s="78"/>
      <c r="T247" s="58" t="s">
        <v>700</v>
      </c>
      <c r="U247" s="237">
        <v>2026</v>
      </c>
      <c r="V247" s="88">
        <v>46387</v>
      </c>
      <c r="W247" s="78"/>
      <c r="X247" s="88">
        <v>46024</v>
      </c>
      <c r="Y247" s="131">
        <v>51600</v>
      </c>
      <c r="Z247" s="131"/>
      <c r="AA247" s="131">
        <f t="shared" si="28"/>
        <v>51600</v>
      </c>
      <c r="AB247" s="131"/>
      <c r="AC247" s="131">
        <f t="shared" si="29"/>
        <v>51600</v>
      </c>
      <c r="AD247" s="131">
        <f t="shared" si="30"/>
        <v>51600</v>
      </c>
      <c r="AE247" s="173" t="s">
        <v>102</v>
      </c>
      <c r="AF247" s="173"/>
      <c r="AG247" s="173"/>
      <c r="AH247" s="174"/>
      <c r="AI247" s="175"/>
      <c r="AJ247" s="174"/>
      <c r="AK247" s="176"/>
      <c r="AL247" s="174"/>
      <c r="AM247" s="177" t="s">
        <v>204</v>
      </c>
      <c r="AN247" s="243" t="s">
        <v>178</v>
      </c>
      <c r="AO247" s="178"/>
      <c r="AP247" s="179"/>
      <c r="AQ247" s="179"/>
      <c r="AR247" s="24"/>
      <c r="AS247" s="179"/>
    </row>
    <row r="248" spans="1:45" ht="30" customHeight="1" x14ac:dyDescent="0.35">
      <c r="A248" s="40">
        <v>2026</v>
      </c>
      <c r="B248" s="59" t="s">
        <v>72</v>
      </c>
      <c r="C248" s="58" t="s">
        <v>684</v>
      </c>
      <c r="D248" s="237" t="s">
        <v>114</v>
      </c>
      <c r="E248" s="180"/>
      <c r="F248" s="58" t="s">
        <v>701</v>
      </c>
      <c r="G248" s="237" t="s">
        <v>121</v>
      </c>
      <c r="H248" s="59" t="s">
        <v>126</v>
      </c>
      <c r="I248" s="65"/>
      <c r="J248" s="237" t="s">
        <v>132</v>
      </c>
      <c r="K248" s="237" t="s">
        <v>3</v>
      </c>
      <c r="L248" s="59" t="s">
        <v>6</v>
      </c>
      <c r="M248" s="58" t="s">
        <v>202</v>
      </c>
      <c r="N248" s="130"/>
      <c r="O248" s="172"/>
      <c r="P248" s="172"/>
      <c r="Q248" s="237" t="s">
        <v>140</v>
      </c>
      <c r="R248" s="78"/>
      <c r="S248" s="78"/>
      <c r="T248" s="58" t="s">
        <v>702</v>
      </c>
      <c r="U248" s="237">
        <v>2026</v>
      </c>
      <c r="V248" s="88">
        <v>46387</v>
      </c>
      <c r="W248" s="78"/>
      <c r="X248" s="88">
        <v>46024</v>
      </c>
      <c r="Y248" s="131">
        <v>51600</v>
      </c>
      <c r="Z248" s="131"/>
      <c r="AA248" s="131">
        <f t="shared" si="28"/>
        <v>51600</v>
      </c>
      <c r="AB248" s="131"/>
      <c r="AC248" s="131">
        <f t="shared" si="29"/>
        <v>51600</v>
      </c>
      <c r="AD248" s="131">
        <f t="shared" si="30"/>
        <v>51600</v>
      </c>
      <c r="AE248" s="173" t="s">
        <v>102</v>
      </c>
      <c r="AF248" s="173"/>
      <c r="AG248" s="173"/>
      <c r="AH248" s="174"/>
      <c r="AI248" s="175"/>
      <c r="AJ248" s="174"/>
      <c r="AK248" s="176"/>
      <c r="AL248" s="174"/>
      <c r="AM248" s="177" t="s">
        <v>204</v>
      </c>
      <c r="AN248" s="243" t="s">
        <v>178</v>
      </c>
      <c r="AO248" s="178"/>
      <c r="AP248" s="179"/>
      <c r="AQ248" s="179"/>
      <c r="AR248" s="24"/>
      <c r="AS248" s="179"/>
    </row>
    <row r="249" spans="1:45" ht="30" customHeight="1" x14ac:dyDescent="0.35">
      <c r="A249" s="40">
        <v>2026</v>
      </c>
      <c r="B249" s="59" t="s">
        <v>72</v>
      </c>
      <c r="C249" s="58" t="s">
        <v>684</v>
      </c>
      <c r="D249" s="237" t="s">
        <v>114</v>
      </c>
      <c r="E249" s="180">
        <v>430</v>
      </c>
      <c r="F249" s="58" t="s">
        <v>703</v>
      </c>
      <c r="G249" s="237" t="s">
        <v>121</v>
      </c>
      <c r="H249" s="59" t="s">
        <v>126</v>
      </c>
      <c r="I249" s="65"/>
      <c r="J249" s="237" t="s">
        <v>132</v>
      </c>
      <c r="K249" s="237" t="s">
        <v>3</v>
      </c>
      <c r="L249" s="59" t="s">
        <v>6</v>
      </c>
      <c r="M249" s="58" t="s">
        <v>202</v>
      </c>
      <c r="N249" s="130"/>
      <c r="O249" s="172"/>
      <c r="P249" s="172"/>
      <c r="Q249" s="237" t="s">
        <v>140</v>
      </c>
      <c r="R249" s="78"/>
      <c r="S249" s="78"/>
      <c r="T249" s="58" t="s">
        <v>704</v>
      </c>
      <c r="U249" s="237">
        <v>2026</v>
      </c>
      <c r="V249" s="88">
        <v>46387</v>
      </c>
      <c r="W249" s="78"/>
      <c r="X249" s="88">
        <v>46024</v>
      </c>
      <c r="Y249" s="131">
        <v>51600</v>
      </c>
      <c r="Z249" s="131"/>
      <c r="AA249" s="131">
        <f t="shared" si="28"/>
        <v>51600</v>
      </c>
      <c r="AB249" s="131"/>
      <c r="AC249" s="131">
        <f t="shared" si="29"/>
        <v>51600</v>
      </c>
      <c r="AD249" s="131">
        <f t="shared" si="30"/>
        <v>51600</v>
      </c>
      <c r="AE249" s="173" t="s">
        <v>102</v>
      </c>
      <c r="AF249" s="173"/>
      <c r="AG249" s="173"/>
      <c r="AH249" s="174"/>
      <c r="AI249" s="175"/>
      <c r="AJ249" s="174"/>
      <c r="AK249" s="176"/>
      <c r="AL249" s="174"/>
      <c r="AM249" s="177" t="s">
        <v>204</v>
      </c>
      <c r="AN249" s="243" t="s">
        <v>178</v>
      </c>
      <c r="AO249" s="178"/>
      <c r="AP249" s="179"/>
      <c r="AQ249" s="179"/>
      <c r="AR249" s="24"/>
      <c r="AS249" s="179"/>
    </row>
    <row r="250" spans="1:45" ht="30" customHeight="1" x14ac:dyDescent="0.35">
      <c r="A250" s="40">
        <v>2026</v>
      </c>
      <c r="B250" s="59" t="s">
        <v>72</v>
      </c>
      <c r="C250" s="58" t="s">
        <v>684</v>
      </c>
      <c r="D250" s="237" t="s">
        <v>114</v>
      </c>
      <c r="E250" s="180">
        <v>392</v>
      </c>
      <c r="F250" s="58" t="s">
        <v>705</v>
      </c>
      <c r="G250" s="237" t="s">
        <v>121</v>
      </c>
      <c r="H250" s="59" t="s">
        <v>126</v>
      </c>
      <c r="I250" s="65"/>
      <c r="J250" s="237" t="s">
        <v>132</v>
      </c>
      <c r="K250" s="237" t="s">
        <v>3</v>
      </c>
      <c r="L250" s="59" t="s">
        <v>6</v>
      </c>
      <c r="M250" s="58" t="s">
        <v>202</v>
      </c>
      <c r="N250" s="130"/>
      <c r="O250" s="172"/>
      <c r="P250" s="172"/>
      <c r="Q250" s="237" t="s">
        <v>140</v>
      </c>
      <c r="R250" s="78"/>
      <c r="S250" s="78"/>
      <c r="T250" s="58" t="s">
        <v>706</v>
      </c>
      <c r="U250" s="237">
        <v>2026</v>
      </c>
      <c r="V250" s="88">
        <v>46387</v>
      </c>
      <c r="W250" s="78"/>
      <c r="X250" s="88">
        <v>46024</v>
      </c>
      <c r="Y250" s="131">
        <v>51600</v>
      </c>
      <c r="Z250" s="131"/>
      <c r="AA250" s="131">
        <f t="shared" si="28"/>
        <v>51600</v>
      </c>
      <c r="AB250" s="131"/>
      <c r="AC250" s="131">
        <f t="shared" si="29"/>
        <v>51600</v>
      </c>
      <c r="AD250" s="131">
        <f t="shared" si="30"/>
        <v>51600</v>
      </c>
      <c r="AE250" s="173" t="s">
        <v>102</v>
      </c>
      <c r="AF250" s="173"/>
      <c r="AG250" s="173"/>
      <c r="AH250" s="174"/>
      <c r="AI250" s="175"/>
      <c r="AJ250" s="174"/>
      <c r="AK250" s="176"/>
      <c r="AL250" s="174"/>
      <c r="AM250" s="177" t="s">
        <v>204</v>
      </c>
      <c r="AN250" s="243" t="s">
        <v>178</v>
      </c>
      <c r="AO250" s="178"/>
      <c r="AP250" s="179"/>
      <c r="AQ250" s="179"/>
      <c r="AR250" s="24"/>
      <c r="AS250" s="179"/>
    </row>
    <row r="251" spans="1:45" ht="30" customHeight="1" x14ac:dyDescent="0.35">
      <c r="A251" s="40">
        <v>2026</v>
      </c>
      <c r="B251" s="59" t="s">
        <v>72</v>
      </c>
      <c r="C251" s="58" t="s">
        <v>684</v>
      </c>
      <c r="D251" s="237" t="s">
        <v>114</v>
      </c>
      <c r="E251" s="180">
        <v>432</v>
      </c>
      <c r="F251" s="58" t="s">
        <v>707</v>
      </c>
      <c r="G251" s="237" t="s">
        <v>121</v>
      </c>
      <c r="H251" s="59" t="s">
        <v>126</v>
      </c>
      <c r="I251" s="65"/>
      <c r="J251" s="237" t="s">
        <v>132</v>
      </c>
      <c r="K251" s="237" t="s">
        <v>3</v>
      </c>
      <c r="L251" s="59" t="s">
        <v>6</v>
      </c>
      <c r="M251" s="58" t="s">
        <v>202</v>
      </c>
      <c r="N251" s="130"/>
      <c r="O251" s="172"/>
      <c r="P251" s="172"/>
      <c r="Q251" s="237" t="s">
        <v>140</v>
      </c>
      <c r="R251" s="78"/>
      <c r="S251" s="78"/>
      <c r="T251" s="58" t="s">
        <v>708</v>
      </c>
      <c r="U251" s="237">
        <v>2026</v>
      </c>
      <c r="V251" s="88">
        <v>46387</v>
      </c>
      <c r="W251" s="78"/>
      <c r="X251" s="88">
        <v>46024</v>
      </c>
      <c r="Y251" s="131">
        <v>51600</v>
      </c>
      <c r="Z251" s="131"/>
      <c r="AA251" s="131">
        <f t="shared" si="28"/>
        <v>51600</v>
      </c>
      <c r="AB251" s="131"/>
      <c r="AC251" s="131">
        <f t="shared" si="29"/>
        <v>51600</v>
      </c>
      <c r="AD251" s="131">
        <f t="shared" si="30"/>
        <v>51600</v>
      </c>
      <c r="AE251" s="173" t="s">
        <v>102</v>
      </c>
      <c r="AF251" s="173"/>
      <c r="AG251" s="173"/>
      <c r="AH251" s="174"/>
      <c r="AI251" s="175"/>
      <c r="AJ251" s="174"/>
      <c r="AK251" s="176"/>
      <c r="AL251" s="174"/>
      <c r="AM251" s="177" t="s">
        <v>204</v>
      </c>
      <c r="AN251" s="243" t="s">
        <v>178</v>
      </c>
      <c r="AO251" s="178"/>
      <c r="AP251" s="179"/>
      <c r="AQ251" s="179"/>
      <c r="AR251" s="24"/>
      <c r="AS251" s="179"/>
    </row>
    <row r="252" spans="1:45" ht="30" customHeight="1" x14ac:dyDescent="0.35">
      <c r="A252" s="40">
        <v>2026</v>
      </c>
      <c r="B252" s="59" t="s">
        <v>72</v>
      </c>
      <c r="C252" s="58" t="s">
        <v>684</v>
      </c>
      <c r="D252" s="237" t="s">
        <v>114</v>
      </c>
      <c r="E252" s="180">
        <v>433</v>
      </c>
      <c r="F252" s="58" t="s">
        <v>709</v>
      </c>
      <c r="G252" s="237" t="s">
        <v>121</v>
      </c>
      <c r="H252" s="59" t="s">
        <v>126</v>
      </c>
      <c r="I252" s="65"/>
      <c r="J252" s="237" t="s">
        <v>132</v>
      </c>
      <c r="K252" s="237" t="s">
        <v>3</v>
      </c>
      <c r="L252" s="59" t="s">
        <v>6</v>
      </c>
      <c r="M252" s="58" t="s">
        <v>202</v>
      </c>
      <c r="N252" s="130"/>
      <c r="O252" s="172"/>
      <c r="P252" s="172"/>
      <c r="Q252" s="237" t="s">
        <v>140</v>
      </c>
      <c r="R252" s="78"/>
      <c r="S252" s="78"/>
      <c r="T252" s="58" t="s">
        <v>710</v>
      </c>
      <c r="U252" s="237">
        <v>2026</v>
      </c>
      <c r="V252" s="88">
        <v>46387</v>
      </c>
      <c r="W252" s="78"/>
      <c r="X252" s="88">
        <v>46024</v>
      </c>
      <c r="Y252" s="131">
        <v>51600</v>
      </c>
      <c r="Z252" s="131"/>
      <c r="AA252" s="131">
        <f t="shared" si="28"/>
        <v>51600</v>
      </c>
      <c r="AB252" s="131"/>
      <c r="AC252" s="131">
        <f t="shared" si="29"/>
        <v>51600</v>
      </c>
      <c r="AD252" s="131">
        <f t="shared" si="30"/>
        <v>51600</v>
      </c>
      <c r="AE252" s="173" t="s">
        <v>102</v>
      </c>
      <c r="AF252" s="173"/>
      <c r="AG252" s="173"/>
      <c r="AH252" s="174"/>
      <c r="AI252" s="175"/>
      <c r="AJ252" s="174"/>
      <c r="AK252" s="176"/>
      <c r="AL252" s="174"/>
      <c r="AM252" s="177" t="s">
        <v>204</v>
      </c>
      <c r="AN252" s="243" t="s">
        <v>178</v>
      </c>
      <c r="AO252" s="178"/>
      <c r="AP252" s="179"/>
      <c r="AQ252" s="179"/>
      <c r="AR252" s="24"/>
      <c r="AS252" s="179"/>
    </row>
    <row r="253" spans="1:45" ht="30" customHeight="1" x14ac:dyDescent="0.35">
      <c r="A253" s="38">
        <v>2026</v>
      </c>
      <c r="B253" s="59" t="s">
        <v>711</v>
      </c>
      <c r="C253" s="58" t="s">
        <v>712</v>
      </c>
      <c r="D253" s="237" t="s">
        <v>114</v>
      </c>
      <c r="E253" s="180"/>
      <c r="F253" s="58" t="s">
        <v>713</v>
      </c>
      <c r="G253" s="237" t="s">
        <v>121</v>
      </c>
      <c r="H253" s="59" t="s">
        <v>126</v>
      </c>
      <c r="I253" s="65"/>
      <c r="J253" s="237" t="s">
        <v>132</v>
      </c>
      <c r="K253" s="237" t="s">
        <v>3</v>
      </c>
      <c r="L253" s="59" t="s">
        <v>6</v>
      </c>
      <c r="M253" s="58" t="s">
        <v>202</v>
      </c>
      <c r="N253" s="130"/>
      <c r="O253" s="172"/>
      <c r="P253" s="172"/>
      <c r="Q253" s="237" t="s">
        <v>140</v>
      </c>
      <c r="R253" s="78"/>
      <c r="S253" s="78"/>
      <c r="T253" s="58" t="s">
        <v>714</v>
      </c>
      <c r="U253" s="237">
        <v>2026</v>
      </c>
      <c r="V253" s="88">
        <v>46387</v>
      </c>
      <c r="W253" s="78"/>
      <c r="X253" s="88">
        <v>46024</v>
      </c>
      <c r="Y253" s="131">
        <v>148800</v>
      </c>
      <c r="Z253" s="131"/>
      <c r="AA253" s="131">
        <f t="shared" si="28"/>
        <v>148800</v>
      </c>
      <c r="AB253" s="131"/>
      <c r="AC253" s="131">
        <f t="shared" si="29"/>
        <v>148800</v>
      </c>
      <c r="AD253" s="131">
        <f t="shared" si="30"/>
        <v>148800</v>
      </c>
      <c r="AE253" s="173" t="s">
        <v>102</v>
      </c>
      <c r="AF253" s="173"/>
      <c r="AG253" s="173"/>
      <c r="AH253" s="174"/>
      <c r="AI253" s="175"/>
      <c r="AJ253" s="174"/>
      <c r="AK253" s="176"/>
      <c r="AL253" s="174"/>
      <c r="AM253" s="177" t="s">
        <v>204</v>
      </c>
      <c r="AN253" s="243" t="s">
        <v>178</v>
      </c>
      <c r="AO253" s="178"/>
      <c r="AP253" s="179"/>
      <c r="AQ253" s="179"/>
      <c r="AR253" s="24"/>
      <c r="AS253" s="179"/>
    </row>
    <row r="254" spans="1:45" ht="30" customHeight="1" x14ac:dyDescent="0.35">
      <c r="A254" s="38">
        <v>2026</v>
      </c>
      <c r="B254" s="59" t="s">
        <v>711</v>
      </c>
      <c r="C254" s="58" t="s">
        <v>712</v>
      </c>
      <c r="D254" s="237" t="s">
        <v>114</v>
      </c>
      <c r="E254" s="180"/>
      <c r="F254" s="58" t="s">
        <v>715</v>
      </c>
      <c r="G254" s="237" t="s">
        <v>121</v>
      </c>
      <c r="H254" s="59" t="s">
        <v>126</v>
      </c>
      <c r="I254" s="65"/>
      <c r="J254" s="237" t="s">
        <v>132</v>
      </c>
      <c r="K254" s="237" t="s">
        <v>3</v>
      </c>
      <c r="L254" s="59" t="s">
        <v>6</v>
      </c>
      <c r="M254" s="58" t="s">
        <v>202</v>
      </c>
      <c r="N254" s="130"/>
      <c r="O254" s="172"/>
      <c r="P254" s="172"/>
      <c r="Q254" s="237" t="s">
        <v>140</v>
      </c>
      <c r="R254" s="78"/>
      <c r="S254" s="78"/>
      <c r="T254" s="58" t="s">
        <v>716</v>
      </c>
      <c r="U254" s="237">
        <v>2026</v>
      </c>
      <c r="V254" s="88">
        <v>46387</v>
      </c>
      <c r="W254" s="78"/>
      <c r="X254" s="88">
        <v>46024</v>
      </c>
      <c r="Y254" s="131">
        <v>148800</v>
      </c>
      <c r="Z254" s="131"/>
      <c r="AA254" s="131">
        <f t="shared" si="28"/>
        <v>148800</v>
      </c>
      <c r="AB254" s="131"/>
      <c r="AC254" s="131">
        <f t="shared" si="29"/>
        <v>148800</v>
      </c>
      <c r="AD254" s="131">
        <f t="shared" si="30"/>
        <v>148800</v>
      </c>
      <c r="AE254" s="173" t="s">
        <v>102</v>
      </c>
      <c r="AF254" s="173"/>
      <c r="AG254" s="173"/>
      <c r="AH254" s="174"/>
      <c r="AI254" s="175"/>
      <c r="AJ254" s="174"/>
      <c r="AK254" s="176"/>
      <c r="AL254" s="174"/>
      <c r="AM254" s="177" t="s">
        <v>204</v>
      </c>
      <c r="AN254" s="243" t="s">
        <v>178</v>
      </c>
      <c r="AO254" s="178"/>
      <c r="AP254" s="179"/>
      <c r="AQ254" s="179"/>
      <c r="AR254" s="24"/>
      <c r="AS254" s="179"/>
    </row>
    <row r="255" spans="1:45" ht="30" customHeight="1" x14ac:dyDescent="0.35">
      <c r="A255" s="38">
        <v>2026</v>
      </c>
      <c r="B255" s="59" t="s">
        <v>711</v>
      </c>
      <c r="C255" s="58" t="s">
        <v>712</v>
      </c>
      <c r="D255" s="237" t="s">
        <v>114</v>
      </c>
      <c r="E255" s="180"/>
      <c r="F255" s="58" t="s">
        <v>717</v>
      </c>
      <c r="G255" s="237" t="s">
        <v>121</v>
      </c>
      <c r="H255" s="59" t="s">
        <v>126</v>
      </c>
      <c r="I255" s="65"/>
      <c r="J255" s="237" t="s">
        <v>132</v>
      </c>
      <c r="K255" s="237" t="s">
        <v>3</v>
      </c>
      <c r="L255" s="59" t="s">
        <v>6</v>
      </c>
      <c r="M255" s="58" t="s">
        <v>202</v>
      </c>
      <c r="N255" s="130"/>
      <c r="O255" s="172"/>
      <c r="P255" s="172"/>
      <c r="Q255" s="237" t="s">
        <v>140</v>
      </c>
      <c r="R255" s="78"/>
      <c r="S255" s="78"/>
      <c r="T255" s="58" t="s">
        <v>718</v>
      </c>
      <c r="U255" s="237">
        <v>2026</v>
      </c>
      <c r="V255" s="88">
        <v>46387</v>
      </c>
      <c r="W255" s="78"/>
      <c r="X255" s="88">
        <v>46024</v>
      </c>
      <c r="Y255" s="131">
        <v>96000</v>
      </c>
      <c r="Z255" s="131"/>
      <c r="AA255" s="131">
        <f t="shared" si="28"/>
        <v>96000</v>
      </c>
      <c r="AB255" s="131"/>
      <c r="AC255" s="131">
        <f t="shared" si="29"/>
        <v>96000</v>
      </c>
      <c r="AD255" s="131">
        <f t="shared" si="30"/>
        <v>96000</v>
      </c>
      <c r="AE255" s="173" t="s">
        <v>102</v>
      </c>
      <c r="AF255" s="173"/>
      <c r="AG255" s="173"/>
      <c r="AH255" s="174"/>
      <c r="AI255" s="175"/>
      <c r="AJ255" s="174"/>
      <c r="AK255" s="176"/>
      <c r="AL255" s="174"/>
      <c r="AM255" s="177" t="s">
        <v>204</v>
      </c>
      <c r="AN255" s="243" t="s">
        <v>178</v>
      </c>
      <c r="AO255" s="178"/>
      <c r="AP255" s="179"/>
      <c r="AQ255" s="179"/>
      <c r="AR255" s="24"/>
      <c r="AS255" s="179"/>
    </row>
    <row r="256" spans="1:45" ht="30" customHeight="1" x14ac:dyDescent="0.35">
      <c r="A256" s="38">
        <v>2026</v>
      </c>
      <c r="B256" s="59" t="s">
        <v>711</v>
      </c>
      <c r="C256" s="58" t="s">
        <v>712</v>
      </c>
      <c r="D256" s="237" t="s">
        <v>114</v>
      </c>
      <c r="E256" s="180"/>
      <c r="F256" s="58" t="s">
        <v>719</v>
      </c>
      <c r="G256" s="237" t="s">
        <v>121</v>
      </c>
      <c r="H256" s="59" t="s">
        <v>119</v>
      </c>
      <c r="I256" s="65"/>
      <c r="J256" s="237" t="s">
        <v>132</v>
      </c>
      <c r="K256" s="237" t="s">
        <v>3</v>
      </c>
      <c r="L256" s="59" t="s">
        <v>6</v>
      </c>
      <c r="M256" s="58" t="s">
        <v>202</v>
      </c>
      <c r="N256" s="130">
        <v>96000</v>
      </c>
      <c r="O256" s="172"/>
      <c r="P256" s="172"/>
      <c r="Q256" s="237" t="s">
        <v>140</v>
      </c>
      <c r="R256" s="78"/>
      <c r="S256" s="78"/>
      <c r="T256" s="58" t="s">
        <v>720</v>
      </c>
      <c r="U256" s="237">
        <v>2026</v>
      </c>
      <c r="V256" s="88">
        <v>46387</v>
      </c>
      <c r="W256" s="78"/>
      <c r="X256" s="88">
        <v>46024</v>
      </c>
      <c r="Y256" s="131">
        <v>96000</v>
      </c>
      <c r="Z256" s="131"/>
      <c r="AA256" s="131">
        <f>0</f>
        <v>0</v>
      </c>
      <c r="AB256" s="131"/>
      <c r="AC256" s="131">
        <f>0</f>
        <v>0</v>
      </c>
      <c r="AD256" s="131">
        <f t="shared" si="30"/>
        <v>0</v>
      </c>
      <c r="AE256" s="173" t="s">
        <v>103</v>
      </c>
      <c r="AF256" s="173"/>
      <c r="AG256" s="173"/>
      <c r="AH256" s="174"/>
      <c r="AI256" s="175"/>
      <c r="AJ256" s="174"/>
      <c r="AK256" s="176"/>
      <c r="AL256" s="174"/>
      <c r="AM256" s="177" t="s">
        <v>204</v>
      </c>
      <c r="AN256" s="243" t="s">
        <v>178</v>
      </c>
      <c r="AO256" s="178"/>
      <c r="AP256" s="179"/>
      <c r="AQ256" s="179"/>
      <c r="AR256" s="24"/>
      <c r="AS256" s="179"/>
    </row>
    <row r="257" spans="1:45" ht="30" customHeight="1" x14ac:dyDescent="0.35">
      <c r="A257" s="38">
        <v>2026</v>
      </c>
      <c r="B257" s="59" t="s">
        <v>711</v>
      </c>
      <c r="C257" s="58" t="s">
        <v>712</v>
      </c>
      <c r="D257" s="237" t="s">
        <v>114</v>
      </c>
      <c r="E257" s="180"/>
      <c r="F257" s="58" t="s">
        <v>721</v>
      </c>
      <c r="G257" s="237" t="s">
        <v>121</v>
      </c>
      <c r="H257" s="59" t="s">
        <v>126</v>
      </c>
      <c r="I257" s="65"/>
      <c r="J257" s="237" t="s">
        <v>132</v>
      </c>
      <c r="K257" s="237" t="s">
        <v>3</v>
      </c>
      <c r="L257" s="59" t="s">
        <v>6</v>
      </c>
      <c r="M257" s="58" t="s">
        <v>202</v>
      </c>
      <c r="N257" s="130"/>
      <c r="O257" s="172"/>
      <c r="P257" s="172"/>
      <c r="Q257" s="237" t="s">
        <v>140</v>
      </c>
      <c r="R257" s="78"/>
      <c r="S257" s="78"/>
      <c r="T257" s="58" t="s">
        <v>722</v>
      </c>
      <c r="U257" s="237">
        <v>2026</v>
      </c>
      <c r="V257" s="88">
        <v>46387</v>
      </c>
      <c r="W257" s="78"/>
      <c r="X257" s="88">
        <v>46024</v>
      </c>
      <c r="Y257" s="131">
        <v>96000</v>
      </c>
      <c r="Z257" s="131"/>
      <c r="AA257" s="131">
        <f t="shared" ref="AA257:AA304" si="31">Y257</f>
        <v>96000</v>
      </c>
      <c r="AB257" s="131"/>
      <c r="AC257" s="131">
        <f t="shared" ref="AC257:AC304" si="32">Y257</f>
        <v>96000</v>
      </c>
      <c r="AD257" s="131">
        <f t="shared" si="30"/>
        <v>96000</v>
      </c>
      <c r="AE257" s="173" t="s">
        <v>102</v>
      </c>
      <c r="AF257" s="173"/>
      <c r="AG257" s="173"/>
      <c r="AH257" s="174"/>
      <c r="AI257" s="175"/>
      <c r="AJ257" s="174"/>
      <c r="AK257" s="176"/>
      <c r="AL257" s="174"/>
      <c r="AM257" s="177" t="s">
        <v>204</v>
      </c>
      <c r="AN257" s="243" t="s">
        <v>178</v>
      </c>
      <c r="AO257" s="178"/>
      <c r="AP257" s="179"/>
      <c r="AQ257" s="179"/>
      <c r="AR257" s="24"/>
      <c r="AS257" s="179"/>
    </row>
    <row r="258" spans="1:45" ht="30" customHeight="1" x14ac:dyDescent="0.35">
      <c r="A258" s="38">
        <v>2026</v>
      </c>
      <c r="B258" s="59" t="s">
        <v>711</v>
      </c>
      <c r="C258" s="58" t="s">
        <v>712</v>
      </c>
      <c r="D258" s="237" t="s">
        <v>114</v>
      </c>
      <c r="E258" s="180"/>
      <c r="F258" s="58" t="s">
        <v>723</v>
      </c>
      <c r="G258" s="237" t="s">
        <v>121</v>
      </c>
      <c r="H258" s="59" t="s">
        <v>126</v>
      </c>
      <c r="I258" s="65"/>
      <c r="J258" s="237" t="s">
        <v>132</v>
      </c>
      <c r="K258" s="237" t="s">
        <v>3</v>
      </c>
      <c r="L258" s="59" t="s">
        <v>6</v>
      </c>
      <c r="M258" s="58" t="s">
        <v>202</v>
      </c>
      <c r="N258" s="130"/>
      <c r="O258" s="172"/>
      <c r="P258" s="172"/>
      <c r="Q258" s="237" t="s">
        <v>140</v>
      </c>
      <c r="R258" s="78"/>
      <c r="S258" s="78"/>
      <c r="T258" s="58" t="s">
        <v>724</v>
      </c>
      <c r="U258" s="237">
        <v>2026</v>
      </c>
      <c r="V258" s="88">
        <v>46387</v>
      </c>
      <c r="W258" s="78"/>
      <c r="X258" s="88">
        <v>46024</v>
      </c>
      <c r="Y258" s="131">
        <v>96000</v>
      </c>
      <c r="Z258" s="131"/>
      <c r="AA258" s="131">
        <f t="shared" si="31"/>
        <v>96000</v>
      </c>
      <c r="AB258" s="131"/>
      <c r="AC258" s="131">
        <f t="shared" si="32"/>
        <v>96000</v>
      </c>
      <c r="AD258" s="131">
        <f t="shared" si="30"/>
        <v>96000</v>
      </c>
      <c r="AE258" s="173" t="s">
        <v>102</v>
      </c>
      <c r="AF258" s="173"/>
      <c r="AG258" s="173"/>
      <c r="AH258" s="174"/>
      <c r="AI258" s="175"/>
      <c r="AJ258" s="174"/>
      <c r="AK258" s="176"/>
      <c r="AL258" s="174"/>
      <c r="AM258" s="177" t="s">
        <v>204</v>
      </c>
      <c r="AN258" s="243" t="s">
        <v>178</v>
      </c>
      <c r="AO258" s="178"/>
      <c r="AP258" s="179"/>
      <c r="AQ258" s="179"/>
      <c r="AR258" s="24"/>
      <c r="AS258" s="179"/>
    </row>
    <row r="259" spans="1:45" ht="30" customHeight="1" x14ac:dyDescent="0.35">
      <c r="A259" s="38">
        <v>2026</v>
      </c>
      <c r="B259" s="59" t="s">
        <v>711</v>
      </c>
      <c r="C259" s="58" t="s">
        <v>712</v>
      </c>
      <c r="D259" s="237" t="s">
        <v>114</v>
      </c>
      <c r="E259" s="180"/>
      <c r="F259" s="58" t="s">
        <v>725</v>
      </c>
      <c r="G259" s="237" t="s">
        <v>121</v>
      </c>
      <c r="H259" s="59" t="s">
        <v>126</v>
      </c>
      <c r="I259" s="65"/>
      <c r="J259" s="237" t="s">
        <v>132</v>
      </c>
      <c r="K259" s="237" t="s">
        <v>3</v>
      </c>
      <c r="L259" s="59" t="s">
        <v>6</v>
      </c>
      <c r="M259" s="58" t="s">
        <v>202</v>
      </c>
      <c r="N259" s="130"/>
      <c r="O259" s="172"/>
      <c r="P259" s="172"/>
      <c r="Q259" s="237" t="s">
        <v>140</v>
      </c>
      <c r="R259" s="78"/>
      <c r="S259" s="78"/>
      <c r="T259" s="58" t="s">
        <v>726</v>
      </c>
      <c r="U259" s="237">
        <v>2026</v>
      </c>
      <c r="V259" s="88">
        <v>46387</v>
      </c>
      <c r="W259" s="78"/>
      <c r="X259" s="88">
        <v>46024</v>
      </c>
      <c r="Y259" s="131">
        <v>96000</v>
      </c>
      <c r="Z259" s="131"/>
      <c r="AA259" s="131">
        <f t="shared" si="31"/>
        <v>96000</v>
      </c>
      <c r="AB259" s="131"/>
      <c r="AC259" s="131">
        <f t="shared" si="32"/>
        <v>96000</v>
      </c>
      <c r="AD259" s="131">
        <f t="shared" si="30"/>
        <v>96000</v>
      </c>
      <c r="AE259" s="173" t="s">
        <v>102</v>
      </c>
      <c r="AF259" s="173"/>
      <c r="AG259" s="173"/>
      <c r="AH259" s="174"/>
      <c r="AI259" s="175"/>
      <c r="AJ259" s="174"/>
      <c r="AK259" s="176"/>
      <c r="AL259" s="174"/>
      <c r="AM259" s="177" t="s">
        <v>204</v>
      </c>
      <c r="AN259" s="243" t="s">
        <v>178</v>
      </c>
      <c r="AO259" s="178"/>
      <c r="AP259" s="179"/>
      <c r="AQ259" s="179"/>
      <c r="AR259" s="24"/>
      <c r="AS259" s="179"/>
    </row>
    <row r="260" spans="1:45" ht="30" customHeight="1" x14ac:dyDescent="0.35">
      <c r="A260" s="40">
        <v>2026</v>
      </c>
      <c r="B260" s="59" t="s">
        <v>72</v>
      </c>
      <c r="C260" s="58" t="s">
        <v>727</v>
      </c>
      <c r="D260" s="237" t="s">
        <v>114</v>
      </c>
      <c r="E260" s="180"/>
      <c r="F260" s="58" t="s">
        <v>728</v>
      </c>
      <c r="G260" s="237" t="s">
        <v>121</v>
      </c>
      <c r="H260" s="59" t="s">
        <v>126</v>
      </c>
      <c r="I260" s="65"/>
      <c r="J260" s="237" t="s">
        <v>132</v>
      </c>
      <c r="K260" s="237" t="s">
        <v>3</v>
      </c>
      <c r="L260" s="59" t="s">
        <v>6</v>
      </c>
      <c r="M260" s="58" t="s">
        <v>729</v>
      </c>
      <c r="N260" s="130"/>
      <c r="O260" s="172"/>
      <c r="P260" s="172"/>
      <c r="Q260" s="237" t="s">
        <v>140</v>
      </c>
      <c r="R260" s="78"/>
      <c r="S260" s="78"/>
      <c r="T260" s="58" t="s">
        <v>730</v>
      </c>
      <c r="U260" s="237">
        <v>2026</v>
      </c>
      <c r="V260" s="88">
        <v>46387</v>
      </c>
      <c r="W260" s="78"/>
      <c r="X260" s="88">
        <v>46024</v>
      </c>
      <c r="Y260" s="131">
        <v>60000</v>
      </c>
      <c r="Z260" s="131"/>
      <c r="AA260" s="131">
        <f t="shared" si="31"/>
        <v>60000</v>
      </c>
      <c r="AB260" s="131"/>
      <c r="AC260" s="131">
        <f t="shared" si="32"/>
        <v>60000</v>
      </c>
      <c r="AD260" s="131">
        <f t="shared" si="30"/>
        <v>60000</v>
      </c>
      <c r="AE260" s="173" t="s">
        <v>102</v>
      </c>
      <c r="AF260" s="173"/>
      <c r="AG260" s="173"/>
      <c r="AH260" s="174"/>
      <c r="AI260" s="175"/>
      <c r="AJ260" s="174"/>
      <c r="AK260" s="176"/>
      <c r="AL260" s="174"/>
      <c r="AM260" s="177" t="s">
        <v>204</v>
      </c>
      <c r="AN260" s="243" t="s">
        <v>178</v>
      </c>
      <c r="AO260" s="178"/>
      <c r="AP260" s="179"/>
      <c r="AQ260" s="179"/>
      <c r="AR260" s="24"/>
      <c r="AS260" s="179"/>
    </row>
    <row r="261" spans="1:45" ht="30" customHeight="1" x14ac:dyDescent="0.35">
      <c r="A261" s="40">
        <v>2026</v>
      </c>
      <c r="B261" s="59" t="s">
        <v>72</v>
      </c>
      <c r="C261" s="58" t="s">
        <v>727</v>
      </c>
      <c r="D261" s="237" t="s">
        <v>114</v>
      </c>
      <c r="E261" s="180"/>
      <c r="F261" s="58" t="s">
        <v>731</v>
      </c>
      <c r="G261" s="237" t="s">
        <v>121</v>
      </c>
      <c r="H261" s="59" t="s">
        <v>126</v>
      </c>
      <c r="I261" s="65"/>
      <c r="J261" s="237" t="s">
        <v>132</v>
      </c>
      <c r="K261" s="237" t="s">
        <v>3</v>
      </c>
      <c r="L261" s="59" t="s">
        <v>6</v>
      </c>
      <c r="M261" s="58" t="s">
        <v>729</v>
      </c>
      <c r="N261" s="130"/>
      <c r="O261" s="172"/>
      <c r="P261" s="172"/>
      <c r="Q261" s="237" t="s">
        <v>140</v>
      </c>
      <c r="R261" s="78"/>
      <c r="S261" s="78"/>
      <c r="T261" s="58" t="s">
        <v>732</v>
      </c>
      <c r="U261" s="237">
        <v>2026</v>
      </c>
      <c r="V261" s="88">
        <v>46387</v>
      </c>
      <c r="W261" s="78"/>
      <c r="X261" s="88">
        <v>46024</v>
      </c>
      <c r="Y261" s="131">
        <v>200000</v>
      </c>
      <c r="Z261" s="131"/>
      <c r="AA261" s="131">
        <f t="shared" si="31"/>
        <v>200000</v>
      </c>
      <c r="AB261" s="131"/>
      <c r="AC261" s="131">
        <f t="shared" si="32"/>
        <v>200000</v>
      </c>
      <c r="AD261" s="131">
        <f t="shared" si="30"/>
        <v>200000</v>
      </c>
      <c r="AE261" s="173" t="s">
        <v>102</v>
      </c>
      <c r="AF261" s="173"/>
      <c r="AG261" s="173"/>
      <c r="AH261" s="174"/>
      <c r="AI261" s="175"/>
      <c r="AJ261" s="174"/>
      <c r="AK261" s="176"/>
      <c r="AL261" s="174"/>
      <c r="AM261" s="177" t="s">
        <v>204</v>
      </c>
      <c r="AN261" s="243" t="s">
        <v>178</v>
      </c>
      <c r="AO261" s="178"/>
      <c r="AP261" s="179"/>
      <c r="AQ261" s="179"/>
      <c r="AR261" s="24"/>
      <c r="AS261" s="179"/>
    </row>
    <row r="262" spans="1:45" ht="30" customHeight="1" x14ac:dyDescent="0.35">
      <c r="A262" s="40">
        <v>2026</v>
      </c>
      <c r="B262" s="59" t="s">
        <v>72</v>
      </c>
      <c r="C262" s="58" t="s">
        <v>727</v>
      </c>
      <c r="D262" s="237" t="s">
        <v>114</v>
      </c>
      <c r="E262" s="180">
        <v>360</v>
      </c>
      <c r="F262" s="58" t="s">
        <v>733</v>
      </c>
      <c r="G262" s="237" t="s">
        <v>121</v>
      </c>
      <c r="H262" s="59" t="s">
        <v>126</v>
      </c>
      <c r="I262" s="65"/>
      <c r="J262" s="237" t="s">
        <v>132</v>
      </c>
      <c r="K262" s="237" t="s">
        <v>3</v>
      </c>
      <c r="L262" s="59" t="s">
        <v>6</v>
      </c>
      <c r="M262" s="58" t="s">
        <v>729</v>
      </c>
      <c r="N262" s="130"/>
      <c r="O262" s="172"/>
      <c r="P262" s="172"/>
      <c r="Q262" s="237" t="s">
        <v>140</v>
      </c>
      <c r="R262" s="78"/>
      <c r="S262" s="78"/>
      <c r="T262" s="58" t="s">
        <v>734</v>
      </c>
      <c r="U262" s="237">
        <v>2026</v>
      </c>
      <c r="V262" s="88">
        <v>46387</v>
      </c>
      <c r="W262" s="78"/>
      <c r="X262" s="88">
        <v>46024</v>
      </c>
      <c r="Y262" s="131">
        <v>228571.2</v>
      </c>
      <c r="Z262" s="131"/>
      <c r="AA262" s="131">
        <f t="shared" si="31"/>
        <v>228571.2</v>
      </c>
      <c r="AB262" s="131"/>
      <c r="AC262" s="131">
        <f t="shared" si="32"/>
        <v>228571.2</v>
      </c>
      <c r="AD262" s="131">
        <f t="shared" si="30"/>
        <v>228571.2</v>
      </c>
      <c r="AE262" s="173" t="s">
        <v>102</v>
      </c>
      <c r="AF262" s="173"/>
      <c r="AG262" s="173"/>
      <c r="AH262" s="174"/>
      <c r="AI262" s="175"/>
      <c r="AJ262" s="174"/>
      <c r="AK262" s="176"/>
      <c r="AL262" s="174"/>
      <c r="AM262" s="177" t="s">
        <v>204</v>
      </c>
      <c r="AN262" s="243" t="s">
        <v>178</v>
      </c>
      <c r="AO262" s="178"/>
      <c r="AP262" s="179"/>
      <c r="AQ262" s="179"/>
      <c r="AR262" s="24"/>
      <c r="AS262" s="179"/>
    </row>
    <row r="263" spans="1:45" ht="30" customHeight="1" x14ac:dyDescent="0.35">
      <c r="A263" s="40">
        <v>2026</v>
      </c>
      <c r="B263" s="59" t="s">
        <v>72</v>
      </c>
      <c r="C263" s="58" t="s">
        <v>727</v>
      </c>
      <c r="D263" s="237" t="s">
        <v>114</v>
      </c>
      <c r="E263" s="180">
        <v>361</v>
      </c>
      <c r="F263" s="58" t="s">
        <v>735</v>
      </c>
      <c r="G263" s="237" t="s">
        <v>121</v>
      </c>
      <c r="H263" s="59" t="s">
        <v>126</v>
      </c>
      <c r="I263" s="65"/>
      <c r="J263" s="237" t="s">
        <v>132</v>
      </c>
      <c r="K263" s="237" t="s">
        <v>3</v>
      </c>
      <c r="L263" s="59" t="s">
        <v>6</v>
      </c>
      <c r="M263" s="58" t="s">
        <v>729</v>
      </c>
      <c r="N263" s="130"/>
      <c r="O263" s="172"/>
      <c r="P263" s="172"/>
      <c r="Q263" s="237" t="s">
        <v>140</v>
      </c>
      <c r="R263" s="78"/>
      <c r="S263" s="78"/>
      <c r="T263" s="58" t="s">
        <v>736</v>
      </c>
      <c r="U263" s="237">
        <v>2026</v>
      </c>
      <c r="V263" s="88">
        <v>46387</v>
      </c>
      <c r="W263" s="78"/>
      <c r="X263" s="88">
        <v>46024</v>
      </c>
      <c r="Y263" s="131">
        <v>228571.2</v>
      </c>
      <c r="Z263" s="131"/>
      <c r="AA263" s="131">
        <f t="shared" si="31"/>
        <v>228571.2</v>
      </c>
      <c r="AB263" s="131"/>
      <c r="AC263" s="131">
        <f t="shared" si="32"/>
        <v>228571.2</v>
      </c>
      <c r="AD263" s="131">
        <f t="shared" si="30"/>
        <v>228571.2</v>
      </c>
      <c r="AE263" s="173" t="s">
        <v>102</v>
      </c>
      <c r="AF263" s="173"/>
      <c r="AG263" s="173"/>
      <c r="AH263" s="174"/>
      <c r="AI263" s="175"/>
      <c r="AJ263" s="174"/>
      <c r="AK263" s="176"/>
      <c r="AL263" s="174"/>
      <c r="AM263" s="177" t="s">
        <v>204</v>
      </c>
      <c r="AN263" s="243" t="s">
        <v>178</v>
      </c>
      <c r="AO263" s="178"/>
      <c r="AP263" s="179"/>
      <c r="AQ263" s="179"/>
      <c r="AR263" s="24"/>
      <c r="AS263" s="179"/>
    </row>
    <row r="264" spans="1:45" ht="30" customHeight="1" x14ac:dyDescent="0.35">
      <c r="A264" s="40">
        <v>2026</v>
      </c>
      <c r="B264" s="59" t="s">
        <v>72</v>
      </c>
      <c r="C264" s="58" t="s">
        <v>727</v>
      </c>
      <c r="D264" s="237" t="s">
        <v>114</v>
      </c>
      <c r="E264" s="180">
        <v>362</v>
      </c>
      <c r="F264" s="58" t="s">
        <v>737</v>
      </c>
      <c r="G264" s="237" t="s">
        <v>121</v>
      </c>
      <c r="H264" s="59" t="s">
        <v>126</v>
      </c>
      <c r="I264" s="65"/>
      <c r="J264" s="237" t="s">
        <v>132</v>
      </c>
      <c r="K264" s="237" t="s">
        <v>3</v>
      </c>
      <c r="L264" s="59" t="s">
        <v>6</v>
      </c>
      <c r="M264" s="58" t="s">
        <v>729</v>
      </c>
      <c r="N264" s="130"/>
      <c r="O264" s="172"/>
      <c r="P264" s="172"/>
      <c r="Q264" s="237" t="s">
        <v>140</v>
      </c>
      <c r="R264" s="78"/>
      <c r="S264" s="78"/>
      <c r="T264" s="58" t="s">
        <v>738</v>
      </c>
      <c r="U264" s="237">
        <v>2026</v>
      </c>
      <c r="V264" s="88">
        <v>46387</v>
      </c>
      <c r="W264" s="78"/>
      <c r="X264" s="88">
        <v>46024</v>
      </c>
      <c r="Y264" s="131">
        <v>171428.4</v>
      </c>
      <c r="Z264" s="131"/>
      <c r="AA264" s="131">
        <f t="shared" si="31"/>
        <v>171428.4</v>
      </c>
      <c r="AB264" s="131"/>
      <c r="AC264" s="131">
        <f t="shared" si="32"/>
        <v>171428.4</v>
      </c>
      <c r="AD264" s="131">
        <f t="shared" si="30"/>
        <v>171428.4</v>
      </c>
      <c r="AE264" s="173" t="s">
        <v>102</v>
      </c>
      <c r="AF264" s="173"/>
      <c r="AG264" s="173"/>
      <c r="AH264" s="174"/>
      <c r="AI264" s="175"/>
      <c r="AJ264" s="174"/>
      <c r="AK264" s="176"/>
      <c r="AL264" s="174"/>
      <c r="AM264" s="177" t="s">
        <v>204</v>
      </c>
      <c r="AN264" s="243" t="s">
        <v>178</v>
      </c>
      <c r="AO264" s="178"/>
      <c r="AP264" s="179"/>
      <c r="AQ264" s="179"/>
      <c r="AR264" s="24"/>
      <c r="AS264" s="179"/>
    </row>
    <row r="265" spans="1:45" ht="30" customHeight="1" x14ac:dyDescent="0.35">
      <c r="A265" s="40">
        <v>2026</v>
      </c>
      <c r="B265" s="59" t="s">
        <v>72</v>
      </c>
      <c r="C265" s="58" t="s">
        <v>727</v>
      </c>
      <c r="D265" s="237" t="s">
        <v>114</v>
      </c>
      <c r="E265" s="180">
        <v>363</v>
      </c>
      <c r="F265" s="58" t="s">
        <v>739</v>
      </c>
      <c r="G265" s="237" t="s">
        <v>121</v>
      </c>
      <c r="H265" s="59" t="s">
        <v>126</v>
      </c>
      <c r="I265" s="65"/>
      <c r="J265" s="237" t="s">
        <v>132</v>
      </c>
      <c r="K265" s="237" t="s">
        <v>3</v>
      </c>
      <c r="L265" s="59" t="s">
        <v>6</v>
      </c>
      <c r="M265" s="58" t="s">
        <v>729</v>
      </c>
      <c r="N265" s="130"/>
      <c r="O265" s="172"/>
      <c r="P265" s="172"/>
      <c r="Q265" s="237" t="s">
        <v>140</v>
      </c>
      <c r="R265" s="78"/>
      <c r="S265" s="78"/>
      <c r="T265" s="58" t="s">
        <v>740</v>
      </c>
      <c r="U265" s="237">
        <v>2026</v>
      </c>
      <c r="V265" s="88">
        <v>46387</v>
      </c>
      <c r="W265" s="78"/>
      <c r="X265" s="88">
        <v>46024</v>
      </c>
      <c r="Y265" s="131">
        <v>228571.2</v>
      </c>
      <c r="Z265" s="131"/>
      <c r="AA265" s="131">
        <f t="shared" si="31"/>
        <v>228571.2</v>
      </c>
      <c r="AB265" s="131"/>
      <c r="AC265" s="131">
        <f t="shared" si="32"/>
        <v>228571.2</v>
      </c>
      <c r="AD265" s="131">
        <f t="shared" si="30"/>
        <v>228571.2</v>
      </c>
      <c r="AE265" s="173" t="s">
        <v>102</v>
      </c>
      <c r="AF265" s="173"/>
      <c r="AG265" s="173"/>
      <c r="AH265" s="174"/>
      <c r="AI265" s="175"/>
      <c r="AJ265" s="174"/>
      <c r="AK265" s="176"/>
      <c r="AL265" s="174"/>
      <c r="AM265" s="177" t="s">
        <v>204</v>
      </c>
      <c r="AN265" s="243" t="s">
        <v>178</v>
      </c>
      <c r="AO265" s="178"/>
      <c r="AP265" s="179"/>
      <c r="AQ265" s="179"/>
      <c r="AR265" s="24"/>
      <c r="AS265" s="179"/>
    </row>
    <row r="266" spans="1:45" ht="30" customHeight="1" x14ac:dyDescent="0.35">
      <c r="A266" s="40">
        <v>2026</v>
      </c>
      <c r="B266" s="59" t="s">
        <v>72</v>
      </c>
      <c r="C266" s="58" t="s">
        <v>727</v>
      </c>
      <c r="D266" s="237" t="s">
        <v>114</v>
      </c>
      <c r="E266" s="180"/>
      <c r="F266" s="58" t="s">
        <v>741</v>
      </c>
      <c r="G266" s="237" t="s">
        <v>121</v>
      </c>
      <c r="H266" s="59" t="s">
        <v>126</v>
      </c>
      <c r="I266" s="65"/>
      <c r="J266" s="237" t="s">
        <v>132</v>
      </c>
      <c r="K266" s="237" t="s">
        <v>3</v>
      </c>
      <c r="L266" s="59" t="s">
        <v>6</v>
      </c>
      <c r="M266" s="58" t="s">
        <v>729</v>
      </c>
      <c r="N266" s="130"/>
      <c r="O266" s="172"/>
      <c r="P266" s="172"/>
      <c r="Q266" s="237" t="s">
        <v>140</v>
      </c>
      <c r="R266" s="78"/>
      <c r="S266" s="78"/>
      <c r="T266" s="58" t="s">
        <v>742</v>
      </c>
      <c r="U266" s="237">
        <v>2026</v>
      </c>
      <c r="V266" s="88">
        <v>46387</v>
      </c>
      <c r="W266" s="78"/>
      <c r="X266" s="88">
        <v>46024</v>
      </c>
      <c r="Y266" s="131">
        <v>171428.4</v>
      </c>
      <c r="Z266" s="131"/>
      <c r="AA266" s="131">
        <f t="shared" si="31"/>
        <v>171428.4</v>
      </c>
      <c r="AB266" s="131"/>
      <c r="AC266" s="131">
        <f t="shared" si="32"/>
        <v>171428.4</v>
      </c>
      <c r="AD266" s="131">
        <f t="shared" si="30"/>
        <v>171428.4</v>
      </c>
      <c r="AE266" s="173" t="s">
        <v>102</v>
      </c>
      <c r="AF266" s="173"/>
      <c r="AG266" s="173"/>
      <c r="AH266" s="174"/>
      <c r="AI266" s="175"/>
      <c r="AJ266" s="174"/>
      <c r="AK266" s="176"/>
      <c r="AL266" s="174"/>
      <c r="AM266" s="177" t="s">
        <v>204</v>
      </c>
      <c r="AN266" s="243" t="s">
        <v>178</v>
      </c>
      <c r="AO266" s="178"/>
      <c r="AP266" s="179"/>
      <c r="AQ266" s="179"/>
      <c r="AR266" s="24"/>
      <c r="AS266" s="179"/>
    </row>
    <row r="267" spans="1:45" ht="30" customHeight="1" x14ac:dyDescent="0.35">
      <c r="A267" s="40">
        <v>2026</v>
      </c>
      <c r="B267" s="59" t="s">
        <v>72</v>
      </c>
      <c r="C267" s="58" t="s">
        <v>727</v>
      </c>
      <c r="D267" s="237" t="s">
        <v>114</v>
      </c>
      <c r="E267" s="180"/>
      <c r="F267" s="58" t="s">
        <v>743</v>
      </c>
      <c r="G267" s="237" t="s">
        <v>121</v>
      </c>
      <c r="H267" s="59" t="s">
        <v>126</v>
      </c>
      <c r="I267" s="65"/>
      <c r="J267" s="237" t="s">
        <v>132</v>
      </c>
      <c r="K267" s="237" t="s">
        <v>3</v>
      </c>
      <c r="L267" s="59" t="s">
        <v>6</v>
      </c>
      <c r="M267" s="58" t="s">
        <v>729</v>
      </c>
      <c r="N267" s="130"/>
      <c r="O267" s="172"/>
      <c r="P267" s="172"/>
      <c r="Q267" s="237" t="s">
        <v>140</v>
      </c>
      <c r="R267" s="78"/>
      <c r="S267" s="78"/>
      <c r="T267" s="58" t="s">
        <v>744</v>
      </c>
      <c r="U267" s="237">
        <v>2026</v>
      </c>
      <c r="V267" s="88">
        <v>46387</v>
      </c>
      <c r="W267" s="78"/>
      <c r="X267" s="88">
        <v>46024</v>
      </c>
      <c r="Y267" s="131">
        <v>290399.76</v>
      </c>
      <c r="Z267" s="131"/>
      <c r="AA267" s="131">
        <f t="shared" si="31"/>
        <v>290399.76</v>
      </c>
      <c r="AB267" s="131"/>
      <c r="AC267" s="131">
        <f t="shared" si="32"/>
        <v>290399.76</v>
      </c>
      <c r="AD267" s="131">
        <f t="shared" si="30"/>
        <v>290399.76</v>
      </c>
      <c r="AE267" s="173" t="s">
        <v>102</v>
      </c>
      <c r="AF267" s="173"/>
      <c r="AG267" s="173"/>
      <c r="AH267" s="174"/>
      <c r="AI267" s="175"/>
      <c r="AJ267" s="174"/>
      <c r="AK267" s="176"/>
      <c r="AL267" s="174"/>
      <c r="AM267" s="177" t="s">
        <v>204</v>
      </c>
      <c r="AN267" s="243" t="s">
        <v>178</v>
      </c>
      <c r="AO267" s="178"/>
      <c r="AP267" s="179"/>
      <c r="AQ267" s="179"/>
      <c r="AR267" s="24"/>
      <c r="AS267" s="179"/>
    </row>
    <row r="268" spans="1:45" ht="30" customHeight="1" x14ac:dyDescent="0.35">
      <c r="A268" s="40">
        <v>2026</v>
      </c>
      <c r="B268" s="59" t="s">
        <v>72</v>
      </c>
      <c r="C268" s="58" t="s">
        <v>727</v>
      </c>
      <c r="D268" s="237" t="s">
        <v>114</v>
      </c>
      <c r="E268" s="105"/>
      <c r="F268" s="58" t="s">
        <v>745</v>
      </c>
      <c r="G268" s="237" t="s">
        <v>121</v>
      </c>
      <c r="H268" s="59" t="s">
        <v>126</v>
      </c>
      <c r="I268" s="65"/>
      <c r="J268" s="237" t="s">
        <v>132</v>
      </c>
      <c r="K268" s="237" t="s">
        <v>3</v>
      </c>
      <c r="L268" s="59" t="s">
        <v>6</v>
      </c>
      <c r="M268" s="58" t="s">
        <v>729</v>
      </c>
      <c r="N268" s="130"/>
      <c r="O268" s="172"/>
      <c r="P268" s="172"/>
      <c r="Q268" s="237" t="s">
        <v>140</v>
      </c>
      <c r="R268" s="78"/>
      <c r="S268" s="78"/>
      <c r="T268" s="58" t="s">
        <v>746</v>
      </c>
      <c r="U268" s="237">
        <v>2026</v>
      </c>
      <c r="V268" s="88">
        <v>46387</v>
      </c>
      <c r="W268" s="78"/>
      <c r="X268" s="88">
        <v>46024</v>
      </c>
      <c r="Y268" s="131">
        <v>171428.4</v>
      </c>
      <c r="Z268" s="131"/>
      <c r="AA268" s="131">
        <f t="shared" si="31"/>
        <v>171428.4</v>
      </c>
      <c r="AB268" s="131"/>
      <c r="AC268" s="131">
        <f t="shared" si="32"/>
        <v>171428.4</v>
      </c>
      <c r="AD268" s="131">
        <f t="shared" ref="AD268:AD304" si="33">AA268</f>
        <v>171428.4</v>
      </c>
      <c r="AE268" s="173" t="s">
        <v>102</v>
      </c>
      <c r="AF268" s="173"/>
      <c r="AG268" s="173"/>
      <c r="AH268" s="174"/>
      <c r="AI268" s="175"/>
      <c r="AJ268" s="174"/>
      <c r="AK268" s="176"/>
      <c r="AL268" s="174"/>
      <c r="AM268" s="177" t="s">
        <v>204</v>
      </c>
      <c r="AN268" s="243" t="s">
        <v>178</v>
      </c>
      <c r="AO268" s="178"/>
      <c r="AP268" s="179"/>
      <c r="AQ268" s="179"/>
      <c r="AR268" s="24"/>
      <c r="AS268" s="179"/>
    </row>
    <row r="269" spans="1:45" ht="30" customHeight="1" x14ac:dyDescent="0.35">
      <c r="A269" s="40">
        <v>2026</v>
      </c>
      <c r="B269" s="59" t="s">
        <v>72</v>
      </c>
      <c r="C269" s="58" t="s">
        <v>727</v>
      </c>
      <c r="D269" s="237" t="s">
        <v>114</v>
      </c>
      <c r="E269" s="105"/>
      <c r="F269" s="58" t="s">
        <v>747</v>
      </c>
      <c r="G269" s="237" t="s">
        <v>121</v>
      </c>
      <c r="H269" s="59" t="s">
        <v>126</v>
      </c>
      <c r="I269" s="65"/>
      <c r="J269" s="237" t="s">
        <v>132</v>
      </c>
      <c r="K269" s="237" t="s">
        <v>3</v>
      </c>
      <c r="L269" s="59" t="s">
        <v>6</v>
      </c>
      <c r="M269" s="58" t="s">
        <v>729</v>
      </c>
      <c r="N269" s="130"/>
      <c r="O269" s="172"/>
      <c r="P269" s="172"/>
      <c r="Q269" s="237" t="s">
        <v>140</v>
      </c>
      <c r="R269" s="78"/>
      <c r="S269" s="78"/>
      <c r="T269" s="58" t="s">
        <v>748</v>
      </c>
      <c r="U269" s="237">
        <v>2026</v>
      </c>
      <c r="V269" s="88">
        <v>46387</v>
      </c>
      <c r="W269" s="78"/>
      <c r="X269" s="88">
        <v>46024</v>
      </c>
      <c r="Y269" s="131">
        <v>125714.16</v>
      </c>
      <c r="Z269" s="131"/>
      <c r="AA269" s="131">
        <f t="shared" si="31"/>
        <v>125714.16</v>
      </c>
      <c r="AB269" s="131"/>
      <c r="AC269" s="131">
        <f t="shared" si="32"/>
        <v>125714.16</v>
      </c>
      <c r="AD269" s="131">
        <f t="shared" si="33"/>
        <v>125714.16</v>
      </c>
      <c r="AE269" s="173" t="s">
        <v>102</v>
      </c>
      <c r="AF269" s="173"/>
      <c r="AG269" s="173"/>
      <c r="AH269" s="174"/>
      <c r="AI269" s="175"/>
      <c r="AJ269" s="174"/>
      <c r="AK269" s="176"/>
      <c r="AL269" s="174"/>
      <c r="AM269" s="177" t="s">
        <v>204</v>
      </c>
      <c r="AN269" s="243" t="s">
        <v>178</v>
      </c>
      <c r="AO269" s="178"/>
      <c r="AP269" s="179"/>
      <c r="AQ269" s="179"/>
      <c r="AR269" s="24"/>
      <c r="AS269" s="179"/>
    </row>
    <row r="270" spans="1:45" ht="30" customHeight="1" x14ac:dyDescent="0.35">
      <c r="A270" s="40">
        <v>2026</v>
      </c>
      <c r="B270" s="59" t="s">
        <v>72</v>
      </c>
      <c r="C270" s="58" t="s">
        <v>727</v>
      </c>
      <c r="D270" s="237" t="s">
        <v>114</v>
      </c>
      <c r="E270" s="180"/>
      <c r="F270" s="58" t="s">
        <v>749</v>
      </c>
      <c r="G270" s="237" t="s">
        <v>121</v>
      </c>
      <c r="H270" s="59" t="s">
        <v>126</v>
      </c>
      <c r="I270" s="65"/>
      <c r="J270" s="237" t="s">
        <v>132</v>
      </c>
      <c r="K270" s="237" t="s">
        <v>3</v>
      </c>
      <c r="L270" s="59" t="s">
        <v>6</v>
      </c>
      <c r="M270" s="58" t="s">
        <v>729</v>
      </c>
      <c r="N270" s="130"/>
      <c r="O270" s="172"/>
      <c r="P270" s="172"/>
      <c r="Q270" s="237" t="s">
        <v>140</v>
      </c>
      <c r="R270" s="78"/>
      <c r="S270" s="78"/>
      <c r="T270" s="58" t="s">
        <v>750</v>
      </c>
      <c r="U270" s="237">
        <v>2026</v>
      </c>
      <c r="V270" s="88">
        <v>46387</v>
      </c>
      <c r="W270" s="78"/>
      <c r="X270" s="88">
        <v>46024</v>
      </c>
      <c r="Y270" s="131">
        <v>152114.16</v>
      </c>
      <c r="Z270" s="131"/>
      <c r="AA270" s="131">
        <f t="shared" si="31"/>
        <v>152114.16</v>
      </c>
      <c r="AB270" s="131"/>
      <c r="AC270" s="131">
        <f t="shared" si="32"/>
        <v>152114.16</v>
      </c>
      <c r="AD270" s="131">
        <f t="shared" si="33"/>
        <v>152114.16</v>
      </c>
      <c r="AE270" s="173" t="s">
        <v>102</v>
      </c>
      <c r="AF270" s="173"/>
      <c r="AG270" s="173"/>
      <c r="AH270" s="174"/>
      <c r="AI270" s="175"/>
      <c r="AJ270" s="174"/>
      <c r="AK270" s="176"/>
      <c r="AL270" s="174"/>
      <c r="AM270" s="177" t="s">
        <v>204</v>
      </c>
      <c r="AN270" s="243" t="s">
        <v>178</v>
      </c>
      <c r="AO270" s="178"/>
      <c r="AP270" s="179"/>
      <c r="AQ270" s="179"/>
      <c r="AR270" s="24"/>
      <c r="AS270" s="179"/>
    </row>
    <row r="271" spans="1:45" ht="30" customHeight="1" x14ac:dyDescent="0.35">
      <c r="A271" s="40">
        <v>2026</v>
      </c>
      <c r="B271" s="59" t="s">
        <v>72</v>
      </c>
      <c r="C271" s="58" t="s">
        <v>727</v>
      </c>
      <c r="D271" s="237" t="s">
        <v>114</v>
      </c>
      <c r="E271" s="105"/>
      <c r="F271" s="58" t="s">
        <v>751</v>
      </c>
      <c r="G271" s="237" t="s">
        <v>121</v>
      </c>
      <c r="H271" s="59" t="s">
        <v>126</v>
      </c>
      <c r="I271" s="65"/>
      <c r="J271" s="237" t="s">
        <v>132</v>
      </c>
      <c r="K271" s="237" t="s">
        <v>3</v>
      </c>
      <c r="L271" s="59" t="s">
        <v>6</v>
      </c>
      <c r="M271" s="58" t="s">
        <v>729</v>
      </c>
      <c r="N271" s="130"/>
      <c r="O271" s="172"/>
      <c r="P271" s="172"/>
      <c r="Q271" s="237" t="s">
        <v>140</v>
      </c>
      <c r="R271" s="78"/>
      <c r="S271" s="78"/>
      <c r="T271" s="58" t="s">
        <v>752</v>
      </c>
      <c r="U271" s="237">
        <v>2026</v>
      </c>
      <c r="V271" s="88">
        <v>46387</v>
      </c>
      <c r="W271" s="78"/>
      <c r="X271" s="88">
        <v>46024</v>
      </c>
      <c r="Y271" s="131">
        <v>125714.16</v>
      </c>
      <c r="Z271" s="131"/>
      <c r="AA271" s="131">
        <f t="shared" si="31"/>
        <v>125714.16</v>
      </c>
      <c r="AB271" s="131"/>
      <c r="AC271" s="131">
        <f t="shared" si="32"/>
        <v>125714.16</v>
      </c>
      <c r="AD271" s="131">
        <f t="shared" si="33"/>
        <v>125714.16</v>
      </c>
      <c r="AE271" s="173" t="s">
        <v>102</v>
      </c>
      <c r="AF271" s="173"/>
      <c r="AG271" s="173"/>
      <c r="AH271" s="174"/>
      <c r="AI271" s="175"/>
      <c r="AJ271" s="174"/>
      <c r="AK271" s="176"/>
      <c r="AL271" s="174"/>
      <c r="AM271" s="177" t="s">
        <v>204</v>
      </c>
      <c r="AN271" s="243" t="s">
        <v>178</v>
      </c>
      <c r="AO271" s="178"/>
      <c r="AP271" s="179"/>
      <c r="AQ271" s="179"/>
      <c r="AR271" s="24"/>
      <c r="AS271" s="179"/>
    </row>
    <row r="272" spans="1:45" ht="30" customHeight="1" x14ac:dyDescent="0.35">
      <c r="A272" s="40">
        <v>2026</v>
      </c>
      <c r="B272" s="59" t="s">
        <v>72</v>
      </c>
      <c r="C272" s="58" t="s">
        <v>727</v>
      </c>
      <c r="D272" s="237" t="s">
        <v>114</v>
      </c>
      <c r="E272" s="180"/>
      <c r="F272" s="58" t="s">
        <v>753</v>
      </c>
      <c r="G272" s="237" t="s">
        <v>121</v>
      </c>
      <c r="H272" s="59" t="s">
        <v>126</v>
      </c>
      <c r="I272" s="65"/>
      <c r="J272" s="237" t="s">
        <v>132</v>
      </c>
      <c r="K272" s="237" t="s">
        <v>3</v>
      </c>
      <c r="L272" s="59" t="s">
        <v>6</v>
      </c>
      <c r="M272" s="58" t="s">
        <v>729</v>
      </c>
      <c r="N272" s="130"/>
      <c r="O272" s="172"/>
      <c r="P272" s="172"/>
      <c r="Q272" s="237" t="s">
        <v>140</v>
      </c>
      <c r="R272" s="78"/>
      <c r="S272" s="78"/>
      <c r="T272" s="58" t="s">
        <v>754</v>
      </c>
      <c r="U272" s="237">
        <v>2026</v>
      </c>
      <c r="V272" s="88">
        <v>46387</v>
      </c>
      <c r="W272" s="78"/>
      <c r="X272" s="88">
        <v>46024</v>
      </c>
      <c r="Y272" s="131">
        <v>111428.46</v>
      </c>
      <c r="Z272" s="131"/>
      <c r="AA272" s="131">
        <f t="shared" si="31"/>
        <v>111428.46</v>
      </c>
      <c r="AB272" s="131"/>
      <c r="AC272" s="131">
        <f t="shared" si="32"/>
        <v>111428.46</v>
      </c>
      <c r="AD272" s="131">
        <f t="shared" si="33"/>
        <v>111428.46</v>
      </c>
      <c r="AE272" s="173" t="s">
        <v>102</v>
      </c>
      <c r="AF272" s="173"/>
      <c r="AG272" s="173"/>
      <c r="AH272" s="174"/>
      <c r="AI272" s="175"/>
      <c r="AJ272" s="174"/>
      <c r="AK272" s="176"/>
      <c r="AL272" s="174"/>
      <c r="AM272" s="177" t="s">
        <v>204</v>
      </c>
      <c r="AN272" s="243" t="s">
        <v>178</v>
      </c>
      <c r="AO272" s="178"/>
      <c r="AP272" s="179"/>
      <c r="AQ272" s="179"/>
      <c r="AR272" s="24"/>
      <c r="AS272" s="179"/>
    </row>
    <row r="273" spans="1:45" ht="30" customHeight="1" x14ac:dyDescent="0.35">
      <c r="A273" s="40">
        <v>2026</v>
      </c>
      <c r="B273" s="59" t="s">
        <v>72</v>
      </c>
      <c r="C273" s="58" t="s">
        <v>727</v>
      </c>
      <c r="D273" s="237" t="s">
        <v>114</v>
      </c>
      <c r="E273" s="105"/>
      <c r="F273" s="58" t="s">
        <v>755</v>
      </c>
      <c r="G273" s="237" t="s">
        <v>121</v>
      </c>
      <c r="H273" s="59" t="s">
        <v>126</v>
      </c>
      <c r="I273" s="65"/>
      <c r="J273" s="237" t="s">
        <v>132</v>
      </c>
      <c r="K273" s="237" t="s">
        <v>3</v>
      </c>
      <c r="L273" s="59" t="s">
        <v>6</v>
      </c>
      <c r="M273" s="58" t="s">
        <v>729</v>
      </c>
      <c r="N273" s="130"/>
      <c r="O273" s="172"/>
      <c r="P273" s="172"/>
      <c r="Q273" s="237" t="s">
        <v>140</v>
      </c>
      <c r="R273" s="78"/>
      <c r="S273" s="78"/>
      <c r="T273" s="58" t="s">
        <v>756</v>
      </c>
      <c r="U273" s="237">
        <v>2026</v>
      </c>
      <c r="V273" s="88">
        <v>46387</v>
      </c>
      <c r="W273" s="78"/>
      <c r="X273" s="88">
        <v>46024</v>
      </c>
      <c r="Y273" s="131">
        <v>42857.1</v>
      </c>
      <c r="Z273" s="131"/>
      <c r="AA273" s="131">
        <f t="shared" si="31"/>
        <v>42857.1</v>
      </c>
      <c r="AB273" s="131"/>
      <c r="AC273" s="131">
        <f t="shared" si="32"/>
        <v>42857.1</v>
      </c>
      <c r="AD273" s="131">
        <f t="shared" si="33"/>
        <v>42857.1</v>
      </c>
      <c r="AE273" s="173" t="s">
        <v>102</v>
      </c>
      <c r="AF273" s="173"/>
      <c r="AG273" s="173"/>
      <c r="AH273" s="174"/>
      <c r="AI273" s="175"/>
      <c r="AJ273" s="174"/>
      <c r="AK273" s="176"/>
      <c r="AL273" s="174"/>
      <c r="AM273" s="177" t="s">
        <v>204</v>
      </c>
      <c r="AN273" s="243" t="s">
        <v>178</v>
      </c>
      <c r="AO273" s="178"/>
      <c r="AP273" s="179"/>
      <c r="AQ273" s="179"/>
      <c r="AR273" s="24"/>
      <c r="AS273" s="179"/>
    </row>
    <row r="274" spans="1:45" ht="30" customHeight="1" x14ac:dyDescent="0.35">
      <c r="A274" s="40">
        <v>2026</v>
      </c>
      <c r="B274" s="59" t="s">
        <v>72</v>
      </c>
      <c r="C274" s="58" t="s">
        <v>727</v>
      </c>
      <c r="D274" s="237" t="s">
        <v>114</v>
      </c>
      <c r="E274" s="105"/>
      <c r="F274" s="58" t="s">
        <v>757</v>
      </c>
      <c r="G274" s="237" t="s">
        <v>121</v>
      </c>
      <c r="H274" s="59" t="s">
        <v>126</v>
      </c>
      <c r="I274" s="65"/>
      <c r="J274" s="237" t="s">
        <v>132</v>
      </c>
      <c r="K274" s="237" t="s">
        <v>3</v>
      </c>
      <c r="L274" s="59" t="s">
        <v>6</v>
      </c>
      <c r="M274" s="58" t="s">
        <v>729</v>
      </c>
      <c r="N274" s="130"/>
      <c r="O274" s="172"/>
      <c r="P274" s="172"/>
      <c r="Q274" s="237" t="s">
        <v>140</v>
      </c>
      <c r="R274" s="78"/>
      <c r="S274" s="78"/>
      <c r="T274" s="58" t="s">
        <v>758</v>
      </c>
      <c r="U274" s="237">
        <v>2026</v>
      </c>
      <c r="V274" s="88">
        <v>46387</v>
      </c>
      <c r="W274" s="78"/>
      <c r="X274" s="88">
        <v>46024</v>
      </c>
      <c r="Y274" s="131">
        <v>57142.8</v>
      </c>
      <c r="Z274" s="131"/>
      <c r="AA274" s="131">
        <f t="shared" si="31"/>
        <v>57142.8</v>
      </c>
      <c r="AB274" s="131"/>
      <c r="AC274" s="131">
        <f t="shared" si="32"/>
        <v>57142.8</v>
      </c>
      <c r="AD274" s="131">
        <f t="shared" si="33"/>
        <v>57142.8</v>
      </c>
      <c r="AE274" s="173" t="s">
        <v>102</v>
      </c>
      <c r="AF274" s="173"/>
      <c r="AG274" s="173"/>
      <c r="AH274" s="174"/>
      <c r="AI274" s="175"/>
      <c r="AJ274" s="174"/>
      <c r="AK274" s="176"/>
      <c r="AL274" s="174"/>
      <c r="AM274" s="177" t="s">
        <v>204</v>
      </c>
      <c r="AN274" s="243" t="s">
        <v>178</v>
      </c>
      <c r="AO274" s="178"/>
      <c r="AP274" s="179"/>
      <c r="AQ274" s="179"/>
      <c r="AR274" s="24"/>
      <c r="AS274" s="179"/>
    </row>
    <row r="275" spans="1:45" ht="30" customHeight="1" x14ac:dyDescent="0.35">
      <c r="A275" s="40">
        <v>2026</v>
      </c>
      <c r="B275" s="59" t="s">
        <v>72</v>
      </c>
      <c r="C275" s="58" t="s">
        <v>727</v>
      </c>
      <c r="D275" s="237" t="s">
        <v>114</v>
      </c>
      <c r="E275" s="180"/>
      <c r="F275" s="58" t="s">
        <v>759</v>
      </c>
      <c r="G275" s="237" t="s">
        <v>121</v>
      </c>
      <c r="H275" s="59" t="s">
        <v>126</v>
      </c>
      <c r="I275" s="65"/>
      <c r="J275" s="237" t="s">
        <v>132</v>
      </c>
      <c r="K275" s="237" t="s">
        <v>3</v>
      </c>
      <c r="L275" s="59" t="s">
        <v>6</v>
      </c>
      <c r="M275" s="58" t="s">
        <v>729</v>
      </c>
      <c r="N275" s="130"/>
      <c r="O275" s="172"/>
      <c r="P275" s="172"/>
      <c r="Q275" s="237" t="s">
        <v>140</v>
      </c>
      <c r="R275" s="78"/>
      <c r="S275" s="78"/>
      <c r="T275" s="58" t="s">
        <v>760</v>
      </c>
      <c r="U275" s="237">
        <v>2026</v>
      </c>
      <c r="V275" s="88">
        <v>46387</v>
      </c>
      <c r="W275" s="78"/>
      <c r="X275" s="88">
        <v>46024</v>
      </c>
      <c r="Y275" s="131">
        <v>142857</v>
      </c>
      <c r="Z275" s="131"/>
      <c r="AA275" s="131">
        <f t="shared" si="31"/>
        <v>142857</v>
      </c>
      <c r="AB275" s="131"/>
      <c r="AC275" s="131">
        <f t="shared" si="32"/>
        <v>142857</v>
      </c>
      <c r="AD275" s="131">
        <f t="shared" si="33"/>
        <v>142857</v>
      </c>
      <c r="AE275" s="173" t="s">
        <v>102</v>
      </c>
      <c r="AF275" s="173"/>
      <c r="AG275" s="173"/>
      <c r="AH275" s="174"/>
      <c r="AI275" s="175"/>
      <c r="AJ275" s="174"/>
      <c r="AK275" s="176"/>
      <c r="AL275" s="174"/>
      <c r="AM275" s="177" t="s">
        <v>204</v>
      </c>
      <c r="AN275" s="243" t="s">
        <v>178</v>
      </c>
      <c r="AO275" s="178"/>
      <c r="AP275" s="179"/>
      <c r="AQ275" s="179"/>
      <c r="AR275" s="24"/>
      <c r="AS275" s="179"/>
    </row>
    <row r="276" spans="1:45" ht="30" customHeight="1" x14ac:dyDescent="0.35">
      <c r="A276" s="40">
        <v>2026</v>
      </c>
      <c r="B276" s="59" t="s">
        <v>72</v>
      </c>
      <c r="C276" s="58" t="s">
        <v>727</v>
      </c>
      <c r="D276" s="237" t="s">
        <v>114</v>
      </c>
      <c r="E276" s="180"/>
      <c r="F276" s="58" t="s">
        <v>761</v>
      </c>
      <c r="G276" s="237" t="s">
        <v>121</v>
      </c>
      <c r="H276" s="59" t="s">
        <v>126</v>
      </c>
      <c r="I276" s="65"/>
      <c r="J276" s="237" t="s">
        <v>132</v>
      </c>
      <c r="K276" s="237" t="s">
        <v>3</v>
      </c>
      <c r="L276" s="59" t="s">
        <v>6</v>
      </c>
      <c r="M276" s="58" t="s">
        <v>729</v>
      </c>
      <c r="N276" s="130"/>
      <c r="O276" s="172"/>
      <c r="P276" s="172"/>
      <c r="Q276" s="237" t="s">
        <v>140</v>
      </c>
      <c r="R276" s="78"/>
      <c r="S276" s="78"/>
      <c r="T276" s="58" t="s">
        <v>694</v>
      </c>
      <c r="U276" s="237">
        <v>2026</v>
      </c>
      <c r="V276" s="88">
        <v>46387</v>
      </c>
      <c r="W276" s="78"/>
      <c r="X276" s="88">
        <v>46024</v>
      </c>
      <c r="Y276" s="131">
        <v>99000</v>
      </c>
      <c r="Z276" s="131"/>
      <c r="AA276" s="131">
        <f t="shared" si="31"/>
        <v>99000</v>
      </c>
      <c r="AB276" s="131"/>
      <c r="AC276" s="131">
        <f t="shared" si="32"/>
        <v>99000</v>
      </c>
      <c r="AD276" s="131">
        <f t="shared" si="33"/>
        <v>99000</v>
      </c>
      <c r="AE276" s="173" t="s">
        <v>102</v>
      </c>
      <c r="AF276" s="173"/>
      <c r="AG276" s="173"/>
      <c r="AH276" s="174"/>
      <c r="AI276" s="175"/>
      <c r="AJ276" s="174"/>
      <c r="AK276" s="176"/>
      <c r="AL276" s="174"/>
      <c r="AM276" s="177" t="s">
        <v>204</v>
      </c>
      <c r="AN276" s="243" t="s">
        <v>178</v>
      </c>
      <c r="AO276" s="178"/>
      <c r="AP276" s="179"/>
      <c r="AQ276" s="179"/>
      <c r="AR276" s="24"/>
      <c r="AS276" s="179"/>
    </row>
    <row r="277" spans="1:45" ht="30" customHeight="1" x14ac:dyDescent="0.35">
      <c r="A277" s="40">
        <v>2026</v>
      </c>
      <c r="B277" s="59" t="s">
        <v>72</v>
      </c>
      <c r="C277" s="58" t="s">
        <v>727</v>
      </c>
      <c r="D277" s="237" t="s">
        <v>114</v>
      </c>
      <c r="E277" s="180"/>
      <c r="F277" s="58" t="s">
        <v>762</v>
      </c>
      <c r="G277" s="237" t="s">
        <v>121</v>
      </c>
      <c r="H277" s="59" t="s">
        <v>126</v>
      </c>
      <c r="I277" s="65"/>
      <c r="J277" s="237" t="s">
        <v>132</v>
      </c>
      <c r="K277" s="237" t="s">
        <v>3</v>
      </c>
      <c r="L277" s="59" t="s">
        <v>6</v>
      </c>
      <c r="M277" s="58" t="s">
        <v>729</v>
      </c>
      <c r="N277" s="130"/>
      <c r="O277" s="172"/>
      <c r="P277" s="172"/>
      <c r="Q277" s="237" t="s">
        <v>140</v>
      </c>
      <c r="R277" s="78"/>
      <c r="S277" s="78"/>
      <c r="T277" s="58" t="s">
        <v>763</v>
      </c>
      <c r="U277" s="237">
        <v>2026</v>
      </c>
      <c r="V277" s="88">
        <v>46387</v>
      </c>
      <c r="W277" s="78"/>
      <c r="X277" s="88">
        <v>46024</v>
      </c>
      <c r="Y277" s="131">
        <v>99000</v>
      </c>
      <c r="Z277" s="131"/>
      <c r="AA277" s="131">
        <f t="shared" si="31"/>
        <v>99000</v>
      </c>
      <c r="AB277" s="131"/>
      <c r="AC277" s="131">
        <f t="shared" si="32"/>
        <v>99000</v>
      </c>
      <c r="AD277" s="131">
        <f t="shared" si="33"/>
        <v>99000</v>
      </c>
      <c r="AE277" s="173" t="s">
        <v>102</v>
      </c>
      <c r="AF277" s="173"/>
      <c r="AG277" s="173"/>
      <c r="AH277" s="174"/>
      <c r="AI277" s="175"/>
      <c r="AJ277" s="174"/>
      <c r="AK277" s="176"/>
      <c r="AL277" s="174"/>
      <c r="AM277" s="177" t="s">
        <v>204</v>
      </c>
      <c r="AN277" s="243" t="s">
        <v>178</v>
      </c>
      <c r="AO277" s="178"/>
      <c r="AP277" s="179"/>
      <c r="AQ277" s="179"/>
      <c r="AR277" s="24"/>
      <c r="AS277" s="179"/>
    </row>
    <row r="278" spans="1:45" ht="30" customHeight="1" x14ac:dyDescent="0.35">
      <c r="A278" s="40">
        <v>2026</v>
      </c>
      <c r="B278" s="59" t="s">
        <v>72</v>
      </c>
      <c r="C278" s="58" t="s">
        <v>727</v>
      </c>
      <c r="D278" s="237" t="s">
        <v>114</v>
      </c>
      <c r="E278" s="105"/>
      <c r="F278" s="58" t="s">
        <v>764</v>
      </c>
      <c r="G278" s="237" t="s">
        <v>121</v>
      </c>
      <c r="H278" s="59" t="s">
        <v>126</v>
      </c>
      <c r="I278" s="65"/>
      <c r="J278" s="237" t="s">
        <v>132</v>
      </c>
      <c r="K278" s="237" t="s">
        <v>3</v>
      </c>
      <c r="L278" s="59" t="s">
        <v>6</v>
      </c>
      <c r="M278" s="58" t="s">
        <v>729</v>
      </c>
      <c r="N278" s="130"/>
      <c r="O278" s="172"/>
      <c r="P278" s="172"/>
      <c r="Q278" s="237" t="s">
        <v>140</v>
      </c>
      <c r="R278" s="78"/>
      <c r="S278" s="78"/>
      <c r="T278" s="58" t="s">
        <v>765</v>
      </c>
      <c r="U278" s="237">
        <v>2026</v>
      </c>
      <c r="V278" s="88">
        <v>46387</v>
      </c>
      <c r="W278" s="78"/>
      <c r="X278" s="88">
        <v>46024</v>
      </c>
      <c r="Y278" s="131">
        <v>146571.35999999999</v>
      </c>
      <c r="Z278" s="131"/>
      <c r="AA278" s="131">
        <f t="shared" si="31"/>
        <v>146571.35999999999</v>
      </c>
      <c r="AB278" s="131"/>
      <c r="AC278" s="131">
        <f t="shared" si="32"/>
        <v>146571.35999999999</v>
      </c>
      <c r="AD278" s="131">
        <f t="shared" si="33"/>
        <v>146571.35999999999</v>
      </c>
      <c r="AE278" s="173" t="s">
        <v>102</v>
      </c>
      <c r="AF278" s="173"/>
      <c r="AG278" s="173"/>
      <c r="AH278" s="174"/>
      <c r="AI278" s="175"/>
      <c r="AJ278" s="174"/>
      <c r="AK278" s="176"/>
      <c r="AL278" s="174"/>
      <c r="AM278" s="177" t="s">
        <v>204</v>
      </c>
      <c r="AN278" s="243" t="s">
        <v>178</v>
      </c>
      <c r="AO278" s="178"/>
      <c r="AP278" s="179"/>
      <c r="AQ278" s="179"/>
      <c r="AR278" s="24"/>
      <c r="AS278" s="179"/>
    </row>
    <row r="279" spans="1:45" ht="30" customHeight="1" x14ac:dyDescent="0.35">
      <c r="A279" s="40">
        <v>2026</v>
      </c>
      <c r="B279" s="59" t="s">
        <v>72</v>
      </c>
      <c r="C279" s="58" t="s">
        <v>727</v>
      </c>
      <c r="D279" s="237" t="s">
        <v>114</v>
      </c>
      <c r="E279" s="180"/>
      <c r="F279" s="58" t="s">
        <v>766</v>
      </c>
      <c r="G279" s="237" t="s">
        <v>121</v>
      </c>
      <c r="H279" s="59" t="s">
        <v>126</v>
      </c>
      <c r="I279" s="65"/>
      <c r="J279" s="237" t="s">
        <v>132</v>
      </c>
      <c r="K279" s="237" t="s">
        <v>3</v>
      </c>
      <c r="L279" s="59" t="s">
        <v>6</v>
      </c>
      <c r="M279" s="58" t="s">
        <v>729</v>
      </c>
      <c r="N279" s="130"/>
      <c r="O279" s="172"/>
      <c r="P279" s="172"/>
      <c r="Q279" s="237" t="s">
        <v>140</v>
      </c>
      <c r="R279" s="78"/>
      <c r="S279" s="78"/>
      <c r="T279" s="58" t="s">
        <v>767</v>
      </c>
      <c r="U279" s="237">
        <v>2026</v>
      </c>
      <c r="V279" s="88">
        <v>46387</v>
      </c>
      <c r="W279" s="78"/>
      <c r="X279" s="88">
        <v>46024</v>
      </c>
      <c r="Y279" s="131">
        <v>12000</v>
      </c>
      <c r="Z279" s="131"/>
      <c r="AA279" s="131">
        <f t="shared" si="31"/>
        <v>12000</v>
      </c>
      <c r="AB279" s="131"/>
      <c r="AC279" s="131">
        <f t="shared" si="32"/>
        <v>12000</v>
      </c>
      <c r="AD279" s="131">
        <f t="shared" si="33"/>
        <v>12000</v>
      </c>
      <c r="AE279" s="173" t="s">
        <v>102</v>
      </c>
      <c r="AF279" s="173"/>
      <c r="AG279" s="173"/>
      <c r="AH279" s="174"/>
      <c r="AI279" s="175"/>
      <c r="AJ279" s="174"/>
      <c r="AK279" s="176"/>
      <c r="AL279" s="174"/>
      <c r="AM279" s="177" t="s">
        <v>204</v>
      </c>
      <c r="AN279" s="243" t="s">
        <v>178</v>
      </c>
      <c r="AO279" s="178"/>
      <c r="AP279" s="179"/>
      <c r="AQ279" s="179"/>
      <c r="AR279" s="24"/>
      <c r="AS279" s="179"/>
    </row>
    <row r="280" spans="1:45" ht="30" customHeight="1" x14ac:dyDescent="0.35">
      <c r="A280" s="40">
        <v>2026</v>
      </c>
      <c r="B280" s="59" t="s">
        <v>72</v>
      </c>
      <c r="C280" s="58" t="s">
        <v>727</v>
      </c>
      <c r="D280" s="237" t="s">
        <v>114</v>
      </c>
      <c r="E280" s="105"/>
      <c r="F280" s="58" t="s">
        <v>768</v>
      </c>
      <c r="G280" s="237" t="s">
        <v>121</v>
      </c>
      <c r="H280" s="59" t="s">
        <v>126</v>
      </c>
      <c r="I280" s="65"/>
      <c r="J280" s="237" t="s">
        <v>132</v>
      </c>
      <c r="K280" s="237" t="s">
        <v>3</v>
      </c>
      <c r="L280" s="59" t="s">
        <v>6</v>
      </c>
      <c r="M280" s="58" t="s">
        <v>729</v>
      </c>
      <c r="N280" s="130"/>
      <c r="O280" s="172"/>
      <c r="P280" s="172"/>
      <c r="Q280" s="237" t="s">
        <v>140</v>
      </c>
      <c r="R280" s="78"/>
      <c r="S280" s="78"/>
      <c r="T280" s="58" t="s">
        <v>769</v>
      </c>
      <c r="U280" s="237">
        <v>2026</v>
      </c>
      <c r="V280" s="88">
        <v>46387</v>
      </c>
      <c r="W280" s="78"/>
      <c r="X280" s="88">
        <v>46024</v>
      </c>
      <c r="Y280" s="131">
        <v>185280</v>
      </c>
      <c r="Z280" s="131"/>
      <c r="AA280" s="131">
        <f t="shared" si="31"/>
        <v>185280</v>
      </c>
      <c r="AB280" s="131"/>
      <c r="AC280" s="131">
        <f t="shared" si="32"/>
        <v>185280</v>
      </c>
      <c r="AD280" s="131">
        <f t="shared" si="33"/>
        <v>185280</v>
      </c>
      <c r="AE280" s="173" t="s">
        <v>102</v>
      </c>
      <c r="AF280" s="173"/>
      <c r="AG280" s="173"/>
      <c r="AH280" s="174"/>
      <c r="AI280" s="175"/>
      <c r="AJ280" s="174"/>
      <c r="AK280" s="176"/>
      <c r="AL280" s="174"/>
      <c r="AM280" s="177" t="s">
        <v>204</v>
      </c>
      <c r="AN280" s="243" t="s">
        <v>178</v>
      </c>
      <c r="AO280" s="178"/>
      <c r="AP280" s="179"/>
      <c r="AQ280" s="179"/>
      <c r="AR280" s="24"/>
      <c r="AS280" s="179"/>
    </row>
    <row r="281" spans="1:45" ht="30" customHeight="1" x14ac:dyDescent="0.35">
      <c r="A281" s="40">
        <v>2026</v>
      </c>
      <c r="B281" s="59" t="s">
        <v>72</v>
      </c>
      <c r="C281" s="58" t="s">
        <v>727</v>
      </c>
      <c r="D281" s="237" t="s">
        <v>114</v>
      </c>
      <c r="E281" s="180"/>
      <c r="F281" s="58" t="s">
        <v>770</v>
      </c>
      <c r="G281" s="237" t="s">
        <v>121</v>
      </c>
      <c r="H281" s="59" t="s">
        <v>126</v>
      </c>
      <c r="I281" s="65"/>
      <c r="J281" s="237" t="s">
        <v>132</v>
      </c>
      <c r="K281" s="237" t="s">
        <v>3</v>
      </c>
      <c r="L281" s="59" t="s">
        <v>6</v>
      </c>
      <c r="M281" s="58" t="s">
        <v>729</v>
      </c>
      <c r="N281" s="130"/>
      <c r="O281" s="172"/>
      <c r="P281" s="172"/>
      <c r="Q281" s="237" t="s">
        <v>140</v>
      </c>
      <c r="R281" s="78"/>
      <c r="S281" s="78"/>
      <c r="T281" s="58" t="s">
        <v>771</v>
      </c>
      <c r="U281" s="237">
        <v>2026</v>
      </c>
      <c r="V281" s="88">
        <v>46387</v>
      </c>
      <c r="W281" s="78"/>
      <c r="X281" s="88">
        <v>46024</v>
      </c>
      <c r="Y281" s="131">
        <v>138000</v>
      </c>
      <c r="Z281" s="131"/>
      <c r="AA281" s="131">
        <f t="shared" si="31"/>
        <v>138000</v>
      </c>
      <c r="AB281" s="131"/>
      <c r="AC281" s="131">
        <f t="shared" si="32"/>
        <v>138000</v>
      </c>
      <c r="AD281" s="131">
        <f t="shared" si="33"/>
        <v>138000</v>
      </c>
      <c r="AE281" s="173" t="s">
        <v>102</v>
      </c>
      <c r="AF281" s="173"/>
      <c r="AG281" s="173"/>
      <c r="AH281" s="174"/>
      <c r="AI281" s="175"/>
      <c r="AJ281" s="174"/>
      <c r="AK281" s="176"/>
      <c r="AL281" s="174"/>
      <c r="AM281" s="177" t="s">
        <v>204</v>
      </c>
      <c r="AN281" s="243" t="s">
        <v>178</v>
      </c>
      <c r="AO281" s="178"/>
      <c r="AP281" s="179"/>
      <c r="AQ281" s="179"/>
      <c r="AR281" s="24"/>
      <c r="AS281" s="179"/>
    </row>
    <row r="282" spans="1:45" ht="30" customHeight="1" x14ac:dyDescent="0.35">
      <c r="A282" s="40">
        <v>2026</v>
      </c>
      <c r="B282" s="59" t="s">
        <v>72</v>
      </c>
      <c r="C282" s="58" t="s">
        <v>727</v>
      </c>
      <c r="D282" s="237" t="s">
        <v>114</v>
      </c>
      <c r="E282" s="105"/>
      <c r="F282" s="58" t="s">
        <v>772</v>
      </c>
      <c r="G282" s="237" t="s">
        <v>121</v>
      </c>
      <c r="H282" s="59" t="s">
        <v>126</v>
      </c>
      <c r="I282" s="65"/>
      <c r="J282" s="237" t="s">
        <v>132</v>
      </c>
      <c r="K282" s="237" t="s">
        <v>3</v>
      </c>
      <c r="L282" s="59" t="s">
        <v>6</v>
      </c>
      <c r="M282" s="58" t="s">
        <v>729</v>
      </c>
      <c r="N282" s="130"/>
      <c r="O282" s="172"/>
      <c r="P282" s="172"/>
      <c r="Q282" s="237" t="s">
        <v>140</v>
      </c>
      <c r="R282" s="78"/>
      <c r="S282" s="78"/>
      <c r="T282" s="58" t="s">
        <v>773</v>
      </c>
      <c r="U282" s="237">
        <v>2026</v>
      </c>
      <c r="V282" s="88">
        <v>46387</v>
      </c>
      <c r="W282" s="78"/>
      <c r="X282" s="88">
        <v>46024</v>
      </c>
      <c r="Y282" s="131">
        <v>60000</v>
      </c>
      <c r="Z282" s="131"/>
      <c r="AA282" s="131">
        <f t="shared" si="31"/>
        <v>60000</v>
      </c>
      <c r="AB282" s="131"/>
      <c r="AC282" s="131">
        <f t="shared" si="32"/>
        <v>60000</v>
      </c>
      <c r="AD282" s="131">
        <f t="shared" si="33"/>
        <v>60000</v>
      </c>
      <c r="AE282" s="173" t="s">
        <v>102</v>
      </c>
      <c r="AF282" s="173"/>
      <c r="AG282" s="173"/>
      <c r="AH282" s="174"/>
      <c r="AI282" s="175"/>
      <c r="AJ282" s="174"/>
      <c r="AK282" s="176"/>
      <c r="AL282" s="174"/>
      <c r="AM282" s="177" t="s">
        <v>204</v>
      </c>
      <c r="AN282" s="243" t="s">
        <v>178</v>
      </c>
      <c r="AO282" s="178"/>
      <c r="AP282" s="179"/>
      <c r="AQ282" s="179"/>
      <c r="AR282" s="24"/>
      <c r="AS282" s="179"/>
    </row>
    <row r="283" spans="1:45" ht="30" customHeight="1" x14ac:dyDescent="0.35">
      <c r="A283" s="40">
        <v>2026</v>
      </c>
      <c r="B283" s="59" t="s">
        <v>72</v>
      </c>
      <c r="C283" s="58" t="s">
        <v>727</v>
      </c>
      <c r="D283" s="237" t="s">
        <v>114</v>
      </c>
      <c r="E283" s="105"/>
      <c r="F283" s="58" t="s">
        <v>774</v>
      </c>
      <c r="G283" s="237" t="s">
        <v>121</v>
      </c>
      <c r="H283" s="59" t="s">
        <v>126</v>
      </c>
      <c r="I283" s="65"/>
      <c r="J283" s="237" t="s">
        <v>132</v>
      </c>
      <c r="K283" s="237" t="s">
        <v>3</v>
      </c>
      <c r="L283" s="59" t="s">
        <v>6</v>
      </c>
      <c r="M283" s="58" t="s">
        <v>729</v>
      </c>
      <c r="N283" s="130"/>
      <c r="O283" s="172"/>
      <c r="P283" s="172"/>
      <c r="Q283" s="237" t="s">
        <v>140</v>
      </c>
      <c r="R283" s="78"/>
      <c r="S283" s="78"/>
      <c r="T283" s="58" t="s">
        <v>775</v>
      </c>
      <c r="U283" s="237">
        <v>2026</v>
      </c>
      <c r="V283" s="88">
        <v>46387</v>
      </c>
      <c r="W283" s="78"/>
      <c r="X283" s="88">
        <v>46024</v>
      </c>
      <c r="Y283" s="131">
        <v>54000</v>
      </c>
      <c r="Z283" s="131"/>
      <c r="AA283" s="131">
        <f t="shared" si="31"/>
        <v>54000</v>
      </c>
      <c r="AB283" s="131"/>
      <c r="AC283" s="131">
        <f t="shared" si="32"/>
        <v>54000</v>
      </c>
      <c r="AD283" s="131">
        <f t="shared" si="33"/>
        <v>54000</v>
      </c>
      <c r="AE283" s="173" t="s">
        <v>102</v>
      </c>
      <c r="AF283" s="173"/>
      <c r="AG283" s="173"/>
      <c r="AH283" s="174"/>
      <c r="AI283" s="175"/>
      <c r="AJ283" s="174"/>
      <c r="AK283" s="176"/>
      <c r="AL283" s="174"/>
      <c r="AM283" s="177" t="s">
        <v>204</v>
      </c>
      <c r="AN283" s="243" t="s">
        <v>178</v>
      </c>
      <c r="AO283" s="178"/>
      <c r="AP283" s="179"/>
      <c r="AQ283" s="179"/>
      <c r="AR283" s="24"/>
      <c r="AS283" s="179"/>
    </row>
    <row r="284" spans="1:45" ht="30" customHeight="1" x14ac:dyDescent="0.35">
      <c r="A284" s="40">
        <v>2026</v>
      </c>
      <c r="B284" s="59" t="s">
        <v>72</v>
      </c>
      <c r="C284" s="58" t="s">
        <v>727</v>
      </c>
      <c r="D284" s="237" t="s">
        <v>114</v>
      </c>
      <c r="E284" s="180"/>
      <c r="F284" s="58" t="s">
        <v>776</v>
      </c>
      <c r="G284" s="237" t="s">
        <v>121</v>
      </c>
      <c r="H284" s="59" t="s">
        <v>126</v>
      </c>
      <c r="I284" s="65"/>
      <c r="J284" s="237" t="s">
        <v>132</v>
      </c>
      <c r="K284" s="237" t="s">
        <v>3</v>
      </c>
      <c r="L284" s="59" t="s">
        <v>6</v>
      </c>
      <c r="M284" s="58" t="s">
        <v>729</v>
      </c>
      <c r="N284" s="130"/>
      <c r="O284" s="172"/>
      <c r="P284" s="172"/>
      <c r="Q284" s="237" t="s">
        <v>140</v>
      </c>
      <c r="R284" s="78"/>
      <c r="S284" s="78"/>
      <c r="T284" s="58" t="s">
        <v>777</v>
      </c>
      <c r="U284" s="237">
        <v>2026</v>
      </c>
      <c r="V284" s="88">
        <v>46387</v>
      </c>
      <c r="W284" s="78"/>
      <c r="X284" s="88">
        <v>46024</v>
      </c>
      <c r="Y284" s="131">
        <v>60000</v>
      </c>
      <c r="Z284" s="131"/>
      <c r="AA284" s="131">
        <f t="shared" si="31"/>
        <v>60000</v>
      </c>
      <c r="AB284" s="131"/>
      <c r="AC284" s="131">
        <f t="shared" si="32"/>
        <v>60000</v>
      </c>
      <c r="AD284" s="131">
        <f t="shared" si="33"/>
        <v>60000</v>
      </c>
      <c r="AE284" s="173" t="s">
        <v>102</v>
      </c>
      <c r="AF284" s="173"/>
      <c r="AG284" s="173"/>
      <c r="AH284" s="174"/>
      <c r="AI284" s="175"/>
      <c r="AJ284" s="174"/>
      <c r="AK284" s="176"/>
      <c r="AL284" s="174"/>
      <c r="AM284" s="177" t="s">
        <v>204</v>
      </c>
      <c r="AN284" s="243" t="s">
        <v>178</v>
      </c>
      <c r="AO284" s="178"/>
      <c r="AP284" s="179"/>
      <c r="AQ284" s="179"/>
      <c r="AR284" s="24"/>
      <c r="AS284" s="179"/>
    </row>
    <row r="285" spans="1:45" ht="30" customHeight="1" x14ac:dyDescent="0.35">
      <c r="A285" s="40">
        <v>2026</v>
      </c>
      <c r="B285" s="59" t="s">
        <v>72</v>
      </c>
      <c r="C285" s="58" t="s">
        <v>727</v>
      </c>
      <c r="D285" s="237" t="s">
        <v>114</v>
      </c>
      <c r="E285" s="105"/>
      <c r="F285" s="58" t="s">
        <v>778</v>
      </c>
      <c r="G285" s="237" t="s">
        <v>121</v>
      </c>
      <c r="H285" s="59" t="s">
        <v>126</v>
      </c>
      <c r="I285" s="65"/>
      <c r="J285" s="237" t="s">
        <v>132</v>
      </c>
      <c r="K285" s="237" t="s">
        <v>3</v>
      </c>
      <c r="L285" s="59" t="s">
        <v>6</v>
      </c>
      <c r="M285" s="58" t="s">
        <v>729</v>
      </c>
      <c r="N285" s="130"/>
      <c r="O285" s="172"/>
      <c r="P285" s="172"/>
      <c r="Q285" s="237" t="s">
        <v>140</v>
      </c>
      <c r="R285" s="78"/>
      <c r="S285" s="78"/>
      <c r="T285" s="58" t="s">
        <v>779</v>
      </c>
      <c r="U285" s="237">
        <v>2026</v>
      </c>
      <c r="V285" s="88">
        <v>46387</v>
      </c>
      <c r="W285" s="78"/>
      <c r="X285" s="88">
        <v>46024</v>
      </c>
      <c r="Y285" s="131">
        <v>100000</v>
      </c>
      <c r="Z285" s="131"/>
      <c r="AA285" s="131">
        <f t="shared" si="31"/>
        <v>100000</v>
      </c>
      <c r="AB285" s="131"/>
      <c r="AC285" s="131">
        <f t="shared" si="32"/>
        <v>100000</v>
      </c>
      <c r="AD285" s="131">
        <f t="shared" si="33"/>
        <v>100000</v>
      </c>
      <c r="AE285" s="173" t="s">
        <v>102</v>
      </c>
      <c r="AF285" s="173"/>
      <c r="AG285" s="173"/>
      <c r="AH285" s="174"/>
      <c r="AI285" s="175"/>
      <c r="AJ285" s="174"/>
      <c r="AK285" s="176"/>
      <c r="AL285" s="174"/>
      <c r="AM285" s="177" t="s">
        <v>204</v>
      </c>
      <c r="AN285" s="243" t="s">
        <v>178</v>
      </c>
      <c r="AO285" s="178"/>
      <c r="AP285" s="179"/>
      <c r="AQ285" s="179"/>
      <c r="AR285" s="24"/>
      <c r="AS285" s="179"/>
    </row>
    <row r="286" spans="1:45" ht="30" customHeight="1" x14ac:dyDescent="0.35">
      <c r="A286" s="40">
        <v>2026</v>
      </c>
      <c r="B286" s="59" t="s">
        <v>72</v>
      </c>
      <c r="C286" s="58" t="s">
        <v>727</v>
      </c>
      <c r="D286" s="237" t="s">
        <v>114</v>
      </c>
      <c r="E286" s="180"/>
      <c r="F286" s="58" t="s">
        <v>780</v>
      </c>
      <c r="G286" s="237" t="s">
        <v>121</v>
      </c>
      <c r="H286" s="59" t="s">
        <v>126</v>
      </c>
      <c r="I286" s="65"/>
      <c r="J286" s="237" t="s">
        <v>132</v>
      </c>
      <c r="K286" s="237" t="s">
        <v>3</v>
      </c>
      <c r="L286" s="59" t="s">
        <v>6</v>
      </c>
      <c r="M286" s="58" t="s">
        <v>729</v>
      </c>
      <c r="N286" s="130"/>
      <c r="O286" s="172"/>
      <c r="P286" s="172"/>
      <c r="Q286" s="237" t="s">
        <v>140</v>
      </c>
      <c r="R286" s="78"/>
      <c r="S286" s="78"/>
      <c r="T286" s="58" t="s">
        <v>781</v>
      </c>
      <c r="U286" s="237">
        <v>2026</v>
      </c>
      <c r="V286" s="88">
        <v>46387</v>
      </c>
      <c r="W286" s="78"/>
      <c r="X286" s="88">
        <v>46024</v>
      </c>
      <c r="Y286" s="131">
        <v>26000</v>
      </c>
      <c r="Z286" s="131"/>
      <c r="AA286" s="131">
        <f t="shared" si="31"/>
        <v>26000</v>
      </c>
      <c r="AB286" s="131"/>
      <c r="AC286" s="131">
        <f t="shared" si="32"/>
        <v>26000</v>
      </c>
      <c r="AD286" s="131">
        <f t="shared" si="33"/>
        <v>26000</v>
      </c>
      <c r="AE286" s="173" t="s">
        <v>102</v>
      </c>
      <c r="AF286" s="173"/>
      <c r="AG286" s="173"/>
      <c r="AH286" s="174"/>
      <c r="AI286" s="175"/>
      <c r="AJ286" s="174"/>
      <c r="AK286" s="176"/>
      <c r="AL286" s="174"/>
      <c r="AM286" s="177" t="s">
        <v>204</v>
      </c>
      <c r="AN286" s="243" t="s">
        <v>178</v>
      </c>
      <c r="AO286" s="178"/>
      <c r="AP286" s="179"/>
      <c r="AQ286" s="179"/>
      <c r="AR286" s="24"/>
      <c r="AS286" s="179"/>
    </row>
    <row r="287" spans="1:45" ht="30" customHeight="1" x14ac:dyDescent="0.35">
      <c r="A287" s="40">
        <v>2026</v>
      </c>
      <c r="B287" s="59" t="s">
        <v>72</v>
      </c>
      <c r="C287" s="58" t="s">
        <v>727</v>
      </c>
      <c r="D287" s="237" t="s">
        <v>114</v>
      </c>
      <c r="E287" s="105"/>
      <c r="F287" s="58" t="s">
        <v>782</v>
      </c>
      <c r="G287" s="237" t="s">
        <v>121</v>
      </c>
      <c r="H287" s="59" t="s">
        <v>126</v>
      </c>
      <c r="I287" s="65"/>
      <c r="J287" s="237" t="s">
        <v>132</v>
      </c>
      <c r="K287" s="237" t="s">
        <v>3</v>
      </c>
      <c r="L287" s="59" t="s">
        <v>6</v>
      </c>
      <c r="M287" s="58" t="s">
        <v>729</v>
      </c>
      <c r="N287" s="130"/>
      <c r="O287" s="172"/>
      <c r="P287" s="172"/>
      <c r="Q287" s="237" t="s">
        <v>140</v>
      </c>
      <c r="R287" s="78"/>
      <c r="S287" s="78"/>
      <c r="T287" s="58" t="s">
        <v>783</v>
      </c>
      <c r="U287" s="237">
        <v>2026</v>
      </c>
      <c r="V287" s="88">
        <v>46387</v>
      </c>
      <c r="W287" s="78"/>
      <c r="X287" s="88">
        <v>46024</v>
      </c>
      <c r="Y287" s="131">
        <v>72000</v>
      </c>
      <c r="Z287" s="131"/>
      <c r="AA287" s="131">
        <f t="shared" si="31"/>
        <v>72000</v>
      </c>
      <c r="AB287" s="131"/>
      <c r="AC287" s="131">
        <f t="shared" si="32"/>
        <v>72000</v>
      </c>
      <c r="AD287" s="131">
        <f t="shared" si="33"/>
        <v>72000</v>
      </c>
      <c r="AE287" s="173" t="s">
        <v>102</v>
      </c>
      <c r="AF287" s="173"/>
      <c r="AG287" s="173"/>
      <c r="AH287" s="174"/>
      <c r="AI287" s="175"/>
      <c r="AJ287" s="174"/>
      <c r="AK287" s="176"/>
      <c r="AL287" s="174"/>
      <c r="AM287" s="177" t="s">
        <v>204</v>
      </c>
      <c r="AN287" s="243" t="s">
        <v>178</v>
      </c>
      <c r="AO287" s="178"/>
      <c r="AP287" s="179"/>
      <c r="AQ287" s="179"/>
      <c r="AR287" s="24"/>
      <c r="AS287" s="179"/>
    </row>
    <row r="288" spans="1:45" ht="30" customHeight="1" x14ac:dyDescent="0.35">
      <c r="A288" s="40">
        <v>2026</v>
      </c>
      <c r="B288" s="59" t="s">
        <v>72</v>
      </c>
      <c r="C288" s="58" t="s">
        <v>727</v>
      </c>
      <c r="D288" s="237" t="s">
        <v>114</v>
      </c>
      <c r="E288" s="180"/>
      <c r="F288" s="58" t="s">
        <v>784</v>
      </c>
      <c r="G288" s="237" t="s">
        <v>121</v>
      </c>
      <c r="H288" s="59" t="s">
        <v>126</v>
      </c>
      <c r="I288" s="65"/>
      <c r="J288" s="237" t="s">
        <v>132</v>
      </c>
      <c r="K288" s="237" t="s">
        <v>3</v>
      </c>
      <c r="L288" s="59" t="s">
        <v>6</v>
      </c>
      <c r="M288" s="58" t="s">
        <v>729</v>
      </c>
      <c r="N288" s="130"/>
      <c r="O288" s="172"/>
      <c r="P288" s="172"/>
      <c r="Q288" s="237" t="s">
        <v>140</v>
      </c>
      <c r="R288" s="78"/>
      <c r="S288" s="78"/>
      <c r="T288" s="58" t="s">
        <v>785</v>
      </c>
      <c r="U288" s="237">
        <v>2026</v>
      </c>
      <c r="V288" s="88">
        <v>46387</v>
      </c>
      <c r="W288" s="78"/>
      <c r="X288" s="88">
        <v>46024</v>
      </c>
      <c r="Y288" s="131">
        <v>208000</v>
      </c>
      <c r="Z288" s="131"/>
      <c r="AA288" s="131">
        <f t="shared" si="31"/>
        <v>208000</v>
      </c>
      <c r="AB288" s="131"/>
      <c r="AC288" s="131">
        <f t="shared" si="32"/>
        <v>208000</v>
      </c>
      <c r="AD288" s="131">
        <f t="shared" si="33"/>
        <v>208000</v>
      </c>
      <c r="AE288" s="173" t="s">
        <v>102</v>
      </c>
      <c r="AF288" s="173"/>
      <c r="AG288" s="173"/>
      <c r="AH288" s="174"/>
      <c r="AI288" s="175"/>
      <c r="AJ288" s="174"/>
      <c r="AK288" s="176"/>
      <c r="AL288" s="174"/>
      <c r="AM288" s="177" t="s">
        <v>204</v>
      </c>
      <c r="AN288" s="243" t="s">
        <v>178</v>
      </c>
      <c r="AO288" s="178"/>
      <c r="AP288" s="179"/>
      <c r="AQ288" s="179"/>
      <c r="AR288" s="24"/>
      <c r="AS288" s="179"/>
    </row>
    <row r="289" spans="1:45" ht="30" customHeight="1" x14ac:dyDescent="0.35">
      <c r="A289" s="40">
        <v>2026</v>
      </c>
      <c r="B289" s="59" t="s">
        <v>72</v>
      </c>
      <c r="C289" s="58" t="s">
        <v>727</v>
      </c>
      <c r="D289" s="237" t="s">
        <v>114</v>
      </c>
      <c r="E289" s="180"/>
      <c r="F289" s="58" t="s">
        <v>786</v>
      </c>
      <c r="G289" s="237" t="s">
        <v>121</v>
      </c>
      <c r="H289" s="59" t="s">
        <v>126</v>
      </c>
      <c r="I289" s="65"/>
      <c r="J289" s="237" t="s">
        <v>132</v>
      </c>
      <c r="K289" s="237" t="s">
        <v>3</v>
      </c>
      <c r="L289" s="59" t="s">
        <v>6</v>
      </c>
      <c r="M289" s="58" t="s">
        <v>729</v>
      </c>
      <c r="N289" s="130"/>
      <c r="O289" s="172"/>
      <c r="P289" s="172"/>
      <c r="Q289" s="237" t="s">
        <v>140</v>
      </c>
      <c r="R289" s="78"/>
      <c r="S289" s="78"/>
      <c r="T289" s="58" t="s">
        <v>787</v>
      </c>
      <c r="U289" s="237">
        <v>2026</v>
      </c>
      <c r="V289" s="88">
        <v>46387</v>
      </c>
      <c r="W289" s="78"/>
      <c r="X289" s="88">
        <v>46024</v>
      </c>
      <c r="Y289" s="131">
        <v>130000</v>
      </c>
      <c r="Z289" s="131"/>
      <c r="AA289" s="131">
        <f t="shared" si="31"/>
        <v>130000</v>
      </c>
      <c r="AB289" s="131"/>
      <c r="AC289" s="131">
        <f t="shared" si="32"/>
        <v>130000</v>
      </c>
      <c r="AD289" s="131">
        <f t="shared" si="33"/>
        <v>130000</v>
      </c>
      <c r="AE289" s="173" t="s">
        <v>102</v>
      </c>
      <c r="AF289" s="173"/>
      <c r="AG289" s="173"/>
      <c r="AH289" s="174"/>
      <c r="AI289" s="175"/>
      <c r="AJ289" s="174"/>
      <c r="AK289" s="176"/>
      <c r="AL289" s="174"/>
      <c r="AM289" s="177" t="s">
        <v>204</v>
      </c>
      <c r="AN289" s="243" t="s">
        <v>178</v>
      </c>
      <c r="AO289" s="178"/>
      <c r="AP289" s="179"/>
      <c r="AQ289" s="179"/>
      <c r="AR289" s="24"/>
      <c r="AS289" s="179"/>
    </row>
    <row r="290" spans="1:45" ht="30" customHeight="1" x14ac:dyDescent="0.35">
      <c r="A290" s="40">
        <v>2026</v>
      </c>
      <c r="B290" s="59" t="s">
        <v>72</v>
      </c>
      <c r="C290" s="58" t="s">
        <v>727</v>
      </c>
      <c r="D290" s="237" t="s">
        <v>114</v>
      </c>
      <c r="E290" s="180"/>
      <c r="F290" s="58" t="s">
        <v>788</v>
      </c>
      <c r="G290" s="237" t="s">
        <v>121</v>
      </c>
      <c r="H290" s="59" t="s">
        <v>126</v>
      </c>
      <c r="I290" s="65"/>
      <c r="J290" s="237" t="s">
        <v>132</v>
      </c>
      <c r="K290" s="237" t="s">
        <v>3</v>
      </c>
      <c r="L290" s="59" t="s">
        <v>6</v>
      </c>
      <c r="M290" s="58" t="s">
        <v>729</v>
      </c>
      <c r="N290" s="130"/>
      <c r="O290" s="172"/>
      <c r="P290" s="172"/>
      <c r="Q290" s="237" t="s">
        <v>140</v>
      </c>
      <c r="R290" s="78"/>
      <c r="S290" s="78"/>
      <c r="T290" s="58" t="s">
        <v>789</v>
      </c>
      <c r="U290" s="237">
        <v>2026</v>
      </c>
      <c r="V290" s="88">
        <v>46387</v>
      </c>
      <c r="W290" s="78"/>
      <c r="X290" s="88">
        <v>46024</v>
      </c>
      <c r="Y290" s="131">
        <v>208000</v>
      </c>
      <c r="Z290" s="131"/>
      <c r="AA290" s="131">
        <f t="shared" si="31"/>
        <v>208000</v>
      </c>
      <c r="AB290" s="131"/>
      <c r="AC290" s="131">
        <f t="shared" si="32"/>
        <v>208000</v>
      </c>
      <c r="AD290" s="131">
        <f t="shared" si="33"/>
        <v>208000</v>
      </c>
      <c r="AE290" s="173" t="s">
        <v>102</v>
      </c>
      <c r="AF290" s="173"/>
      <c r="AG290" s="173"/>
      <c r="AH290" s="174"/>
      <c r="AI290" s="175"/>
      <c r="AJ290" s="174"/>
      <c r="AK290" s="176"/>
      <c r="AL290" s="174"/>
      <c r="AM290" s="177" t="s">
        <v>204</v>
      </c>
      <c r="AN290" s="243" t="s">
        <v>178</v>
      </c>
      <c r="AO290" s="178"/>
      <c r="AP290" s="179"/>
      <c r="AQ290" s="179"/>
      <c r="AR290" s="24"/>
      <c r="AS290" s="179"/>
    </row>
    <row r="291" spans="1:45" ht="30" customHeight="1" x14ac:dyDescent="0.35">
      <c r="A291" s="40">
        <v>2026</v>
      </c>
      <c r="B291" s="59" t="s">
        <v>72</v>
      </c>
      <c r="C291" s="58" t="s">
        <v>727</v>
      </c>
      <c r="D291" s="237" t="s">
        <v>114</v>
      </c>
      <c r="E291" s="180"/>
      <c r="F291" s="58" t="s">
        <v>790</v>
      </c>
      <c r="G291" s="237" t="s">
        <v>121</v>
      </c>
      <c r="H291" s="59" t="s">
        <v>126</v>
      </c>
      <c r="I291" s="65"/>
      <c r="J291" s="237" t="s">
        <v>132</v>
      </c>
      <c r="K291" s="237" t="s">
        <v>3</v>
      </c>
      <c r="L291" s="59" t="s">
        <v>6</v>
      </c>
      <c r="M291" s="58" t="s">
        <v>729</v>
      </c>
      <c r="N291" s="130"/>
      <c r="O291" s="172"/>
      <c r="P291" s="172"/>
      <c r="Q291" s="237" t="s">
        <v>140</v>
      </c>
      <c r="R291" s="78"/>
      <c r="S291" s="78"/>
      <c r="T291" s="58" t="s">
        <v>791</v>
      </c>
      <c r="U291" s="237">
        <v>2026</v>
      </c>
      <c r="V291" s="88">
        <v>46387</v>
      </c>
      <c r="W291" s="78"/>
      <c r="X291" s="88">
        <v>46024</v>
      </c>
      <c r="Y291" s="131">
        <v>148200</v>
      </c>
      <c r="Z291" s="131"/>
      <c r="AA291" s="131">
        <f t="shared" si="31"/>
        <v>148200</v>
      </c>
      <c r="AB291" s="131"/>
      <c r="AC291" s="131">
        <f t="shared" si="32"/>
        <v>148200</v>
      </c>
      <c r="AD291" s="131">
        <f t="shared" si="33"/>
        <v>148200</v>
      </c>
      <c r="AE291" s="173" t="s">
        <v>102</v>
      </c>
      <c r="AF291" s="173"/>
      <c r="AG291" s="173"/>
      <c r="AH291" s="174"/>
      <c r="AI291" s="175"/>
      <c r="AJ291" s="174"/>
      <c r="AK291" s="176"/>
      <c r="AL291" s="174"/>
      <c r="AM291" s="177" t="s">
        <v>204</v>
      </c>
      <c r="AN291" s="243" t="s">
        <v>178</v>
      </c>
      <c r="AO291" s="178"/>
      <c r="AP291" s="179"/>
      <c r="AQ291" s="179"/>
      <c r="AR291" s="24"/>
      <c r="AS291" s="179"/>
    </row>
    <row r="292" spans="1:45" ht="30" customHeight="1" x14ac:dyDescent="0.35">
      <c r="A292" s="40">
        <v>2026</v>
      </c>
      <c r="B292" s="59" t="s">
        <v>72</v>
      </c>
      <c r="C292" s="58" t="s">
        <v>727</v>
      </c>
      <c r="D292" s="237" t="s">
        <v>114</v>
      </c>
      <c r="E292" s="105"/>
      <c r="F292" s="58" t="s">
        <v>792</v>
      </c>
      <c r="G292" s="237" t="s">
        <v>121</v>
      </c>
      <c r="H292" s="59" t="s">
        <v>126</v>
      </c>
      <c r="I292" s="65"/>
      <c r="J292" s="237" t="s">
        <v>132</v>
      </c>
      <c r="K292" s="237" t="s">
        <v>3</v>
      </c>
      <c r="L292" s="59" t="s">
        <v>6</v>
      </c>
      <c r="M292" s="58" t="s">
        <v>729</v>
      </c>
      <c r="N292" s="130"/>
      <c r="O292" s="172"/>
      <c r="P292" s="172"/>
      <c r="Q292" s="237" t="s">
        <v>140</v>
      </c>
      <c r="R292" s="78"/>
      <c r="S292" s="78"/>
      <c r="T292" s="58" t="s">
        <v>793</v>
      </c>
      <c r="U292" s="237">
        <v>2026</v>
      </c>
      <c r="V292" s="88">
        <v>46387</v>
      </c>
      <c r="W292" s="78"/>
      <c r="X292" s="88">
        <v>46024</v>
      </c>
      <c r="Y292" s="131">
        <v>85800</v>
      </c>
      <c r="Z292" s="131"/>
      <c r="AA292" s="131">
        <f t="shared" si="31"/>
        <v>85800</v>
      </c>
      <c r="AB292" s="131"/>
      <c r="AC292" s="131">
        <f t="shared" si="32"/>
        <v>85800</v>
      </c>
      <c r="AD292" s="131">
        <f t="shared" si="33"/>
        <v>85800</v>
      </c>
      <c r="AE292" s="173" t="s">
        <v>102</v>
      </c>
      <c r="AF292" s="173"/>
      <c r="AG292" s="173"/>
      <c r="AH292" s="174"/>
      <c r="AI292" s="175"/>
      <c r="AJ292" s="174"/>
      <c r="AK292" s="176"/>
      <c r="AL292" s="174"/>
      <c r="AM292" s="177" t="s">
        <v>204</v>
      </c>
      <c r="AN292" s="243" t="s">
        <v>178</v>
      </c>
      <c r="AO292" s="178"/>
      <c r="AP292" s="179"/>
      <c r="AQ292" s="179"/>
      <c r="AR292" s="24"/>
      <c r="AS292" s="179"/>
    </row>
    <row r="293" spans="1:45" ht="30" customHeight="1" x14ac:dyDescent="0.35">
      <c r="A293" s="40">
        <v>2026</v>
      </c>
      <c r="B293" s="59" t="s">
        <v>72</v>
      </c>
      <c r="C293" s="58" t="s">
        <v>727</v>
      </c>
      <c r="D293" s="237" t="s">
        <v>114</v>
      </c>
      <c r="E293" s="180"/>
      <c r="F293" s="58" t="s">
        <v>794</v>
      </c>
      <c r="G293" s="237" t="s">
        <v>121</v>
      </c>
      <c r="H293" s="59" t="s">
        <v>126</v>
      </c>
      <c r="I293" s="65"/>
      <c r="J293" s="237" t="s">
        <v>132</v>
      </c>
      <c r="K293" s="237" t="s">
        <v>3</v>
      </c>
      <c r="L293" s="59" t="s">
        <v>6</v>
      </c>
      <c r="M293" s="58" t="s">
        <v>729</v>
      </c>
      <c r="N293" s="130"/>
      <c r="O293" s="172"/>
      <c r="P293" s="172"/>
      <c r="Q293" s="237" t="s">
        <v>140</v>
      </c>
      <c r="R293" s="78"/>
      <c r="S293" s="78"/>
      <c r="T293" s="58" t="s">
        <v>795</v>
      </c>
      <c r="U293" s="237">
        <v>2026</v>
      </c>
      <c r="V293" s="88">
        <v>46387</v>
      </c>
      <c r="W293" s="78"/>
      <c r="X293" s="88">
        <v>46024</v>
      </c>
      <c r="Y293" s="131">
        <v>72000</v>
      </c>
      <c r="Z293" s="131"/>
      <c r="AA293" s="131">
        <f t="shared" si="31"/>
        <v>72000</v>
      </c>
      <c r="AB293" s="131"/>
      <c r="AC293" s="131">
        <f t="shared" si="32"/>
        <v>72000</v>
      </c>
      <c r="AD293" s="131">
        <f t="shared" si="33"/>
        <v>72000</v>
      </c>
      <c r="AE293" s="173" t="s">
        <v>102</v>
      </c>
      <c r="AF293" s="173"/>
      <c r="AG293" s="173"/>
      <c r="AH293" s="174"/>
      <c r="AI293" s="175"/>
      <c r="AJ293" s="174"/>
      <c r="AK293" s="176"/>
      <c r="AL293" s="174"/>
      <c r="AM293" s="177" t="s">
        <v>204</v>
      </c>
      <c r="AN293" s="243" t="s">
        <v>178</v>
      </c>
      <c r="AO293" s="178"/>
      <c r="AP293" s="179"/>
      <c r="AQ293" s="179"/>
      <c r="AR293" s="24"/>
      <c r="AS293" s="179"/>
    </row>
    <row r="294" spans="1:45" ht="30" customHeight="1" x14ac:dyDescent="0.35">
      <c r="A294" s="40">
        <v>2026</v>
      </c>
      <c r="B294" s="59" t="s">
        <v>72</v>
      </c>
      <c r="C294" s="58" t="s">
        <v>727</v>
      </c>
      <c r="D294" s="237" t="s">
        <v>114</v>
      </c>
      <c r="E294" s="180"/>
      <c r="F294" s="58" t="s">
        <v>796</v>
      </c>
      <c r="G294" s="237" t="s">
        <v>121</v>
      </c>
      <c r="H294" s="59" t="s">
        <v>126</v>
      </c>
      <c r="I294" s="65"/>
      <c r="J294" s="237" t="s">
        <v>132</v>
      </c>
      <c r="K294" s="237" t="s">
        <v>3</v>
      </c>
      <c r="L294" s="59" t="s">
        <v>6</v>
      </c>
      <c r="M294" s="58" t="s">
        <v>729</v>
      </c>
      <c r="N294" s="130"/>
      <c r="O294" s="172"/>
      <c r="P294" s="172"/>
      <c r="Q294" s="237" t="s">
        <v>140</v>
      </c>
      <c r="R294" s="78"/>
      <c r="S294" s="78"/>
      <c r="T294" s="58" t="s">
        <v>797</v>
      </c>
      <c r="U294" s="237">
        <v>2026</v>
      </c>
      <c r="V294" s="88">
        <v>46387</v>
      </c>
      <c r="W294" s="78"/>
      <c r="X294" s="88">
        <v>46024</v>
      </c>
      <c r="Y294" s="131">
        <v>156000</v>
      </c>
      <c r="Z294" s="131"/>
      <c r="AA294" s="131">
        <f t="shared" si="31"/>
        <v>156000</v>
      </c>
      <c r="AB294" s="131"/>
      <c r="AC294" s="131">
        <f t="shared" si="32"/>
        <v>156000</v>
      </c>
      <c r="AD294" s="131">
        <f t="shared" si="33"/>
        <v>156000</v>
      </c>
      <c r="AE294" s="173" t="s">
        <v>102</v>
      </c>
      <c r="AF294" s="173"/>
      <c r="AG294" s="173"/>
      <c r="AH294" s="174"/>
      <c r="AI294" s="175"/>
      <c r="AJ294" s="174"/>
      <c r="AK294" s="176"/>
      <c r="AL294" s="174"/>
      <c r="AM294" s="177" t="s">
        <v>204</v>
      </c>
      <c r="AN294" s="243" t="s">
        <v>178</v>
      </c>
      <c r="AO294" s="178"/>
      <c r="AP294" s="179"/>
      <c r="AQ294" s="179"/>
      <c r="AR294" s="24"/>
      <c r="AS294" s="179"/>
    </row>
    <row r="295" spans="1:45" ht="30" customHeight="1" x14ac:dyDescent="0.35">
      <c r="A295" s="40">
        <v>2026</v>
      </c>
      <c r="B295" s="59" t="s">
        <v>72</v>
      </c>
      <c r="C295" s="58" t="s">
        <v>727</v>
      </c>
      <c r="D295" s="237" t="s">
        <v>114</v>
      </c>
      <c r="E295" s="180"/>
      <c r="F295" s="58" t="s">
        <v>798</v>
      </c>
      <c r="G295" s="237" t="s">
        <v>121</v>
      </c>
      <c r="H295" s="59" t="s">
        <v>126</v>
      </c>
      <c r="I295" s="65"/>
      <c r="J295" s="237" t="s">
        <v>132</v>
      </c>
      <c r="K295" s="237" t="s">
        <v>3</v>
      </c>
      <c r="L295" s="59" t="s">
        <v>6</v>
      </c>
      <c r="M295" s="58" t="s">
        <v>729</v>
      </c>
      <c r="N295" s="130"/>
      <c r="O295" s="172"/>
      <c r="P295" s="172"/>
      <c r="Q295" s="237" t="s">
        <v>140</v>
      </c>
      <c r="R295" s="78"/>
      <c r="S295" s="78"/>
      <c r="T295" s="58" t="s">
        <v>799</v>
      </c>
      <c r="U295" s="237">
        <v>2026</v>
      </c>
      <c r="V295" s="88">
        <v>46387</v>
      </c>
      <c r="W295" s="78"/>
      <c r="X295" s="88">
        <v>46024</v>
      </c>
      <c r="Y295" s="131">
        <v>128000</v>
      </c>
      <c r="Z295" s="131"/>
      <c r="AA295" s="131">
        <f t="shared" si="31"/>
        <v>128000</v>
      </c>
      <c r="AB295" s="131"/>
      <c r="AC295" s="131">
        <f t="shared" si="32"/>
        <v>128000</v>
      </c>
      <c r="AD295" s="131">
        <f t="shared" si="33"/>
        <v>128000</v>
      </c>
      <c r="AE295" s="173" t="s">
        <v>102</v>
      </c>
      <c r="AF295" s="173"/>
      <c r="AG295" s="173"/>
      <c r="AH295" s="174"/>
      <c r="AI295" s="175"/>
      <c r="AJ295" s="174"/>
      <c r="AK295" s="176"/>
      <c r="AL295" s="174"/>
      <c r="AM295" s="177" t="s">
        <v>204</v>
      </c>
      <c r="AN295" s="243" t="s">
        <v>178</v>
      </c>
      <c r="AO295" s="178"/>
      <c r="AP295" s="179"/>
      <c r="AQ295" s="179"/>
      <c r="AR295" s="24"/>
      <c r="AS295" s="179"/>
    </row>
    <row r="296" spans="1:45" ht="30" customHeight="1" x14ac:dyDescent="0.35">
      <c r="A296" s="40">
        <v>2026</v>
      </c>
      <c r="B296" s="59" t="s">
        <v>72</v>
      </c>
      <c r="C296" s="58" t="s">
        <v>727</v>
      </c>
      <c r="D296" s="237" t="s">
        <v>114</v>
      </c>
      <c r="E296" s="180"/>
      <c r="F296" s="58" t="s">
        <v>800</v>
      </c>
      <c r="G296" s="237" t="s">
        <v>121</v>
      </c>
      <c r="H296" s="59" t="s">
        <v>126</v>
      </c>
      <c r="I296" s="65"/>
      <c r="J296" s="237" t="s">
        <v>132</v>
      </c>
      <c r="K296" s="237" t="s">
        <v>3</v>
      </c>
      <c r="L296" s="59" t="s">
        <v>6</v>
      </c>
      <c r="M296" s="58" t="s">
        <v>729</v>
      </c>
      <c r="N296" s="130"/>
      <c r="O296" s="172"/>
      <c r="P296" s="172"/>
      <c r="Q296" s="237" t="s">
        <v>140</v>
      </c>
      <c r="R296" s="78"/>
      <c r="S296" s="78"/>
      <c r="T296" s="58" t="s">
        <v>801</v>
      </c>
      <c r="U296" s="237">
        <v>2026</v>
      </c>
      <c r="V296" s="88">
        <v>46387</v>
      </c>
      <c r="W296" s="78"/>
      <c r="X296" s="88">
        <v>46024</v>
      </c>
      <c r="Y296" s="131">
        <v>24000</v>
      </c>
      <c r="Z296" s="131"/>
      <c r="AA296" s="131">
        <f t="shared" si="31"/>
        <v>24000</v>
      </c>
      <c r="AB296" s="131"/>
      <c r="AC296" s="131">
        <f t="shared" si="32"/>
        <v>24000</v>
      </c>
      <c r="AD296" s="131">
        <f t="shared" si="33"/>
        <v>24000</v>
      </c>
      <c r="AE296" s="173" t="s">
        <v>102</v>
      </c>
      <c r="AF296" s="173"/>
      <c r="AG296" s="173"/>
      <c r="AH296" s="174"/>
      <c r="AI296" s="175"/>
      <c r="AJ296" s="174"/>
      <c r="AK296" s="176"/>
      <c r="AL296" s="174"/>
      <c r="AM296" s="177" t="s">
        <v>204</v>
      </c>
      <c r="AN296" s="243" t="s">
        <v>178</v>
      </c>
      <c r="AO296" s="178"/>
      <c r="AP296" s="179"/>
      <c r="AQ296" s="179"/>
      <c r="AR296" s="24"/>
      <c r="AS296" s="179"/>
    </row>
    <row r="297" spans="1:45" ht="30" customHeight="1" x14ac:dyDescent="0.35">
      <c r="A297" s="40">
        <v>2026</v>
      </c>
      <c r="B297" s="59" t="s">
        <v>72</v>
      </c>
      <c r="C297" s="58" t="s">
        <v>727</v>
      </c>
      <c r="D297" s="237" t="s">
        <v>114</v>
      </c>
      <c r="E297" s="180"/>
      <c r="F297" s="58" t="s">
        <v>802</v>
      </c>
      <c r="G297" s="237" t="s">
        <v>121</v>
      </c>
      <c r="H297" s="59" t="s">
        <v>126</v>
      </c>
      <c r="I297" s="65"/>
      <c r="J297" s="237" t="s">
        <v>132</v>
      </c>
      <c r="K297" s="237" t="s">
        <v>3</v>
      </c>
      <c r="L297" s="59" t="s">
        <v>6</v>
      </c>
      <c r="M297" s="58" t="s">
        <v>729</v>
      </c>
      <c r="N297" s="130"/>
      <c r="O297" s="172"/>
      <c r="P297" s="172"/>
      <c r="Q297" s="237" t="s">
        <v>140</v>
      </c>
      <c r="R297" s="78"/>
      <c r="S297" s="78"/>
      <c r="T297" s="58" t="s">
        <v>803</v>
      </c>
      <c r="U297" s="237">
        <v>2026</v>
      </c>
      <c r="V297" s="88">
        <v>46387</v>
      </c>
      <c r="W297" s="78"/>
      <c r="X297" s="88">
        <v>46024</v>
      </c>
      <c r="Y297" s="131">
        <v>45000</v>
      </c>
      <c r="Z297" s="131"/>
      <c r="AA297" s="131">
        <f t="shared" si="31"/>
        <v>45000</v>
      </c>
      <c r="AB297" s="131"/>
      <c r="AC297" s="131">
        <f t="shared" si="32"/>
        <v>45000</v>
      </c>
      <c r="AD297" s="131">
        <f t="shared" si="33"/>
        <v>45000</v>
      </c>
      <c r="AE297" s="173" t="s">
        <v>102</v>
      </c>
      <c r="AF297" s="173"/>
      <c r="AG297" s="173"/>
      <c r="AH297" s="174"/>
      <c r="AI297" s="175"/>
      <c r="AJ297" s="174"/>
      <c r="AK297" s="176"/>
      <c r="AL297" s="174"/>
      <c r="AM297" s="177" t="s">
        <v>204</v>
      </c>
      <c r="AN297" s="243" t="s">
        <v>178</v>
      </c>
      <c r="AO297" s="178"/>
      <c r="AP297" s="179"/>
      <c r="AQ297" s="179"/>
      <c r="AR297" s="24"/>
      <c r="AS297" s="179"/>
    </row>
    <row r="298" spans="1:45" ht="30" customHeight="1" x14ac:dyDescent="0.35">
      <c r="A298" s="40">
        <v>2026</v>
      </c>
      <c r="B298" s="59" t="s">
        <v>72</v>
      </c>
      <c r="C298" s="58" t="s">
        <v>727</v>
      </c>
      <c r="D298" s="237" t="s">
        <v>114</v>
      </c>
      <c r="E298" s="180"/>
      <c r="F298" s="58" t="s">
        <v>804</v>
      </c>
      <c r="G298" s="237" t="s">
        <v>121</v>
      </c>
      <c r="H298" s="59" t="s">
        <v>126</v>
      </c>
      <c r="I298" s="65"/>
      <c r="J298" s="237" t="s">
        <v>132</v>
      </c>
      <c r="K298" s="237" t="s">
        <v>3</v>
      </c>
      <c r="L298" s="59" t="s">
        <v>6</v>
      </c>
      <c r="M298" s="58" t="s">
        <v>729</v>
      </c>
      <c r="N298" s="130"/>
      <c r="O298" s="172"/>
      <c r="P298" s="172"/>
      <c r="Q298" s="237" t="s">
        <v>140</v>
      </c>
      <c r="R298" s="78"/>
      <c r="S298" s="78"/>
      <c r="T298" s="58" t="s">
        <v>805</v>
      </c>
      <c r="U298" s="237">
        <v>2026</v>
      </c>
      <c r="V298" s="88">
        <v>46387</v>
      </c>
      <c r="W298" s="78"/>
      <c r="X298" s="88">
        <v>46024</v>
      </c>
      <c r="Y298" s="131">
        <v>80000</v>
      </c>
      <c r="Z298" s="131"/>
      <c r="AA298" s="131">
        <f t="shared" si="31"/>
        <v>80000</v>
      </c>
      <c r="AB298" s="131"/>
      <c r="AC298" s="131">
        <f t="shared" si="32"/>
        <v>80000</v>
      </c>
      <c r="AD298" s="131">
        <f t="shared" si="33"/>
        <v>80000</v>
      </c>
      <c r="AE298" s="173" t="s">
        <v>102</v>
      </c>
      <c r="AF298" s="173"/>
      <c r="AG298" s="173"/>
      <c r="AH298" s="174"/>
      <c r="AI298" s="175"/>
      <c r="AJ298" s="174"/>
      <c r="AK298" s="176"/>
      <c r="AL298" s="174"/>
      <c r="AM298" s="177" t="s">
        <v>204</v>
      </c>
      <c r="AN298" s="243" t="s">
        <v>178</v>
      </c>
      <c r="AO298" s="178"/>
      <c r="AP298" s="179"/>
      <c r="AQ298" s="179"/>
      <c r="AR298" s="24"/>
      <c r="AS298" s="179"/>
    </row>
    <row r="299" spans="1:45" ht="30" customHeight="1" x14ac:dyDescent="0.35">
      <c r="A299" s="40">
        <v>2026</v>
      </c>
      <c r="B299" s="59" t="s">
        <v>72</v>
      </c>
      <c r="C299" s="58" t="s">
        <v>727</v>
      </c>
      <c r="D299" s="237" t="s">
        <v>114</v>
      </c>
      <c r="E299" s="180"/>
      <c r="F299" s="58" t="s">
        <v>806</v>
      </c>
      <c r="G299" s="237" t="s">
        <v>121</v>
      </c>
      <c r="H299" s="59" t="s">
        <v>126</v>
      </c>
      <c r="I299" s="65"/>
      <c r="J299" s="237" t="s">
        <v>132</v>
      </c>
      <c r="K299" s="237" t="s">
        <v>3</v>
      </c>
      <c r="L299" s="59" t="s">
        <v>6</v>
      </c>
      <c r="M299" s="58" t="s">
        <v>729</v>
      </c>
      <c r="N299" s="130"/>
      <c r="O299" s="172"/>
      <c r="P299" s="172"/>
      <c r="Q299" s="237" t="s">
        <v>140</v>
      </c>
      <c r="R299" s="78"/>
      <c r="S299" s="78"/>
      <c r="T299" s="58" t="s">
        <v>807</v>
      </c>
      <c r="U299" s="237">
        <v>2026</v>
      </c>
      <c r="V299" s="88">
        <v>46387</v>
      </c>
      <c r="W299" s="78"/>
      <c r="X299" s="88">
        <v>46024</v>
      </c>
      <c r="Y299" s="131">
        <v>72000</v>
      </c>
      <c r="Z299" s="131"/>
      <c r="AA299" s="131">
        <f t="shared" si="31"/>
        <v>72000</v>
      </c>
      <c r="AB299" s="131"/>
      <c r="AC299" s="131">
        <f t="shared" si="32"/>
        <v>72000</v>
      </c>
      <c r="AD299" s="131">
        <f t="shared" si="33"/>
        <v>72000</v>
      </c>
      <c r="AE299" s="173" t="s">
        <v>102</v>
      </c>
      <c r="AF299" s="173"/>
      <c r="AG299" s="173"/>
      <c r="AH299" s="174"/>
      <c r="AI299" s="175"/>
      <c r="AJ299" s="174"/>
      <c r="AK299" s="176"/>
      <c r="AL299" s="174"/>
      <c r="AM299" s="177" t="s">
        <v>204</v>
      </c>
      <c r="AN299" s="243" t="s">
        <v>178</v>
      </c>
      <c r="AO299" s="178"/>
      <c r="AP299" s="179"/>
      <c r="AQ299" s="179"/>
      <c r="AR299" s="24"/>
      <c r="AS299" s="179"/>
    </row>
    <row r="300" spans="1:45" ht="30" customHeight="1" x14ac:dyDescent="0.35">
      <c r="A300" s="40">
        <v>2026</v>
      </c>
      <c r="B300" s="59" t="s">
        <v>72</v>
      </c>
      <c r="C300" s="58" t="s">
        <v>727</v>
      </c>
      <c r="D300" s="237" t="s">
        <v>114</v>
      </c>
      <c r="E300" s="180"/>
      <c r="F300" s="58" t="s">
        <v>808</v>
      </c>
      <c r="G300" s="237" t="s">
        <v>121</v>
      </c>
      <c r="H300" s="59" t="s">
        <v>126</v>
      </c>
      <c r="I300" s="65"/>
      <c r="J300" s="237" t="s">
        <v>132</v>
      </c>
      <c r="K300" s="237" t="s">
        <v>3</v>
      </c>
      <c r="L300" s="59" t="s">
        <v>6</v>
      </c>
      <c r="M300" s="58" t="s">
        <v>729</v>
      </c>
      <c r="N300" s="130"/>
      <c r="O300" s="172"/>
      <c r="P300" s="172"/>
      <c r="Q300" s="237" t="s">
        <v>140</v>
      </c>
      <c r="R300" s="78"/>
      <c r="S300" s="78"/>
      <c r="T300" s="58" t="s">
        <v>809</v>
      </c>
      <c r="U300" s="237">
        <v>2026</v>
      </c>
      <c r="V300" s="88">
        <v>46387</v>
      </c>
      <c r="W300" s="78"/>
      <c r="X300" s="88">
        <v>46024</v>
      </c>
      <c r="Y300" s="131">
        <v>80000</v>
      </c>
      <c r="Z300" s="131"/>
      <c r="AA300" s="131">
        <f t="shared" si="31"/>
        <v>80000</v>
      </c>
      <c r="AB300" s="131"/>
      <c r="AC300" s="131">
        <f t="shared" si="32"/>
        <v>80000</v>
      </c>
      <c r="AD300" s="131">
        <f t="shared" si="33"/>
        <v>80000</v>
      </c>
      <c r="AE300" s="173" t="s">
        <v>102</v>
      </c>
      <c r="AF300" s="173"/>
      <c r="AG300" s="173"/>
      <c r="AH300" s="174"/>
      <c r="AI300" s="175"/>
      <c r="AJ300" s="174"/>
      <c r="AK300" s="176"/>
      <c r="AL300" s="174"/>
      <c r="AM300" s="177" t="s">
        <v>204</v>
      </c>
      <c r="AN300" s="243" t="s">
        <v>178</v>
      </c>
      <c r="AO300" s="178"/>
      <c r="AP300" s="179"/>
      <c r="AQ300" s="179"/>
      <c r="AR300" s="24"/>
      <c r="AS300" s="179"/>
    </row>
    <row r="301" spans="1:45" ht="30" customHeight="1" x14ac:dyDescent="0.35">
      <c r="A301" s="40">
        <v>2026</v>
      </c>
      <c r="B301" s="59" t="s">
        <v>72</v>
      </c>
      <c r="C301" s="58" t="s">
        <v>727</v>
      </c>
      <c r="D301" s="237" t="s">
        <v>114</v>
      </c>
      <c r="E301" s="180"/>
      <c r="F301" s="58" t="s">
        <v>810</v>
      </c>
      <c r="G301" s="237" t="s">
        <v>121</v>
      </c>
      <c r="H301" s="59" t="s">
        <v>126</v>
      </c>
      <c r="I301" s="65"/>
      <c r="J301" s="237" t="s">
        <v>132</v>
      </c>
      <c r="K301" s="237" t="s">
        <v>3</v>
      </c>
      <c r="L301" s="59" t="s">
        <v>6</v>
      </c>
      <c r="M301" s="58" t="s">
        <v>729</v>
      </c>
      <c r="N301" s="130"/>
      <c r="O301" s="172"/>
      <c r="P301" s="172"/>
      <c r="Q301" s="237" t="s">
        <v>140</v>
      </c>
      <c r="R301" s="78"/>
      <c r="S301" s="78"/>
      <c r="T301" s="58" t="s">
        <v>811</v>
      </c>
      <c r="U301" s="237">
        <v>2026</v>
      </c>
      <c r="V301" s="88">
        <v>46387</v>
      </c>
      <c r="W301" s="78"/>
      <c r="X301" s="88">
        <v>46024</v>
      </c>
      <c r="Y301" s="131">
        <v>96000</v>
      </c>
      <c r="Z301" s="131"/>
      <c r="AA301" s="131">
        <f t="shared" si="31"/>
        <v>96000</v>
      </c>
      <c r="AB301" s="131"/>
      <c r="AC301" s="131">
        <f t="shared" si="32"/>
        <v>96000</v>
      </c>
      <c r="AD301" s="131">
        <f t="shared" si="33"/>
        <v>96000</v>
      </c>
      <c r="AE301" s="173" t="s">
        <v>102</v>
      </c>
      <c r="AF301" s="173"/>
      <c r="AG301" s="173"/>
      <c r="AH301" s="174"/>
      <c r="AI301" s="175"/>
      <c r="AJ301" s="174"/>
      <c r="AK301" s="176"/>
      <c r="AL301" s="174"/>
      <c r="AM301" s="177" t="s">
        <v>204</v>
      </c>
      <c r="AN301" s="243" t="s">
        <v>178</v>
      </c>
      <c r="AO301" s="178"/>
      <c r="AP301" s="179"/>
      <c r="AQ301" s="179"/>
      <c r="AR301" s="24"/>
      <c r="AS301" s="179"/>
    </row>
    <row r="302" spans="1:45" ht="30" customHeight="1" x14ac:dyDescent="0.35">
      <c r="A302" s="40">
        <v>2026</v>
      </c>
      <c r="B302" s="59" t="s">
        <v>72</v>
      </c>
      <c r="C302" s="58" t="s">
        <v>727</v>
      </c>
      <c r="D302" s="237" t="s">
        <v>114</v>
      </c>
      <c r="E302" s="105"/>
      <c r="F302" s="58" t="s">
        <v>812</v>
      </c>
      <c r="G302" s="237" t="s">
        <v>121</v>
      </c>
      <c r="H302" s="59" t="s">
        <v>126</v>
      </c>
      <c r="I302" s="65"/>
      <c r="J302" s="237" t="s">
        <v>132</v>
      </c>
      <c r="K302" s="237" t="s">
        <v>3</v>
      </c>
      <c r="L302" s="59" t="s">
        <v>6</v>
      </c>
      <c r="M302" s="58" t="s">
        <v>729</v>
      </c>
      <c r="N302" s="130"/>
      <c r="O302" s="172"/>
      <c r="P302" s="172"/>
      <c r="Q302" s="237" t="s">
        <v>140</v>
      </c>
      <c r="R302" s="78"/>
      <c r="S302" s="78"/>
      <c r="T302" s="58" t="s">
        <v>813</v>
      </c>
      <c r="U302" s="237">
        <v>2026</v>
      </c>
      <c r="V302" s="88">
        <v>46387</v>
      </c>
      <c r="W302" s="78"/>
      <c r="X302" s="88">
        <v>46024</v>
      </c>
      <c r="Y302" s="131">
        <v>128000</v>
      </c>
      <c r="Z302" s="131"/>
      <c r="AA302" s="131">
        <f t="shared" si="31"/>
        <v>128000</v>
      </c>
      <c r="AB302" s="131"/>
      <c r="AC302" s="131">
        <f t="shared" si="32"/>
        <v>128000</v>
      </c>
      <c r="AD302" s="131">
        <f t="shared" si="33"/>
        <v>128000</v>
      </c>
      <c r="AE302" s="173" t="s">
        <v>102</v>
      </c>
      <c r="AF302" s="173"/>
      <c r="AG302" s="173"/>
      <c r="AH302" s="174"/>
      <c r="AI302" s="175"/>
      <c r="AJ302" s="174"/>
      <c r="AK302" s="176"/>
      <c r="AL302" s="174"/>
      <c r="AM302" s="177" t="s">
        <v>204</v>
      </c>
      <c r="AN302" s="243" t="s">
        <v>178</v>
      </c>
      <c r="AO302" s="178"/>
      <c r="AP302" s="179"/>
      <c r="AQ302" s="179"/>
      <c r="AR302" s="24"/>
      <c r="AS302" s="179"/>
    </row>
    <row r="303" spans="1:45" ht="30" customHeight="1" x14ac:dyDescent="0.35">
      <c r="A303" s="40">
        <v>2026</v>
      </c>
      <c r="B303" s="59" t="s">
        <v>72</v>
      </c>
      <c r="C303" s="58" t="s">
        <v>727</v>
      </c>
      <c r="D303" s="237" t="s">
        <v>114</v>
      </c>
      <c r="E303" s="180"/>
      <c r="F303" s="58" t="s">
        <v>814</v>
      </c>
      <c r="G303" s="237" t="s">
        <v>121</v>
      </c>
      <c r="H303" s="59" t="s">
        <v>126</v>
      </c>
      <c r="I303" s="65"/>
      <c r="J303" s="237" t="s">
        <v>132</v>
      </c>
      <c r="K303" s="237" t="s">
        <v>3</v>
      </c>
      <c r="L303" s="59" t="s">
        <v>6</v>
      </c>
      <c r="M303" s="58" t="s">
        <v>729</v>
      </c>
      <c r="N303" s="130"/>
      <c r="O303" s="172"/>
      <c r="P303" s="172"/>
      <c r="Q303" s="237" t="s">
        <v>140</v>
      </c>
      <c r="R303" s="78"/>
      <c r="S303" s="78"/>
      <c r="T303" s="58" t="s">
        <v>815</v>
      </c>
      <c r="U303" s="237">
        <v>2026</v>
      </c>
      <c r="V303" s="88">
        <v>46387</v>
      </c>
      <c r="W303" s="78"/>
      <c r="X303" s="88">
        <v>46024</v>
      </c>
      <c r="Y303" s="131">
        <v>80000</v>
      </c>
      <c r="Z303" s="131"/>
      <c r="AA303" s="131">
        <f t="shared" si="31"/>
        <v>80000</v>
      </c>
      <c r="AB303" s="131"/>
      <c r="AC303" s="131">
        <f t="shared" si="32"/>
        <v>80000</v>
      </c>
      <c r="AD303" s="131">
        <f t="shared" si="33"/>
        <v>80000</v>
      </c>
      <c r="AE303" s="173" t="s">
        <v>102</v>
      </c>
      <c r="AF303" s="173"/>
      <c r="AG303" s="173"/>
      <c r="AH303" s="174"/>
      <c r="AI303" s="175"/>
      <c r="AJ303" s="174"/>
      <c r="AK303" s="176"/>
      <c r="AL303" s="174"/>
      <c r="AM303" s="177" t="s">
        <v>204</v>
      </c>
      <c r="AN303" s="243" t="s">
        <v>178</v>
      </c>
      <c r="AO303" s="178"/>
      <c r="AP303" s="179"/>
      <c r="AQ303" s="179"/>
      <c r="AR303" s="24"/>
      <c r="AS303" s="179"/>
    </row>
    <row r="304" spans="1:45" ht="30" customHeight="1" x14ac:dyDescent="0.35">
      <c r="A304" s="40">
        <v>2026</v>
      </c>
      <c r="B304" s="59" t="s">
        <v>72</v>
      </c>
      <c r="C304" s="58" t="s">
        <v>727</v>
      </c>
      <c r="D304" s="237" t="s">
        <v>114</v>
      </c>
      <c r="E304" s="180"/>
      <c r="F304" s="58" t="s">
        <v>816</v>
      </c>
      <c r="G304" s="237" t="s">
        <v>121</v>
      </c>
      <c r="H304" s="59" t="s">
        <v>126</v>
      </c>
      <c r="I304" s="65"/>
      <c r="J304" s="237" t="s">
        <v>132</v>
      </c>
      <c r="K304" s="237" t="s">
        <v>3</v>
      </c>
      <c r="L304" s="59" t="s">
        <v>6</v>
      </c>
      <c r="M304" s="58" t="s">
        <v>729</v>
      </c>
      <c r="N304" s="130"/>
      <c r="O304" s="172"/>
      <c r="P304" s="172"/>
      <c r="Q304" s="237" t="s">
        <v>140</v>
      </c>
      <c r="R304" s="78"/>
      <c r="S304" s="78"/>
      <c r="T304" s="58" t="s">
        <v>817</v>
      </c>
      <c r="U304" s="237">
        <v>2026</v>
      </c>
      <c r="V304" s="88">
        <v>46387</v>
      </c>
      <c r="W304" s="78"/>
      <c r="X304" s="88">
        <v>46024</v>
      </c>
      <c r="Y304" s="131">
        <v>51428.52</v>
      </c>
      <c r="Z304" s="131"/>
      <c r="AA304" s="131">
        <f t="shared" si="31"/>
        <v>51428.52</v>
      </c>
      <c r="AB304" s="131"/>
      <c r="AC304" s="131">
        <f t="shared" si="32"/>
        <v>51428.52</v>
      </c>
      <c r="AD304" s="131">
        <f t="shared" si="33"/>
        <v>51428.52</v>
      </c>
      <c r="AE304" s="173" t="s">
        <v>102</v>
      </c>
      <c r="AF304" s="173"/>
      <c r="AG304" s="173"/>
      <c r="AH304" s="174"/>
      <c r="AI304" s="175"/>
      <c r="AJ304" s="174"/>
      <c r="AK304" s="176"/>
      <c r="AL304" s="174"/>
      <c r="AM304" s="177" t="s">
        <v>204</v>
      </c>
      <c r="AN304" s="243" t="s">
        <v>178</v>
      </c>
      <c r="AO304" s="178"/>
      <c r="AP304" s="179"/>
      <c r="AQ304" s="179"/>
      <c r="AR304" s="24"/>
      <c r="AS304" s="179"/>
    </row>
    <row r="305" spans="1:45" ht="30" hidden="1" customHeight="1" x14ac:dyDescent="0.35">
      <c r="A305" s="38">
        <v>2026</v>
      </c>
      <c r="B305" s="59" t="s">
        <v>64</v>
      </c>
      <c r="C305" s="182" t="s">
        <v>140</v>
      </c>
      <c r="D305" s="237" t="s">
        <v>107</v>
      </c>
      <c r="E305" s="237">
        <v>1</v>
      </c>
      <c r="F305" s="58" t="s">
        <v>818</v>
      </c>
      <c r="G305" s="237" t="s">
        <v>121</v>
      </c>
      <c r="H305" s="59" t="s">
        <v>126</v>
      </c>
      <c r="I305" s="70" t="s">
        <v>819</v>
      </c>
      <c r="J305" s="237" t="s">
        <v>132</v>
      </c>
      <c r="K305" s="237" t="s">
        <v>3</v>
      </c>
      <c r="L305" s="59" t="s">
        <v>6</v>
      </c>
      <c r="M305" s="60" t="s">
        <v>820</v>
      </c>
      <c r="N305" s="130"/>
      <c r="O305" s="172"/>
      <c r="P305" s="172"/>
      <c r="Q305" s="237" t="s">
        <v>140</v>
      </c>
      <c r="R305" s="79"/>
      <c r="S305" s="79"/>
      <c r="T305" s="58" t="s">
        <v>821</v>
      </c>
      <c r="U305" s="237">
        <v>2026</v>
      </c>
      <c r="V305" s="88">
        <v>46030</v>
      </c>
      <c r="W305" s="79"/>
      <c r="X305" s="88">
        <v>46038</v>
      </c>
      <c r="Y305" s="131">
        <v>1030959.9</v>
      </c>
      <c r="Z305" s="131">
        <v>0</v>
      </c>
      <c r="AA305" s="131">
        <v>1030959.9</v>
      </c>
      <c r="AB305" s="131">
        <v>0</v>
      </c>
      <c r="AC305" s="131">
        <v>1030959.9</v>
      </c>
      <c r="AD305" s="131">
        <v>1030959.9</v>
      </c>
      <c r="AE305" s="173" t="s">
        <v>102</v>
      </c>
      <c r="AF305" s="173"/>
      <c r="AG305" s="173"/>
      <c r="AH305" s="174"/>
      <c r="AI305" s="175"/>
      <c r="AJ305" s="174"/>
      <c r="AK305" s="176"/>
      <c r="AL305" s="174"/>
      <c r="AM305" s="181" t="s">
        <v>184</v>
      </c>
      <c r="AN305" s="183"/>
      <c r="AO305" s="184"/>
      <c r="AP305" s="185"/>
      <c r="AQ305" s="185"/>
      <c r="AR305" s="24"/>
      <c r="AS305" s="185"/>
    </row>
    <row r="306" spans="1:45" ht="30" hidden="1" customHeight="1" x14ac:dyDescent="0.35">
      <c r="A306" s="38">
        <v>2026</v>
      </c>
      <c r="B306" s="59" t="s">
        <v>64</v>
      </c>
      <c r="C306" s="182" t="s">
        <v>140</v>
      </c>
      <c r="D306" s="237" t="s">
        <v>107</v>
      </c>
      <c r="E306" s="237">
        <v>1</v>
      </c>
      <c r="F306" s="58" t="s">
        <v>822</v>
      </c>
      <c r="G306" s="237" t="s">
        <v>121</v>
      </c>
      <c r="H306" s="59" t="s">
        <v>126</v>
      </c>
      <c r="I306" s="70" t="s">
        <v>823</v>
      </c>
      <c r="J306" s="237" t="s">
        <v>132</v>
      </c>
      <c r="K306" s="237" t="s">
        <v>3</v>
      </c>
      <c r="L306" s="59" t="s">
        <v>6</v>
      </c>
      <c r="M306" s="60" t="s">
        <v>820</v>
      </c>
      <c r="N306" s="130"/>
      <c r="O306" s="172"/>
      <c r="P306" s="172"/>
      <c r="Q306" s="237" t="s">
        <v>140</v>
      </c>
      <c r="R306" s="79"/>
      <c r="S306" s="79"/>
      <c r="T306" s="58" t="s">
        <v>821</v>
      </c>
      <c r="U306" s="237">
        <v>2026</v>
      </c>
      <c r="V306" s="88">
        <v>46030</v>
      </c>
      <c r="W306" s="79"/>
      <c r="X306" s="88">
        <v>46038</v>
      </c>
      <c r="Y306" s="131">
        <v>696639.96</v>
      </c>
      <c r="Z306" s="131">
        <v>0</v>
      </c>
      <c r="AA306" s="131">
        <v>696639.96</v>
      </c>
      <c r="AB306" s="131">
        <v>0</v>
      </c>
      <c r="AC306" s="131">
        <v>696639.96</v>
      </c>
      <c r="AD306" s="131">
        <v>696639.96</v>
      </c>
      <c r="AE306" s="173" t="s">
        <v>102</v>
      </c>
      <c r="AF306" s="173"/>
      <c r="AG306" s="173"/>
      <c r="AH306" s="174"/>
      <c r="AI306" s="175"/>
      <c r="AJ306" s="174"/>
      <c r="AK306" s="176"/>
      <c r="AL306" s="174"/>
      <c r="AM306" s="181" t="s">
        <v>184</v>
      </c>
      <c r="AN306" s="183"/>
      <c r="AO306" s="184"/>
      <c r="AP306" s="185"/>
      <c r="AQ306" s="185"/>
      <c r="AR306" s="24"/>
      <c r="AS306" s="186"/>
    </row>
    <row r="307" spans="1:45" ht="30" hidden="1" customHeight="1" x14ac:dyDescent="0.35">
      <c r="A307" s="38">
        <v>2026</v>
      </c>
      <c r="B307" s="59" t="s">
        <v>64</v>
      </c>
      <c r="C307" s="182" t="s">
        <v>140</v>
      </c>
      <c r="D307" s="237" t="s">
        <v>107</v>
      </c>
      <c r="E307" s="237">
        <v>1</v>
      </c>
      <c r="F307" s="58" t="s">
        <v>824</v>
      </c>
      <c r="G307" s="237" t="s">
        <v>121</v>
      </c>
      <c r="H307" s="59" t="s">
        <v>126</v>
      </c>
      <c r="I307" s="70" t="s">
        <v>825</v>
      </c>
      <c r="J307" s="237" t="s">
        <v>132</v>
      </c>
      <c r="K307" s="237" t="s">
        <v>3</v>
      </c>
      <c r="L307" s="59" t="s">
        <v>6</v>
      </c>
      <c r="M307" s="60" t="s">
        <v>820</v>
      </c>
      <c r="N307" s="130"/>
      <c r="O307" s="172"/>
      <c r="P307" s="172"/>
      <c r="Q307" s="237" t="s">
        <v>140</v>
      </c>
      <c r="R307" s="79"/>
      <c r="S307" s="79"/>
      <c r="T307" s="58" t="s">
        <v>826</v>
      </c>
      <c r="U307" s="237">
        <v>2026</v>
      </c>
      <c r="V307" s="88">
        <v>46030</v>
      </c>
      <c r="W307" s="79"/>
      <c r="X307" s="88">
        <v>46038</v>
      </c>
      <c r="Y307" s="131">
        <v>1195599.8999999999</v>
      </c>
      <c r="Z307" s="131">
        <v>0</v>
      </c>
      <c r="AA307" s="131">
        <v>1195599.8999999999</v>
      </c>
      <c r="AB307" s="131">
        <v>0</v>
      </c>
      <c r="AC307" s="131">
        <v>1195599.8999999999</v>
      </c>
      <c r="AD307" s="131">
        <v>1195599.8999999999</v>
      </c>
      <c r="AE307" s="173" t="s">
        <v>102</v>
      </c>
      <c r="AF307" s="173"/>
      <c r="AG307" s="173"/>
      <c r="AH307" s="174"/>
      <c r="AI307" s="175"/>
      <c r="AJ307" s="174"/>
      <c r="AK307" s="176"/>
      <c r="AL307" s="174"/>
      <c r="AM307" s="181" t="s">
        <v>184</v>
      </c>
      <c r="AN307" s="183"/>
      <c r="AO307" s="184"/>
      <c r="AP307" s="185"/>
      <c r="AQ307" s="185"/>
      <c r="AR307" s="24"/>
      <c r="AS307" s="186"/>
    </row>
    <row r="308" spans="1:45" ht="30" hidden="1" customHeight="1" x14ac:dyDescent="0.35">
      <c r="A308" s="38">
        <v>2026</v>
      </c>
      <c r="B308" s="59" t="s">
        <v>64</v>
      </c>
      <c r="C308" s="182" t="s">
        <v>140</v>
      </c>
      <c r="D308" s="237" t="s">
        <v>107</v>
      </c>
      <c r="E308" s="237">
        <v>1</v>
      </c>
      <c r="F308" s="58" t="s">
        <v>827</v>
      </c>
      <c r="G308" s="237" t="s">
        <v>121</v>
      </c>
      <c r="H308" s="59" t="s">
        <v>126</v>
      </c>
      <c r="I308" s="70" t="s">
        <v>828</v>
      </c>
      <c r="J308" s="237" t="s">
        <v>132</v>
      </c>
      <c r="K308" s="237" t="s">
        <v>3</v>
      </c>
      <c r="L308" s="59" t="s">
        <v>6</v>
      </c>
      <c r="M308" s="60" t="s">
        <v>820</v>
      </c>
      <c r="N308" s="130"/>
      <c r="O308" s="172"/>
      <c r="P308" s="172"/>
      <c r="Q308" s="237" t="s">
        <v>140</v>
      </c>
      <c r="R308" s="79"/>
      <c r="S308" s="79"/>
      <c r="T308" s="58" t="s">
        <v>829</v>
      </c>
      <c r="U308" s="237">
        <v>2026</v>
      </c>
      <c r="V308" s="88">
        <v>46030</v>
      </c>
      <c r="W308" s="79"/>
      <c r="X308" s="88">
        <v>46035</v>
      </c>
      <c r="Y308" s="131">
        <v>1687503.9</v>
      </c>
      <c r="Z308" s="131">
        <v>0</v>
      </c>
      <c r="AA308" s="131">
        <v>1687503.9</v>
      </c>
      <c r="AB308" s="131">
        <v>0</v>
      </c>
      <c r="AC308" s="131">
        <v>1687503.9</v>
      </c>
      <c r="AD308" s="131">
        <v>1687503.9</v>
      </c>
      <c r="AE308" s="173" t="s">
        <v>102</v>
      </c>
      <c r="AF308" s="173"/>
      <c r="AG308" s="173"/>
      <c r="AH308" s="174"/>
      <c r="AI308" s="175"/>
      <c r="AJ308" s="174"/>
      <c r="AK308" s="176"/>
      <c r="AL308" s="174"/>
      <c r="AM308" s="181" t="s">
        <v>184</v>
      </c>
      <c r="AN308" s="183"/>
      <c r="AO308" s="184"/>
      <c r="AP308" s="185"/>
      <c r="AQ308" s="185"/>
      <c r="AR308" s="24"/>
      <c r="AS308" s="186"/>
    </row>
    <row r="309" spans="1:45" ht="30" hidden="1" customHeight="1" x14ac:dyDescent="0.35">
      <c r="A309" s="38">
        <v>2026</v>
      </c>
      <c r="B309" s="59" t="s">
        <v>64</v>
      </c>
      <c r="C309" s="182" t="s">
        <v>140</v>
      </c>
      <c r="D309" s="237" t="s">
        <v>107</v>
      </c>
      <c r="E309" s="237">
        <v>1</v>
      </c>
      <c r="F309" s="58" t="s">
        <v>830</v>
      </c>
      <c r="G309" s="237" t="s">
        <v>121</v>
      </c>
      <c r="H309" s="59" t="s">
        <v>126</v>
      </c>
      <c r="I309" s="70" t="s">
        <v>831</v>
      </c>
      <c r="J309" s="237" t="s">
        <v>132</v>
      </c>
      <c r="K309" s="237" t="s">
        <v>3</v>
      </c>
      <c r="L309" s="59" t="s">
        <v>6</v>
      </c>
      <c r="M309" s="60" t="s">
        <v>820</v>
      </c>
      <c r="N309" s="130"/>
      <c r="O309" s="172"/>
      <c r="P309" s="172"/>
      <c r="Q309" s="237" t="s">
        <v>140</v>
      </c>
      <c r="R309" s="79"/>
      <c r="S309" s="79"/>
      <c r="T309" s="58" t="s">
        <v>832</v>
      </c>
      <c r="U309" s="237">
        <v>2026</v>
      </c>
      <c r="V309" s="88">
        <v>46030</v>
      </c>
      <c r="W309" s="79"/>
      <c r="X309" s="88">
        <v>46035</v>
      </c>
      <c r="Y309" s="131">
        <v>933296.1</v>
      </c>
      <c r="Z309" s="131">
        <v>0</v>
      </c>
      <c r="AA309" s="131">
        <v>933296.1</v>
      </c>
      <c r="AB309" s="131">
        <v>0</v>
      </c>
      <c r="AC309" s="131">
        <v>933296.1</v>
      </c>
      <c r="AD309" s="131">
        <v>933296.1</v>
      </c>
      <c r="AE309" s="173" t="s">
        <v>102</v>
      </c>
      <c r="AF309" s="173"/>
      <c r="AG309" s="173"/>
      <c r="AH309" s="174"/>
      <c r="AI309" s="175"/>
      <c r="AJ309" s="174"/>
      <c r="AK309" s="176"/>
      <c r="AL309" s="174"/>
      <c r="AM309" s="181" t="s">
        <v>184</v>
      </c>
      <c r="AO309" s="184"/>
    </row>
    <row r="310" spans="1:45" ht="30" hidden="1" customHeight="1" x14ac:dyDescent="0.35">
      <c r="A310" s="38">
        <v>2026</v>
      </c>
      <c r="B310" s="59" t="s">
        <v>64</v>
      </c>
      <c r="C310" s="182" t="s">
        <v>140</v>
      </c>
      <c r="D310" s="237" t="s">
        <v>107</v>
      </c>
      <c r="E310" s="237">
        <v>1</v>
      </c>
      <c r="F310" s="58" t="s">
        <v>833</v>
      </c>
      <c r="G310" s="237" t="s">
        <v>121</v>
      </c>
      <c r="H310" s="59" t="s">
        <v>126</v>
      </c>
      <c r="I310" s="70" t="s">
        <v>834</v>
      </c>
      <c r="J310" s="237" t="s">
        <v>132</v>
      </c>
      <c r="K310" s="237" t="s">
        <v>3</v>
      </c>
      <c r="L310" s="59" t="s">
        <v>6</v>
      </c>
      <c r="M310" s="60" t="s">
        <v>820</v>
      </c>
      <c r="N310" s="130"/>
      <c r="O310" s="172"/>
      <c r="P310" s="172"/>
      <c r="Q310" s="237" t="s">
        <v>140</v>
      </c>
      <c r="R310" s="79"/>
      <c r="S310" s="79"/>
      <c r="T310" s="58" t="s">
        <v>835</v>
      </c>
      <c r="U310" s="237">
        <v>2026</v>
      </c>
      <c r="V310" s="88">
        <v>46030</v>
      </c>
      <c r="W310" s="79"/>
      <c r="X310" s="88">
        <v>46035</v>
      </c>
      <c r="Y310" s="131">
        <v>1184400</v>
      </c>
      <c r="Z310" s="131">
        <v>0</v>
      </c>
      <c r="AA310" s="131">
        <v>1184400</v>
      </c>
      <c r="AB310" s="131">
        <v>0</v>
      </c>
      <c r="AC310" s="131">
        <v>1184400</v>
      </c>
      <c r="AD310" s="131">
        <v>1184400</v>
      </c>
      <c r="AE310" s="173" t="s">
        <v>102</v>
      </c>
      <c r="AF310" s="173"/>
      <c r="AG310" s="173"/>
      <c r="AH310" s="174"/>
      <c r="AI310" s="175"/>
      <c r="AJ310" s="174"/>
      <c r="AK310" s="176"/>
      <c r="AL310" s="174"/>
      <c r="AM310" s="181" t="s">
        <v>184</v>
      </c>
      <c r="AO310" s="184"/>
    </row>
    <row r="311" spans="1:45" ht="30" hidden="1" customHeight="1" x14ac:dyDescent="0.35">
      <c r="A311" s="38">
        <v>2026</v>
      </c>
      <c r="B311" s="59" t="s">
        <v>64</v>
      </c>
      <c r="C311" s="182" t="s">
        <v>140</v>
      </c>
      <c r="D311" s="237" t="s">
        <v>107</v>
      </c>
      <c r="E311" s="237">
        <v>1</v>
      </c>
      <c r="F311" s="58" t="s">
        <v>836</v>
      </c>
      <c r="G311" s="237" t="s">
        <v>121</v>
      </c>
      <c r="H311" s="59" t="s">
        <v>126</v>
      </c>
      <c r="I311" s="70" t="s">
        <v>837</v>
      </c>
      <c r="J311" s="237" t="s">
        <v>132</v>
      </c>
      <c r="K311" s="237" t="s">
        <v>3</v>
      </c>
      <c r="L311" s="59" t="s">
        <v>6</v>
      </c>
      <c r="M311" s="60" t="s">
        <v>820</v>
      </c>
      <c r="N311" s="130"/>
      <c r="O311" s="172"/>
      <c r="P311" s="172"/>
      <c r="Q311" s="237" t="s">
        <v>140</v>
      </c>
      <c r="R311" s="79"/>
      <c r="S311" s="79"/>
      <c r="T311" s="58" t="s">
        <v>838</v>
      </c>
      <c r="U311" s="237">
        <v>2026</v>
      </c>
      <c r="V311" s="88">
        <v>46030</v>
      </c>
      <c r="W311" s="79"/>
      <c r="X311" s="88">
        <v>46035</v>
      </c>
      <c r="Y311" s="131">
        <v>875616</v>
      </c>
      <c r="Z311" s="131">
        <v>0</v>
      </c>
      <c r="AA311" s="131">
        <v>875616</v>
      </c>
      <c r="AB311" s="131">
        <v>0</v>
      </c>
      <c r="AC311" s="131">
        <v>875616</v>
      </c>
      <c r="AD311" s="131">
        <v>875616</v>
      </c>
      <c r="AE311" s="173" t="s">
        <v>102</v>
      </c>
      <c r="AF311" s="173"/>
      <c r="AG311" s="173"/>
      <c r="AH311" s="174"/>
      <c r="AI311" s="175"/>
      <c r="AJ311" s="174"/>
      <c r="AK311" s="176"/>
      <c r="AL311" s="174"/>
      <c r="AM311" s="181" t="s">
        <v>184</v>
      </c>
      <c r="AO311" s="184"/>
    </row>
    <row r="312" spans="1:45" ht="30" hidden="1" customHeight="1" x14ac:dyDescent="0.35">
      <c r="A312" s="38">
        <v>2026</v>
      </c>
      <c r="B312" s="59" t="s">
        <v>64</v>
      </c>
      <c r="C312" s="182" t="s">
        <v>140</v>
      </c>
      <c r="D312" s="237" t="s">
        <v>107</v>
      </c>
      <c r="E312" s="237">
        <v>1</v>
      </c>
      <c r="F312" s="58" t="s">
        <v>839</v>
      </c>
      <c r="G312" s="237" t="s">
        <v>121</v>
      </c>
      <c r="H312" s="59" t="s">
        <v>126</v>
      </c>
      <c r="I312" s="70" t="s">
        <v>840</v>
      </c>
      <c r="J312" s="237" t="s">
        <v>132</v>
      </c>
      <c r="K312" s="237" t="s">
        <v>3</v>
      </c>
      <c r="L312" s="59" t="s">
        <v>6</v>
      </c>
      <c r="M312" s="60" t="s">
        <v>820</v>
      </c>
      <c r="N312" s="130"/>
      <c r="O312" s="172"/>
      <c r="P312" s="172"/>
      <c r="Q312" s="237" t="s">
        <v>140</v>
      </c>
      <c r="R312" s="79"/>
      <c r="S312" s="79"/>
      <c r="T312" s="58" t="s">
        <v>841</v>
      </c>
      <c r="U312" s="237">
        <v>2026</v>
      </c>
      <c r="V312" s="88">
        <v>46030</v>
      </c>
      <c r="W312" s="79"/>
      <c r="X312" s="88">
        <v>46035</v>
      </c>
      <c r="Y312" s="131">
        <v>625408</v>
      </c>
      <c r="Z312" s="131">
        <v>0</v>
      </c>
      <c r="AA312" s="131">
        <v>625408</v>
      </c>
      <c r="AB312" s="131">
        <v>0</v>
      </c>
      <c r="AC312" s="131">
        <v>625408</v>
      </c>
      <c r="AD312" s="131">
        <v>625408</v>
      </c>
      <c r="AE312" s="173" t="s">
        <v>102</v>
      </c>
      <c r="AF312" s="173"/>
      <c r="AG312" s="173"/>
      <c r="AH312" s="174"/>
      <c r="AI312" s="175"/>
      <c r="AJ312" s="174"/>
      <c r="AK312" s="176"/>
      <c r="AL312" s="174"/>
      <c r="AM312" s="181" t="s">
        <v>184</v>
      </c>
      <c r="AO312" s="184"/>
    </row>
    <row r="313" spans="1:45" ht="30" hidden="1" customHeight="1" x14ac:dyDescent="0.35">
      <c r="A313" s="38">
        <v>2026</v>
      </c>
      <c r="B313" s="59" t="s">
        <v>64</v>
      </c>
      <c r="C313" s="182" t="s">
        <v>140</v>
      </c>
      <c r="D313" s="237" t="s">
        <v>107</v>
      </c>
      <c r="E313" s="237">
        <v>1</v>
      </c>
      <c r="F313" s="58" t="s">
        <v>842</v>
      </c>
      <c r="G313" s="237" t="s">
        <v>121</v>
      </c>
      <c r="H313" s="59" t="s">
        <v>126</v>
      </c>
      <c r="I313" s="70" t="s">
        <v>843</v>
      </c>
      <c r="J313" s="237" t="s">
        <v>132</v>
      </c>
      <c r="K313" s="237" t="s">
        <v>3</v>
      </c>
      <c r="L313" s="59" t="s">
        <v>6</v>
      </c>
      <c r="M313" s="60" t="s">
        <v>820</v>
      </c>
      <c r="N313" s="130"/>
      <c r="O313" s="172"/>
      <c r="P313" s="172"/>
      <c r="Q313" s="237" t="s">
        <v>140</v>
      </c>
      <c r="R313" s="79"/>
      <c r="S313" s="79"/>
      <c r="T313" s="58" t="s">
        <v>841</v>
      </c>
      <c r="U313" s="237">
        <v>2026</v>
      </c>
      <c r="V313" s="88">
        <v>46030</v>
      </c>
      <c r="W313" s="79"/>
      <c r="X313" s="88">
        <v>46035</v>
      </c>
      <c r="Y313" s="131">
        <v>1156108.8</v>
      </c>
      <c r="Z313" s="131">
        <v>0</v>
      </c>
      <c r="AA313" s="131">
        <v>1156108.8</v>
      </c>
      <c r="AB313" s="131">
        <v>0</v>
      </c>
      <c r="AC313" s="131">
        <v>1156108.8</v>
      </c>
      <c r="AD313" s="131">
        <v>1156108.8</v>
      </c>
      <c r="AE313" s="173" t="s">
        <v>102</v>
      </c>
      <c r="AF313" s="173"/>
      <c r="AG313" s="173"/>
      <c r="AH313" s="174"/>
      <c r="AI313" s="175"/>
      <c r="AJ313" s="174"/>
      <c r="AK313" s="176"/>
      <c r="AL313" s="174"/>
      <c r="AM313" s="181" t="s">
        <v>184</v>
      </c>
      <c r="AO313" s="184"/>
    </row>
    <row r="314" spans="1:45" ht="30" hidden="1" customHeight="1" x14ac:dyDescent="0.35">
      <c r="A314" s="38">
        <v>2026</v>
      </c>
      <c r="B314" s="59" t="s">
        <v>64</v>
      </c>
      <c r="C314" s="182" t="s">
        <v>140</v>
      </c>
      <c r="D314" s="237" t="s">
        <v>107</v>
      </c>
      <c r="E314" s="237">
        <v>1</v>
      </c>
      <c r="F314" s="58" t="s">
        <v>844</v>
      </c>
      <c r="G314" s="237" t="s">
        <v>121</v>
      </c>
      <c r="H314" s="59" t="s">
        <v>126</v>
      </c>
      <c r="I314" s="70" t="s">
        <v>845</v>
      </c>
      <c r="J314" s="237" t="s">
        <v>132</v>
      </c>
      <c r="K314" s="237" t="s">
        <v>3</v>
      </c>
      <c r="L314" s="59" t="s">
        <v>6</v>
      </c>
      <c r="M314" s="60" t="s">
        <v>820</v>
      </c>
      <c r="N314" s="130"/>
      <c r="O314" s="172"/>
      <c r="P314" s="172"/>
      <c r="Q314" s="237" t="s">
        <v>140</v>
      </c>
      <c r="R314" s="79"/>
      <c r="S314" s="79"/>
      <c r="T314" s="58" t="s">
        <v>846</v>
      </c>
      <c r="U314" s="237">
        <v>2026</v>
      </c>
      <c r="V314" s="88">
        <v>46030</v>
      </c>
      <c r="W314" s="79"/>
      <c r="X314" s="88">
        <v>46035</v>
      </c>
      <c r="Y314" s="131">
        <v>817935.9</v>
      </c>
      <c r="Z314" s="131">
        <v>0</v>
      </c>
      <c r="AA314" s="131">
        <v>817935.9</v>
      </c>
      <c r="AB314" s="131">
        <v>0</v>
      </c>
      <c r="AC314" s="131">
        <v>817935.9</v>
      </c>
      <c r="AD314" s="131">
        <v>817935.9</v>
      </c>
      <c r="AE314" s="173" t="s">
        <v>102</v>
      </c>
      <c r="AF314" s="173"/>
      <c r="AG314" s="173"/>
      <c r="AH314" s="174"/>
      <c r="AI314" s="175"/>
      <c r="AJ314" s="174"/>
      <c r="AK314" s="176"/>
      <c r="AL314" s="174"/>
      <c r="AM314" s="181" t="s">
        <v>184</v>
      </c>
      <c r="AO314" s="184"/>
    </row>
    <row r="315" spans="1:45" ht="30" hidden="1" customHeight="1" x14ac:dyDescent="0.35">
      <c r="A315" s="38">
        <v>2026</v>
      </c>
      <c r="B315" s="59" t="s">
        <v>64</v>
      </c>
      <c r="C315" s="182" t="s">
        <v>140</v>
      </c>
      <c r="D315" s="237" t="s">
        <v>107</v>
      </c>
      <c r="E315" s="237">
        <v>1</v>
      </c>
      <c r="F315" s="58" t="s">
        <v>847</v>
      </c>
      <c r="G315" s="237" t="s">
        <v>121</v>
      </c>
      <c r="H315" s="59" t="s">
        <v>126</v>
      </c>
      <c r="I315" s="70" t="s">
        <v>848</v>
      </c>
      <c r="J315" s="237" t="s">
        <v>132</v>
      </c>
      <c r="K315" s="237" t="s">
        <v>3</v>
      </c>
      <c r="L315" s="59" t="s">
        <v>6</v>
      </c>
      <c r="M315" s="60" t="s">
        <v>820</v>
      </c>
      <c r="N315" s="130"/>
      <c r="O315" s="172"/>
      <c r="P315" s="172"/>
      <c r="Q315" s="237" t="s">
        <v>140</v>
      </c>
      <c r="R315" s="79"/>
      <c r="S315" s="79"/>
      <c r="T315" s="58" t="s">
        <v>849</v>
      </c>
      <c r="U315" s="237">
        <v>2026</v>
      </c>
      <c r="V315" s="88">
        <v>46030</v>
      </c>
      <c r="W315" s="79"/>
      <c r="X315" s="88">
        <v>46035</v>
      </c>
      <c r="Y315" s="131">
        <v>882000</v>
      </c>
      <c r="Z315" s="131">
        <v>0</v>
      </c>
      <c r="AA315" s="131">
        <v>882000</v>
      </c>
      <c r="AB315" s="131">
        <v>0</v>
      </c>
      <c r="AC315" s="131">
        <v>882000</v>
      </c>
      <c r="AD315" s="131">
        <v>882000</v>
      </c>
      <c r="AE315" s="173" t="s">
        <v>102</v>
      </c>
      <c r="AF315" s="173"/>
      <c r="AG315" s="173"/>
      <c r="AH315" s="174"/>
      <c r="AI315" s="175"/>
      <c r="AJ315" s="174"/>
      <c r="AK315" s="176"/>
      <c r="AL315" s="174"/>
      <c r="AM315" s="181" t="s">
        <v>184</v>
      </c>
      <c r="AO315" s="184"/>
    </row>
    <row r="316" spans="1:45" ht="30" hidden="1" customHeight="1" x14ac:dyDescent="0.35">
      <c r="A316" s="38">
        <v>2026</v>
      </c>
      <c r="B316" s="59" t="s">
        <v>64</v>
      </c>
      <c r="C316" s="182" t="s">
        <v>140</v>
      </c>
      <c r="D316" s="237" t="s">
        <v>107</v>
      </c>
      <c r="E316" s="237">
        <v>1</v>
      </c>
      <c r="F316" s="58" t="s">
        <v>850</v>
      </c>
      <c r="G316" s="237" t="s">
        <v>121</v>
      </c>
      <c r="H316" s="59" t="s">
        <v>126</v>
      </c>
      <c r="I316" s="70" t="s">
        <v>851</v>
      </c>
      <c r="J316" s="237" t="s">
        <v>132</v>
      </c>
      <c r="K316" s="237" t="s">
        <v>3</v>
      </c>
      <c r="L316" s="59" t="s">
        <v>6</v>
      </c>
      <c r="M316" s="60" t="s">
        <v>820</v>
      </c>
      <c r="N316" s="130"/>
      <c r="O316" s="172"/>
      <c r="P316" s="172"/>
      <c r="Q316" s="237" t="s">
        <v>140</v>
      </c>
      <c r="R316" s="79"/>
      <c r="S316" s="79"/>
      <c r="T316" s="58" t="s">
        <v>852</v>
      </c>
      <c r="U316" s="237">
        <v>2026</v>
      </c>
      <c r="V316" s="88">
        <v>46030</v>
      </c>
      <c r="W316" s="79"/>
      <c r="X316" s="88">
        <v>46035</v>
      </c>
      <c r="Y316" s="131">
        <v>991872</v>
      </c>
      <c r="Z316" s="131">
        <v>0</v>
      </c>
      <c r="AA316" s="131">
        <v>1190246.3999999999</v>
      </c>
      <c r="AB316" s="131">
        <v>0</v>
      </c>
      <c r="AC316" s="131">
        <v>991872</v>
      </c>
      <c r="AD316" s="131">
        <v>1190246.3999999999</v>
      </c>
      <c r="AE316" s="173" t="s">
        <v>102</v>
      </c>
      <c r="AF316" s="173"/>
      <c r="AG316" s="173"/>
      <c r="AH316" s="174"/>
      <c r="AI316" s="175"/>
      <c r="AJ316" s="174"/>
      <c r="AK316" s="176"/>
      <c r="AL316" s="174"/>
      <c r="AM316" s="181" t="s">
        <v>184</v>
      </c>
      <c r="AO316" s="184"/>
    </row>
    <row r="317" spans="1:45" ht="30" hidden="1" customHeight="1" x14ac:dyDescent="0.35">
      <c r="A317" s="38">
        <v>2026</v>
      </c>
      <c r="B317" s="59" t="s">
        <v>64</v>
      </c>
      <c r="C317" s="182" t="s">
        <v>140</v>
      </c>
      <c r="D317" s="237" t="s">
        <v>107</v>
      </c>
      <c r="E317" s="237">
        <v>1</v>
      </c>
      <c r="F317" s="58" t="s">
        <v>853</v>
      </c>
      <c r="G317" s="237" t="s">
        <v>121</v>
      </c>
      <c r="H317" s="59" t="s">
        <v>126</v>
      </c>
      <c r="I317" s="70" t="s">
        <v>854</v>
      </c>
      <c r="J317" s="237" t="s">
        <v>132</v>
      </c>
      <c r="K317" s="237" t="s">
        <v>3</v>
      </c>
      <c r="L317" s="59" t="s">
        <v>6</v>
      </c>
      <c r="M317" s="60" t="s">
        <v>820</v>
      </c>
      <c r="N317" s="130"/>
      <c r="O317" s="172"/>
      <c r="P317" s="172"/>
      <c r="Q317" s="237" t="s">
        <v>140</v>
      </c>
      <c r="R317" s="79"/>
      <c r="S317" s="79"/>
      <c r="T317" s="58" t="s">
        <v>852</v>
      </c>
      <c r="U317" s="237">
        <v>2026</v>
      </c>
      <c r="V317" s="88">
        <v>46030</v>
      </c>
      <c r="W317" s="79"/>
      <c r="X317" s="88">
        <v>46035</v>
      </c>
      <c r="Y317" s="131">
        <v>2334998.4</v>
      </c>
      <c r="Z317" s="131">
        <v>0</v>
      </c>
      <c r="AA317" s="131">
        <v>2334998.4</v>
      </c>
      <c r="AB317" s="131">
        <v>0</v>
      </c>
      <c r="AC317" s="131">
        <v>2334998.4</v>
      </c>
      <c r="AD317" s="131">
        <v>2334998.4</v>
      </c>
      <c r="AE317" s="173" t="s">
        <v>102</v>
      </c>
      <c r="AF317" s="173"/>
      <c r="AG317" s="173"/>
      <c r="AH317" s="174"/>
      <c r="AI317" s="175"/>
      <c r="AJ317" s="174"/>
      <c r="AK317" s="176"/>
      <c r="AL317" s="174"/>
      <c r="AM317" s="181" t="s">
        <v>184</v>
      </c>
      <c r="AO317" s="184"/>
    </row>
    <row r="318" spans="1:45" ht="30" hidden="1" customHeight="1" x14ac:dyDescent="0.35">
      <c r="A318" s="38">
        <v>2026</v>
      </c>
      <c r="B318" s="59" t="s">
        <v>64</v>
      </c>
      <c r="C318" s="182" t="s">
        <v>140</v>
      </c>
      <c r="D318" s="237" t="s">
        <v>107</v>
      </c>
      <c r="E318" s="237">
        <v>1</v>
      </c>
      <c r="F318" s="58" t="s">
        <v>855</v>
      </c>
      <c r="G318" s="237" t="s">
        <v>121</v>
      </c>
      <c r="H318" s="59" t="s">
        <v>126</v>
      </c>
      <c r="I318" s="70" t="s">
        <v>856</v>
      </c>
      <c r="J318" s="237" t="s">
        <v>132</v>
      </c>
      <c r="K318" s="237" t="s">
        <v>3</v>
      </c>
      <c r="L318" s="59" t="s">
        <v>6</v>
      </c>
      <c r="M318" s="60" t="s">
        <v>820</v>
      </c>
      <c r="N318" s="130"/>
      <c r="O318" s="172"/>
      <c r="P318" s="172"/>
      <c r="Q318" s="237" t="s">
        <v>140</v>
      </c>
      <c r="R318" s="79"/>
      <c r="S318" s="79"/>
      <c r="T318" s="58" t="s">
        <v>852</v>
      </c>
      <c r="U318" s="237">
        <v>2026</v>
      </c>
      <c r="V318" s="88">
        <v>46030</v>
      </c>
      <c r="W318" s="79"/>
      <c r="X318" s="88">
        <v>46035</v>
      </c>
      <c r="Y318" s="131">
        <v>1003520.1</v>
      </c>
      <c r="Z318" s="131">
        <v>0</v>
      </c>
      <c r="AA318" s="131">
        <v>1204224.1200000001</v>
      </c>
      <c r="AB318" s="131">
        <v>0</v>
      </c>
      <c r="AC318" s="131">
        <v>1003520.1</v>
      </c>
      <c r="AD318" s="131">
        <v>1204224.1200000001</v>
      </c>
      <c r="AE318" s="173" t="s">
        <v>102</v>
      </c>
      <c r="AF318" s="173"/>
      <c r="AG318" s="173"/>
      <c r="AH318" s="174"/>
      <c r="AI318" s="175"/>
      <c r="AJ318" s="174"/>
      <c r="AK318" s="176"/>
      <c r="AL318" s="174"/>
      <c r="AM318" s="181" t="s">
        <v>184</v>
      </c>
      <c r="AO318" s="184"/>
    </row>
    <row r="319" spans="1:45" ht="30" hidden="1" customHeight="1" x14ac:dyDescent="0.35">
      <c r="A319" s="38">
        <v>2026</v>
      </c>
      <c r="B319" s="59" t="s">
        <v>64</v>
      </c>
      <c r="C319" s="182" t="s">
        <v>140</v>
      </c>
      <c r="D319" s="237" t="s">
        <v>107</v>
      </c>
      <c r="E319" s="237">
        <v>1</v>
      </c>
      <c r="F319" s="58" t="s">
        <v>857</v>
      </c>
      <c r="G319" s="237" t="s">
        <v>121</v>
      </c>
      <c r="H319" s="59" t="s">
        <v>126</v>
      </c>
      <c r="I319" s="70" t="s">
        <v>858</v>
      </c>
      <c r="J319" s="237" t="s">
        <v>132</v>
      </c>
      <c r="K319" s="237" t="s">
        <v>3</v>
      </c>
      <c r="L319" s="59" t="s">
        <v>6</v>
      </c>
      <c r="M319" s="60" t="s">
        <v>820</v>
      </c>
      <c r="N319" s="130"/>
      <c r="O319" s="172"/>
      <c r="P319" s="172"/>
      <c r="Q319" s="237" t="s">
        <v>140</v>
      </c>
      <c r="R319" s="79"/>
      <c r="S319" s="79"/>
      <c r="T319" s="58" t="s">
        <v>852</v>
      </c>
      <c r="U319" s="237">
        <v>2026</v>
      </c>
      <c r="V319" s="88">
        <v>46030</v>
      </c>
      <c r="W319" s="79"/>
      <c r="X319" s="88">
        <v>46035</v>
      </c>
      <c r="Y319" s="131">
        <v>857919.9</v>
      </c>
      <c r="Z319" s="131">
        <v>0</v>
      </c>
      <c r="AA319" s="131">
        <v>1029503.88</v>
      </c>
      <c r="AB319" s="131">
        <v>0</v>
      </c>
      <c r="AC319" s="131">
        <v>857919.9</v>
      </c>
      <c r="AD319" s="131">
        <v>1029503.88</v>
      </c>
      <c r="AE319" s="173" t="s">
        <v>102</v>
      </c>
      <c r="AF319" s="173"/>
      <c r="AG319" s="173"/>
      <c r="AH319" s="174"/>
      <c r="AI319" s="175"/>
      <c r="AJ319" s="174"/>
      <c r="AK319" s="176"/>
      <c r="AL319" s="174"/>
      <c r="AM319" s="181" t="s">
        <v>184</v>
      </c>
      <c r="AO319" s="184"/>
    </row>
    <row r="320" spans="1:45" ht="30" hidden="1" customHeight="1" x14ac:dyDescent="0.35">
      <c r="A320" s="38">
        <v>2026</v>
      </c>
      <c r="B320" s="59" t="s">
        <v>64</v>
      </c>
      <c r="C320" s="182" t="s">
        <v>140</v>
      </c>
      <c r="D320" s="237" t="s">
        <v>107</v>
      </c>
      <c r="E320" s="237">
        <v>1</v>
      </c>
      <c r="F320" s="58" t="s">
        <v>859</v>
      </c>
      <c r="G320" s="237" t="s">
        <v>121</v>
      </c>
      <c r="H320" s="59" t="s">
        <v>126</v>
      </c>
      <c r="I320" s="70" t="s">
        <v>860</v>
      </c>
      <c r="J320" s="237" t="s">
        <v>132</v>
      </c>
      <c r="K320" s="237" t="s">
        <v>3</v>
      </c>
      <c r="L320" s="59" t="s">
        <v>6</v>
      </c>
      <c r="M320" s="60" t="s">
        <v>820</v>
      </c>
      <c r="N320" s="130"/>
      <c r="O320" s="172"/>
      <c r="P320" s="172"/>
      <c r="Q320" s="237" t="s">
        <v>140</v>
      </c>
      <c r="R320" s="79"/>
      <c r="S320" s="79"/>
      <c r="T320" s="58" t="s">
        <v>861</v>
      </c>
      <c r="U320" s="237">
        <v>2026</v>
      </c>
      <c r="V320" s="88">
        <v>46030</v>
      </c>
      <c r="W320" s="79"/>
      <c r="X320" s="88">
        <v>46035</v>
      </c>
      <c r="Y320" s="131">
        <v>491736</v>
      </c>
      <c r="Z320" s="131">
        <v>0</v>
      </c>
      <c r="AA320" s="131">
        <v>491736</v>
      </c>
      <c r="AB320" s="131">
        <v>0</v>
      </c>
      <c r="AC320" s="131">
        <v>491736</v>
      </c>
      <c r="AD320" s="131">
        <v>491736</v>
      </c>
      <c r="AE320" s="173" t="s">
        <v>102</v>
      </c>
      <c r="AF320" s="173"/>
      <c r="AG320" s="173"/>
      <c r="AH320" s="174"/>
      <c r="AI320" s="175"/>
      <c r="AJ320" s="174"/>
      <c r="AK320" s="176"/>
      <c r="AL320" s="174"/>
      <c r="AM320" s="181" t="s">
        <v>184</v>
      </c>
      <c r="AO320" s="184"/>
    </row>
    <row r="321" spans="1:41" ht="30" hidden="1" customHeight="1" x14ac:dyDescent="0.35">
      <c r="A321" s="38">
        <v>2026</v>
      </c>
      <c r="B321" s="59" t="s">
        <v>64</v>
      </c>
      <c r="C321" s="182" t="s">
        <v>140</v>
      </c>
      <c r="D321" s="237" t="s">
        <v>107</v>
      </c>
      <c r="E321" s="237">
        <v>1</v>
      </c>
      <c r="F321" s="58" t="s">
        <v>862</v>
      </c>
      <c r="G321" s="237" t="s">
        <v>121</v>
      </c>
      <c r="H321" s="59" t="s">
        <v>126</v>
      </c>
      <c r="I321" s="70" t="s">
        <v>863</v>
      </c>
      <c r="J321" s="237" t="s">
        <v>132</v>
      </c>
      <c r="K321" s="237" t="s">
        <v>3</v>
      </c>
      <c r="L321" s="59" t="s">
        <v>6</v>
      </c>
      <c r="M321" s="60" t="s">
        <v>820</v>
      </c>
      <c r="N321" s="130"/>
      <c r="O321" s="172"/>
      <c r="P321" s="172"/>
      <c r="Q321" s="237" t="s">
        <v>140</v>
      </c>
      <c r="R321" s="79"/>
      <c r="S321" s="79"/>
      <c r="T321" s="58" t="s">
        <v>861</v>
      </c>
      <c r="U321" s="237">
        <v>2026</v>
      </c>
      <c r="V321" s="88">
        <v>46030</v>
      </c>
      <c r="W321" s="79"/>
      <c r="X321" s="88">
        <v>46038</v>
      </c>
      <c r="Y321" s="131">
        <v>2335872</v>
      </c>
      <c r="Z321" s="131">
        <v>0</v>
      </c>
      <c r="AA321" s="131">
        <v>2335872</v>
      </c>
      <c r="AB321" s="131">
        <v>0</v>
      </c>
      <c r="AC321" s="131">
        <v>2335872</v>
      </c>
      <c r="AD321" s="131">
        <v>2335872</v>
      </c>
      <c r="AE321" s="173" t="s">
        <v>102</v>
      </c>
      <c r="AF321" s="173"/>
      <c r="AG321" s="173"/>
      <c r="AH321" s="174"/>
      <c r="AI321" s="175"/>
      <c r="AJ321" s="174"/>
      <c r="AK321" s="176"/>
      <c r="AL321" s="174"/>
      <c r="AM321" s="181" t="s">
        <v>184</v>
      </c>
      <c r="AO321" s="184"/>
    </row>
    <row r="322" spans="1:41" ht="30" hidden="1" customHeight="1" x14ac:dyDescent="0.35">
      <c r="A322" s="38">
        <v>2026</v>
      </c>
      <c r="B322" s="59" t="s">
        <v>64</v>
      </c>
      <c r="C322" s="182" t="s">
        <v>140</v>
      </c>
      <c r="D322" s="237" t="s">
        <v>107</v>
      </c>
      <c r="E322" s="237">
        <v>1</v>
      </c>
      <c r="F322" s="58" t="s">
        <v>864</v>
      </c>
      <c r="G322" s="237" t="s">
        <v>121</v>
      </c>
      <c r="H322" s="59" t="s">
        <v>126</v>
      </c>
      <c r="I322" s="70" t="s">
        <v>865</v>
      </c>
      <c r="J322" s="237" t="s">
        <v>132</v>
      </c>
      <c r="K322" s="237" t="s">
        <v>3</v>
      </c>
      <c r="L322" s="59" t="s">
        <v>6</v>
      </c>
      <c r="M322" s="60" t="s">
        <v>820</v>
      </c>
      <c r="N322" s="130"/>
      <c r="O322" s="172"/>
      <c r="P322" s="172"/>
      <c r="Q322" s="237" t="s">
        <v>140</v>
      </c>
      <c r="R322" s="79"/>
      <c r="S322" s="79"/>
      <c r="T322" s="58" t="s">
        <v>866</v>
      </c>
      <c r="U322" s="237">
        <v>2026</v>
      </c>
      <c r="V322" s="88">
        <v>46030</v>
      </c>
      <c r="W322" s="79"/>
      <c r="X322" s="88">
        <v>46038</v>
      </c>
      <c r="Y322" s="131">
        <v>1713936</v>
      </c>
      <c r="Z322" s="131">
        <v>0</v>
      </c>
      <c r="AA322" s="131">
        <v>1713936</v>
      </c>
      <c r="AB322" s="131">
        <v>0</v>
      </c>
      <c r="AC322" s="131">
        <v>1713936</v>
      </c>
      <c r="AD322" s="131">
        <v>1713936</v>
      </c>
      <c r="AE322" s="173" t="s">
        <v>102</v>
      </c>
      <c r="AF322" s="173"/>
      <c r="AG322" s="173"/>
      <c r="AH322" s="174"/>
      <c r="AI322" s="175"/>
      <c r="AJ322" s="174"/>
      <c r="AK322" s="176"/>
      <c r="AL322" s="174"/>
      <c r="AM322" s="181" t="s">
        <v>184</v>
      </c>
      <c r="AO322" s="184"/>
    </row>
    <row r="323" spans="1:41" ht="30" customHeight="1" x14ac:dyDescent="0.35">
      <c r="A323" s="38">
        <v>2026</v>
      </c>
      <c r="B323" s="59" t="s">
        <v>69</v>
      </c>
      <c r="C323" s="171" t="s">
        <v>173</v>
      </c>
      <c r="D323" s="237" t="s">
        <v>114</v>
      </c>
      <c r="E323" s="237">
        <v>1</v>
      </c>
      <c r="F323" s="58" t="s">
        <v>867</v>
      </c>
      <c r="G323" s="237" t="s">
        <v>121</v>
      </c>
      <c r="H323" s="59" t="s">
        <v>126</v>
      </c>
      <c r="I323" s="70" t="s">
        <v>868</v>
      </c>
      <c r="J323" s="237" t="s">
        <v>132</v>
      </c>
      <c r="K323" s="237" t="s">
        <v>3</v>
      </c>
      <c r="L323" s="59" t="s">
        <v>6</v>
      </c>
      <c r="M323" s="60" t="s">
        <v>869</v>
      </c>
      <c r="N323" s="130"/>
      <c r="O323" s="172"/>
      <c r="P323" s="172"/>
      <c r="Q323" s="237" t="s">
        <v>140</v>
      </c>
      <c r="R323" s="79"/>
      <c r="S323" s="79"/>
      <c r="T323" s="58" t="s">
        <v>870</v>
      </c>
      <c r="U323" s="237">
        <v>2026</v>
      </c>
      <c r="V323" s="88">
        <v>46031</v>
      </c>
      <c r="W323" s="79"/>
      <c r="X323" s="88">
        <v>46031</v>
      </c>
      <c r="Y323" s="131">
        <v>5300</v>
      </c>
      <c r="Z323" s="131">
        <v>0</v>
      </c>
      <c r="AA323" s="131">
        <v>6360</v>
      </c>
      <c r="AB323" s="131">
        <v>0</v>
      </c>
      <c r="AC323" s="131">
        <v>5300</v>
      </c>
      <c r="AD323" s="131">
        <v>6360</v>
      </c>
      <c r="AE323" s="173" t="s">
        <v>102</v>
      </c>
      <c r="AF323" s="173"/>
      <c r="AG323" s="173"/>
      <c r="AH323" s="174"/>
      <c r="AI323" s="175"/>
      <c r="AJ323" s="174"/>
      <c r="AK323" s="176"/>
      <c r="AL323" s="174"/>
      <c r="AM323" s="181" t="s">
        <v>184</v>
      </c>
      <c r="AN323" s="245" t="s">
        <v>178</v>
      </c>
      <c r="AO323" s="184"/>
    </row>
    <row r="324" spans="1:41" ht="30" customHeight="1" x14ac:dyDescent="0.35">
      <c r="A324" s="38">
        <v>2026</v>
      </c>
      <c r="B324" s="59" t="s">
        <v>77</v>
      </c>
      <c r="C324" s="182" t="s">
        <v>173</v>
      </c>
      <c r="D324" s="237" t="s">
        <v>114</v>
      </c>
      <c r="E324" s="237">
        <v>255</v>
      </c>
      <c r="F324" s="58" t="s">
        <v>871</v>
      </c>
      <c r="G324" s="237" t="s">
        <v>121</v>
      </c>
      <c r="H324" s="59" t="s">
        <v>126</v>
      </c>
      <c r="I324" s="70" t="s">
        <v>872</v>
      </c>
      <c r="J324" s="237" t="s">
        <v>132</v>
      </c>
      <c r="K324" s="237" t="s">
        <v>3</v>
      </c>
      <c r="L324" s="59" t="s">
        <v>6</v>
      </c>
      <c r="M324" s="58" t="s">
        <v>182</v>
      </c>
      <c r="N324" s="130"/>
      <c r="O324" s="172"/>
      <c r="P324" s="172"/>
      <c r="Q324" s="237" t="s">
        <v>138</v>
      </c>
      <c r="R324" s="79"/>
      <c r="S324" s="79"/>
      <c r="T324" s="58" t="s">
        <v>873</v>
      </c>
      <c r="U324" s="237">
        <v>2026</v>
      </c>
      <c r="V324" s="88">
        <v>46041</v>
      </c>
      <c r="W324" s="79"/>
      <c r="X324" s="88">
        <v>46045</v>
      </c>
      <c r="Y324" s="131">
        <v>146341.46</v>
      </c>
      <c r="Z324" s="131">
        <v>0</v>
      </c>
      <c r="AA324" s="131">
        <v>146341.46</v>
      </c>
      <c r="AB324" s="131">
        <v>0</v>
      </c>
      <c r="AC324" s="131">
        <v>146341.46</v>
      </c>
      <c r="AD324" s="131">
        <v>146341.46</v>
      </c>
      <c r="AE324" s="173" t="s">
        <v>102</v>
      </c>
      <c r="AF324" s="173"/>
      <c r="AG324" s="173"/>
      <c r="AH324" s="174"/>
      <c r="AI324" s="175"/>
      <c r="AJ324" s="174"/>
      <c r="AK324" s="176"/>
      <c r="AL324" s="174"/>
      <c r="AM324" s="181" t="s">
        <v>184</v>
      </c>
      <c r="AN324" s="245" t="s">
        <v>178</v>
      </c>
      <c r="AO324" s="184"/>
    </row>
    <row r="325" spans="1:41" ht="30" customHeight="1" x14ac:dyDescent="0.35">
      <c r="A325" s="38">
        <v>2026</v>
      </c>
      <c r="B325" s="59" t="s">
        <v>66</v>
      </c>
      <c r="C325" s="182" t="s">
        <v>173</v>
      </c>
      <c r="D325" s="237" t="s">
        <v>114</v>
      </c>
      <c r="E325" s="237">
        <v>1</v>
      </c>
      <c r="F325" s="58" t="s">
        <v>874</v>
      </c>
      <c r="G325" s="237" t="s">
        <v>121</v>
      </c>
      <c r="H325" s="59" t="s">
        <v>126</v>
      </c>
      <c r="I325" s="70" t="s">
        <v>875</v>
      </c>
      <c r="J325" s="237" t="s">
        <v>132</v>
      </c>
      <c r="K325" s="237" t="s">
        <v>3</v>
      </c>
      <c r="L325" s="59" t="s">
        <v>6</v>
      </c>
      <c r="M325" s="60" t="s">
        <v>27</v>
      </c>
      <c r="N325" s="130"/>
      <c r="O325" s="172"/>
      <c r="P325" s="172"/>
      <c r="Q325" s="237" t="s">
        <v>140</v>
      </c>
      <c r="R325" s="79"/>
      <c r="S325" s="79"/>
      <c r="T325" s="58" t="s">
        <v>876</v>
      </c>
      <c r="U325" s="237">
        <v>2026</v>
      </c>
      <c r="V325" s="88">
        <v>46041</v>
      </c>
      <c r="W325" s="79"/>
      <c r="X325" s="88">
        <v>46042</v>
      </c>
      <c r="Y325" s="131">
        <v>5600001.5999999996</v>
      </c>
      <c r="Z325" s="131">
        <v>0</v>
      </c>
      <c r="AA325" s="131">
        <v>6720001.9199999999</v>
      </c>
      <c r="AB325" s="131">
        <v>0</v>
      </c>
      <c r="AC325" s="131">
        <v>5600001.5999999996</v>
      </c>
      <c r="AD325" s="131">
        <v>6720001.9199999999</v>
      </c>
      <c r="AE325" s="173" t="s">
        <v>102</v>
      </c>
      <c r="AF325" s="173"/>
      <c r="AG325" s="173"/>
      <c r="AH325" s="174"/>
      <c r="AI325" s="175"/>
      <c r="AJ325" s="174"/>
      <c r="AK325" s="176"/>
      <c r="AL325" s="174"/>
      <c r="AM325" s="181" t="s">
        <v>184</v>
      </c>
      <c r="AN325" s="243" t="s">
        <v>178</v>
      </c>
      <c r="AO325" s="184"/>
    </row>
    <row r="326" spans="1:41" ht="30" hidden="1" customHeight="1" x14ac:dyDescent="0.35">
      <c r="A326" s="38">
        <v>2025</v>
      </c>
      <c r="B326" s="59" t="s">
        <v>60</v>
      </c>
      <c r="C326" s="58" t="s">
        <v>877</v>
      </c>
      <c r="D326" s="237" t="s">
        <v>106</v>
      </c>
      <c r="E326" s="237">
        <v>1</v>
      </c>
      <c r="F326" s="58" t="s">
        <v>878</v>
      </c>
      <c r="G326" s="237" t="s">
        <v>121</v>
      </c>
      <c r="H326" s="59" t="s">
        <v>126</v>
      </c>
      <c r="I326" s="70" t="s">
        <v>879</v>
      </c>
      <c r="J326" s="237" t="s">
        <v>131</v>
      </c>
      <c r="K326" s="237" t="s">
        <v>3</v>
      </c>
      <c r="L326" s="59" t="s">
        <v>6</v>
      </c>
      <c r="M326" s="60" t="s">
        <v>880</v>
      </c>
      <c r="N326" s="132">
        <v>11848790.83</v>
      </c>
      <c r="O326" s="187">
        <v>10066942.08</v>
      </c>
      <c r="P326" s="187">
        <f t="shared" ref="P326:P334" si="34">O326/1.2</f>
        <v>8389118.4000000004</v>
      </c>
      <c r="Q326" s="237" t="s">
        <v>139</v>
      </c>
      <c r="R326" s="39">
        <v>46054</v>
      </c>
      <c r="S326" s="39">
        <v>47150</v>
      </c>
      <c r="T326" s="58" t="s">
        <v>881</v>
      </c>
      <c r="U326" s="237">
        <v>2026</v>
      </c>
      <c r="V326" s="88">
        <v>46044</v>
      </c>
      <c r="W326" s="79"/>
      <c r="X326" s="88">
        <v>46049</v>
      </c>
      <c r="Y326" s="131">
        <f>AA326/1.2</f>
        <v>7666035.5083333328</v>
      </c>
      <c r="Z326" s="131">
        <v>0</v>
      </c>
      <c r="AA326" s="131">
        <v>9199242.6099999994</v>
      </c>
      <c r="AB326" s="131">
        <v>0</v>
      </c>
      <c r="AC326" s="131">
        <f>Y326</f>
        <v>7666035.5083333328</v>
      </c>
      <c r="AD326" s="131">
        <f>AA326</f>
        <v>9199242.6099999994</v>
      </c>
      <c r="AE326" s="173" t="s">
        <v>102</v>
      </c>
      <c r="AF326" s="173"/>
      <c r="AG326" s="173"/>
      <c r="AH326" s="174"/>
      <c r="AI326" s="175"/>
      <c r="AJ326" s="174"/>
      <c r="AK326" s="176"/>
      <c r="AL326" s="174"/>
      <c r="AM326" s="181" t="s">
        <v>882</v>
      </c>
      <c r="AO326" s="184"/>
    </row>
    <row r="327" spans="1:41" ht="30" hidden="1" customHeight="1" x14ac:dyDescent="0.35">
      <c r="A327" s="42">
        <v>2026</v>
      </c>
      <c r="B327" s="59" t="s">
        <v>60</v>
      </c>
      <c r="C327" s="65" t="s">
        <v>883</v>
      </c>
      <c r="D327" s="237" t="s">
        <v>106</v>
      </c>
      <c r="E327" s="237">
        <v>1</v>
      </c>
      <c r="F327" s="58" t="s">
        <v>884</v>
      </c>
      <c r="G327" s="237" t="s">
        <v>120</v>
      </c>
      <c r="H327" s="59" t="s">
        <v>120</v>
      </c>
      <c r="I327" s="70"/>
      <c r="J327" s="237" t="s">
        <v>130</v>
      </c>
      <c r="K327" s="237" t="s">
        <v>1</v>
      </c>
      <c r="L327" s="59" t="s">
        <v>7</v>
      </c>
      <c r="M327" s="60" t="s">
        <v>36</v>
      </c>
      <c r="N327" s="132">
        <f t="shared" ref="N327:N334" si="35">O327*1.2</f>
        <v>1999670.4</v>
      </c>
      <c r="O327" s="187">
        <v>1666392</v>
      </c>
      <c r="P327" s="187">
        <f t="shared" si="34"/>
        <v>1388660</v>
      </c>
      <c r="Q327" s="237" t="s">
        <v>138</v>
      </c>
      <c r="R327" s="79"/>
      <c r="S327" s="79"/>
      <c r="T327" s="58"/>
      <c r="U327" s="237"/>
      <c r="V327" s="83">
        <v>46041</v>
      </c>
      <c r="W327" s="88"/>
      <c r="X327" s="88"/>
      <c r="Y327" s="131"/>
      <c r="Z327" s="131">
        <v>0</v>
      </c>
      <c r="AA327" s="131"/>
      <c r="AB327" s="131">
        <v>0</v>
      </c>
      <c r="AC327" s="133"/>
      <c r="AD327" s="133"/>
      <c r="AE327" s="173" t="s">
        <v>99</v>
      </c>
      <c r="AF327" s="173"/>
      <c r="AG327" s="173"/>
      <c r="AH327" s="174"/>
      <c r="AI327" s="175"/>
      <c r="AJ327" s="174"/>
      <c r="AK327" s="176"/>
      <c r="AL327" s="174"/>
      <c r="AM327" s="188" t="s">
        <v>885</v>
      </c>
      <c r="AO327" s="184"/>
    </row>
    <row r="328" spans="1:41" ht="30" hidden="1" customHeight="1" x14ac:dyDescent="0.35">
      <c r="A328" s="42">
        <v>2026</v>
      </c>
      <c r="B328" s="59" t="s">
        <v>60</v>
      </c>
      <c r="C328" s="65" t="s">
        <v>883</v>
      </c>
      <c r="D328" s="237" t="s">
        <v>106</v>
      </c>
      <c r="E328" s="237">
        <v>2</v>
      </c>
      <c r="F328" s="58" t="s">
        <v>886</v>
      </c>
      <c r="G328" s="237" t="s">
        <v>120</v>
      </c>
      <c r="H328" s="59" t="s">
        <v>120</v>
      </c>
      <c r="I328" s="70"/>
      <c r="J328" s="237" t="s">
        <v>130</v>
      </c>
      <c r="K328" s="237" t="s">
        <v>1</v>
      </c>
      <c r="L328" s="59" t="s">
        <v>7</v>
      </c>
      <c r="M328" s="60" t="s">
        <v>36</v>
      </c>
      <c r="N328" s="132">
        <f t="shared" si="35"/>
        <v>587419.19999999995</v>
      </c>
      <c r="O328" s="187">
        <v>489516</v>
      </c>
      <c r="P328" s="187">
        <f t="shared" si="34"/>
        <v>407930</v>
      </c>
      <c r="Q328" s="237" t="s">
        <v>138</v>
      </c>
      <c r="R328" s="79"/>
      <c r="S328" s="79"/>
      <c r="T328" s="58"/>
      <c r="U328" s="237"/>
      <c r="V328" s="83">
        <v>46041</v>
      </c>
      <c r="W328" s="88"/>
      <c r="X328" s="88"/>
      <c r="Y328" s="131"/>
      <c r="Z328" s="131">
        <v>0</v>
      </c>
      <c r="AA328" s="131"/>
      <c r="AB328" s="131">
        <v>0</v>
      </c>
      <c r="AC328" s="133"/>
      <c r="AD328" s="133"/>
      <c r="AE328" s="173" t="s">
        <v>99</v>
      </c>
      <c r="AF328" s="173"/>
      <c r="AG328" s="173"/>
      <c r="AH328" s="174"/>
      <c r="AI328" s="175"/>
      <c r="AJ328" s="174"/>
      <c r="AK328" s="176"/>
      <c r="AL328" s="174"/>
      <c r="AM328" s="188" t="s">
        <v>885</v>
      </c>
      <c r="AO328" s="184"/>
    </row>
    <row r="329" spans="1:41" ht="30" hidden="1" customHeight="1" x14ac:dyDescent="0.35">
      <c r="A329" s="42">
        <v>2026</v>
      </c>
      <c r="B329" s="59" t="s">
        <v>60</v>
      </c>
      <c r="C329" s="65" t="s">
        <v>887</v>
      </c>
      <c r="D329" s="237" t="s">
        <v>106</v>
      </c>
      <c r="E329" s="237">
        <v>1</v>
      </c>
      <c r="F329" s="58" t="s">
        <v>888</v>
      </c>
      <c r="G329" s="237" t="s">
        <v>121</v>
      </c>
      <c r="H329" s="59" t="s">
        <v>128</v>
      </c>
      <c r="I329" s="70"/>
      <c r="J329" s="237" t="s">
        <v>130</v>
      </c>
      <c r="K329" s="237" t="s">
        <v>1</v>
      </c>
      <c r="L329" s="59" t="s">
        <v>7</v>
      </c>
      <c r="M329" s="60" t="s">
        <v>36</v>
      </c>
      <c r="N329" s="132">
        <f t="shared" si="35"/>
        <v>1427148</v>
      </c>
      <c r="O329" s="187">
        <v>1189290</v>
      </c>
      <c r="P329" s="187">
        <f t="shared" si="34"/>
        <v>991075</v>
      </c>
      <c r="Q329" s="237" t="s">
        <v>138</v>
      </c>
      <c r="R329" s="79"/>
      <c r="S329" s="79"/>
      <c r="T329" s="58"/>
      <c r="U329" s="237"/>
      <c r="V329" s="83">
        <v>46154</v>
      </c>
      <c r="W329" s="88"/>
      <c r="X329" s="88"/>
      <c r="Y329" s="131"/>
      <c r="Z329" s="131">
        <v>0</v>
      </c>
      <c r="AA329" s="131"/>
      <c r="AB329" s="131">
        <v>0</v>
      </c>
      <c r="AC329" s="133"/>
      <c r="AD329" s="133"/>
      <c r="AE329" s="173" t="s">
        <v>100</v>
      </c>
      <c r="AF329" s="173"/>
      <c r="AG329" s="173"/>
      <c r="AH329" s="174"/>
      <c r="AI329" s="175"/>
      <c r="AJ329" s="174"/>
      <c r="AK329" s="176"/>
      <c r="AL329" s="174"/>
      <c r="AM329" s="188" t="s">
        <v>885</v>
      </c>
      <c r="AO329" s="184"/>
    </row>
    <row r="330" spans="1:41" ht="30" hidden="1" customHeight="1" x14ac:dyDescent="0.35">
      <c r="A330" s="38">
        <v>2026</v>
      </c>
      <c r="B330" s="59" t="s">
        <v>60</v>
      </c>
      <c r="C330" s="58" t="s">
        <v>889</v>
      </c>
      <c r="D330" s="237" t="s">
        <v>106</v>
      </c>
      <c r="E330" s="237">
        <v>1</v>
      </c>
      <c r="F330" s="58" t="s">
        <v>890</v>
      </c>
      <c r="G330" s="237" t="s">
        <v>121</v>
      </c>
      <c r="H330" s="59" t="s">
        <v>127</v>
      </c>
      <c r="I330" s="70" t="s">
        <v>891</v>
      </c>
      <c r="J330" s="237" t="s">
        <v>130</v>
      </c>
      <c r="K330" s="237" t="s">
        <v>1</v>
      </c>
      <c r="L330" s="59" t="s">
        <v>7</v>
      </c>
      <c r="M330" s="60" t="s">
        <v>36</v>
      </c>
      <c r="N330" s="132">
        <f t="shared" si="35"/>
        <v>978984</v>
      </c>
      <c r="O330" s="187">
        <v>815820</v>
      </c>
      <c r="P330" s="187">
        <f t="shared" si="34"/>
        <v>679850</v>
      </c>
      <c r="Q330" s="237" t="s">
        <v>138</v>
      </c>
      <c r="R330" s="79"/>
      <c r="S330" s="79"/>
      <c r="T330" s="58" t="s">
        <v>892</v>
      </c>
      <c r="U330" s="237">
        <v>2026</v>
      </c>
      <c r="V330" s="88">
        <v>46041</v>
      </c>
      <c r="W330" s="88">
        <v>46062</v>
      </c>
      <c r="X330" s="88">
        <v>46163</v>
      </c>
      <c r="Y330" s="131">
        <f>AA330/1.2</f>
        <v>682616</v>
      </c>
      <c r="Z330" s="131">
        <v>0</v>
      </c>
      <c r="AA330" s="131">
        <v>819139.2</v>
      </c>
      <c r="AB330" s="131">
        <v>0</v>
      </c>
      <c r="AC330" s="131">
        <f>Y330</f>
        <v>682616</v>
      </c>
      <c r="AD330" s="131">
        <f>AA330</f>
        <v>819139.2</v>
      </c>
      <c r="AE330" s="173" t="s">
        <v>102</v>
      </c>
      <c r="AF330" s="173"/>
      <c r="AG330" s="173"/>
      <c r="AH330" s="174"/>
      <c r="AI330" s="175"/>
      <c r="AJ330" s="174"/>
      <c r="AK330" s="176"/>
      <c r="AL330" s="174"/>
      <c r="AM330" s="181" t="s">
        <v>184</v>
      </c>
      <c r="AO330" s="184"/>
    </row>
    <row r="331" spans="1:41" ht="30" hidden="1" customHeight="1" x14ac:dyDescent="0.35">
      <c r="A331" s="43">
        <v>2026</v>
      </c>
      <c r="B331" s="59" t="s">
        <v>60</v>
      </c>
      <c r="C331" s="58" t="s">
        <v>893</v>
      </c>
      <c r="D331" s="237" t="s">
        <v>106</v>
      </c>
      <c r="E331" s="237">
        <v>1</v>
      </c>
      <c r="F331" s="58" t="s">
        <v>894</v>
      </c>
      <c r="G331" s="237" t="s">
        <v>118</v>
      </c>
      <c r="H331" s="59" t="s">
        <v>118</v>
      </c>
      <c r="I331" s="171"/>
      <c r="J331" s="237" t="s">
        <v>131</v>
      </c>
      <c r="K331" s="237" t="s">
        <v>1</v>
      </c>
      <c r="L331" s="59" t="s">
        <v>7</v>
      </c>
      <c r="M331" s="60" t="s">
        <v>41</v>
      </c>
      <c r="N331" s="132">
        <f t="shared" si="35"/>
        <v>938592</v>
      </c>
      <c r="O331" s="187">
        <v>782160</v>
      </c>
      <c r="P331" s="187">
        <f t="shared" si="34"/>
        <v>651800</v>
      </c>
      <c r="Q331" s="237" t="s">
        <v>139</v>
      </c>
      <c r="R331" s="79"/>
      <c r="S331" s="79"/>
      <c r="T331" s="171"/>
      <c r="U331" s="180"/>
      <c r="V331" s="88">
        <v>46105</v>
      </c>
      <c r="W331" s="88">
        <v>46108</v>
      </c>
      <c r="X331" s="79"/>
      <c r="Y331" s="130">
        <v>0</v>
      </c>
      <c r="Z331" s="130">
        <v>0</v>
      </c>
      <c r="AA331" s="130">
        <v>0</v>
      </c>
      <c r="AB331" s="130">
        <v>0</v>
      </c>
      <c r="AC331" s="130">
        <v>0</v>
      </c>
      <c r="AD331" s="130">
        <v>0</v>
      </c>
      <c r="AE331" s="173" t="s">
        <v>103</v>
      </c>
      <c r="AF331" s="173"/>
      <c r="AG331" s="173"/>
      <c r="AH331" s="174"/>
      <c r="AI331" s="175"/>
      <c r="AJ331" s="174"/>
      <c r="AK331" s="176"/>
      <c r="AL331" s="174"/>
      <c r="AM331" s="189" t="s">
        <v>118</v>
      </c>
      <c r="AO331" s="184"/>
    </row>
    <row r="332" spans="1:41" ht="30" hidden="1" customHeight="1" x14ac:dyDescent="0.35">
      <c r="A332" s="43">
        <v>2026</v>
      </c>
      <c r="B332" s="59" t="s">
        <v>60</v>
      </c>
      <c r="C332" s="58" t="s">
        <v>893</v>
      </c>
      <c r="D332" s="237" t="s">
        <v>106</v>
      </c>
      <c r="E332" s="237">
        <v>2</v>
      </c>
      <c r="F332" s="58" t="s">
        <v>895</v>
      </c>
      <c r="G332" s="237" t="s">
        <v>118</v>
      </c>
      <c r="H332" s="59" t="s">
        <v>118</v>
      </c>
      <c r="I332" s="171"/>
      <c r="J332" s="237" t="s">
        <v>131</v>
      </c>
      <c r="K332" s="237" t="s">
        <v>3</v>
      </c>
      <c r="L332" s="59" t="s">
        <v>6</v>
      </c>
      <c r="M332" s="60" t="s">
        <v>15</v>
      </c>
      <c r="N332" s="132">
        <f t="shared" si="35"/>
        <v>241200</v>
      </c>
      <c r="O332" s="187">
        <v>201000</v>
      </c>
      <c r="P332" s="187">
        <f t="shared" si="34"/>
        <v>167500</v>
      </c>
      <c r="Q332" s="237" t="s">
        <v>139</v>
      </c>
      <c r="R332" s="79"/>
      <c r="S332" s="79"/>
      <c r="T332" s="171"/>
      <c r="U332" s="180"/>
      <c r="V332" s="88">
        <v>46105</v>
      </c>
      <c r="W332" s="88">
        <v>46108</v>
      </c>
      <c r="X332" s="79"/>
      <c r="Y332" s="130">
        <v>0</v>
      </c>
      <c r="Z332" s="130">
        <v>0</v>
      </c>
      <c r="AA332" s="130">
        <v>0</v>
      </c>
      <c r="AB332" s="130">
        <v>0</v>
      </c>
      <c r="AC332" s="130">
        <v>0</v>
      </c>
      <c r="AD332" s="130">
        <v>0</v>
      </c>
      <c r="AE332" s="173" t="s">
        <v>103</v>
      </c>
      <c r="AF332" s="173"/>
      <c r="AG332" s="173"/>
      <c r="AH332" s="174"/>
      <c r="AI332" s="175"/>
      <c r="AJ332" s="174"/>
      <c r="AK332" s="176"/>
      <c r="AL332" s="174"/>
      <c r="AM332" s="189" t="s">
        <v>118</v>
      </c>
      <c r="AO332" s="184"/>
    </row>
    <row r="333" spans="1:41" ht="30" hidden="1" customHeight="1" x14ac:dyDescent="0.35">
      <c r="A333" s="38">
        <v>2025</v>
      </c>
      <c r="B333" s="59" t="s">
        <v>55</v>
      </c>
      <c r="C333" s="58" t="s">
        <v>896</v>
      </c>
      <c r="D333" s="237" t="s">
        <v>106</v>
      </c>
      <c r="E333" s="237">
        <v>1</v>
      </c>
      <c r="F333" s="58" t="s">
        <v>897</v>
      </c>
      <c r="G333" s="237" t="s">
        <v>121</v>
      </c>
      <c r="H333" s="59" t="s">
        <v>126</v>
      </c>
      <c r="I333" s="70" t="s">
        <v>898</v>
      </c>
      <c r="J333" s="237" t="s">
        <v>130</v>
      </c>
      <c r="K333" s="237" t="s">
        <v>1</v>
      </c>
      <c r="L333" s="59" t="s">
        <v>7</v>
      </c>
      <c r="M333" s="60" t="s">
        <v>36</v>
      </c>
      <c r="N333" s="132">
        <f t="shared" si="35"/>
        <v>3368440.8</v>
      </c>
      <c r="O333" s="187">
        <v>2807034</v>
      </c>
      <c r="P333" s="187">
        <f t="shared" si="34"/>
        <v>2339195</v>
      </c>
      <c r="Q333" s="237" t="s">
        <v>138</v>
      </c>
      <c r="R333" s="79"/>
      <c r="S333" s="79"/>
      <c r="T333" s="58" t="s">
        <v>899</v>
      </c>
      <c r="U333" s="237">
        <v>2026</v>
      </c>
      <c r="V333" s="88">
        <v>46044</v>
      </c>
      <c r="W333" s="79"/>
      <c r="X333" s="88">
        <v>46049</v>
      </c>
      <c r="Y333" s="131">
        <f>AA333/1.2</f>
        <v>2690000</v>
      </c>
      <c r="Z333" s="131">
        <v>0</v>
      </c>
      <c r="AA333" s="131">
        <v>3228000</v>
      </c>
      <c r="AB333" s="131">
        <v>0</v>
      </c>
      <c r="AC333" s="131">
        <f>Y333</f>
        <v>2690000</v>
      </c>
      <c r="AD333" s="131">
        <f>AA333</f>
        <v>3228000</v>
      </c>
      <c r="AE333" s="173" t="s">
        <v>102</v>
      </c>
      <c r="AF333" s="173"/>
      <c r="AG333" s="173"/>
      <c r="AH333" s="174"/>
      <c r="AI333" s="175"/>
      <c r="AJ333" s="174"/>
      <c r="AK333" s="176"/>
      <c r="AL333" s="174"/>
      <c r="AM333" s="181" t="s">
        <v>184</v>
      </c>
      <c r="AO333" s="184"/>
    </row>
    <row r="334" spans="1:41" ht="30" hidden="1" customHeight="1" x14ac:dyDescent="0.35">
      <c r="A334" s="38">
        <v>2025</v>
      </c>
      <c r="B334" s="59" t="s">
        <v>55</v>
      </c>
      <c r="C334" s="58" t="s">
        <v>900</v>
      </c>
      <c r="D334" s="237" t="s">
        <v>106</v>
      </c>
      <c r="E334" s="237">
        <v>1</v>
      </c>
      <c r="F334" s="58" t="s">
        <v>901</v>
      </c>
      <c r="G334" s="237" t="s">
        <v>121</v>
      </c>
      <c r="H334" s="59" t="s">
        <v>126</v>
      </c>
      <c r="I334" s="70" t="s">
        <v>902</v>
      </c>
      <c r="J334" s="237" t="s">
        <v>130</v>
      </c>
      <c r="K334" s="237" t="s">
        <v>1</v>
      </c>
      <c r="L334" s="59" t="s">
        <v>7</v>
      </c>
      <c r="M334" s="60" t="s">
        <v>36</v>
      </c>
      <c r="N334" s="132">
        <f t="shared" si="35"/>
        <v>3071462.4</v>
      </c>
      <c r="O334" s="187">
        <v>2559552</v>
      </c>
      <c r="P334" s="187">
        <f t="shared" si="34"/>
        <v>2132960</v>
      </c>
      <c r="Q334" s="237" t="s">
        <v>138</v>
      </c>
      <c r="R334" s="79"/>
      <c r="S334" s="79"/>
      <c r="T334" s="58" t="s">
        <v>903</v>
      </c>
      <c r="U334" s="237">
        <v>2026</v>
      </c>
      <c r="V334" s="88">
        <v>46044</v>
      </c>
      <c r="W334" s="79"/>
      <c r="X334" s="88">
        <v>46049</v>
      </c>
      <c r="Y334" s="131">
        <f>AA334/1.2</f>
        <v>2081040</v>
      </c>
      <c r="Z334" s="131">
        <v>0</v>
      </c>
      <c r="AA334" s="131">
        <v>2497248</v>
      </c>
      <c r="AB334" s="131">
        <v>0</v>
      </c>
      <c r="AC334" s="131">
        <f>Y334</f>
        <v>2081040</v>
      </c>
      <c r="AD334" s="131">
        <f>AA334</f>
        <v>2497248</v>
      </c>
      <c r="AE334" s="173" t="s">
        <v>102</v>
      </c>
      <c r="AF334" s="173"/>
      <c r="AG334" s="173"/>
      <c r="AH334" s="174"/>
      <c r="AI334" s="175"/>
      <c r="AJ334" s="174"/>
      <c r="AK334" s="176"/>
      <c r="AL334" s="174"/>
      <c r="AM334" s="181" t="s">
        <v>184</v>
      </c>
      <c r="AO334" s="184"/>
    </row>
    <row r="335" spans="1:41" ht="30" customHeight="1" x14ac:dyDescent="0.35">
      <c r="A335" s="38">
        <v>2026</v>
      </c>
      <c r="B335" s="59" t="s">
        <v>69</v>
      </c>
      <c r="C335" s="171" t="s">
        <v>173</v>
      </c>
      <c r="D335" s="237" t="s">
        <v>114</v>
      </c>
      <c r="E335" s="237">
        <v>1</v>
      </c>
      <c r="F335" s="58" t="s">
        <v>904</v>
      </c>
      <c r="G335" s="237" t="s">
        <v>121</v>
      </c>
      <c r="H335" s="59" t="s">
        <v>126</v>
      </c>
      <c r="I335" s="70" t="s">
        <v>905</v>
      </c>
      <c r="J335" s="237" t="s">
        <v>132</v>
      </c>
      <c r="K335" s="237" t="s">
        <v>3</v>
      </c>
      <c r="L335" s="59" t="s">
        <v>6</v>
      </c>
      <c r="M335" s="60" t="s">
        <v>906</v>
      </c>
      <c r="N335" s="130"/>
      <c r="O335" s="172"/>
      <c r="P335" s="172"/>
      <c r="Q335" s="237" t="s">
        <v>139</v>
      </c>
      <c r="R335" s="79"/>
      <c r="S335" s="79"/>
      <c r="T335" s="58" t="s">
        <v>907</v>
      </c>
      <c r="U335" s="237">
        <v>2026</v>
      </c>
      <c r="V335" s="88">
        <v>46022</v>
      </c>
      <c r="W335" s="79"/>
      <c r="X335" s="88">
        <v>46024</v>
      </c>
      <c r="Y335" s="131">
        <v>80000</v>
      </c>
      <c r="Z335" s="131">
        <v>0</v>
      </c>
      <c r="AA335" s="131">
        <v>96000</v>
      </c>
      <c r="AB335" s="131">
        <v>0</v>
      </c>
      <c r="AC335" s="131">
        <f>Y335</f>
        <v>80000</v>
      </c>
      <c r="AD335" s="131">
        <f>AA335</f>
        <v>96000</v>
      </c>
      <c r="AE335" s="173" t="s">
        <v>102</v>
      </c>
      <c r="AF335" s="173"/>
      <c r="AG335" s="173"/>
      <c r="AH335" s="174"/>
      <c r="AI335" s="175"/>
      <c r="AJ335" s="174"/>
      <c r="AK335" s="176"/>
      <c r="AL335" s="174"/>
      <c r="AM335" s="181" t="s">
        <v>184</v>
      </c>
      <c r="AN335" s="245" t="s">
        <v>178</v>
      </c>
      <c r="AO335" s="190"/>
    </row>
    <row r="336" spans="1:41" ht="30" customHeight="1" x14ac:dyDescent="0.35">
      <c r="A336" s="38">
        <v>2026</v>
      </c>
      <c r="B336" s="59" t="s">
        <v>69</v>
      </c>
      <c r="C336" s="171" t="s">
        <v>173</v>
      </c>
      <c r="D336" s="237" t="s">
        <v>114</v>
      </c>
      <c r="E336" s="237">
        <v>1</v>
      </c>
      <c r="F336" s="58" t="s">
        <v>908</v>
      </c>
      <c r="G336" s="237" t="s">
        <v>121</v>
      </c>
      <c r="H336" s="59" t="s">
        <v>126</v>
      </c>
      <c r="I336" s="70" t="s">
        <v>909</v>
      </c>
      <c r="J336" s="237" t="s">
        <v>132</v>
      </c>
      <c r="K336" s="237" t="s">
        <v>3</v>
      </c>
      <c r="L336" s="59" t="s">
        <v>6</v>
      </c>
      <c r="M336" s="60" t="s">
        <v>906</v>
      </c>
      <c r="N336" s="130"/>
      <c r="O336" s="172"/>
      <c r="P336" s="172"/>
      <c r="Q336" s="237" t="s">
        <v>139</v>
      </c>
      <c r="R336" s="79"/>
      <c r="S336" s="79"/>
      <c r="T336" s="58" t="s">
        <v>910</v>
      </c>
      <c r="U336" s="237">
        <v>2026</v>
      </c>
      <c r="V336" s="88">
        <v>46022</v>
      </c>
      <c r="W336" s="79"/>
      <c r="X336" s="88">
        <v>46024</v>
      </c>
      <c r="Y336" s="131">
        <v>151200</v>
      </c>
      <c r="Z336" s="131">
        <v>0</v>
      </c>
      <c r="AA336" s="131">
        <v>181400</v>
      </c>
      <c r="AB336" s="131">
        <v>0</v>
      </c>
      <c r="AC336" s="131">
        <f>Y336</f>
        <v>151200</v>
      </c>
      <c r="AD336" s="131">
        <f>AA336</f>
        <v>181400</v>
      </c>
      <c r="AE336" s="173" t="s">
        <v>102</v>
      </c>
      <c r="AF336" s="173"/>
      <c r="AG336" s="173"/>
      <c r="AH336" s="174"/>
      <c r="AI336" s="175"/>
      <c r="AJ336" s="174"/>
      <c r="AK336" s="176"/>
      <c r="AL336" s="174"/>
      <c r="AM336" s="181" t="s">
        <v>184</v>
      </c>
      <c r="AN336" s="245" t="s">
        <v>178</v>
      </c>
      <c r="AO336" s="190"/>
    </row>
    <row r="337" spans="1:41" ht="30" customHeight="1" x14ac:dyDescent="0.35">
      <c r="A337" s="38">
        <v>2026</v>
      </c>
      <c r="B337" s="59" t="s">
        <v>69</v>
      </c>
      <c r="C337" s="171" t="s">
        <v>173</v>
      </c>
      <c r="D337" s="237" t="s">
        <v>114</v>
      </c>
      <c r="E337" s="237">
        <v>1</v>
      </c>
      <c r="F337" s="58" t="s">
        <v>911</v>
      </c>
      <c r="G337" s="237" t="s">
        <v>121</v>
      </c>
      <c r="H337" s="59" t="s">
        <v>126</v>
      </c>
      <c r="I337" s="70" t="s">
        <v>912</v>
      </c>
      <c r="J337" s="237" t="s">
        <v>132</v>
      </c>
      <c r="K337" s="237" t="s">
        <v>3</v>
      </c>
      <c r="L337" s="59" t="s">
        <v>6</v>
      </c>
      <c r="M337" s="60" t="s">
        <v>906</v>
      </c>
      <c r="N337" s="130"/>
      <c r="O337" s="172"/>
      <c r="P337" s="172"/>
      <c r="Q337" s="237" t="s">
        <v>139</v>
      </c>
      <c r="R337" s="79"/>
      <c r="S337" s="79"/>
      <c r="T337" s="58" t="s">
        <v>913</v>
      </c>
      <c r="U337" s="237">
        <v>2026</v>
      </c>
      <c r="V337" s="88">
        <v>46022</v>
      </c>
      <c r="W337" s="79"/>
      <c r="X337" s="88">
        <v>46024</v>
      </c>
      <c r="Y337" s="131">
        <v>80000</v>
      </c>
      <c r="Z337" s="131"/>
      <c r="AA337" s="131">
        <v>96000</v>
      </c>
      <c r="AB337" s="131"/>
      <c r="AC337" s="131">
        <f>Y337</f>
        <v>80000</v>
      </c>
      <c r="AD337" s="131">
        <f>AA337</f>
        <v>96000</v>
      </c>
      <c r="AE337" s="173" t="s">
        <v>102</v>
      </c>
      <c r="AF337" s="173"/>
      <c r="AG337" s="173"/>
      <c r="AH337" s="174"/>
      <c r="AI337" s="175"/>
      <c r="AJ337" s="174"/>
      <c r="AK337" s="176"/>
      <c r="AL337" s="174"/>
      <c r="AM337" s="181" t="s">
        <v>184</v>
      </c>
      <c r="AN337" s="245" t="s">
        <v>178</v>
      </c>
      <c r="AO337" s="190"/>
    </row>
    <row r="338" spans="1:41" ht="30" customHeight="1" x14ac:dyDescent="0.35">
      <c r="A338" s="38">
        <v>2026</v>
      </c>
      <c r="B338" s="59" t="s">
        <v>69</v>
      </c>
      <c r="C338" s="171" t="s">
        <v>173</v>
      </c>
      <c r="D338" s="237" t="s">
        <v>114</v>
      </c>
      <c r="E338" s="237">
        <v>1</v>
      </c>
      <c r="F338" s="58" t="s">
        <v>914</v>
      </c>
      <c r="G338" s="237" t="s">
        <v>121</v>
      </c>
      <c r="H338" s="59" t="s">
        <v>126</v>
      </c>
      <c r="I338" s="70" t="s">
        <v>915</v>
      </c>
      <c r="J338" s="237" t="s">
        <v>132</v>
      </c>
      <c r="K338" s="237" t="s">
        <v>3</v>
      </c>
      <c r="L338" s="59" t="s">
        <v>6</v>
      </c>
      <c r="M338" s="60" t="s">
        <v>906</v>
      </c>
      <c r="N338" s="130"/>
      <c r="O338" s="172"/>
      <c r="P338" s="172"/>
      <c r="Q338" s="237" t="s">
        <v>139</v>
      </c>
      <c r="R338" s="79"/>
      <c r="S338" s="79"/>
      <c r="T338" s="58" t="s">
        <v>916</v>
      </c>
      <c r="U338" s="237">
        <v>2026</v>
      </c>
      <c r="V338" s="88">
        <v>46022</v>
      </c>
      <c r="W338" s="79"/>
      <c r="X338" s="88">
        <v>46024</v>
      </c>
      <c r="Y338" s="131">
        <v>40000</v>
      </c>
      <c r="Z338" s="131"/>
      <c r="AA338" s="131">
        <v>48000</v>
      </c>
      <c r="AB338" s="131"/>
      <c r="AC338" s="131">
        <f>+Y338</f>
        <v>40000</v>
      </c>
      <c r="AD338" s="131">
        <f>+AA338</f>
        <v>48000</v>
      </c>
      <c r="AE338" s="173" t="s">
        <v>102</v>
      </c>
      <c r="AF338" s="173"/>
      <c r="AG338" s="173"/>
      <c r="AH338" s="174"/>
      <c r="AI338" s="175"/>
      <c r="AJ338" s="174"/>
      <c r="AK338" s="176"/>
      <c r="AL338" s="174"/>
      <c r="AM338" s="181" t="s">
        <v>184</v>
      </c>
      <c r="AN338" s="245" t="s">
        <v>178</v>
      </c>
      <c r="AO338" s="190"/>
    </row>
    <row r="339" spans="1:41" ht="30" hidden="1" customHeight="1" x14ac:dyDescent="0.35">
      <c r="A339" s="38">
        <v>2026</v>
      </c>
      <c r="B339" s="59" t="s">
        <v>77</v>
      </c>
      <c r="C339" s="171" t="s">
        <v>140</v>
      </c>
      <c r="D339" s="237" t="s">
        <v>107</v>
      </c>
      <c r="E339" s="237">
        <v>1</v>
      </c>
      <c r="F339" s="58" t="s">
        <v>917</v>
      </c>
      <c r="G339" s="237" t="s">
        <v>121</v>
      </c>
      <c r="H339" s="59" t="s">
        <v>126</v>
      </c>
      <c r="I339" s="70" t="s">
        <v>918</v>
      </c>
      <c r="J339" s="237" t="s">
        <v>132</v>
      </c>
      <c r="K339" s="237" t="s">
        <v>3</v>
      </c>
      <c r="L339" s="59" t="s">
        <v>6</v>
      </c>
      <c r="M339" s="60" t="s">
        <v>919</v>
      </c>
      <c r="N339" s="130"/>
      <c r="O339" s="172"/>
      <c r="P339" s="172"/>
      <c r="Q339" s="237" t="s">
        <v>140</v>
      </c>
      <c r="R339" s="79"/>
      <c r="S339" s="79"/>
      <c r="T339" s="58" t="s">
        <v>920</v>
      </c>
      <c r="U339" s="237">
        <v>2026</v>
      </c>
      <c r="V339" s="88">
        <v>46052</v>
      </c>
      <c r="W339" s="79"/>
      <c r="X339" s="88">
        <v>46055</v>
      </c>
      <c r="Y339" s="131">
        <f>AA339/1.2</f>
        <v>10504285.016666668</v>
      </c>
      <c r="Z339" s="131">
        <v>0</v>
      </c>
      <c r="AA339" s="131">
        <v>12605142.02</v>
      </c>
      <c r="AB339" s="131">
        <v>0</v>
      </c>
      <c r="AC339" s="131">
        <f>Y339</f>
        <v>10504285.016666668</v>
      </c>
      <c r="AD339" s="131">
        <f>AA339</f>
        <v>12605142.02</v>
      </c>
      <c r="AE339" s="173" t="s">
        <v>102</v>
      </c>
      <c r="AF339" s="173"/>
      <c r="AG339" s="173"/>
      <c r="AH339" s="174"/>
      <c r="AI339" s="175"/>
      <c r="AJ339" s="174"/>
      <c r="AK339" s="176"/>
      <c r="AL339" s="174"/>
      <c r="AM339" s="181" t="s">
        <v>184</v>
      </c>
      <c r="AO339" s="184"/>
    </row>
    <row r="340" spans="1:41" ht="30" customHeight="1" x14ac:dyDescent="0.35">
      <c r="A340" s="38">
        <v>2026</v>
      </c>
      <c r="B340" s="59" t="s">
        <v>70</v>
      </c>
      <c r="C340" s="58" t="s">
        <v>921</v>
      </c>
      <c r="D340" s="237" t="s">
        <v>114</v>
      </c>
      <c r="E340" s="237">
        <v>1</v>
      </c>
      <c r="F340" s="58" t="s">
        <v>922</v>
      </c>
      <c r="G340" s="237" t="s">
        <v>121</v>
      </c>
      <c r="H340" s="59" t="s">
        <v>126</v>
      </c>
      <c r="I340" s="70" t="s">
        <v>923</v>
      </c>
      <c r="J340" s="237" t="s">
        <v>132</v>
      </c>
      <c r="K340" s="237" t="s">
        <v>3</v>
      </c>
      <c r="L340" s="59" t="s">
        <v>6</v>
      </c>
      <c r="M340" s="60" t="s">
        <v>31</v>
      </c>
      <c r="N340" s="130"/>
      <c r="O340" s="172"/>
      <c r="P340" s="172"/>
      <c r="Q340" s="237" t="s">
        <v>138</v>
      </c>
      <c r="R340" s="79"/>
      <c r="S340" s="79"/>
      <c r="T340" s="58" t="s">
        <v>924</v>
      </c>
      <c r="U340" s="237">
        <v>2026</v>
      </c>
      <c r="V340" s="88">
        <v>46054</v>
      </c>
      <c r="W340" s="79"/>
      <c r="X340" s="88">
        <v>46055</v>
      </c>
      <c r="Y340" s="131">
        <v>4365400</v>
      </c>
      <c r="Z340" s="131">
        <v>0</v>
      </c>
      <c r="AA340" s="131">
        <v>5042037</v>
      </c>
      <c r="AB340" s="131">
        <v>0</v>
      </c>
      <c r="AC340" s="131">
        <v>4365400</v>
      </c>
      <c r="AD340" s="131">
        <f>AA340</f>
        <v>5042037</v>
      </c>
      <c r="AE340" s="173" t="s">
        <v>102</v>
      </c>
      <c r="AF340" s="173"/>
      <c r="AG340" s="173"/>
      <c r="AH340" s="174"/>
      <c r="AI340" s="175"/>
      <c r="AJ340" s="174"/>
      <c r="AK340" s="176"/>
      <c r="AL340" s="174"/>
      <c r="AM340" s="181" t="s">
        <v>184</v>
      </c>
      <c r="AN340" s="245" t="s">
        <v>178</v>
      </c>
      <c r="AO340" s="184"/>
    </row>
    <row r="341" spans="1:41" ht="30" hidden="1" customHeight="1" x14ac:dyDescent="0.35">
      <c r="A341" s="38">
        <v>2026</v>
      </c>
      <c r="B341" s="59" t="s">
        <v>60</v>
      </c>
      <c r="C341" s="58" t="s">
        <v>925</v>
      </c>
      <c r="D341" s="237" t="s">
        <v>106</v>
      </c>
      <c r="E341" s="237">
        <v>1</v>
      </c>
      <c r="F341" s="58" t="s">
        <v>926</v>
      </c>
      <c r="G341" s="237" t="s">
        <v>121</v>
      </c>
      <c r="H341" s="59" t="s">
        <v>126</v>
      </c>
      <c r="I341" s="70" t="s">
        <v>927</v>
      </c>
      <c r="J341" s="237" t="s">
        <v>131</v>
      </c>
      <c r="K341" s="237" t="s">
        <v>3</v>
      </c>
      <c r="L341" s="59" t="s">
        <v>6</v>
      </c>
      <c r="M341" s="60" t="s">
        <v>928</v>
      </c>
      <c r="N341" s="132">
        <f>O341*1.2</f>
        <v>8173483.1999999993</v>
      </c>
      <c r="O341" s="187">
        <v>6811236</v>
      </c>
      <c r="P341" s="187">
        <f>O341/1.2</f>
        <v>5676030</v>
      </c>
      <c r="Q341" s="237" t="s">
        <v>139</v>
      </c>
      <c r="R341" s="79"/>
      <c r="S341" s="79"/>
      <c r="T341" s="58" t="s">
        <v>929</v>
      </c>
      <c r="U341" s="237">
        <v>2026</v>
      </c>
      <c r="V341" s="88">
        <v>46056</v>
      </c>
      <c r="W341" s="88">
        <v>46071</v>
      </c>
      <c r="X341" s="88">
        <v>46136</v>
      </c>
      <c r="Y341" s="131">
        <v>4680562.9000000004</v>
      </c>
      <c r="Z341" s="131">
        <v>0</v>
      </c>
      <c r="AA341" s="131">
        <v>5616675.4800000004</v>
      </c>
      <c r="AB341" s="131">
        <v>0</v>
      </c>
      <c r="AC341" s="131">
        <f>Y341</f>
        <v>4680562.9000000004</v>
      </c>
      <c r="AD341" s="131">
        <f>AA341</f>
        <v>5616675.4800000004</v>
      </c>
      <c r="AE341" s="173" t="s">
        <v>102</v>
      </c>
      <c r="AF341" s="173"/>
      <c r="AG341" s="173"/>
      <c r="AH341" s="174"/>
      <c r="AI341" s="175"/>
      <c r="AJ341" s="174"/>
      <c r="AK341" s="176"/>
      <c r="AL341" s="174"/>
      <c r="AM341" s="181" t="s">
        <v>930</v>
      </c>
      <c r="AO341" s="184"/>
    </row>
    <row r="342" spans="1:41" ht="30" customHeight="1" x14ac:dyDescent="0.35">
      <c r="A342" s="38">
        <v>2025</v>
      </c>
      <c r="B342" s="59" t="s">
        <v>60</v>
      </c>
      <c r="C342" s="58" t="s">
        <v>931</v>
      </c>
      <c r="D342" s="237" t="s">
        <v>114</v>
      </c>
      <c r="E342" s="237">
        <v>516</v>
      </c>
      <c r="F342" s="58" t="s">
        <v>932</v>
      </c>
      <c r="G342" s="237" t="s">
        <v>121</v>
      </c>
      <c r="H342" s="59" t="s">
        <v>126</v>
      </c>
      <c r="I342" s="70" t="s">
        <v>933</v>
      </c>
      <c r="J342" s="237" t="s">
        <v>132</v>
      </c>
      <c r="K342" s="237" t="s">
        <v>3</v>
      </c>
      <c r="L342" s="59" t="s">
        <v>6</v>
      </c>
      <c r="M342" s="60" t="s">
        <v>26</v>
      </c>
      <c r="N342" s="130"/>
      <c r="O342" s="172"/>
      <c r="P342" s="172"/>
      <c r="Q342" s="237" t="s">
        <v>139</v>
      </c>
      <c r="R342" s="79"/>
      <c r="S342" s="79"/>
      <c r="T342" s="58" t="s">
        <v>934</v>
      </c>
      <c r="U342" s="237">
        <v>2026</v>
      </c>
      <c r="V342" s="88">
        <v>46057</v>
      </c>
      <c r="W342" s="79"/>
      <c r="X342" s="88">
        <v>46057</v>
      </c>
      <c r="Y342" s="131">
        <v>1163100</v>
      </c>
      <c r="Z342" s="131">
        <v>0</v>
      </c>
      <c r="AA342" s="131">
        <v>1290060</v>
      </c>
      <c r="AB342" s="131">
        <v>0</v>
      </c>
      <c r="AC342" s="131">
        <f>Y342</f>
        <v>1163100</v>
      </c>
      <c r="AD342" s="131">
        <f>AA342</f>
        <v>1290060</v>
      </c>
      <c r="AE342" s="173" t="s">
        <v>102</v>
      </c>
      <c r="AF342" s="173"/>
      <c r="AG342" s="173"/>
      <c r="AH342" s="174"/>
      <c r="AI342" s="175"/>
      <c r="AJ342" s="174"/>
      <c r="AK342" s="176"/>
      <c r="AL342" s="174"/>
      <c r="AM342" s="181" t="s">
        <v>935</v>
      </c>
      <c r="AN342" s="245" t="s">
        <v>178</v>
      </c>
      <c r="AO342" s="190"/>
    </row>
    <row r="343" spans="1:41" ht="30" customHeight="1" x14ac:dyDescent="0.35">
      <c r="A343" s="38">
        <v>2026</v>
      </c>
      <c r="B343" s="59" t="s">
        <v>77</v>
      </c>
      <c r="C343" s="171" t="s">
        <v>173</v>
      </c>
      <c r="D343" s="237" t="s">
        <v>114</v>
      </c>
      <c r="E343" s="237">
        <v>263</v>
      </c>
      <c r="F343" s="58" t="s">
        <v>936</v>
      </c>
      <c r="G343" s="237" t="s">
        <v>121</v>
      </c>
      <c r="H343" s="59" t="s">
        <v>126</v>
      </c>
      <c r="I343" s="70" t="s">
        <v>937</v>
      </c>
      <c r="J343" s="237" t="s">
        <v>132</v>
      </c>
      <c r="K343" s="237" t="s">
        <v>3</v>
      </c>
      <c r="L343" s="59" t="s">
        <v>6</v>
      </c>
      <c r="M343" s="58" t="s">
        <v>182</v>
      </c>
      <c r="N343" s="130"/>
      <c r="O343" s="172"/>
      <c r="P343" s="172"/>
      <c r="Q343" s="237" t="s">
        <v>139</v>
      </c>
      <c r="R343" s="79"/>
      <c r="S343" s="79"/>
      <c r="T343" s="58" t="s">
        <v>873</v>
      </c>
      <c r="U343" s="237">
        <v>2026</v>
      </c>
      <c r="V343" s="88">
        <v>46064</v>
      </c>
      <c r="W343" s="79"/>
      <c r="X343" s="88">
        <v>46066</v>
      </c>
      <c r="Y343" s="131">
        <v>60975.61</v>
      </c>
      <c r="Z343" s="131">
        <v>0</v>
      </c>
      <c r="AA343" s="131">
        <v>60975.61</v>
      </c>
      <c r="AB343" s="131">
        <v>0</v>
      </c>
      <c r="AC343" s="131">
        <f>+Y343</f>
        <v>60975.61</v>
      </c>
      <c r="AD343" s="131">
        <f>+Y343</f>
        <v>60975.61</v>
      </c>
      <c r="AE343" s="173" t="s">
        <v>102</v>
      </c>
      <c r="AF343" s="173"/>
      <c r="AG343" s="173"/>
      <c r="AH343" s="174"/>
      <c r="AI343" s="175"/>
      <c r="AJ343" s="174"/>
      <c r="AK343" s="176"/>
      <c r="AL343" s="174"/>
      <c r="AM343" s="181" t="s">
        <v>184</v>
      </c>
      <c r="AN343" s="245" t="s">
        <v>178</v>
      </c>
      <c r="AO343" s="184"/>
    </row>
    <row r="344" spans="1:41" ht="30" customHeight="1" x14ac:dyDescent="0.35">
      <c r="A344" s="38">
        <v>2026</v>
      </c>
      <c r="B344" s="59" t="s">
        <v>77</v>
      </c>
      <c r="C344" s="171" t="s">
        <v>173</v>
      </c>
      <c r="D344" s="237" t="s">
        <v>114</v>
      </c>
      <c r="E344" s="237">
        <v>263</v>
      </c>
      <c r="F344" s="58" t="s">
        <v>936</v>
      </c>
      <c r="G344" s="237" t="s">
        <v>121</v>
      </c>
      <c r="H344" s="59" t="s">
        <v>126</v>
      </c>
      <c r="I344" s="70" t="s">
        <v>938</v>
      </c>
      <c r="J344" s="237" t="s">
        <v>132</v>
      </c>
      <c r="K344" s="237" t="s">
        <v>3</v>
      </c>
      <c r="L344" s="59" t="s">
        <v>6</v>
      </c>
      <c r="M344" s="58" t="s">
        <v>182</v>
      </c>
      <c r="N344" s="130"/>
      <c r="O344" s="172"/>
      <c r="P344" s="172"/>
      <c r="Q344" s="237" t="s">
        <v>139</v>
      </c>
      <c r="R344" s="79"/>
      <c r="S344" s="79"/>
      <c r="T344" s="58" t="s">
        <v>939</v>
      </c>
      <c r="U344" s="237">
        <v>2026</v>
      </c>
      <c r="V344" s="88">
        <v>46064</v>
      </c>
      <c r="W344" s="79"/>
      <c r="X344" s="88">
        <v>46066</v>
      </c>
      <c r="Y344" s="131">
        <v>60975.61</v>
      </c>
      <c r="Z344" s="131">
        <v>0</v>
      </c>
      <c r="AA344" s="131">
        <v>60975.61</v>
      </c>
      <c r="AB344" s="131">
        <v>0</v>
      </c>
      <c r="AC344" s="131">
        <f>+Y344</f>
        <v>60975.61</v>
      </c>
      <c r="AD344" s="131">
        <f>+Y344</f>
        <v>60975.61</v>
      </c>
      <c r="AE344" s="173" t="s">
        <v>102</v>
      </c>
      <c r="AF344" s="173"/>
      <c r="AG344" s="173"/>
      <c r="AH344" s="174"/>
      <c r="AI344" s="175"/>
      <c r="AJ344" s="174"/>
      <c r="AK344" s="176"/>
      <c r="AL344" s="174"/>
      <c r="AM344" s="181" t="s">
        <v>184</v>
      </c>
      <c r="AN344" s="245" t="s">
        <v>178</v>
      </c>
      <c r="AO344" s="184"/>
    </row>
    <row r="345" spans="1:41" ht="30" customHeight="1" x14ac:dyDescent="0.35">
      <c r="A345" s="38">
        <v>2026</v>
      </c>
      <c r="B345" s="59" t="s">
        <v>77</v>
      </c>
      <c r="C345" s="171" t="s">
        <v>173</v>
      </c>
      <c r="D345" s="237" t="s">
        <v>114</v>
      </c>
      <c r="E345" s="237">
        <v>261</v>
      </c>
      <c r="F345" s="58" t="s">
        <v>940</v>
      </c>
      <c r="G345" s="237" t="s">
        <v>121</v>
      </c>
      <c r="H345" s="59" t="s">
        <v>126</v>
      </c>
      <c r="I345" s="70" t="s">
        <v>941</v>
      </c>
      <c r="J345" s="237" t="s">
        <v>132</v>
      </c>
      <c r="K345" s="237" t="s">
        <v>3</v>
      </c>
      <c r="L345" s="59" t="s">
        <v>6</v>
      </c>
      <c r="M345" s="58" t="s">
        <v>182</v>
      </c>
      <c r="N345" s="130"/>
      <c r="O345" s="172"/>
      <c r="P345" s="172"/>
      <c r="Q345" s="237" t="s">
        <v>139</v>
      </c>
      <c r="R345" s="79"/>
      <c r="S345" s="79"/>
      <c r="T345" s="58" t="s">
        <v>942</v>
      </c>
      <c r="U345" s="237">
        <v>2026</v>
      </c>
      <c r="V345" s="88">
        <v>46064</v>
      </c>
      <c r="W345" s="79"/>
      <c r="X345" s="88">
        <v>46066</v>
      </c>
      <c r="Y345" s="131">
        <v>317073.17</v>
      </c>
      <c r="Z345" s="131">
        <v>0</v>
      </c>
      <c r="AA345" s="131">
        <f>317073.17</f>
        <v>317073.17</v>
      </c>
      <c r="AB345" s="131">
        <v>0</v>
      </c>
      <c r="AC345" s="131">
        <f>Y345</f>
        <v>317073.17</v>
      </c>
      <c r="AD345" s="131">
        <f>AA345</f>
        <v>317073.17</v>
      </c>
      <c r="AE345" s="173" t="s">
        <v>102</v>
      </c>
      <c r="AF345" s="173"/>
      <c r="AG345" s="173"/>
      <c r="AH345" s="174"/>
      <c r="AI345" s="175"/>
      <c r="AJ345" s="174"/>
      <c r="AK345" s="176"/>
      <c r="AL345" s="174"/>
      <c r="AM345" s="181" t="s">
        <v>184</v>
      </c>
      <c r="AN345" s="245" t="s">
        <v>178</v>
      </c>
      <c r="AO345" s="184"/>
    </row>
    <row r="346" spans="1:41" ht="30" customHeight="1" x14ac:dyDescent="0.35">
      <c r="A346" s="38">
        <v>2026</v>
      </c>
      <c r="B346" s="59" t="s">
        <v>77</v>
      </c>
      <c r="C346" s="171" t="s">
        <v>173</v>
      </c>
      <c r="D346" s="237" t="s">
        <v>114</v>
      </c>
      <c r="E346" s="237">
        <v>261</v>
      </c>
      <c r="F346" s="58" t="s">
        <v>940</v>
      </c>
      <c r="G346" s="237" t="s">
        <v>121</v>
      </c>
      <c r="H346" s="59" t="s">
        <v>126</v>
      </c>
      <c r="I346" s="70" t="s">
        <v>943</v>
      </c>
      <c r="J346" s="237" t="s">
        <v>132</v>
      </c>
      <c r="K346" s="237" t="s">
        <v>3</v>
      </c>
      <c r="L346" s="59" t="s">
        <v>6</v>
      </c>
      <c r="M346" s="58" t="s">
        <v>182</v>
      </c>
      <c r="N346" s="130"/>
      <c r="O346" s="172"/>
      <c r="P346" s="172"/>
      <c r="Q346" s="237" t="s">
        <v>139</v>
      </c>
      <c r="R346" s="79"/>
      <c r="S346" s="79"/>
      <c r="T346" s="58" t="s">
        <v>944</v>
      </c>
      <c r="U346" s="237">
        <v>2026</v>
      </c>
      <c r="V346" s="88">
        <v>46064</v>
      </c>
      <c r="W346" s="79"/>
      <c r="X346" s="88">
        <v>46066</v>
      </c>
      <c r="Y346" s="131">
        <v>317073.17</v>
      </c>
      <c r="Z346" s="131">
        <v>0</v>
      </c>
      <c r="AA346" s="131">
        <f>317073.17</f>
        <v>317073.17</v>
      </c>
      <c r="AB346" s="131">
        <v>0</v>
      </c>
      <c r="AC346" s="131">
        <f>Y346</f>
        <v>317073.17</v>
      </c>
      <c r="AD346" s="131">
        <f>AA346</f>
        <v>317073.17</v>
      </c>
      <c r="AE346" s="173" t="s">
        <v>102</v>
      </c>
      <c r="AF346" s="173"/>
      <c r="AG346" s="173"/>
      <c r="AH346" s="174"/>
      <c r="AI346" s="175"/>
      <c r="AJ346" s="174"/>
      <c r="AK346" s="176"/>
      <c r="AL346" s="174"/>
      <c r="AM346" s="181" t="s">
        <v>184</v>
      </c>
      <c r="AN346" s="245" t="s">
        <v>178</v>
      </c>
      <c r="AO346" s="184"/>
    </row>
    <row r="347" spans="1:41" ht="30" customHeight="1" x14ac:dyDescent="0.35">
      <c r="A347" s="38">
        <v>2026</v>
      </c>
      <c r="B347" s="59" t="s">
        <v>77</v>
      </c>
      <c r="C347" s="171" t="s">
        <v>173</v>
      </c>
      <c r="D347" s="237" t="s">
        <v>114</v>
      </c>
      <c r="E347" s="237">
        <v>261</v>
      </c>
      <c r="F347" s="58" t="s">
        <v>940</v>
      </c>
      <c r="G347" s="237" t="s">
        <v>121</v>
      </c>
      <c r="H347" s="59" t="s">
        <v>126</v>
      </c>
      <c r="I347" s="70" t="s">
        <v>945</v>
      </c>
      <c r="J347" s="237" t="s">
        <v>132</v>
      </c>
      <c r="K347" s="237" t="s">
        <v>3</v>
      </c>
      <c r="L347" s="59" t="s">
        <v>6</v>
      </c>
      <c r="M347" s="58" t="s">
        <v>182</v>
      </c>
      <c r="N347" s="130"/>
      <c r="O347" s="172"/>
      <c r="P347" s="172"/>
      <c r="Q347" s="237" t="s">
        <v>139</v>
      </c>
      <c r="R347" s="79"/>
      <c r="S347" s="79"/>
      <c r="T347" s="58" t="s">
        <v>946</v>
      </c>
      <c r="U347" s="237">
        <v>2026</v>
      </c>
      <c r="V347" s="88">
        <v>46064</v>
      </c>
      <c r="W347" s="79"/>
      <c r="X347" s="88">
        <v>46066</v>
      </c>
      <c r="Y347" s="131">
        <v>260000</v>
      </c>
      <c r="Z347" s="131">
        <v>0</v>
      </c>
      <c r="AA347" s="131">
        <v>260000</v>
      </c>
      <c r="AB347" s="131">
        <v>0</v>
      </c>
      <c r="AC347" s="131">
        <v>260000</v>
      </c>
      <c r="AD347" s="131">
        <f>AA347</f>
        <v>260000</v>
      </c>
      <c r="AE347" s="173" t="s">
        <v>102</v>
      </c>
      <c r="AF347" s="173"/>
      <c r="AG347" s="173"/>
      <c r="AH347" s="174"/>
      <c r="AI347" s="175"/>
      <c r="AJ347" s="174"/>
      <c r="AK347" s="176"/>
      <c r="AL347" s="174"/>
      <c r="AM347" s="181" t="s">
        <v>184</v>
      </c>
      <c r="AN347" s="245" t="s">
        <v>178</v>
      </c>
      <c r="AO347" s="184"/>
    </row>
    <row r="348" spans="1:41" ht="30" hidden="1" customHeight="1" x14ac:dyDescent="0.35">
      <c r="A348" s="38">
        <v>2025</v>
      </c>
      <c r="B348" s="59" t="s">
        <v>60</v>
      </c>
      <c r="C348" s="58" t="s">
        <v>947</v>
      </c>
      <c r="D348" s="237" t="s">
        <v>106</v>
      </c>
      <c r="E348" s="237">
        <v>1</v>
      </c>
      <c r="F348" s="58" t="s">
        <v>948</v>
      </c>
      <c r="G348" s="237" t="s">
        <v>121</v>
      </c>
      <c r="H348" s="59" t="s">
        <v>126</v>
      </c>
      <c r="I348" s="70" t="s">
        <v>949</v>
      </c>
      <c r="J348" s="237" t="s">
        <v>131</v>
      </c>
      <c r="K348" s="237" t="s">
        <v>1</v>
      </c>
      <c r="L348" s="59" t="s">
        <v>7</v>
      </c>
      <c r="M348" s="60" t="s">
        <v>95</v>
      </c>
      <c r="N348" s="132">
        <f>O348*1.2</f>
        <v>1572336</v>
      </c>
      <c r="O348" s="187">
        <v>1310280</v>
      </c>
      <c r="P348" s="187">
        <f>O348/1.2</f>
        <v>1091900</v>
      </c>
      <c r="Q348" s="237" t="s">
        <v>138</v>
      </c>
      <c r="R348" s="79"/>
      <c r="S348" s="79"/>
      <c r="T348" s="58" t="s">
        <v>950</v>
      </c>
      <c r="U348" s="237">
        <v>2026</v>
      </c>
      <c r="V348" s="88">
        <v>46057</v>
      </c>
      <c r="W348" s="79"/>
      <c r="X348" s="88">
        <v>46063</v>
      </c>
      <c r="Y348" s="131">
        <f>AA348/1.2</f>
        <v>1307690</v>
      </c>
      <c r="Z348" s="131">
        <v>0</v>
      </c>
      <c r="AA348" s="131">
        <v>1569228</v>
      </c>
      <c r="AB348" s="131">
        <v>0</v>
      </c>
      <c r="AC348" s="131">
        <f>Y348</f>
        <v>1307690</v>
      </c>
      <c r="AD348" s="131">
        <f>AA348</f>
        <v>1569228</v>
      </c>
      <c r="AE348" s="173" t="s">
        <v>102</v>
      </c>
      <c r="AF348" s="173"/>
      <c r="AG348" s="173"/>
      <c r="AH348" s="174"/>
      <c r="AI348" s="175"/>
      <c r="AJ348" s="174"/>
      <c r="AK348" s="176"/>
      <c r="AL348" s="174"/>
      <c r="AM348" s="181" t="s">
        <v>184</v>
      </c>
      <c r="AO348" s="184"/>
    </row>
    <row r="349" spans="1:41" ht="30" customHeight="1" x14ac:dyDescent="0.35">
      <c r="A349" s="38">
        <v>2026</v>
      </c>
      <c r="B349" s="59" t="s">
        <v>63</v>
      </c>
      <c r="C349" s="171" t="s">
        <v>173</v>
      </c>
      <c r="D349" s="237" t="s">
        <v>114</v>
      </c>
      <c r="E349" s="237">
        <v>26</v>
      </c>
      <c r="F349" s="58" t="s">
        <v>951</v>
      </c>
      <c r="G349" s="237" t="s">
        <v>121</v>
      </c>
      <c r="H349" s="59" t="s">
        <v>126</v>
      </c>
      <c r="I349" s="70" t="s">
        <v>952</v>
      </c>
      <c r="J349" s="237" t="s">
        <v>132</v>
      </c>
      <c r="K349" s="237" t="s">
        <v>3</v>
      </c>
      <c r="L349" s="59" t="s">
        <v>6</v>
      </c>
      <c r="M349" s="60" t="s">
        <v>953</v>
      </c>
      <c r="N349" s="130"/>
      <c r="O349" s="172"/>
      <c r="P349" s="172"/>
      <c r="Q349" s="237" t="s">
        <v>140</v>
      </c>
      <c r="R349" s="79"/>
      <c r="S349" s="79"/>
      <c r="T349" s="58" t="s">
        <v>954</v>
      </c>
      <c r="U349" s="237">
        <v>2026</v>
      </c>
      <c r="V349" s="88">
        <v>46051</v>
      </c>
      <c r="W349" s="79"/>
      <c r="X349" s="88">
        <v>46052</v>
      </c>
      <c r="Y349" s="131">
        <v>150000</v>
      </c>
      <c r="Z349" s="131">
        <v>0</v>
      </c>
      <c r="AA349" s="131">
        <v>150000</v>
      </c>
      <c r="AB349" s="131">
        <v>0</v>
      </c>
      <c r="AC349" s="131">
        <f>AA349</f>
        <v>150000</v>
      </c>
      <c r="AD349" s="135">
        <f>AA349</f>
        <v>150000</v>
      </c>
      <c r="AE349" s="173" t="s">
        <v>102</v>
      </c>
      <c r="AF349" s="173"/>
      <c r="AG349" s="173"/>
      <c r="AH349" s="174"/>
      <c r="AI349" s="175"/>
      <c r="AJ349" s="174"/>
      <c r="AK349" s="176"/>
      <c r="AL349" s="174"/>
      <c r="AM349" s="181" t="s">
        <v>184</v>
      </c>
      <c r="AN349" s="245" t="s">
        <v>178</v>
      </c>
      <c r="AO349" s="184"/>
    </row>
    <row r="350" spans="1:41" ht="30" customHeight="1" x14ac:dyDescent="0.35">
      <c r="A350" s="38">
        <v>2026</v>
      </c>
      <c r="B350" s="59" t="s">
        <v>66</v>
      </c>
      <c r="C350" s="58" t="s">
        <v>955</v>
      </c>
      <c r="D350" s="237" t="s">
        <v>114</v>
      </c>
      <c r="E350" s="237">
        <v>1</v>
      </c>
      <c r="F350" s="58" t="s">
        <v>956</v>
      </c>
      <c r="G350" s="237" t="s">
        <v>121</v>
      </c>
      <c r="H350" s="59" t="s">
        <v>126</v>
      </c>
      <c r="I350" s="58" t="s">
        <v>957</v>
      </c>
      <c r="J350" s="237" t="s">
        <v>132</v>
      </c>
      <c r="K350" s="237" t="s">
        <v>3</v>
      </c>
      <c r="L350" s="59" t="s">
        <v>6</v>
      </c>
      <c r="M350" s="60" t="s">
        <v>27</v>
      </c>
      <c r="N350" s="130"/>
      <c r="O350" s="172"/>
      <c r="P350" s="172"/>
      <c r="Q350" s="237" t="s">
        <v>139</v>
      </c>
      <c r="R350" s="79"/>
      <c r="S350" s="79"/>
      <c r="T350" s="58" t="s">
        <v>958</v>
      </c>
      <c r="U350" s="237">
        <v>2026</v>
      </c>
      <c r="V350" s="88">
        <v>46062</v>
      </c>
      <c r="W350" s="79"/>
      <c r="X350" s="88">
        <v>46066</v>
      </c>
      <c r="Y350" s="131">
        <v>535000</v>
      </c>
      <c r="Z350" s="131">
        <v>0</v>
      </c>
      <c r="AA350" s="131">
        <v>642000</v>
      </c>
      <c r="AB350" s="131">
        <v>0</v>
      </c>
      <c r="AC350" s="131">
        <v>535000</v>
      </c>
      <c r="AD350" s="131">
        <v>642000</v>
      </c>
      <c r="AE350" s="173" t="s">
        <v>102</v>
      </c>
      <c r="AF350" s="173"/>
      <c r="AG350" s="173"/>
      <c r="AH350" s="174"/>
      <c r="AI350" s="175"/>
      <c r="AJ350" s="174"/>
      <c r="AK350" s="176"/>
      <c r="AL350" s="174"/>
      <c r="AM350" s="181" t="s">
        <v>184</v>
      </c>
      <c r="AN350" s="245" t="s">
        <v>178</v>
      </c>
      <c r="AO350" s="184"/>
    </row>
    <row r="351" spans="1:41" ht="30" hidden="1" customHeight="1" x14ac:dyDescent="0.35">
      <c r="A351" s="38">
        <v>2026</v>
      </c>
      <c r="B351" s="59" t="s">
        <v>55</v>
      </c>
      <c r="C351" s="58" t="s">
        <v>959</v>
      </c>
      <c r="D351" s="237" t="s">
        <v>106</v>
      </c>
      <c r="E351" s="237">
        <v>1</v>
      </c>
      <c r="F351" s="58" t="s">
        <v>960</v>
      </c>
      <c r="G351" s="237" t="s">
        <v>121</v>
      </c>
      <c r="H351" s="59" t="s">
        <v>126</v>
      </c>
      <c r="I351" s="70"/>
      <c r="J351" s="237" t="s">
        <v>131</v>
      </c>
      <c r="K351" s="237" t="s">
        <v>1</v>
      </c>
      <c r="L351" s="59" t="s">
        <v>7</v>
      </c>
      <c r="M351" s="60" t="s">
        <v>961</v>
      </c>
      <c r="N351" s="132">
        <f>O351*1.2</f>
        <v>1175040</v>
      </c>
      <c r="O351" s="187">
        <v>979200</v>
      </c>
      <c r="P351" s="187">
        <f>O351/1.2</f>
        <v>816000</v>
      </c>
      <c r="Q351" s="237" t="s">
        <v>138</v>
      </c>
      <c r="R351" s="79"/>
      <c r="S351" s="79"/>
      <c r="T351" s="58" t="s">
        <v>962</v>
      </c>
      <c r="U351" s="237"/>
      <c r="V351" s="88">
        <v>46064</v>
      </c>
      <c r="W351" s="88">
        <v>46084</v>
      </c>
      <c r="X351" s="88">
        <v>46213</v>
      </c>
      <c r="Y351" s="131">
        <f>AC351</f>
        <v>815810</v>
      </c>
      <c r="Z351" s="131">
        <v>0</v>
      </c>
      <c r="AA351" s="131">
        <f>AD351</f>
        <v>978972</v>
      </c>
      <c r="AB351" s="131">
        <v>0</v>
      </c>
      <c r="AC351" s="131">
        <f>AD351/1.2</f>
        <v>815810</v>
      </c>
      <c r="AD351" s="131">
        <v>978972</v>
      </c>
      <c r="AE351" s="173" t="s">
        <v>102</v>
      </c>
      <c r="AF351" s="173"/>
      <c r="AG351" s="173"/>
      <c r="AH351" s="174"/>
      <c r="AI351" s="175"/>
      <c r="AJ351" s="174"/>
      <c r="AK351" s="176"/>
      <c r="AL351" s="174"/>
      <c r="AM351" s="181" t="s">
        <v>184</v>
      </c>
      <c r="AO351" s="184"/>
    </row>
    <row r="352" spans="1:41" ht="30" hidden="1" customHeight="1" x14ac:dyDescent="0.35">
      <c r="A352" s="38">
        <v>2026</v>
      </c>
      <c r="B352" s="59" t="s">
        <v>55</v>
      </c>
      <c r="C352" s="58" t="s">
        <v>963</v>
      </c>
      <c r="D352" s="237" t="s">
        <v>106</v>
      </c>
      <c r="E352" s="237">
        <v>1</v>
      </c>
      <c r="F352" s="58" t="s">
        <v>964</v>
      </c>
      <c r="G352" s="237" t="s">
        <v>121</v>
      </c>
      <c r="H352" s="59" t="s">
        <v>127</v>
      </c>
      <c r="I352" s="70"/>
      <c r="J352" s="237" t="s">
        <v>130</v>
      </c>
      <c r="K352" s="237" t="s">
        <v>1</v>
      </c>
      <c r="L352" s="59" t="s">
        <v>7</v>
      </c>
      <c r="M352" s="60" t="s">
        <v>961</v>
      </c>
      <c r="N352" s="132">
        <f>O352*1.2</f>
        <v>3841200</v>
      </c>
      <c r="O352" s="187">
        <v>3201000</v>
      </c>
      <c r="P352" s="187">
        <f>O352/1.2</f>
        <v>2667500</v>
      </c>
      <c r="Q352" s="237" t="s">
        <v>138</v>
      </c>
      <c r="R352" s="79"/>
      <c r="S352" s="79"/>
      <c r="T352" s="58" t="s">
        <v>965</v>
      </c>
      <c r="U352" s="237"/>
      <c r="V352" s="88">
        <v>46064</v>
      </c>
      <c r="W352" s="88">
        <v>46077</v>
      </c>
      <c r="X352" s="88">
        <v>46188</v>
      </c>
      <c r="Y352" s="131">
        <f>AC352</f>
        <v>2334888</v>
      </c>
      <c r="Z352" s="131">
        <v>0</v>
      </c>
      <c r="AA352" s="131">
        <f>AD352</f>
        <v>2801865.6</v>
      </c>
      <c r="AB352" s="131">
        <v>0</v>
      </c>
      <c r="AC352" s="131">
        <f>AD352/1.2</f>
        <v>2334888</v>
      </c>
      <c r="AD352" s="131">
        <v>2801865.6</v>
      </c>
      <c r="AE352" s="173" t="s">
        <v>102</v>
      </c>
      <c r="AF352" s="173"/>
      <c r="AG352" s="173"/>
      <c r="AH352" s="174"/>
      <c r="AI352" s="175"/>
      <c r="AJ352" s="174"/>
      <c r="AK352" s="176"/>
      <c r="AL352" s="174"/>
      <c r="AM352" s="181" t="s">
        <v>184</v>
      </c>
      <c r="AO352" s="184"/>
    </row>
    <row r="353" spans="1:45" ht="30" hidden="1" customHeight="1" x14ac:dyDescent="0.35">
      <c r="A353" s="43">
        <v>2026</v>
      </c>
      <c r="B353" s="59" t="s">
        <v>55</v>
      </c>
      <c r="C353" s="58" t="s">
        <v>966</v>
      </c>
      <c r="D353" s="237" t="s">
        <v>106</v>
      </c>
      <c r="E353" s="237">
        <v>1</v>
      </c>
      <c r="F353" s="58" t="s">
        <v>967</v>
      </c>
      <c r="G353" s="237" t="s">
        <v>118</v>
      </c>
      <c r="H353" s="59" t="s">
        <v>118</v>
      </c>
      <c r="I353" s="171"/>
      <c r="J353" s="237" t="s">
        <v>130</v>
      </c>
      <c r="K353" s="237" t="s">
        <v>1</v>
      </c>
      <c r="L353" s="59" t="s">
        <v>7</v>
      </c>
      <c r="M353" s="60" t="s">
        <v>961</v>
      </c>
      <c r="N353" s="132">
        <f>O353*1.2</f>
        <v>1440000</v>
      </c>
      <c r="O353" s="187">
        <v>1200000</v>
      </c>
      <c r="P353" s="187">
        <f>O353/1.2</f>
        <v>1000000</v>
      </c>
      <c r="Q353" s="237" t="s">
        <v>138</v>
      </c>
      <c r="R353" s="79"/>
      <c r="S353" s="79"/>
      <c r="T353" s="171"/>
      <c r="U353" s="180"/>
      <c r="V353" s="88">
        <v>46064</v>
      </c>
      <c r="W353" s="88">
        <v>46077</v>
      </c>
      <c r="X353" s="79"/>
      <c r="Y353" s="130">
        <v>0</v>
      </c>
      <c r="Z353" s="130">
        <v>0</v>
      </c>
      <c r="AA353" s="130">
        <v>0</v>
      </c>
      <c r="AB353" s="130">
        <v>0</v>
      </c>
      <c r="AC353" s="130">
        <v>0</v>
      </c>
      <c r="AD353" s="130">
        <v>0</v>
      </c>
      <c r="AE353" s="173" t="s">
        <v>103</v>
      </c>
      <c r="AF353" s="173"/>
      <c r="AG353" s="173"/>
      <c r="AH353" s="174"/>
      <c r="AI353" s="175"/>
      <c r="AJ353" s="174"/>
      <c r="AK353" s="176"/>
      <c r="AL353" s="174"/>
      <c r="AM353" s="181" t="s">
        <v>184</v>
      </c>
      <c r="AO353" s="184"/>
    </row>
    <row r="354" spans="1:45" ht="30" hidden="1" customHeight="1" x14ac:dyDescent="0.35">
      <c r="A354" s="38">
        <v>2025</v>
      </c>
      <c r="B354" s="59" t="s">
        <v>711</v>
      </c>
      <c r="C354" s="58" t="s">
        <v>968</v>
      </c>
      <c r="D354" s="237" t="s">
        <v>106</v>
      </c>
      <c r="E354" s="237">
        <v>1</v>
      </c>
      <c r="F354" s="58" t="s">
        <v>969</v>
      </c>
      <c r="G354" s="237" t="s">
        <v>121</v>
      </c>
      <c r="H354" s="59" t="s">
        <v>126</v>
      </c>
      <c r="I354" s="58" t="s">
        <v>970</v>
      </c>
      <c r="J354" s="237" t="s">
        <v>131</v>
      </c>
      <c r="K354" s="237" t="s">
        <v>2</v>
      </c>
      <c r="L354" s="59" t="s">
        <v>7</v>
      </c>
      <c r="M354" s="60" t="s">
        <v>971</v>
      </c>
      <c r="N354" s="132">
        <f>O354*1.2</f>
        <v>2699409.6</v>
      </c>
      <c r="O354" s="187">
        <v>2249508</v>
      </c>
      <c r="P354" s="187">
        <f>O354/1.2</f>
        <v>1874590</v>
      </c>
      <c r="Q354" s="237" t="s">
        <v>138</v>
      </c>
      <c r="R354" s="79"/>
      <c r="S354" s="79"/>
      <c r="T354" s="58" t="s">
        <v>972</v>
      </c>
      <c r="U354" s="237">
        <v>2026</v>
      </c>
      <c r="V354" s="88">
        <v>46065</v>
      </c>
      <c r="W354" s="79"/>
      <c r="X354" s="88">
        <v>46066</v>
      </c>
      <c r="Y354" s="131">
        <f>AA354/1.2</f>
        <v>2240530</v>
      </c>
      <c r="Z354" s="131">
        <v>0</v>
      </c>
      <c r="AA354" s="131">
        <v>2688636</v>
      </c>
      <c r="AB354" s="131">
        <v>0</v>
      </c>
      <c r="AC354" s="131">
        <f>Y354</f>
        <v>2240530</v>
      </c>
      <c r="AD354" s="131">
        <f>AA354</f>
        <v>2688636</v>
      </c>
      <c r="AE354" s="173" t="s">
        <v>102</v>
      </c>
      <c r="AF354" s="173"/>
      <c r="AG354" s="173"/>
      <c r="AH354" s="174"/>
      <c r="AI354" s="175"/>
      <c r="AJ354" s="174"/>
      <c r="AK354" s="176"/>
      <c r="AL354" s="174"/>
      <c r="AM354" s="181" t="s">
        <v>184</v>
      </c>
      <c r="AO354" s="184"/>
    </row>
    <row r="355" spans="1:45" ht="30" customHeight="1" x14ac:dyDescent="0.35">
      <c r="A355" s="38" t="s">
        <v>358</v>
      </c>
      <c r="B355" s="59" t="s">
        <v>61</v>
      </c>
      <c r="C355" s="171" t="s">
        <v>141</v>
      </c>
      <c r="D355" s="237" t="s">
        <v>114</v>
      </c>
      <c r="E355" s="237">
        <v>1</v>
      </c>
      <c r="F355" s="58" t="s">
        <v>973</v>
      </c>
      <c r="G355" s="237" t="s">
        <v>121</v>
      </c>
      <c r="H355" s="59" t="s">
        <v>126</v>
      </c>
      <c r="I355" s="58">
        <v>21000544</v>
      </c>
      <c r="J355" s="237" t="s">
        <v>132</v>
      </c>
      <c r="K355" s="237" t="s">
        <v>3</v>
      </c>
      <c r="L355" s="59" t="s">
        <v>6</v>
      </c>
      <c r="M355" s="60" t="s">
        <v>25</v>
      </c>
      <c r="N355" s="130"/>
      <c r="O355" s="172"/>
      <c r="P355" s="172"/>
      <c r="Q355" s="237" t="s">
        <v>141</v>
      </c>
      <c r="R355" s="79"/>
      <c r="S355" s="79"/>
      <c r="T355" s="58" t="s">
        <v>974</v>
      </c>
      <c r="U355" s="237" t="s">
        <v>358</v>
      </c>
      <c r="V355" s="79"/>
      <c r="W355" s="79"/>
      <c r="X355" s="79"/>
      <c r="Y355" s="131">
        <f>AC355</f>
        <v>1476666.6666666667</v>
      </c>
      <c r="Z355" s="131">
        <v>0</v>
      </c>
      <c r="AA355" s="131">
        <f>AD355</f>
        <v>1772000</v>
      </c>
      <c r="AB355" s="131">
        <v>0</v>
      </c>
      <c r="AC355" s="131">
        <f>AD355/1.2</f>
        <v>1476666.6666666667</v>
      </c>
      <c r="AD355" s="131">
        <v>1772000</v>
      </c>
      <c r="AE355" s="173" t="s">
        <v>102</v>
      </c>
      <c r="AF355" s="173"/>
      <c r="AG355" s="173"/>
      <c r="AH355" s="174"/>
      <c r="AI355" s="175"/>
      <c r="AJ355" s="174"/>
      <c r="AK355" s="176"/>
      <c r="AL355" s="174"/>
      <c r="AM355" s="181" t="s">
        <v>184</v>
      </c>
      <c r="AN355" s="243" t="s">
        <v>178</v>
      </c>
      <c r="AO355" s="184"/>
    </row>
    <row r="356" spans="1:45" ht="30" customHeight="1" x14ac:dyDescent="0.35">
      <c r="A356" s="38" t="s">
        <v>358</v>
      </c>
      <c r="B356" s="59" t="s">
        <v>61</v>
      </c>
      <c r="C356" s="171" t="s">
        <v>141</v>
      </c>
      <c r="D356" s="237" t="s">
        <v>114</v>
      </c>
      <c r="E356" s="237" t="s">
        <v>975</v>
      </c>
      <c r="F356" s="58" t="s">
        <v>976</v>
      </c>
      <c r="G356" s="237" t="s">
        <v>121</v>
      </c>
      <c r="H356" s="59" t="s">
        <v>126</v>
      </c>
      <c r="I356" s="58">
        <v>21000315</v>
      </c>
      <c r="J356" s="237" t="s">
        <v>132</v>
      </c>
      <c r="K356" s="237" t="s">
        <v>3</v>
      </c>
      <c r="L356" s="59" t="s">
        <v>6</v>
      </c>
      <c r="M356" s="60" t="s">
        <v>25</v>
      </c>
      <c r="N356" s="130"/>
      <c r="O356" s="172"/>
      <c r="P356" s="172"/>
      <c r="Q356" s="237" t="s">
        <v>141</v>
      </c>
      <c r="R356" s="79"/>
      <c r="S356" s="79"/>
      <c r="T356" s="58" t="s">
        <v>977</v>
      </c>
      <c r="U356" s="237" t="s">
        <v>358</v>
      </c>
      <c r="V356" s="79"/>
      <c r="W356" s="79"/>
      <c r="X356" s="79"/>
      <c r="Y356" s="131">
        <f>AC356</f>
        <v>7410458.333333334</v>
      </c>
      <c r="Z356" s="131">
        <v>0</v>
      </c>
      <c r="AA356" s="131">
        <f>AD356</f>
        <v>8892550</v>
      </c>
      <c r="AB356" s="131">
        <v>0</v>
      </c>
      <c r="AC356" s="131">
        <f>AD356/1.2</f>
        <v>7410458.333333334</v>
      </c>
      <c r="AD356" s="131">
        <v>8892550</v>
      </c>
      <c r="AE356" s="173" t="s">
        <v>102</v>
      </c>
      <c r="AF356" s="173"/>
      <c r="AG356" s="173"/>
      <c r="AH356" s="174"/>
      <c r="AI356" s="175"/>
      <c r="AJ356" s="174"/>
      <c r="AK356" s="176"/>
      <c r="AL356" s="174"/>
      <c r="AM356" s="181" t="s">
        <v>184</v>
      </c>
      <c r="AN356" s="243" t="s">
        <v>178</v>
      </c>
      <c r="AO356" s="184"/>
    </row>
    <row r="357" spans="1:45" ht="30" customHeight="1" x14ac:dyDescent="0.35">
      <c r="A357" s="38">
        <v>2024</v>
      </c>
      <c r="B357" s="59" t="s">
        <v>61</v>
      </c>
      <c r="C357" s="171" t="s">
        <v>141</v>
      </c>
      <c r="D357" s="237" t="s">
        <v>114</v>
      </c>
      <c r="E357" s="237">
        <v>1</v>
      </c>
      <c r="F357" s="58" t="s">
        <v>978</v>
      </c>
      <c r="G357" s="237" t="s">
        <v>121</v>
      </c>
      <c r="H357" s="59" t="s">
        <v>126</v>
      </c>
      <c r="I357" s="58" t="s">
        <v>979</v>
      </c>
      <c r="J357" s="237" t="s">
        <v>132</v>
      </c>
      <c r="K357" s="237" t="s">
        <v>3</v>
      </c>
      <c r="L357" s="59" t="s">
        <v>6</v>
      </c>
      <c r="M357" s="60" t="s">
        <v>980</v>
      </c>
      <c r="N357" s="130"/>
      <c r="O357" s="172"/>
      <c r="P357" s="172"/>
      <c r="Q357" s="237" t="s">
        <v>141</v>
      </c>
      <c r="R357" s="79"/>
      <c r="S357" s="79"/>
      <c r="T357" s="58" t="s">
        <v>981</v>
      </c>
      <c r="U357" s="237">
        <v>2024</v>
      </c>
      <c r="V357" s="79"/>
      <c r="W357" s="79"/>
      <c r="X357" s="79"/>
      <c r="Y357" s="131">
        <v>329600</v>
      </c>
      <c r="Z357" s="131">
        <v>0</v>
      </c>
      <c r="AA357" s="131">
        <v>395520</v>
      </c>
      <c r="AB357" s="131">
        <v>0</v>
      </c>
      <c r="AC357" s="131">
        <v>329600</v>
      </c>
      <c r="AD357" s="131">
        <v>395520</v>
      </c>
      <c r="AE357" s="173" t="s">
        <v>102</v>
      </c>
      <c r="AF357" s="173"/>
      <c r="AG357" s="173"/>
      <c r="AH357" s="174"/>
      <c r="AI357" s="175"/>
      <c r="AJ357" s="174"/>
      <c r="AK357" s="176"/>
      <c r="AL357" s="174"/>
      <c r="AM357" s="181" t="s">
        <v>184</v>
      </c>
      <c r="AN357" s="243" t="s">
        <v>178</v>
      </c>
      <c r="AO357" s="184"/>
    </row>
    <row r="358" spans="1:45" ht="30" hidden="1" customHeight="1" x14ac:dyDescent="0.35">
      <c r="A358" s="43">
        <v>2026</v>
      </c>
      <c r="B358" s="59" t="s">
        <v>61</v>
      </c>
      <c r="C358" s="171" t="s">
        <v>119</v>
      </c>
      <c r="D358" s="237" t="s">
        <v>106</v>
      </c>
      <c r="E358" s="237">
        <v>1</v>
      </c>
      <c r="F358" s="58" t="s">
        <v>982</v>
      </c>
      <c r="G358" s="237" t="s">
        <v>119</v>
      </c>
      <c r="H358" s="59" t="s">
        <v>119</v>
      </c>
      <c r="I358" s="171"/>
      <c r="J358" s="237" t="s">
        <v>131</v>
      </c>
      <c r="K358" s="237" t="s">
        <v>3</v>
      </c>
      <c r="L358" s="59" t="s">
        <v>6</v>
      </c>
      <c r="M358" s="60" t="s">
        <v>980</v>
      </c>
      <c r="N358" s="132">
        <f>O358*1.2</f>
        <v>240000</v>
      </c>
      <c r="O358" s="187">
        <v>200000</v>
      </c>
      <c r="P358" s="187">
        <f>O358/1.2</f>
        <v>166666.66666666669</v>
      </c>
      <c r="Q358" s="237" t="s">
        <v>138</v>
      </c>
      <c r="R358" s="79"/>
      <c r="S358" s="79"/>
      <c r="T358" s="171"/>
      <c r="U358" s="180"/>
      <c r="V358" s="88">
        <v>46064</v>
      </c>
      <c r="W358" s="79"/>
      <c r="X358" s="79"/>
      <c r="Y358" s="131">
        <v>0</v>
      </c>
      <c r="Z358" s="131">
        <v>0</v>
      </c>
      <c r="AA358" s="131">
        <v>0</v>
      </c>
      <c r="AB358" s="131">
        <v>0</v>
      </c>
      <c r="AC358" s="131">
        <v>0</v>
      </c>
      <c r="AD358" s="131">
        <v>0</v>
      </c>
      <c r="AE358" s="173" t="s">
        <v>103</v>
      </c>
      <c r="AF358" s="173"/>
      <c r="AG358" s="173"/>
      <c r="AH358" s="174"/>
      <c r="AI358" s="175"/>
      <c r="AJ358" s="174"/>
      <c r="AK358" s="176"/>
      <c r="AL358" s="174"/>
      <c r="AM358" s="181" t="s">
        <v>184</v>
      </c>
      <c r="AO358" s="184"/>
    </row>
    <row r="359" spans="1:45" ht="30" hidden="1" customHeight="1" x14ac:dyDescent="0.35">
      <c r="A359" s="42">
        <v>2026</v>
      </c>
      <c r="B359" s="59" t="s">
        <v>61</v>
      </c>
      <c r="C359" s="65"/>
      <c r="D359" s="237" t="s">
        <v>106</v>
      </c>
      <c r="E359" s="237">
        <v>1</v>
      </c>
      <c r="F359" s="58" t="s">
        <v>983</v>
      </c>
      <c r="G359" s="237" t="s">
        <v>120</v>
      </c>
      <c r="H359" s="59" t="s">
        <v>120</v>
      </c>
      <c r="I359" s="70"/>
      <c r="J359" s="237" t="s">
        <v>131</v>
      </c>
      <c r="K359" s="237" t="s">
        <v>3</v>
      </c>
      <c r="L359" s="59" t="s">
        <v>6</v>
      </c>
      <c r="M359" s="60" t="s">
        <v>23</v>
      </c>
      <c r="N359" s="132">
        <f>O359*1.2</f>
        <v>240000</v>
      </c>
      <c r="O359" s="187">
        <v>200000</v>
      </c>
      <c r="P359" s="187">
        <f>O359/1.2</f>
        <v>166666.66666666669</v>
      </c>
      <c r="Q359" s="237" t="s">
        <v>139</v>
      </c>
      <c r="R359" s="79"/>
      <c r="S359" s="79"/>
      <c r="T359" s="58"/>
      <c r="U359" s="237"/>
      <c r="V359" s="88">
        <v>46077</v>
      </c>
      <c r="W359" s="83"/>
      <c r="X359" s="88"/>
      <c r="Y359" s="131"/>
      <c r="Z359" s="131">
        <v>0</v>
      </c>
      <c r="AA359" s="131"/>
      <c r="AB359" s="131">
        <v>0</v>
      </c>
      <c r="AC359" s="131"/>
      <c r="AD359" s="131"/>
      <c r="AE359" s="173" t="s">
        <v>99</v>
      </c>
      <c r="AF359" s="173"/>
      <c r="AG359" s="173"/>
      <c r="AH359" s="174"/>
      <c r="AI359" s="175"/>
      <c r="AJ359" s="174"/>
      <c r="AK359" s="176"/>
      <c r="AL359" s="174"/>
      <c r="AM359" s="177" t="s">
        <v>984</v>
      </c>
      <c r="AO359" s="184"/>
    </row>
    <row r="360" spans="1:45" ht="30" hidden="1" customHeight="1" x14ac:dyDescent="0.35">
      <c r="A360" s="38">
        <v>2026</v>
      </c>
      <c r="B360" s="59" t="s">
        <v>64</v>
      </c>
      <c r="C360" s="171" t="s">
        <v>985</v>
      </c>
      <c r="D360" s="237" t="s">
        <v>109</v>
      </c>
      <c r="E360" s="237">
        <v>1</v>
      </c>
      <c r="F360" s="58" t="s">
        <v>986</v>
      </c>
      <c r="G360" s="237" t="s">
        <v>121</v>
      </c>
      <c r="H360" s="59" t="s">
        <v>126</v>
      </c>
      <c r="I360" s="58" t="s">
        <v>985</v>
      </c>
      <c r="J360" s="237" t="s">
        <v>131</v>
      </c>
      <c r="K360" s="237" t="s">
        <v>3</v>
      </c>
      <c r="L360" s="59" t="s">
        <v>6</v>
      </c>
      <c r="M360" s="60" t="s">
        <v>980</v>
      </c>
      <c r="N360" s="130"/>
      <c r="O360" s="172"/>
      <c r="P360" s="172"/>
      <c r="Q360" s="237" t="s">
        <v>138</v>
      </c>
      <c r="R360" s="79"/>
      <c r="S360" s="79"/>
      <c r="T360" s="58" t="s">
        <v>987</v>
      </c>
      <c r="U360" s="237">
        <v>2026</v>
      </c>
      <c r="V360" s="88">
        <v>46038</v>
      </c>
      <c r="W360" s="79"/>
      <c r="X360" s="88">
        <v>46041</v>
      </c>
      <c r="Y360" s="131">
        <v>13900</v>
      </c>
      <c r="Z360" s="131">
        <v>0</v>
      </c>
      <c r="AA360" s="131">
        <v>13900</v>
      </c>
      <c r="AB360" s="131">
        <v>0</v>
      </c>
      <c r="AC360" s="131">
        <f>Y360</f>
        <v>13900</v>
      </c>
      <c r="AD360" s="131">
        <f>AA360</f>
        <v>13900</v>
      </c>
      <c r="AE360" s="173" t="s">
        <v>102</v>
      </c>
      <c r="AF360" s="173"/>
      <c r="AG360" s="173"/>
      <c r="AH360" s="174"/>
      <c r="AI360" s="175"/>
      <c r="AJ360" s="174"/>
      <c r="AK360" s="176"/>
      <c r="AL360" s="174"/>
      <c r="AM360" s="181" t="s">
        <v>184</v>
      </c>
      <c r="AO360" s="184"/>
    </row>
    <row r="361" spans="1:45" ht="30" hidden="1" customHeight="1" x14ac:dyDescent="0.35">
      <c r="A361" s="38">
        <v>2026</v>
      </c>
      <c r="B361" s="59" t="s">
        <v>64</v>
      </c>
      <c r="C361" s="58" t="s">
        <v>988</v>
      </c>
      <c r="D361" s="237" t="s">
        <v>109</v>
      </c>
      <c r="E361" s="237"/>
      <c r="F361" s="58" t="s">
        <v>989</v>
      </c>
      <c r="G361" s="237" t="s">
        <v>121</v>
      </c>
      <c r="H361" s="59" t="s">
        <v>126</v>
      </c>
      <c r="I361" s="58" t="s">
        <v>988</v>
      </c>
      <c r="J361" s="237" t="s">
        <v>131</v>
      </c>
      <c r="K361" s="237" t="s">
        <v>3</v>
      </c>
      <c r="L361" s="59" t="s">
        <v>6</v>
      </c>
      <c r="M361" s="60" t="s">
        <v>16</v>
      </c>
      <c r="N361" s="130"/>
      <c r="O361" s="172"/>
      <c r="P361" s="172"/>
      <c r="Q361" s="237" t="s">
        <v>138</v>
      </c>
      <c r="R361" s="79"/>
      <c r="S361" s="79"/>
      <c r="T361" s="58" t="s">
        <v>990</v>
      </c>
      <c r="U361" s="237">
        <v>2026</v>
      </c>
      <c r="V361" s="88">
        <v>46038</v>
      </c>
      <c r="W361" s="79"/>
      <c r="X361" s="88">
        <v>46041</v>
      </c>
      <c r="Y361" s="131">
        <v>21600</v>
      </c>
      <c r="Z361" s="131">
        <v>0</v>
      </c>
      <c r="AA361" s="131">
        <v>21600</v>
      </c>
      <c r="AB361" s="131">
        <v>0</v>
      </c>
      <c r="AC361" s="131">
        <f>Y361</f>
        <v>21600</v>
      </c>
      <c r="AD361" s="131">
        <f>AA361</f>
        <v>21600</v>
      </c>
      <c r="AE361" s="173" t="s">
        <v>102</v>
      </c>
      <c r="AF361" s="173"/>
      <c r="AG361" s="173"/>
      <c r="AH361" s="174"/>
      <c r="AI361" s="175"/>
      <c r="AJ361" s="174"/>
      <c r="AK361" s="176"/>
      <c r="AL361" s="174"/>
      <c r="AM361" s="181" t="s">
        <v>184</v>
      </c>
      <c r="AO361" s="184"/>
    </row>
    <row r="362" spans="1:45" ht="30" hidden="1" customHeight="1" x14ac:dyDescent="0.35">
      <c r="A362" s="43">
        <v>2026</v>
      </c>
      <c r="B362" s="59" t="s">
        <v>60</v>
      </c>
      <c r="C362" s="171" t="s">
        <v>119</v>
      </c>
      <c r="D362" s="237" t="s">
        <v>106</v>
      </c>
      <c r="E362" s="237">
        <v>1</v>
      </c>
      <c r="F362" s="58" t="s">
        <v>991</v>
      </c>
      <c r="G362" s="237" t="s">
        <v>119</v>
      </c>
      <c r="H362" s="59" t="s">
        <v>119</v>
      </c>
      <c r="I362" s="171"/>
      <c r="J362" s="237" t="s">
        <v>130</v>
      </c>
      <c r="K362" s="237" t="s">
        <v>1</v>
      </c>
      <c r="L362" s="59" t="s">
        <v>7</v>
      </c>
      <c r="M362" s="60" t="s">
        <v>36</v>
      </c>
      <c r="N362" s="132">
        <f>O362*1.2</f>
        <v>576000</v>
      </c>
      <c r="O362" s="187">
        <v>480000</v>
      </c>
      <c r="P362" s="187">
        <f>O362/1.2</f>
        <v>400000</v>
      </c>
      <c r="Q362" s="237" t="s">
        <v>138</v>
      </c>
      <c r="R362" s="79"/>
      <c r="S362" s="79"/>
      <c r="T362" s="171"/>
      <c r="U362" s="180"/>
      <c r="V362" s="88">
        <v>46072</v>
      </c>
      <c r="W362" s="79"/>
      <c r="X362" s="79"/>
      <c r="Y362" s="131">
        <v>0</v>
      </c>
      <c r="Z362" s="131">
        <v>0</v>
      </c>
      <c r="AA362" s="131">
        <v>0</v>
      </c>
      <c r="AB362" s="131">
        <v>0</v>
      </c>
      <c r="AC362" s="131">
        <v>0</v>
      </c>
      <c r="AD362" s="131">
        <v>0</v>
      </c>
      <c r="AE362" s="173" t="s">
        <v>103</v>
      </c>
      <c r="AF362" s="173"/>
      <c r="AG362" s="173"/>
      <c r="AH362" s="174"/>
      <c r="AI362" s="175"/>
      <c r="AJ362" s="174"/>
      <c r="AK362" s="176"/>
      <c r="AL362" s="174"/>
      <c r="AM362" s="181" t="s">
        <v>992</v>
      </c>
      <c r="AO362" s="184"/>
    </row>
    <row r="363" spans="1:45" s="37" customFormat="1" ht="30" hidden="1" customHeight="1" x14ac:dyDescent="0.35">
      <c r="A363" s="44">
        <v>2026</v>
      </c>
      <c r="B363" s="47" t="s">
        <v>60</v>
      </c>
      <c r="C363" s="66"/>
      <c r="D363" s="45" t="s">
        <v>106</v>
      </c>
      <c r="E363" s="45">
        <v>2</v>
      </c>
      <c r="F363" s="46" t="s">
        <v>993</v>
      </c>
      <c r="G363" s="45" t="s">
        <v>120</v>
      </c>
      <c r="H363" s="47" t="s">
        <v>120</v>
      </c>
      <c r="I363" s="71"/>
      <c r="J363" s="45" t="s">
        <v>130</v>
      </c>
      <c r="K363" s="45" t="s">
        <v>3</v>
      </c>
      <c r="L363" s="47" t="s">
        <v>7</v>
      </c>
      <c r="M363" s="48" t="s">
        <v>36</v>
      </c>
      <c r="N363" s="136">
        <f>O363*1.2</f>
        <v>550080</v>
      </c>
      <c r="O363" s="191">
        <v>458400</v>
      </c>
      <c r="P363" s="191">
        <f>O363/1.2</f>
        <v>382000</v>
      </c>
      <c r="Q363" s="45" t="s">
        <v>138</v>
      </c>
      <c r="R363" s="80"/>
      <c r="S363" s="80"/>
      <c r="T363" s="46"/>
      <c r="U363" s="45"/>
      <c r="V363" s="84"/>
      <c r="W363" s="90"/>
      <c r="X363" s="90"/>
      <c r="Y363" s="137"/>
      <c r="Z363" s="137"/>
      <c r="AA363" s="137"/>
      <c r="AB363" s="137"/>
      <c r="AC363" s="137"/>
      <c r="AD363" s="137"/>
      <c r="AE363" s="192" t="s">
        <v>99</v>
      </c>
      <c r="AF363" s="173"/>
      <c r="AG363" s="173"/>
      <c r="AH363" s="174"/>
      <c r="AI363" s="175"/>
      <c r="AJ363" s="174"/>
      <c r="AK363" s="176"/>
      <c r="AL363" s="174"/>
      <c r="AM363" s="193" t="s">
        <v>994</v>
      </c>
      <c r="AN363" s="194"/>
      <c r="AO363" s="195"/>
      <c r="AP363" s="196"/>
      <c r="AQ363" s="196"/>
      <c r="AR363" s="36"/>
      <c r="AS363" s="197"/>
    </row>
    <row r="364" spans="1:45" ht="30" customHeight="1" x14ac:dyDescent="0.35">
      <c r="A364" s="38">
        <v>2023</v>
      </c>
      <c r="B364" s="59" t="s">
        <v>66</v>
      </c>
      <c r="C364" s="171" t="s">
        <v>140</v>
      </c>
      <c r="D364" s="237" t="s">
        <v>114</v>
      </c>
      <c r="E364" s="237">
        <v>211</v>
      </c>
      <c r="F364" s="58" t="s">
        <v>995</v>
      </c>
      <c r="G364" s="237" t="s">
        <v>121</v>
      </c>
      <c r="H364" s="59" t="s">
        <v>126</v>
      </c>
      <c r="I364" s="70" t="s">
        <v>996</v>
      </c>
      <c r="J364" s="237" t="s">
        <v>132</v>
      </c>
      <c r="K364" s="237" t="s">
        <v>3</v>
      </c>
      <c r="L364" s="59" t="s">
        <v>6</v>
      </c>
      <c r="M364" s="60" t="s">
        <v>27</v>
      </c>
      <c r="N364" s="130"/>
      <c r="O364" s="172"/>
      <c r="P364" s="172"/>
      <c r="Q364" s="237" t="s">
        <v>141</v>
      </c>
      <c r="R364" s="79"/>
      <c r="S364" s="79"/>
      <c r="T364" s="58" t="s">
        <v>997</v>
      </c>
      <c r="U364" s="237">
        <v>2023</v>
      </c>
      <c r="V364" s="83"/>
      <c r="W364" s="88"/>
      <c r="X364" s="88"/>
      <c r="Y364" s="131"/>
      <c r="Z364" s="131"/>
      <c r="AA364" s="131"/>
      <c r="AB364" s="131"/>
      <c r="AC364" s="131"/>
      <c r="AD364" s="131">
        <v>10200000</v>
      </c>
      <c r="AE364" s="173" t="s">
        <v>102</v>
      </c>
      <c r="AF364" s="173"/>
      <c r="AG364" s="173"/>
      <c r="AH364" s="174"/>
      <c r="AI364" s="175"/>
      <c r="AJ364" s="174"/>
      <c r="AK364" s="176"/>
      <c r="AL364" s="174"/>
      <c r="AM364" s="177"/>
      <c r="AN364" s="245" t="s">
        <v>178</v>
      </c>
      <c r="AO364" s="184"/>
    </row>
    <row r="365" spans="1:45" ht="30" customHeight="1" x14ac:dyDescent="0.35">
      <c r="A365" s="38">
        <v>2026</v>
      </c>
      <c r="B365" s="59" t="s">
        <v>66</v>
      </c>
      <c r="C365" s="171" t="s">
        <v>140</v>
      </c>
      <c r="D365" s="237" t="s">
        <v>114</v>
      </c>
      <c r="E365" s="237">
        <v>1</v>
      </c>
      <c r="F365" s="58" t="s">
        <v>998</v>
      </c>
      <c r="G365" s="237" t="s">
        <v>121</v>
      </c>
      <c r="H365" s="59" t="s">
        <v>126</v>
      </c>
      <c r="I365" s="58" t="s">
        <v>999</v>
      </c>
      <c r="J365" s="237" t="s">
        <v>132</v>
      </c>
      <c r="K365" s="237" t="s">
        <v>3</v>
      </c>
      <c r="L365" s="59" t="s">
        <v>6</v>
      </c>
      <c r="M365" s="60" t="s">
        <v>27</v>
      </c>
      <c r="N365" s="130"/>
      <c r="O365" s="172"/>
      <c r="P365" s="172"/>
      <c r="Q365" s="237" t="s">
        <v>139</v>
      </c>
      <c r="R365" s="79"/>
      <c r="S365" s="79"/>
      <c r="T365" s="58" t="s">
        <v>1000</v>
      </c>
      <c r="U365" s="237">
        <v>2026</v>
      </c>
      <c r="V365" s="88">
        <v>46072</v>
      </c>
      <c r="W365" s="79"/>
      <c r="X365" s="88">
        <v>46077</v>
      </c>
      <c r="Y365" s="131">
        <f>AA365/1.2</f>
        <v>607069.54166666663</v>
      </c>
      <c r="Z365" s="131">
        <v>0</v>
      </c>
      <c r="AA365" s="131">
        <v>728483.45</v>
      </c>
      <c r="AB365" s="131">
        <v>0</v>
      </c>
      <c r="AC365" s="131">
        <f>Y365</f>
        <v>607069.54166666663</v>
      </c>
      <c r="AD365" s="131">
        <f>AA365</f>
        <v>728483.45</v>
      </c>
      <c r="AE365" s="173" t="s">
        <v>102</v>
      </c>
      <c r="AF365" s="173"/>
      <c r="AG365" s="173"/>
      <c r="AH365" s="174"/>
      <c r="AI365" s="175"/>
      <c r="AJ365" s="174"/>
      <c r="AK365" s="176"/>
      <c r="AL365" s="174"/>
      <c r="AM365" s="181" t="s">
        <v>1001</v>
      </c>
      <c r="AN365" s="245" t="s">
        <v>178</v>
      </c>
      <c r="AO365" s="184"/>
    </row>
    <row r="366" spans="1:45" ht="30" hidden="1" customHeight="1" x14ac:dyDescent="0.35">
      <c r="A366" s="38">
        <v>2026</v>
      </c>
      <c r="B366" s="59" t="s">
        <v>66</v>
      </c>
      <c r="C366" s="58" t="s">
        <v>1002</v>
      </c>
      <c r="D366" s="237" t="s">
        <v>109</v>
      </c>
      <c r="E366" s="237">
        <v>1</v>
      </c>
      <c r="F366" s="58" t="s">
        <v>1003</v>
      </c>
      <c r="G366" s="237" t="s">
        <v>121</v>
      </c>
      <c r="H366" s="59" t="s">
        <v>126</v>
      </c>
      <c r="I366" s="58" t="s">
        <v>1002</v>
      </c>
      <c r="J366" s="237" t="s">
        <v>132</v>
      </c>
      <c r="K366" s="237" t="s">
        <v>3</v>
      </c>
      <c r="L366" s="59" t="s">
        <v>6</v>
      </c>
      <c r="M366" s="60" t="s">
        <v>980</v>
      </c>
      <c r="N366" s="130"/>
      <c r="O366" s="172"/>
      <c r="P366" s="172"/>
      <c r="Q366" s="237" t="s">
        <v>139</v>
      </c>
      <c r="R366" s="79"/>
      <c r="S366" s="79"/>
      <c r="T366" s="58" t="s">
        <v>1004</v>
      </c>
      <c r="U366" s="237">
        <v>2026</v>
      </c>
      <c r="V366" s="88">
        <v>46072</v>
      </c>
      <c r="W366" s="79"/>
      <c r="X366" s="88">
        <v>46072</v>
      </c>
      <c r="Y366" s="131">
        <v>94000</v>
      </c>
      <c r="Z366" s="131">
        <v>0</v>
      </c>
      <c r="AA366" s="131">
        <v>112800</v>
      </c>
      <c r="AB366" s="131">
        <v>0</v>
      </c>
      <c r="AC366" s="131">
        <f>Y366</f>
        <v>94000</v>
      </c>
      <c r="AD366" s="131">
        <f>AA366</f>
        <v>112800</v>
      </c>
      <c r="AE366" s="173" t="s">
        <v>102</v>
      </c>
      <c r="AF366" s="173"/>
      <c r="AG366" s="173"/>
      <c r="AH366" s="174"/>
      <c r="AI366" s="175"/>
      <c r="AJ366" s="174"/>
      <c r="AK366" s="176"/>
      <c r="AL366" s="174"/>
      <c r="AM366" s="181" t="s">
        <v>1001</v>
      </c>
      <c r="AO366" s="184"/>
    </row>
    <row r="367" spans="1:45" ht="30" hidden="1" customHeight="1" x14ac:dyDescent="0.35">
      <c r="A367" s="38">
        <v>2026</v>
      </c>
      <c r="B367" s="59" t="s">
        <v>60</v>
      </c>
      <c r="C367" s="58" t="s">
        <v>1005</v>
      </c>
      <c r="D367" s="237" t="s">
        <v>109</v>
      </c>
      <c r="E367" s="237">
        <v>1</v>
      </c>
      <c r="F367" s="58" t="s">
        <v>1006</v>
      </c>
      <c r="G367" s="237" t="s">
        <v>121</v>
      </c>
      <c r="H367" s="59" t="s">
        <v>126</v>
      </c>
      <c r="I367" s="58" t="s">
        <v>1005</v>
      </c>
      <c r="J367" s="237" t="s">
        <v>132</v>
      </c>
      <c r="K367" s="237" t="s">
        <v>3</v>
      </c>
      <c r="L367" s="59" t="s">
        <v>6</v>
      </c>
      <c r="M367" s="60" t="s">
        <v>15</v>
      </c>
      <c r="N367" s="130"/>
      <c r="O367" s="172"/>
      <c r="P367" s="172"/>
      <c r="Q367" s="237" t="s">
        <v>139</v>
      </c>
      <c r="R367" s="79"/>
      <c r="S367" s="79"/>
      <c r="T367" s="58" t="s">
        <v>1007</v>
      </c>
      <c r="U367" s="237">
        <v>2026</v>
      </c>
      <c r="V367" s="79"/>
      <c r="W367" s="79"/>
      <c r="X367" s="88">
        <v>46063</v>
      </c>
      <c r="Y367" s="131">
        <v>55180</v>
      </c>
      <c r="Z367" s="131">
        <v>0</v>
      </c>
      <c r="AA367" s="131">
        <v>66216</v>
      </c>
      <c r="AB367" s="131">
        <v>0</v>
      </c>
      <c r="AC367" s="131">
        <f>Y367</f>
        <v>55180</v>
      </c>
      <c r="AD367" s="131">
        <f>AA367</f>
        <v>66216</v>
      </c>
      <c r="AE367" s="173" t="s">
        <v>102</v>
      </c>
      <c r="AF367" s="173"/>
      <c r="AG367" s="173"/>
      <c r="AH367" s="174"/>
      <c r="AI367" s="175"/>
      <c r="AJ367" s="174"/>
      <c r="AK367" s="176"/>
      <c r="AL367" s="174"/>
      <c r="AM367" s="181" t="s">
        <v>1001</v>
      </c>
      <c r="AO367" s="184"/>
    </row>
    <row r="368" spans="1:45" ht="30" hidden="1" customHeight="1" x14ac:dyDescent="0.35">
      <c r="A368" s="38">
        <v>2026</v>
      </c>
      <c r="B368" s="59" t="s">
        <v>60</v>
      </c>
      <c r="C368" s="58" t="s">
        <v>1008</v>
      </c>
      <c r="D368" s="237" t="s">
        <v>109</v>
      </c>
      <c r="E368" s="237">
        <v>1</v>
      </c>
      <c r="F368" s="58" t="s">
        <v>1009</v>
      </c>
      <c r="G368" s="237" t="s">
        <v>121</v>
      </c>
      <c r="H368" s="59" t="s">
        <v>126</v>
      </c>
      <c r="I368" s="58" t="s">
        <v>1008</v>
      </c>
      <c r="J368" s="237" t="s">
        <v>132</v>
      </c>
      <c r="K368" s="237" t="s">
        <v>3</v>
      </c>
      <c r="L368" s="59" t="s">
        <v>6</v>
      </c>
      <c r="M368" s="60" t="s">
        <v>15</v>
      </c>
      <c r="N368" s="130"/>
      <c r="O368" s="172"/>
      <c r="P368" s="172"/>
      <c r="Q368" s="237" t="s">
        <v>139</v>
      </c>
      <c r="R368" s="79"/>
      <c r="S368" s="79"/>
      <c r="T368" s="58" t="s">
        <v>1007</v>
      </c>
      <c r="U368" s="237">
        <v>2026</v>
      </c>
      <c r="V368" s="79"/>
      <c r="W368" s="79"/>
      <c r="X368" s="88">
        <v>46063</v>
      </c>
      <c r="Y368" s="131">
        <v>7295</v>
      </c>
      <c r="Z368" s="131">
        <v>0</v>
      </c>
      <c r="AA368" s="131">
        <v>8754</v>
      </c>
      <c r="AB368" s="131">
        <v>0</v>
      </c>
      <c r="AC368" s="131">
        <f>Y368</f>
        <v>7295</v>
      </c>
      <c r="AD368" s="131">
        <f>AA368</f>
        <v>8754</v>
      </c>
      <c r="AE368" s="173" t="s">
        <v>102</v>
      </c>
      <c r="AF368" s="173"/>
      <c r="AG368" s="173"/>
      <c r="AH368" s="174"/>
      <c r="AI368" s="175"/>
      <c r="AJ368" s="174"/>
      <c r="AK368" s="176"/>
      <c r="AL368" s="174"/>
      <c r="AM368" s="181" t="s">
        <v>1001</v>
      </c>
      <c r="AO368" s="184"/>
    </row>
    <row r="369" spans="1:41" ht="30" hidden="1" customHeight="1" x14ac:dyDescent="0.35">
      <c r="A369" s="38">
        <v>2026</v>
      </c>
      <c r="B369" s="59" t="s">
        <v>64</v>
      </c>
      <c r="C369" s="58" t="s">
        <v>1010</v>
      </c>
      <c r="D369" s="237" t="s">
        <v>109</v>
      </c>
      <c r="E369" s="237">
        <v>1</v>
      </c>
      <c r="F369" s="58" t="s">
        <v>1011</v>
      </c>
      <c r="G369" s="237" t="s">
        <v>121</v>
      </c>
      <c r="H369" s="59" t="s">
        <v>126</v>
      </c>
      <c r="I369" s="58" t="s">
        <v>1010</v>
      </c>
      <c r="J369" s="237" t="s">
        <v>132</v>
      </c>
      <c r="K369" s="237" t="s">
        <v>3</v>
      </c>
      <c r="L369" s="59" t="s">
        <v>6</v>
      </c>
      <c r="M369" s="60" t="s">
        <v>26</v>
      </c>
      <c r="N369" s="130"/>
      <c r="O369" s="172"/>
      <c r="P369" s="172"/>
      <c r="Q369" s="237" t="s">
        <v>139</v>
      </c>
      <c r="R369" s="79"/>
      <c r="S369" s="79"/>
      <c r="T369" s="58" t="s">
        <v>1012</v>
      </c>
      <c r="U369" s="237">
        <v>2026</v>
      </c>
      <c r="V369" s="88">
        <v>46069</v>
      </c>
      <c r="W369" s="79"/>
      <c r="X369" s="88">
        <v>46069</v>
      </c>
      <c r="Y369" s="131">
        <v>109350</v>
      </c>
      <c r="Z369" s="131">
        <v>0</v>
      </c>
      <c r="AA369" s="131">
        <v>109350</v>
      </c>
      <c r="AB369" s="131">
        <v>0</v>
      </c>
      <c r="AC369" s="131">
        <f>Y369</f>
        <v>109350</v>
      </c>
      <c r="AD369" s="131">
        <f>AA369</f>
        <v>109350</v>
      </c>
      <c r="AE369" s="173" t="s">
        <v>102</v>
      </c>
      <c r="AF369" s="173"/>
      <c r="AG369" s="173"/>
      <c r="AH369" s="174"/>
      <c r="AI369" s="175"/>
      <c r="AJ369" s="174"/>
      <c r="AK369" s="176"/>
      <c r="AL369" s="174"/>
      <c r="AM369" s="181" t="s">
        <v>1001</v>
      </c>
      <c r="AO369" s="184"/>
    </row>
    <row r="370" spans="1:41" ht="30" hidden="1" customHeight="1" x14ac:dyDescent="0.35">
      <c r="A370" s="43">
        <v>2026</v>
      </c>
      <c r="B370" s="59" t="s">
        <v>711</v>
      </c>
      <c r="C370" s="58" t="s">
        <v>1013</v>
      </c>
      <c r="D370" s="237" t="s">
        <v>106</v>
      </c>
      <c r="E370" s="237">
        <v>1</v>
      </c>
      <c r="F370" s="58" t="s">
        <v>1014</v>
      </c>
      <c r="G370" s="237" t="s">
        <v>119</v>
      </c>
      <c r="H370" s="59" t="s">
        <v>119</v>
      </c>
      <c r="I370" s="171"/>
      <c r="J370" s="237" t="s">
        <v>131</v>
      </c>
      <c r="K370" s="237" t="s">
        <v>3</v>
      </c>
      <c r="L370" s="59" t="s">
        <v>7</v>
      </c>
      <c r="M370" s="60" t="s">
        <v>1015</v>
      </c>
      <c r="N370" s="132">
        <f>O370*1.2</f>
        <v>2288044.7999999998</v>
      </c>
      <c r="O370" s="187">
        <v>1906704</v>
      </c>
      <c r="P370" s="187">
        <f>O370/1.2</f>
        <v>1588920</v>
      </c>
      <c r="Q370" s="237" t="s">
        <v>138</v>
      </c>
      <c r="R370" s="79"/>
      <c r="S370" s="79"/>
      <c r="T370" s="171"/>
      <c r="U370" s="180"/>
      <c r="V370" s="88">
        <v>46073</v>
      </c>
      <c r="W370" s="88">
        <v>46073</v>
      </c>
      <c r="X370" s="79"/>
      <c r="Y370" s="130">
        <f>AC370</f>
        <v>0</v>
      </c>
      <c r="Z370" s="130">
        <v>0</v>
      </c>
      <c r="AA370" s="130">
        <v>0</v>
      </c>
      <c r="AB370" s="130">
        <v>0</v>
      </c>
      <c r="AC370" s="130">
        <f>AD370/1.2</f>
        <v>0</v>
      </c>
      <c r="AD370" s="130">
        <v>0</v>
      </c>
      <c r="AE370" s="173" t="s">
        <v>103</v>
      </c>
      <c r="AF370" s="173"/>
      <c r="AG370" s="173"/>
      <c r="AH370" s="174"/>
      <c r="AI370" s="175"/>
      <c r="AJ370" s="174"/>
      <c r="AK370" s="176"/>
      <c r="AL370" s="174"/>
      <c r="AM370" s="181" t="s">
        <v>1001</v>
      </c>
      <c r="AO370" s="184"/>
    </row>
    <row r="371" spans="1:41" ht="30" hidden="1" customHeight="1" x14ac:dyDescent="0.35">
      <c r="A371" s="43">
        <v>2026</v>
      </c>
      <c r="B371" s="59" t="s">
        <v>711</v>
      </c>
      <c r="C371" s="58" t="s">
        <v>1013</v>
      </c>
      <c r="D371" s="237" t="s">
        <v>106</v>
      </c>
      <c r="E371" s="237">
        <v>2</v>
      </c>
      <c r="F371" s="58" t="s">
        <v>1016</v>
      </c>
      <c r="G371" s="237" t="s">
        <v>118</v>
      </c>
      <c r="H371" s="59" t="s">
        <v>118</v>
      </c>
      <c r="I371" s="171"/>
      <c r="J371" s="237" t="s">
        <v>131</v>
      </c>
      <c r="K371" s="237" t="s">
        <v>3</v>
      </c>
      <c r="L371" s="59" t="s">
        <v>7</v>
      </c>
      <c r="M371" s="60" t="s">
        <v>1015</v>
      </c>
      <c r="N371" s="132">
        <f>O371*1.2</f>
        <v>812980.79999999993</v>
      </c>
      <c r="O371" s="187">
        <v>677484</v>
      </c>
      <c r="P371" s="187">
        <f>O371/1.2</f>
        <v>564570</v>
      </c>
      <c r="Q371" s="237" t="s">
        <v>138</v>
      </c>
      <c r="R371" s="79"/>
      <c r="S371" s="79"/>
      <c r="T371" s="171"/>
      <c r="U371" s="180"/>
      <c r="V371" s="88">
        <v>46073</v>
      </c>
      <c r="W371" s="88">
        <v>46073</v>
      </c>
      <c r="X371" s="79"/>
      <c r="Y371" s="131">
        <f>AC371</f>
        <v>0</v>
      </c>
      <c r="Z371" s="133"/>
      <c r="AA371" s="131" t="str">
        <f>AE371</f>
        <v>NON ENGAGE</v>
      </c>
      <c r="AB371" s="133"/>
      <c r="AC371" s="131">
        <f>AG371</f>
        <v>0</v>
      </c>
      <c r="AD371" s="131">
        <f>AH371</f>
        <v>0</v>
      </c>
      <c r="AE371" s="173" t="s">
        <v>103</v>
      </c>
      <c r="AF371" s="173"/>
      <c r="AG371" s="173"/>
      <c r="AH371" s="174"/>
      <c r="AI371" s="175"/>
      <c r="AJ371" s="174"/>
      <c r="AK371" s="176"/>
      <c r="AL371" s="174"/>
      <c r="AM371" s="181" t="s">
        <v>1001</v>
      </c>
      <c r="AO371" s="184"/>
    </row>
    <row r="372" spans="1:41" ht="30" hidden="1" customHeight="1" x14ac:dyDescent="0.35">
      <c r="A372" s="38">
        <v>2026</v>
      </c>
      <c r="B372" s="59" t="s">
        <v>711</v>
      </c>
      <c r="C372" s="58" t="s">
        <v>1017</v>
      </c>
      <c r="D372" s="237" t="s">
        <v>106</v>
      </c>
      <c r="E372" s="237">
        <v>1</v>
      </c>
      <c r="F372" s="58" t="s">
        <v>1018</v>
      </c>
      <c r="G372" s="237" t="s">
        <v>121</v>
      </c>
      <c r="H372" s="59" t="s">
        <v>126</v>
      </c>
      <c r="I372" s="70" t="s">
        <v>1019</v>
      </c>
      <c r="J372" s="237" t="s">
        <v>130</v>
      </c>
      <c r="K372" s="237" t="s">
        <v>1</v>
      </c>
      <c r="L372" s="59" t="s">
        <v>7</v>
      </c>
      <c r="M372" s="60" t="s">
        <v>35</v>
      </c>
      <c r="N372" s="132">
        <f>O372*1.2</f>
        <v>171446.39999999999</v>
      </c>
      <c r="O372" s="187">
        <v>142872</v>
      </c>
      <c r="P372" s="187">
        <f>O372/1.2</f>
        <v>119060</v>
      </c>
      <c r="Q372" s="237" t="s">
        <v>138</v>
      </c>
      <c r="R372" s="79"/>
      <c r="S372" s="79"/>
      <c r="T372" s="58" t="s">
        <v>1020</v>
      </c>
      <c r="U372" s="237">
        <v>2026</v>
      </c>
      <c r="V372" s="88">
        <v>46073</v>
      </c>
      <c r="W372" s="88">
        <v>46073</v>
      </c>
      <c r="X372" s="88">
        <v>46141</v>
      </c>
      <c r="Y372" s="131">
        <f>AC372</f>
        <v>139000</v>
      </c>
      <c r="Z372" s="131">
        <v>0</v>
      </c>
      <c r="AA372" s="131">
        <f>AD372</f>
        <v>166800</v>
      </c>
      <c r="AB372" s="131">
        <v>0</v>
      </c>
      <c r="AC372" s="131">
        <f>AD372/1.2</f>
        <v>139000</v>
      </c>
      <c r="AD372" s="131">
        <v>166800</v>
      </c>
      <c r="AE372" s="173" t="s">
        <v>102</v>
      </c>
      <c r="AF372" s="173"/>
      <c r="AG372" s="173"/>
      <c r="AH372" s="174"/>
      <c r="AI372" s="175"/>
      <c r="AJ372" s="174"/>
      <c r="AK372" s="176"/>
      <c r="AL372" s="174"/>
      <c r="AM372" s="181" t="s">
        <v>1001</v>
      </c>
      <c r="AO372" s="184"/>
    </row>
    <row r="373" spans="1:41" ht="30" hidden="1" customHeight="1" x14ac:dyDescent="0.35">
      <c r="A373" s="38">
        <v>2025</v>
      </c>
      <c r="B373" s="59" t="s">
        <v>55</v>
      </c>
      <c r="C373" s="58" t="s">
        <v>1021</v>
      </c>
      <c r="D373" s="237" t="s">
        <v>106</v>
      </c>
      <c r="E373" s="237">
        <v>2</v>
      </c>
      <c r="F373" s="58" t="s">
        <v>1022</v>
      </c>
      <c r="G373" s="237" t="s">
        <v>121</v>
      </c>
      <c r="H373" s="59" t="s">
        <v>126</v>
      </c>
      <c r="I373" s="58" t="s">
        <v>1023</v>
      </c>
      <c r="J373" s="237" t="s">
        <v>131</v>
      </c>
      <c r="K373" s="237" t="s">
        <v>1</v>
      </c>
      <c r="L373" s="59" t="s">
        <v>7</v>
      </c>
      <c r="M373" s="60" t="s">
        <v>961</v>
      </c>
      <c r="N373" s="132">
        <f>O373*1.2</f>
        <v>1800000</v>
      </c>
      <c r="O373" s="187">
        <v>1500000</v>
      </c>
      <c r="P373" s="187">
        <f>O373/1.2</f>
        <v>1250000</v>
      </c>
      <c r="Q373" s="237" t="s">
        <v>138</v>
      </c>
      <c r="R373" s="79"/>
      <c r="S373" s="79"/>
      <c r="T373" s="58" t="s">
        <v>1024</v>
      </c>
      <c r="U373" s="237">
        <v>2026</v>
      </c>
      <c r="V373" s="88">
        <v>46073</v>
      </c>
      <c r="W373" s="79"/>
      <c r="X373" s="88">
        <v>46077</v>
      </c>
      <c r="Y373" s="131">
        <f>AA373/1.2</f>
        <v>1318000</v>
      </c>
      <c r="Z373" s="131">
        <v>0</v>
      </c>
      <c r="AA373" s="131">
        <v>1581600</v>
      </c>
      <c r="AB373" s="131">
        <v>0</v>
      </c>
      <c r="AC373" s="131">
        <f>Y373</f>
        <v>1318000</v>
      </c>
      <c r="AD373" s="131">
        <f>AA373</f>
        <v>1581600</v>
      </c>
      <c r="AE373" s="173" t="s">
        <v>102</v>
      </c>
      <c r="AF373" s="173"/>
      <c r="AG373" s="173"/>
      <c r="AH373" s="174"/>
      <c r="AI373" s="175"/>
      <c r="AJ373" s="174"/>
      <c r="AK373" s="176"/>
      <c r="AL373" s="174"/>
      <c r="AM373" s="181" t="s">
        <v>1001</v>
      </c>
      <c r="AO373" s="184"/>
    </row>
    <row r="374" spans="1:41" ht="52" customHeight="1" x14ac:dyDescent="0.35">
      <c r="A374" s="38">
        <v>2026</v>
      </c>
      <c r="B374" s="59" t="s">
        <v>61</v>
      </c>
      <c r="C374" s="171" t="s">
        <v>173</v>
      </c>
      <c r="D374" s="237" t="s">
        <v>114</v>
      </c>
      <c r="E374" s="237">
        <v>466</v>
      </c>
      <c r="F374" s="58" t="s">
        <v>1025</v>
      </c>
      <c r="G374" s="237" t="s">
        <v>121</v>
      </c>
      <c r="H374" s="59" t="s">
        <v>126</v>
      </c>
      <c r="I374" s="58" t="s">
        <v>1026</v>
      </c>
      <c r="J374" s="237" t="s">
        <v>132</v>
      </c>
      <c r="K374" s="237" t="s">
        <v>3</v>
      </c>
      <c r="L374" s="59" t="s">
        <v>6</v>
      </c>
      <c r="M374" s="60" t="s">
        <v>980</v>
      </c>
      <c r="N374" s="130"/>
      <c r="O374" s="172"/>
      <c r="P374" s="172"/>
      <c r="Q374" s="237" t="s">
        <v>140</v>
      </c>
      <c r="R374" s="79"/>
      <c r="S374" s="79"/>
      <c r="T374" s="58" t="s">
        <v>1027</v>
      </c>
      <c r="U374" s="237">
        <v>2026</v>
      </c>
      <c r="V374" s="88">
        <v>46387</v>
      </c>
      <c r="W374" s="79"/>
      <c r="X374" s="88">
        <v>46024</v>
      </c>
      <c r="Y374" s="131">
        <v>308300</v>
      </c>
      <c r="Z374" s="131">
        <v>0</v>
      </c>
      <c r="AA374" s="131">
        <v>369960</v>
      </c>
      <c r="AB374" s="131">
        <v>0</v>
      </c>
      <c r="AC374" s="131">
        <f>Y374</f>
        <v>308300</v>
      </c>
      <c r="AD374" s="131">
        <f>AA374</f>
        <v>369960</v>
      </c>
      <c r="AE374" s="173" t="s">
        <v>102</v>
      </c>
      <c r="AF374" s="173"/>
      <c r="AG374" s="173"/>
      <c r="AH374" s="174"/>
      <c r="AI374" s="175"/>
      <c r="AJ374" s="174"/>
      <c r="AK374" s="176"/>
      <c r="AL374" s="174"/>
      <c r="AM374" s="181" t="s">
        <v>1001</v>
      </c>
      <c r="AN374" s="245" t="s">
        <v>178</v>
      </c>
      <c r="AO374" s="190"/>
    </row>
    <row r="375" spans="1:41" ht="30" customHeight="1" x14ac:dyDescent="0.35">
      <c r="A375" s="38">
        <v>2026</v>
      </c>
      <c r="B375" s="59" t="s">
        <v>61</v>
      </c>
      <c r="C375" s="171" t="s">
        <v>173</v>
      </c>
      <c r="D375" s="237" t="s">
        <v>114</v>
      </c>
      <c r="E375" s="237">
        <v>469</v>
      </c>
      <c r="F375" s="58" t="s">
        <v>1028</v>
      </c>
      <c r="G375" s="237" t="s">
        <v>121</v>
      </c>
      <c r="H375" s="59" t="s">
        <v>126</v>
      </c>
      <c r="I375" s="58"/>
      <c r="J375" s="237" t="s">
        <v>132</v>
      </c>
      <c r="K375" s="237" t="s">
        <v>3</v>
      </c>
      <c r="L375" s="59" t="s">
        <v>6</v>
      </c>
      <c r="M375" s="60" t="s">
        <v>25</v>
      </c>
      <c r="N375" s="130"/>
      <c r="O375" s="172"/>
      <c r="P375" s="172"/>
      <c r="Q375" s="237" t="s">
        <v>140</v>
      </c>
      <c r="R375" s="79"/>
      <c r="S375" s="79"/>
      <c r="T375" s="58" t="s">
        <v>1029</v>
      </c>
      <c r="U375" s="237">
        <v>2026</v>
      </c>
      <c r="V375" s="88">
        <v>46022</v>
      </c>
      <c r="W375" s="79"/>
      <c r="X375" s="88">
        <v>46024</v>
      </c>
      <c r="Y375" s="131">
        <f>AC375</f>
        <v>113711.51</v>
      </c>
      <c r="Z375" s="131">
        <v>10639</v>
      </c>
      <c r="AA375" s="131">
        <f>AC375</f>
        <v>113711.51</v>
      </c>
      <c r="AB375" s="131">
        <v>10639</v>
      </c>
      <c r="AC375" s="131">
        <v>113711.51</v>
      </c>
      <c r="AD375" s="131">
        <v>113711.51</v>
      </c>
      <c r="AE375" s="173" t="s">
        <v>102</v>
      </c>
      <c r="AF375" s="173"/>
      <c r="AG375" s="173"/>
      <c r="AH375" s="174"/>
      <c r="AI375" s="175"/>
      <c r="AJ375" s="174"/>
      <c r="AK375" s="176"/>
      <c r="AL375" s="174"/>
      <c r="AM375" s="181" t="s">
        <v>1030</v>
      </c>
      <c r="AN375" s="243" t="s">
        <v>178</v>
      </c>
      <c r="AO375" s="184"/>
    </row>
    <row r="376" spans="1:41" ht="30" hidden="1" customHeight="1" x14ac:dyDescent="0.35">
      <c r="A376" s="43">
        <v>2026</v>
      </c>
      <c r="B376" s="59" t="s">
        <v>56</v>
      </c>
      <c r="C376" s="58" t="s">
        <v>1031</v>
      </c>
      <c r="D376" s="237" t="s">
        <v>106</v>
      </c>
      <c r="E376" s="237">
        <v>1</v>
      </c>
      <c r="F376" s="58" t="s">
        <v>1032</v>
      </c>
      <c r="G376" s="237" t="s">
        <v>118</v>
      </c>
      <c r="H376" s="59" t="s">
        <v>118</v>
      </c>
      <c r="I376" s="171"/>
      <c r="J376" s="237" t="s">
        <v>131</v>
      </c>
      <c r="K376" s="237" t="s">
        <v>1</v>
      </c>
      <c r="L376" s="59" t="s">
        <v>7</v>
      </c>
      <c r="M376" s="60" t="s">
        <v>961</v>
      </c>
      <c r="N376" s="132">
        <f>O376*1.2</f>
        <v>648000</v>
      </c>
      <c r="O376" s="187">
        <v>540000</v>
      </c>
      <c r="P376" s="187">
        <f>O376/1.2</f>
        <v>450000</v>
      </c>
      <c r="Q376" s="237" t="s">
        <v>138</v>
      </c>
      <c r="R376" s="79"/>
      <c r="S376" s="79"/>
      <c r="T376" s="171"/>
      <c r="U376" s="180"/>
      <c r="V376" s="88">
        <v>46080</v>
      </c>
      <c r="W376" s="88">
        <v>46084</v>
      </c>
      <c r="X376" s="79"/>
      <c r="Y376" s="130">
        <v>0</v>
      </c>
      <c r="Z376" s="130">
        <v>0</v>
      </c>
      <c r="AA376" s="130">
        <v>0</v>
      </c>
      <c r="AB376" s="130">
        <v>0</v>
      </c>
      <c r="AC376" s="130">
        <v>0</v>
      </c>
      <c r="AD376" s="130">
        <v>0</v>
      </c>
      <c r="AE376" s="173" t="s">
        <v>103</v>
      </c>
      <c r="AF376" s="173"/>
      <c r="AG376" s="173"/>
      <c r="AH376" s="174"/>
      <c r="AI376" s="175"/>
      <c r="AJ376" s="174"/>
      <c r="AK376" s="176"/>
      <c r="AL376" s="174"/>
      <c r="AM376" s="181" t="s">
        <v>1030</v>
      </c>
      <c r="AO376" s="184"/>
    </row>
    <row r="377" spans="1:41" ht="30" hidden="1" customHeight="1" x14ac:dyDescent="0.35">
      <c r="A377" s="38">
        <v>2025</v>
      </c>
      <c r="B377" s="59" t="s">
        <v>55</v>
      </c>
      <c r="C377" s="58" t="s">
        <v>1033</v>
      </c>
      <c r="D377" s="237" t="s">
        <v>106</v>
      </c>
      <c r="E377" s="237">
        <v>1</v>
      </c>
      <c r="F377" s="58" t="s">
        <v>1034</v>
      </c>
      <c r="G377" s="237" t="s">
        <v>121</v>
      </c>
      <c r="H377" s="59" t="s">
        <v>126</v>
      </c>
      <c r="I377" s="58" t="s">
        <v>1035</v>
      </c>
      <c r="J377" s="237" t="s">
        <v>130</v>
      </c>
      <c r="K377" s="237" t="s">
        <v>1</v>
      </c>
      <c r="L377" s="59" t="s">
        <v>7</v>
      </c>
      <c r="M377" s="60" t="s">
        <v>961</v>
      </c>
      <c r="N377" s="132">
        <f>O377*1.2</f>
        <v>918000</v>
      </c>
      <c r="O377" s="187">
        <v>765000</v>
      </c>
      <c r="P377" s="187">
        <f>O377/1.2</f>
        <v>637500</v>
      </c>
      <c r="Q377" s="237" t="s">
        <v>139</v>
      </c>
      <c r="R377" s="79"/>
      <c r="S377" s="79"/>
      <c r="T377" s="58" t="s">
        <v>1036</v>
      </c>
      <c r="U377" s="237">
        <v>2026</v>
      </c>
      <c r="V377" s="88">
        <v>46080</v>
      </c>
      <c r="W377" s="79"/>
      <c r="X377" s="88">
        <v>46084</v>
      </c>
      <c r="Y377" s="131">
        <v>500000</v>
      </c>
      <c r="Z377" s="131">
        <v>0</v>
      </c>
      <c r="AA377" s="131">
        <v>600000</v>
      </c>
      <c r="AB377" s="131">
        <v>0</v>
      </c>
      <c r="AC377" s="131">
        <v>500000</v>
      </c>
      <c r="AD377" s="131">
        <v>600000</v>
      </c>
      <c r="AE377" s="173" t="s">
        <v>102</v>
      </c>
      <c r="AF377" s="173"/>
      <c r="AG377" s="173"/>
      <c r="AH377" s="174"/>
      <c r="AI377" s="175"/>
      <c r="AJ377" s="174"/>
      <c r="AK377" s="176"/>
      <c r="AL377" s="174"/>
      <c r="AM377" s="181" t="s">
        <v>1030</v>
      </c>
      <c r="AO377" s="184"/>
    </row>
    <row r="378" spans="1:41" ht="30" hidden="1" customHeight="1" x14ac:dyDescent="0.35">
      <c r="A378" s="42">
        <v>2026</v>
      </c>
      <c r="B378" s="59" t="s">
        <v>60</v>
      </c>
      <c r="C378" s="65" t="s">
        <v>1037</v>
      </c>
      <c r="D378" s="237" t="s">
        <v>106</v>
      </c>
      <c r="E378" s="237">
        <v>1</v>
      </c>
      <c r="F378" s="58" t="s">
        <v>1038</v>
      </c>
      <c r="G378" s="237" t="s">
        <v>120</v>
      </c>
      <c r="H378" s="59" t="s">
        <v>120</v>
      </c>
      <c r="I378" s="58"/>
      <c r="J378" s="41" t="s">
        <v>130</v>
      </c>
      <c r="K378" s="237" t="s">
        <v>1</v>
      </c>
      <c r="L378" s="59" t="s">
        <v>7</v>
      </c>
      <c r="M378" s="60" t="s">
        <v>37</v>
      </c>
      <c r="N378" s="132">
        <f>O378*1.2</f>
        <v>1228896</v>
      </c>
      <c r="O378" s="132">
        <v>1024080</v>
      </c>
      <c r="P378" s="187">
        <f>O378/1.2</f>
        <v>853400</v>
      </c>
      <c r="Q378" s="237" t="s">
        <v>138</v>
      </c>
      <c r="R378" s="79"/>
      <c r="S378" s="79"/>
      <c r="T378" s="58"/>
      <c r="U378" s="237"/>
      <c r="V378" s="82">
        <v>46086</v>
      </c>
      <c r="W378" s="88"/>
      <c r="X378" s="88"/>
      <c r="Y378" s="131"/>
      <c r="Z378" s="131"/>
      <c r="AA378" s="131"/>
      <c r="AB378" s="131"/>
      <c r="AC378" s="131"/>
      <c r="AD378" s="131"/>
      <c r="AE378" s="173" t="s">
        <v>99</v>
      </c>
      <c r="AF378" s="173"/>
      <c r="AG378" s="173"/>
      <c r="AH378" s="174"/>
      <c r="AI378" s="175"/>
      <c r="AJ378" s="174"/>
      <c r="AK378" s="176"/>
      <c r="AL378" s="174"/>
      <c r="AM378" s="198" t="s">
        <v>1039</v>
      </c>
      <c r="AO378" s="184"/>
    </row>
    <row r="379" spans="1:41" ht="30" hidden="1" customHeight="1" x14ac:dyDescent="0.35">
      <c r="A379" s="42">
        <v>2026</v>
      </c>
      <c r="B379" s="59" t="s">
        <v>60</v>
      </c>
      <c r="C379" s="65" t="s">
        <v>1037</v>
      </c>
      <c r="D379" s="237" t="s">
        <v>106</v>
      </c>
      <c r="E379" s="237">
        <v>2</v>
      </c>
      <c r="F379" s="58" t="s">
        <v>1040</v>
      </c>
      <c r="G379" s="237" t="s">
        <v>120</v>
      </c>
      <c r="H379" s="59" t="s">
        <v>120</v>
      </c>
      <c r="I379" s="58"/>
      <c r="J379" s="41" t="s">
        <v>130</v>
      </c>
      <c r="K379" s="237" t="s">
        <v>1</v>
      </c>
      <c r="L379" s="59" t="s">
        <v>7</v>
      </c>
      <c r="M379" s="60" t="s">
        <v>37</v>
      </c>
      <c r="N379" s="132">
        <f>O379*1.2</f>
        <v>651168</v>
      </c>
      <c r="O379" s="132">
        <v>542640</v>
      </c>
      <c r="P379" s="187">
        <f>O379/1.2</f>
        <v>452200</v>
      </c>
      <c r="Q379" s="237" t="s">
        <v>138</v>
      </c>
      <c r="R379" s="79"/>
      <c r="S379" s="79"/>
      <c r="T379" s="58"/>
      <c r="U379" s="237"/>
      <c r="V379" s="82">
        <v>46086</v>
      </c>
      <c r="W379" s="88"/>
      <c r="X379" s="88"/>
      <c r="Y379" s="131"/>
      <c r="Z379" s="131"/>
      <c r="AA379" s="131"/>
      <c r="AB379" s="131"/>
      <c r="AC379" s="131"/>
      <c r="AD379" s="131"/>
      <c r="AE379" s="173" t="s">
        <v>99</v>
      </c>
      <c r="AF379" s="173"/>
      <c r="AG379" s="173"/>
      <c r="AH379" s="174"/>
      <c r="AI379" s="175"/>
      <c r="AJ379" s="174"/>
      <c r="AK379" s="176"/>
      <c r="AL379" s="174"/>
      <c r="AM379" s="198" t="s">
        <v>1039</v>
      </c>
      <c r="AO379" s="184"/>
    </row>
    <row r="380" spans="1:41" ht="30" customHeight="1" x14ac:dyDescent="0.35">
      <c r="A380" s="38">
        <v>2026</v>
      </c>
      <c r="B380" s="59" t="s">
        <v>71</v>
      </c>
      <c r="C380" s="171" t="s">
        <v>173</v>
      </c>
      <c r="D380" s="237" t="s">
        <v>114</v>
      </c>
      <c r="E380" s="237">
        <v>1</v>
      </c>
      <c r="F380" s="58" t="s">
        <v>1041</v>
      </c>
      <c r="G380" s="237" t="s">
        <v>121</v>
      </c>
      <c r="H380" s="59" t="s">
        <v>126</v>
      </c>
      <c r="I380" s="58" t="s">
        <v>1042</v>
      </c>
      <c r="J380" s="237" t="s">
        <v>132</v>
      </c>
      <c r="K380" s="237" t="s">
        <v>3</v>
      </c>
      <c r="L380" s="59" t="s">
        <v>6</v>
      </c>
      <c r="M380" s="60" t="s">
        <v>25</v>
      </c>
      <c r="N380" s="130"/>
      <c r="O380" s="172"/>
      <c r="P380" s="172"/>
      <c r="Q380" s="237" t="s">
        <v>140</v>
      </c>
      <c r="R380" s="79"/>
      <c r="S380" s="79"/>
      <c r="T380" s="58" t="s">
        <v>1043</v>
      </c>
      <c r="U380" s="237">
        <v>2026</v>
      </c>
      <c r="V380" s="88">
        <v>46027</v>
      </c>
      <c r="W380" s="79"/>
      <c r="X380" s="88">
        <v>46027</v>
      </c>
      <c r="Y380" s="131">
        <v>677850.68</v>
      </c>
      <c r="Z380" s="131">
        <v>37932.559999999998</v>
      </c>
      <c r="AA380" s="131">
        <f t="shared" ref="AA380:AC382" si="36">Y380</f>
        <v>677850.68</v>
      </c>
      <c r="AB380" s="131">
        <f t="shared" si="36"/>
        <v>37932.559999999998</v>
      </c>
      <c r="AC380" s="131">
        <f t="shared" si="36"/>
        <v>677850.68</v>
      </c>
      <c r="AD380" s="131">
        <f t="shared" ref="AD380:AD387" si="37">AA380</f>
        <v>677850.68</v>
      </c>
      <c r="AE380" s="173" t="s">
        <v>102</v>
      </c>
      <c r="AF380" s="173"/>
      <c r="AG380" s="173"/>
      <c r="AH380" s="174"/>
      <c r="AI380" s="175"/>
      <c r="AJ380" s="174"/>
      <c r="AK380" s="176"/>
      <c r="AL380" s="174"/>
      <c r="AM380" s="181" t="s">
        <v>1030</v>
      </c>
      <c r="AN380" s="243" t="s">
        <v>178</v>
      </c>
      <c r="AO380" s="190"/>
    </row>
    <row r="381" spans="1:41" ht="38.5" customHeight="1" x14ac:dyDescent="0.35">
      <c r="A381" s="38">
        <v>2026</v>
      </c>
      <c r="B381" s="59" t="s">
        <v>71</v>
      </c>
      <c r="C381" s="171" t="s">
        <v>173</v>
      </c>
      <c r="D381" s="237" t="s">
        <v>114</v>
      </c>
      <c r="E381" s="237">
        <v>589</v>
      </c>
      <c r="F381" s="58" t="s">
        <v>1044</v>
      </c>
      <c r="G381" s="237" t="s">
        <v>121</v>
      </c>
      <c r="H381" s="59" t="s">
        <v>126</v>
      </c>
      <c r="I381" s="58" t="s">
        <v>1045</v>
      </c>
      <c r="J381" s="237" t="s">
        <v>132</v>
      </c>
      <c r="K381" s="237" t="s">
        <v>3</v>
      </c>
      <c r="L381" s="59" t="s">
        <v>6</v>
      </c>
      <c r="M381" s="60" t="s">
        <v>25</v>
      </c>
      <c r="N381" s="130"/>
      <c r="O381" s="172"/>
      <c r="P381" s="172"/>
      <c r="Q381" s="237" t="s">
        <v>140</v>
      </c>
      <c r="R381" s="79"/>
      <c r="S381" s="79"/>
      <c r="T381" s="58" t="s">
        <v>1046</v>
      </c>
      <c r="U381" s="237">
        <v>2026</v>
      </c>
      <c r="V381" s="88">
        <v>46049</v>
      </c>
      <c r="W381" s="79"/>
      <c r="X381" s="88">
        <v>46049</v>
      </c>
      <c r="Y381" s="131">
        <v>1111110.72</v>
      </c>
      <c r="Z381" s="131">
        <v>122427</v>
      </c>
      <c r="AA381" s="131">
        <f t="shared" si="36"/>
        <v>1111110.72</v>
      </c>
      <c r="AB381" s="131">
        <f t="shared" si="36"/>
        <v>122427</v>
      </c>
      <c r="AC381" s="131">
        <f t="shared" si="36"/>
        <v>1111110.72</v>
      </c>
      <c r="AD381" s="131">
        <f t="shared" si="37"/>
        <v>1111110.72</v>
      </c>
      <c r="AE381" s="173" t="s">
        <v>102</v>
      </c>
      <c r="AF381" s="173"/>
      <c r="AG381" s="173"/>
      <c r="AH381" s="174"/>
      <c r="AI381" s="175"/>
      <c r="AJ381" s="174"/>
      <c r="AK381" s="176"/>
      <c r="AL381" s="174"/>
      <c r="AM381" s="181" t="s">
        <v>1030</v>
      </c>
      <c r="AN381" s="243" t="s">
        <v>178</v>
      </c>
      <c r="AO381" s="184"/>
    </row>
    <row r="382" spans="1:41" ht="30" customHeight="1" x14ac:dyDescent="0.35">
      <c r="A382" s="38">
        <v>2026</v>
      </c>
      <c r="B382" s="59" t="s">
        <v>71</v>
      </c>
      <c r="C382" s="171" t="s">
        <v>173</v>
      </c>
      <c r="D382" s="237" t="s">
        <v>114</v>
      </c>
      <c r="E382" s="237">
        <v>590</v>
      </c>
      <c r="F382" s="58" t="s">
        <v>1044</v>
      </c>
      <c r="G382" s="237" t="s">
        <v>121</v>
      </c>
      <c r="H382" s="59" t="s">
        <v>126</v>
      </c>
      <c r="I382" s="58" t="s">
        <v>1045</v>
      </c>
      <c r="J382" s="237" t="s">
        <v>132</v>
      </c>
      <c r="K382" s="237" t="s">
        <v>3</v>
      </c>
      <c r="L382" s="59" t="s">
        <v>6</v>
      </c>
      <c r="M382" s="60" t="s">
        <v>25</v>
      </c>
      <c r="N382" s="130"/>
      <c r="O382" s="172"/>
      <c r="P382" s="172"/>
      <c r="Q382" s="237" t="s">
        <v>140</v>
      </c>
      <c r="R382" s="79"/>
      <c r="S382" s="79"/>
      <c r="T382" s="58" t="s">
        <v>1046</v>
      </c>
      <c r="U382" s="237">
        <v>2026</v>
      </c>
      <c r="V382" s="88">
        <v>46049</v>
      </c>
      <c r="W382" s="79"/>
      <c r="X382" s="88">
        <v>46049</v>
      </c>
      <c r="Y382" s="131">
        <v>101358.96</v>
      </c>
      <c r="Z382" s="131">
        <v>11168.17</v>
      </c>
      <c r="AA382" s="131">
        <f t="shared" si="36"/>
        <v>101358.96</v>
      </c>
      <c r="AB382" s="131">
        <f t="shared" si="36"/>
        <v>11168.17</v>
      </c>
      <c r="AC382" s="131">
        <f t="shared" si="36"/>
        <v>101358.96</v>
      </c>
      <c r="AD382" s="131">
        <f t="shared" si="37"/>
        <v>101358.96</v>
      </c>
      <c r="AE382" s="173" t="s">
        <v>102</v>
      </c>
      <c r="AF382" s="173"/>
      <c r="AG382" s="173"/>
      <c r="AH382" s="174"/>
      <c r="AI382" s="175"/>
      <c r="AJ382" s="174"/>
      <c r="AK382" s="176"/>
      <c r="AL382" s="174"/>
      <c r="AM382" s="181" t="s">
        <v>1030</v>
      </c>
      <c r="AN382" s="243" t="s">
        <v>178</v>
      </c>
      <c r="AO382" s="184"/>
    </row>
    <row r="383" spans="1:41" ht="30" customHeight="1" x14ac:dyDescent="0.35">
      <c r="A383" s="38">
        <v>2026</v>
      </c>
      <c r="B383" s="59" t="s">
        <v>71</v>
      </c>
      <c r="C383" s="171" t="s">
        <v>173</v>
      </c>
      <c r="D383" s="237" t="s">
        <v>114</v>
      </c>
      <c r="E383" s="237">
        <v>591</v>
      </c>
      <c r="F383" s="58" t="s">
        <v>1047</v>
      </c>
      <c r="G383" s="237" t="s">
        <v>121</v>
      </c>
      <c r="H383" s="59" t="s">
        <v>126</v>
      </c>
      <c r="I383" s="58" t="s">
        <v>1048</v>
      </c>
      <c r="J383" s="237" t="s">
        <v>132</v>
      </c>
      <c r="K383" s="237" t="s">
        <v>3</v>
      </c>
      <c r="L383" s="59" t="s">
        <v>6</v>
      </c>
      <c r="M383" s="60" t="s">
        <v>25</v>
      </c>
      <c r="N383" s="130"/>
      <c r="O383" s="172"/>
      <c r="P383" s="172"/>
      <c r="Q383" s="237" t="s">
        <v>140</v>
      </c>
      <c r="R383" s="79"/>
      <c r="S383" s="79"/>
      <c r="T383" s="58" t="s">
        <v>1049</v>
      </c>
      <c r="U383" s="237">
        <v>2026</v>
      </c>
      <c r="V383" s="88">
        <v>46028</v>
      </c>
      <c r="W383" s="79"/>
      <c r="X383" s="88">
        <v>46028</v>
      </c>
      <c r="Y383" s="131">
        <v>69549.91</v>
      </c>
      <c r="Z383" s="131">
        <v>6470</v>
      </c>
      <c r="AA383" s="131">
        <f>Y383</f>
        <v>69549.91</v>
      </c>
      <c r="AB383" s="131">
        <v>6470</v>
      </c>
      <c r="AC383" s="131">
        <f>AA383</f>
        <v>69549.91</v>
      </c>
      <c r="AD383" s="131">
        <f t="shared" si="37"/>
        <v>69549.91</v>
      </c>
      <c r="AE383" s="173" t="s">
        <v>102</v>
      </c>
      <c r="AF383" s="173"/>
      <c r="AG383" s="173"/>
      <c r="AH383" s="174"/>
      <c r="AI383" s="175"/>
      <c r="AJ383" s="174"/>
      <c r="AK383" s="176"/>
      <c r="AL383" s="174"/>
      <c r="AM383" s="181" t="s">
        <v>1030</v>
      </c>
      <c r="AN383" s="243" t="s">
        <v>178</v>
      </c>
      <c r="AO383" s="184"/>
    </row>
    <row r="384" spans="1:41" ht="30" customHeight="1" x14ac:dyDescent="0.35">
      <c r="A384" s="38">
        <v>2026</v>
      </c>
      <c r="B384" s="59" t="s">
        <v>71</v>
      </c>
      <c r="C384" s="171" t="s">
        <v>173</v>
      </c>
      <c r="D384" s="237" t="s">
        <v>114</v>
      </c>
      <c r="E384" s="237">
        <v>592</v>
      </c>
      <c r="F384" s="58" t="s">
        <v>1050</v>
      </c>
      <c r="G384" s="237" t="s">
        <v>121</v>
      </c>
      <c r="H384" s="59" t="s">
        <v>126</v>
      </c>
      <c r="I384" s="58" t="s">
        <v>1051</v>
      </c>
      <c r="J384" s="237" t="s">
        <v>132</v>
      </c>
      <c r="K384" s="237" t="s">
        <v>3</v>
      </c>
      <c r="L384" s="59" t="s">
        <v>6</v>
      </c>
      <c r="M384" s="60" t="s">
        <v>25</v>
      </c>
      <c r="N384" s="130"/>
      <c r="O384" s="172"/>
      <c r="P384" s="172"/>
      <c r="Q384" s="237" t="s">
        <v>140</v>
      </c>
      <c r="R384" s="79"/>
      <c r="S384" s="79"/>
      <c r="T384" s="58" t="s">
        <v>1052</v>
      </c>
      <c r="U384" s="237">
        <v>2026</v>
      </c>
      <c r="V384" s="88">
        <v>46027</v>
      </c>
      <c r="W384" s="79"/>
      <c r="X384" s="88">
        <v>46057</v>
      </c>
      <c r="Y384" s="131">
        <v>6109952.7400000002</v>
      </c>
      <c r="Z384" s="131">
        <v>529780</v>
      </c>
      <c r="AA384" s="131">
        <f>Y384</f>
        <v>6109952.7400000002</v>
      </c>
      <c r="AB384" s="131">
        <v>6470</v>
      </c>
      <c r="AC384" s="131">
        <f>AA384</f>
        <v>6109952.7400000002</v>
      </c>
      <c r="AD384" s="131">
        <f t="shared" si="37"/>
        <v>6109952.7400000002</v>
      </c>
      <c r="AE384" s="173" t="s">
        <v>102</v>
      </c>
      <c r="AF384" s="173"/>
      <c r="AG384" s="173"/>
      <c r="AH384" s="174"/>
      <c r="AI384" s="175"/>
      <c r="AJ384" s="174"/>
      <c r="AK384" s="176"/>
      <c r="AL384" s="174"/>
      <c r="AM384" s="181" t="s">
        <v>1030</v>
      </c>
      <c r="AN384" s="243" t="s">
        <v>178</v>
      </c>
      <c r="AO384" s="184"/>
    </row>
    <row r="385" spans="1:41" ht="30" customHeight="1" x14ac:dyDescent="0.35">
      <c r="A385" s="38">
        <v>2026</v>
      </c>
      <c r="B385" s="59" t="s">
        <v>71</v>
      </c>
      <c r="C385" s="171" t="s">
        <v>173</v>
      </c>
      <c r="D385" s="237" t="s">
        <v>114</v>
      </c>
      <c r="E385" s="237">
        <v>593</v>
      </c>
      <c r="F385" s="58" t="s">
        <v>1053</v>
      </c>
      <c r="G385" s="237" t="s">
        <v>121</v>
      </c>
      <c r="H385" s="59" t="s">
        <v>126</v>
      </c>
      <c r="I385" s="58" t="s">
        <v>1054</v>
      </c>
      <c r="J385" s="237" t="s">
        <v>132</v>
      </c>
      <c r="K385" s="237" t="s">
        <v>3</v>
      </c>
      <c r="L385" s="59" t="s">
        <v>6</v>
      </c>
      <c r="M385" s="60" t="s">
        <v>25</v>
      </c>
      <c r="N385" s="130"/>
      <c r="O385" s="172"/>
      <c r="P385" s="172"/>
      <c r="Q385" s="237" t="s">
        <v>140</v>
      </c>
      <c r="R385" s="79"/>
      <c r="S385" s="79"/>
      <c r="T385" s="58" t="s">
        <v>1055</v>
      </c>
      <c r="U385" s="237">
        <v>2026</v>
      </c>
      <c r="V385" s="88">
        <v>46027</v>
      </c>
      <c r="W385" s="79"/>
      <c r="X385" s="88">
        <v>46027</v>
      </c>
      <c r="Y385" s="131">
        <v>275055</v>
      </c>
      <c r="Z385" s="131">
        <v>30000</v>
      </c>
      <c r="AA385" s="131">
        <f>Y385</f>
        <v>275055</v>
      </c>
      <c r="AB385" s="131">
        <v>30000</v>
      </c>
      <c r="AC385" s="131">
        <f>AA385</f>
        <v>275055</v>
      </c>
      <c r="AD385" s="131">
        <f t="shared" si="37"/>
        <v>275055</v>
      </c>
      <c r="AE385" s="173" t="s">
        <v>102</v>
      </c>
      <c r="AF385" s="173"/>
      <c r="AG385" s="173"/>
      <c r="AH385" s="174"/>
      <c r="AI385" s="175"/>
      <c r="AJ385" s="174"/>
      <c r="AK385" s="176"/>
      <c r="AL385" s="174"/>
      <c r="AM385" s="181" t="s">
        <v>1030</v>
      </c>
      <c r="AN385" s="243" t="s">
        <v>178</v>
      </c>
      <c r="AO385" s="184"/>
    </row>
    <row r="386" spans="1:41" ht="30" customHeight="1" x14ac:dyDescent="0.35">
      <c r="A386" s="38">
        <v>2026</v>
      </c>
      <c r="B386" s="59" t="s">
        <v>71</v>
      </c>
      <c r="C386" s="171" t="s">
        <v>173</v>
      </c>
      <c r="D386" s="237" t="s">
        <v>114</v>
      </c>
      <c r="E386" s="237">
        <v>594</v>
      </c>
      <c r="F386" s="58" t="s">
        <v>1056</v>
      </c>
      <c r="G386" s="237" t="s">
        <v>121</v>
      </c>
      <c r="H386" s="59" t="s">
        <v>126</v>
      </c>
      <c r="I386" s="58" t="s">
        <v>1057</v>
      </c>
      <c r="J386" s="237" t="s">
        <v>132</v>
      </c>
      <c r="K386" s="237" t="s">
        <v>3</v>
      </c>
      <c r="L386" s="59" t="s">
        <v>6</v>
      </c>
      <c r="M386" s="60" t="s">
        <v>25</v>
      </c>
      <c r="N386" s="130"/>
      <c r="O386" s="172"/>
      <c r="P386" s="172"/>
      <c r="Q386" s="237" t="s">
        <v>140</v>
      </c>
      <c r="R386" s="79"/>
      <c r="S386" s="79"/>
      <c r="T386" s="58" t="s">
        <v>1058</v>
      </c>
      <c r="U386" s="237">
        <v>2026</v>
      </c>
      <c r="V386" s="88">
        <v>46028</v>
      </c>
      <c r="W386" s="79"/>
      <c r="X386" s="88">
        <v>46028</v>
      </c>
      <c r="Y386" s="131">
        <v>67722.48</v>
      </c>
      <c r="Z386" s="131">
        <v>6300</v>
      </c>
      <c r="AA386" s="131">
        <f>Y386</f>
        <v>67722.48</v>
      </c>
      <c r="AB386" s="131">
        <v>6300</v>
      </c>
      <c r="AC386" s="131">
        <f>AA386</f>
        <v>67722.48</v>
      </c>
      <c r="AD386" s="131">
        <f t="shared" si="37"/>
        <v>67722.48</v>
      </c>
      <c r="AE386" s="173" t="s">
        <v>102</v>
      </c>
      <c r="AF386" s="173"/>
      <c r="AG386" s="173"/>
      <c r="AH386" s="174"/>
      <c r="AI386" s="175"/>
      <c r="AJ386" s="174"/>
      <c r="AK386" s="176"/>
      <c r="AL386" s="174"/>
      <c r="AM386" s="181" t="s">
        <v>1030</v>
      </c>
      <c r="AN386" s="243" t="s">
        <v>178</v>
      </c>
      <c r="AO386" s="184"/>
    </row>
    <row r="387" spans="1:41" ht="30" customHeight="1" x14ac:dyDescent="0.35">
      <c r="A387" s="38">
        <v>2026</v>
      </c>
      <c r="B387" s="59" t="s">
        <v>71</v>
      </c>
      <c r="C387" s="171" t="s">
        <v>173</v>
      </c>
      <c r="D387" s="237" t="s">
        <v>114</v>
      </c>
      <c r="E387" s="237">
        <v>595</v>
      </c>
      <c r="F387" s="58" t="s">
        <v>1059</v>
      </c>
      <c r="G387" s="237" t="s">
        <v>121</v>
      </c>
      <c r="H387" s="59" t="s">
        <v>126</v>
      </c>
      <c r="I387" s="58" t="s">
        <v>1060</v>
      </c>
      <c r="J387" s="237" t="s">
        <v>132</v>
      </c>
      <c r="K387" s="237" t="s">
        <v>3</v>
      </c>
      <c r="L387" s="59" t="s">
        <v>6</v>
      </c>
      <c r="M387" s="60" t="s">
        <v>25</v>
      </c>
      <c r="N387" s="130"/>
      <c r="O387" s="172"/>
      <c r="P387" s="172"/>
      <c r="Q387" s="237" t="s">
        <v>140</v>
      </c>
      <c r="R387" s="79"/>
      <c r="S387" s="79"/>
      <c r="T387" s="58" t="s">
        <v>1061</v>
      </c>
      <c r="U387" s="237">
        <v>2026</v>
      </c>
      <c r="V387" s="88">
        <v>46027</v>
      </c>
      <c r="W387" s="79"/>
      <c r="X387" s="88">
        <v>46027</v>
      </c>
      <c r="Y387" s="131">
        <v>139287.20000000001</v>
      </c>
      <c r="Z387" s="131">
        <v>13000</v>
      </c>
      <c r="AA387" s="131">
        <f>Y387</f>
        <v>139287.20000000001</v>
      </c>
      <c r="AB387" s="131">
        <f>Z387</f>
        <v>13000</v>
      </c>
      <c r="AC387" s="131">
        <f>AA387</f>
        <v>139287.20000000001</v>
      </c>
      <c r="AD387" s="131">
        <f t="shared" si="37"/>
        <v>139287.20000000001</v>
      </c>
      <c r="AE387" s="173" t="s">
        <v>102</v>
      </c>
      <c r="AF387" s="173"/>
      <c r="AG387" s="173"/>
      <c r="AH387" s="174"/>
      <c r="AI387" s="175"/>
      <c r="AJ387" s="174"/>
      <c r="AK387" s="176"/>
      <c r="AL387" s="174"/>
      <c r="AM387" s="181" t="s">
        <v>1030</v>
      </c>
      <c r="AN387" s="243" t="s">
        <v>178</v>
      </c>
      <c r="AO387" s="190"/>
    </row>
    <row r="388" spans="1:41" ht="30" hidden="1" customHeight="1" x14ac:dyDescent="0.35">
      <c r="A388" s="38">
        <v>2026</v>
      </c>
      <c r="B388" s="59" t="s">
        <v>60</v>
      </c>
      <c r="C388" s="58" t="s">
        <v>1062</v>
      </c>
      <c r="D388" s="237" t="s">
        <v>106</v>
      </c>
      <c r="E388" s="237">
        <v>1</v>
      </c>
      <c r="F388" s="58" t="s">
        <v>1063</v>
      </c>
      <c r="G388" s="237" t="s">
        <v>121</v>
      </c>
      <c r="H388" s="59" t="s">
        <v>126</v>
      </c>
      <c r="I388" s="72"/>
      <c r="J388" s="237" t="s">
        <v>130</v>
      </c>
      <c r="K388" s="237" t="s">
        <v>3</v>
      </c>
      <c r="L388" s="59" t="s">
        <v>6</v>
      </c>
      <c r="M388" s="60" t="s">
        <v>15</v>
      </c>
      <c r="N388" s="132">
        <f>O388*1.2</f>
        <v>416974.34399999998</v>
      </c>
      <c r="O388" s="187">
        <v>347478.62</v>
      </c>
      <c r="P388" s="187">
        <f>O388/1.2</f>
        <v>289565.51666666666</v>
      </c>
      <c r="Q388" s="237" t="s">
        <v>139</v>
      </c>
      <c r="R388" s="79"/>
      <c r="S388" s="79"/>
      <c r="T388" s="58" t="s">
        <v>1064</v>
      </c>
      <c r="U388" s="237"/>
      <c r="V388" s="88">
        <v>46085</v>
      </c>
      <c r="W388" s="88">
        <v>46087</v>
      </c>
      <c r="X388" s="88">
        <v>46157</v>
      </c>
      <c r="Y388" s="131">
        <v>253381</v>
      </c>
      <c r="Z388" s="131">
        <v>0</v>
      </c>
      <c r="AA388" s="131">
        <v>304057.2</v>
      </c>
      <c r="AB388" s="131">
        <v>0</v>
      </c>
      <c r="AC388" s="131">
        <f>+Y388</f>
        <v>253381</v>
      </c>
      <c r="AD388" s="131">
        <f>+AA388</f>
        <v>304057.2</v>
      </c>
      <c r="AE388" s="173" t="s">
        <v>102</v>
      </c>
      <c r="AF388" s="173"/>
      <c r="AG388" s="173"/>
      <c r="AH388" s="174"/>
      <c r="AI388" s="175"/>
      <c r="AJ388" s="174"/>
      <c r="AK388" s="176"/>
      <c r="AL388" s="174"/>
      <c r="AM388" s="181" t="s">
        <v>1030</v>
      </c>
      <c r="AO388" s="184"/>
    </row>
    <row r="389" spans="1:41" ht="30" hidden="1" customHeight="1" x14ac:dyDescent="0.35">
      <c r="A389" s="38">
        <v>2026</v>
      </c>
      <c r="B389" s="59" t="s">
        <v>60</v>
      </c>
      <c r="C389" s="58" t="s">
        <v>1062</v>
      </c>
      <c r="D389" s="237" t="s">
        <v>106</v>
      </c>
      <c r="E389" s="237">
        <v>2</v>
      </c>
      <c r="F389" s="58" t="s">
        <v>1065</v>
      </c>
      <c r="G389" s="237" t="s">
        <v>121</v>
      </c>
      <c r="H389" s="59" t="s">
        <v>126</v>
      </c>
      <c r="I389" s="73"/>
      <c r="J389" s="237" t="s">
        <v>130</v>
      </c>
      <c r="K389" s="237" t="s">
        <v>3</v>
      </c>
      <c r="L389" s="59" t="s">
        <v>6</v>
      </c>
      <c r="M389" s="60" t="s">
        <v>15</v>
      </c>
      <c r="N389" s="132">
        <f>O389*1.2</f>
        <v>360000</v>
      </c>
      <c r="O389" s="187">
        <v>300000</v>
      </c>
      <c r="P389" s="187">
        <f>O389/1.2</f>
        <v>250000</v>
      </c>
      <c r="Q389" s="237" t="s">
        <v>139</v>
      </c>
      <c r="R389" s="79"/>
      <c r="S389" s="79"/>
      <c r="T389" s="58" t="s">
        <v>1066</v>
      </c>
      <c r="U389" s="237"/>
      <c r="V389" s="88">
        <v>46085</v>
      </c>
      <c r="W389" s="88">
        <v>46087</v>
      </c>
      <c r="X389" s="88"/>
      <c r="Y389" s="131">
        <f>AC389</f>
        <v>200000</v>
      </c>
      <c r="Z389" s="131">
        <v>0</v>
      </c>
      <c r="AA389" s="131">
        <f>AD389</f>
        <v>240000</v>
      </c>
      <c r="AB389" s="131">
        <v>0</v>
      </c>
      <c r="AC389" s="131">
        <f>AD389/1.2</f>
        <v>200000</v>
      </c>
      <c r="AD389" s="131">
        <v>240000</v>
      </c>
      <c r="AE389" s="173" t="s">
        <v>102</v>
      </c>
      <c r="AF389" s="173"/>
      <c r="AG389" s="173"/>
      <c r="AH389" s="174"/>
      <c r="AI389" s="175"/>
      <c r="AJ389" s="174"/>
      <c r="AK389" s="176"/>
      <c r="AL389" s="174"/>
      <c r="AM389" s="181" t="s">
        <v>1030</v>
      </c>
      <c r="AO389" s="184"/>
    </row>
    <row r="390" spans="1:41" ht="30" customHeight="1" x14ac:dyDescent="0.35">
      <c r="A390" s="38">
        <v>2026</v>
      </c>
      <c r="B390" s="59" t="s">
        <v>63</v>
      </c>
      <c r="C390" s="171" t="s">
        <v>140</v>
      </c>
      <c r="D390" s="237" t="s">
        <v>114</v>
      </c>
      <c r="E390" s="237">
        <v>1</v>
      </c>
      <c r="F390" s="58" t="s">
        <v>1067</v>
      </c>
      <c r="G390" s="237" t="s">
        <v>121</v>
      </c>
      <c r="H390" s="59" t="s">
        <v>126</v>
      </c>
      <c r="I390" s="58" t="s">
        <v>1068</v>
      </c>
      <c r="J390" s="237" t="s">
        <v>132</v>
      </c>
      <c r="K390" s="237" t="s">
        <v>3</v>
      </c>
      <c r="L390" s="59" t="s">
        <v>6</v>
      </c>
      <c r="M390" s="60" t="s">
        <v>953</v>
      </c>
      <c r="N390" s="130"/>
      <c r="O390" s="172"/>
      <c r="P390" s="172"/>
      <c r="Q390" s="237" t="s">
        <v>140</v>
      </c>
      <c r="R390" s="79"/>
      <c r="S390" s="79"/>
      <c r="T390" s="58" t="s">
        <v>1069</v>
      </c>
      <c r="U390" s="237">
        <v>2026</v>
      </c>
      <c r="V390" s="88">
        <v>46041</v>
      </c>
      <c r="W390" s="79"/>
      <c r="X390" s="88">
        <v>46042</v>
      </c>
      <c r="Y390" s="131">
        <v>250000</v>
      </c>
      <c r="Z390" s="131">
        <v>0</v>
      </c>
      <c r="AA390" s="131">
        <f>+Y390</f>
        <v>250000</v>
      </c>
      <c r="AB390" s="131">
        <v>0</v>
      </c>
      <c r="AC390" s="131">
        <f>+AA390</f>
        <v>250000</v>
      </c>
      <c r="AD390" s="135">
        <f>+AC390</f>
        <v>250000</v>
      </c>
      <c r="AE390" s="173" t="s">
        <v>102</v>
      </c>
      <c r="AF390" s="173"/>
      <c r="AG390" s="173"/>
      <c r="AH390" s="174"/>
      <c r="AI390" s="175"/>
      <c r="AJ390" s="174"/>
      <c r="AK390" s="176"/>
      <c r="AL390" s="174"/>
      <c r="AM390" s="181" t="s">
        <v>1030</v>
      </c>
      <c r="AN390" s="243" t="s">
        <v>178</v>
      </c>
      <c r="AO390" s="184"/>
    </row>
    <row r="391" spans="1:41" ht="30" customHeight="1" x14ac:dyDescent="0.35">
      <c r="A391" s="38">
        <v>2026</v>
      </c>
      <c r="B391" s="59" t="s">
        <v>63</v>
      </c>
      <c r="C391" s="171" t="s">
        <v>140</v>
      </c>
      <c r="D391" s="237" t="s">
        <v>114</v>
      </c>
      <c r="E391" s="237">
        <v>1</v>
      </c>
      <c r="F391" s="58" t="s">
        <v>1070</v>
      </c>
      <c r="G391" s="237" t="s">
        <v>121</v>
      </c>
      <c r="H391" s="59" t="s">
        <v>126</v>
      </c>
      <c r="I391" s="58" t="s">
        <v>1071</v>
      </c>
      <c r="J391" s="237" t="s">
        <v>132</v>
      </c>
      <c r="K391" s="237" t="s">
        <v>3</v>
      </c>
      <c r="L391" s="59" t="s">
        <v>6</v>
      </c>
      <c r="M391" s="60" t="s">
        <v>953</v>
      </c>
      <c r="N391" s="130"/>
      <c r="O391" s="172"/>
      <c r="P391" s="172"/>
      <c r="Q391" s="237" t="s">
        <v>140</v>
      </c>
      <c r="R391" s="79"/>
      <c r="S391" s="79"/>
      <c r="T391" s="58" t="s">
        <v>1072</v>
      </c>
      <c r="U391" s="237">
        <v>2026</v>
      </c>
      <c r="V391" s="88">
        <v>46086</v>
      </c>
      <c r="W391" s="79"/>
      <c r="X391" s="88">
        <v>46106</v>
      </c>
      <c r="Y391" s="131">
        <v>1800000</v>
      </c>
      <c r="Z391" s="131">
        <v>0</v>
      </c>
      <c r="AA391" s="131">
        <v>1800000</v>
      </c>
      <c r="AB391" s="131">
        <v>0</v>
      </c>
      <c r="AC391" s="131">
        <f>Y391</f>
        <v>1800000</v>
      </c>
      <c r="AD391" s="135">
        <f t="shared" ref="AD391:AD404" si="38">AA391</f>
        <v>1800000</v>
      </c>
      <c r="AE391" s="173" t="s">
        <v>102</v>
      </c>
      <c r="AF391" s="173"/>
      <c r="AG391" s="173"/>
      <c r="AH391" s="174"/>
      <c r="AI391" s="175"/>
      <c r="AJ391" s="174"/>
      <c r="AK391" s="176"/>
      <c r="AL391" s="174"/>
      <c r="AM391" s="181" t="s">
        <v>1030</v>
      </c>
      <c r="AN391" s="243" t="s">
        <v>178</v>
      </c>
      <c r="AO391" s="184"/>
    </row>
    <row r="392" spans="1:41" ht="30" customHeight="1" x14ac:dyDescent="0.35">
      <c r="A392" s="38">
        <v>2026</v>
      </c>
      <c r="B392" s="59" t="s">
        <v>63</v>
      </c>
      <c r="C392" s="171" t="s">
        <v>140</v>
      </c>
      <c r="D392" s="237" t="s">
        <v>114</v>
      </c>
      <c r="E392" s="237">
        <v>1</v>
      </c>
      <c r="F392" s="58" t="s">
        <v>1073</v>
      </c>
      <c r="G392" s="237" t="s">
        <v>121</v>
      </c>
      <c r="H392" s="59" t="s">
        <v>126</v>
      </c>
      <c r="I392" s="58" t="s">
        <v>1074</v>
      </c>
      <c r="J392" s="237" t="s">
        <v>132</v>
      </c>
      <c r="K392" s="237" t="s">
        <v>3</v>
      </c>
      <c r="L392" s="59" t="s">
        <v>6</v>
      </c>
      <c r="M392" s="60" t="s">
        <v>953</v>
      </c>
      <c r="N392" s="130"/>
      <c r="O392" s="172"/>
      <c r="P392" s="172"/>
      <c r="Q392" s="237" t="s">
        <v>140</v>
      </c>
      <c r="R392" s="79"/>
      <c r="S392" s="79"/>
      <c r="T392" s="58" t="s">
        <v>1075</v>
      </c>
      <c r="U392" s="237">
        <v>2026</v>
      </c>
      <c r="V392" s="88">
        <v>46056</v>
      </c>
      <c r="W392" s="79"/>
      <c r="X392" s="88">
        <v>46057</v>
      </c>
      <c r="Y392" s="131">
        <v>1400000</v>
      </c>
      <c r="Z392" s="131">
        <v>0</v>
      </c>
      <c r="AA392" s="131">
        <v>1400000</v>
      </c>
      <c r="AB392" s="131">
        <v>0</v>
      </c>
      <c r="AC392" s="131">
        <f>Y392</f>
        <v>1400000</v>
      </c>
      <c r="AD392" s="135">
        <f t="shared" si="38"/>
        <v>1400000</v>
      </c>
      <c r="AE392" s="173" t="s">
        <v>102</v>
      </c>
      <c r="AF392" s="173"/>
      <c r="AG392" s="173"/>
      <c r="AH392" s="174"/>
      <c r="AI392" s="175"/>
      <c r="AJ392" s="174"/>
      <c r="AK392" s="176"/>
      <c r="AL392" s="174"/>
      <c r="AM392" s="181" t="s">
        <v>1030</v>
      </c>
      <c r="AN392" s="243" t="s">
        <v>178</v>
      </c>
      <c r="AO392" s="184"/>
    </row>
    <row r="393" spans="1:41" ht="30" customHeight="1" x14ac:dyDescent="0.35">
      <c r="A393" s="38">
        <v>2026</v>
      </c>
      <c r="B393" s="59" t="s">
        <v>63</v>
      </c>
      <c r="C393" s="171" t="s">
        <v>173</v>
      </c>
      <c r="D393" s="237" t="s">
        <v>114</v>
      </c>
      <c r="E393" s="237">
        <v>29</v>
      </c>
      <c r="F393" s="58" t="s">
        <v>1076</v>
      </c>
      <c r="G393" s="237" t="s">
        <v>121</v>
      </c>
      <c r="H393" s="59" t="s">
        <v>126</v>
      </c>
      <c r="I393" s="58" t="s">
        <v>1077</v>
      </c>
      <c r="J393" s="237" t="s">
        <v>132</v>
      </c>
      <c r="K393" s="237" t="s">
        <v>3</v>
      </c>
      <c r="L393" s="59" t="s">
        <v>6</v>
      </c>
      <c r="M393" s="60" t="s">
        <v>980</v>
      </c>
      <c r="N393" s="130"/>
      <c r="O393" s="172"/>
      <c r="P393" s="172"/>
      <c r="Q393" s="237" t="s">
        <v>138</v>
      </c>
      <c r="R393" s="79"/>
      <c r="S393" s="79"/>
      <c r="T393" s="58" t="s">
        <v>1078</v>
      </c>
      <c r="U393" s="237">
        <v>2026</v>
      </c>
      <c r="V393" s="88">
        <v>46084</v>
      </c>
      <c r="W393" s="79"/>
      <c r="X393" s="88">
        <v>46091</v>
      </c>
      <c r="Y393" s="131">
        <v>777671.4</v>
      </c>
      <c r="Z393" s="131">
        <v>71940</v>
      </c>
      <c r="AA393" s="131">
        <f>Y393</f>
        <v>777671.4</v>
      </c>
      <c r="AB393" s="131">
        <v>71940</v>
      </c>
      <c r="AC393" s="131">
        <f>AA393</f>
        <v>777671.4</v>
      </c>
      <c r="AD393" s="131">
        <f t="shared" si="38"/>
        <v>777671.4</v>
      </c>
      <c r="AE393" s="173" t="s">
        <v>102</v>
      </c>
      <c r="AF393" s="173"/>
      <c r="AG393" s="173"/>
      <c r="AH393" s="174"/>
      <c r="AI393" s="175"/>
      <c r="AJ393" s="174"/>
      <c r="AK393" s="176"/>
      <c r="AL393" s="174"/>
      <c r="AM393" s="181" t="s">
        <v>1030</v>
      </c>
      <c r="AN393" s="243" t="s">
        <v>178</v>
      </c>
      <c r="AO393" s="184"/>
    </row>
    <row r="394" spans="1:41" ht="30" customHeight="1" x14ac:dyDescent="0.35">
      <c r="A394" s="38">
        <v>2026</v>
      </c>
      <c r="B394" s="59" t="s">
        <v>66</v>
      </c>
      <c r="C394" s="171" t="s">
        <v>173</v>
      </c>
      <c r="D394" s="237" t="s">
        <v>114</v>
      </c>
      <c r="E394" s="237"/>
      <c r="F394" s="58" t="s">
        <v>1079</v>
      </c>
      <c r="G394" s="237" t="s">
        <v>121</v>
      </c>
      <c r="H394" s="59" t="s">
        <v>126</v>
      </c>
      <c r="I394" s="58" t="s">
        <v>1080</v>
      </c>
      <c r="J394" s="237" t="s">
        <v>132</v>
      </c>
      <c r="K394" s="237" t="s">
        <v>3</v>
      </c>
      <c r="L394" s="59" t="s">
        <v>6</v>
      </c>
      <c r="M394" s="60" t="s">
        <v>25</v>
      </c>
      <c r="N394" s="130"/>
      <c r="O394" s="172"/>
      <c r="P394" s="172"/>
      <c r="Q394" s="237" t="s">
        <v>140</v>
      </c>
      <c r="R394" s="79"/>
      <c r="S394" s="79"/>
      <c r="T394" s="58" t="s">
        <v>1027</v>
      </c>
      <c r="U394" s="237">
        <v>2026</v>
      </c>
      <c r="V394" s="88">
        <v>46387</v>
      </c>
      <c r="W394" s="79"/>
      <c r="X394" s="88">
        <v>46024</v>
      </c>
      <c r="Y394" s="131">
        <v>95000</v>
      </c>
      <c r="Z394" s="131"/>
      <c r="AA394" s="131">
        <v>114000</v>
      </c>
      <c r="AB394" s="131"/>
      <c r="AC394" s="131">
        <f t="shared" ref="AC394:AC404" si="39">Y394</f>
        <v>95000</v>
      </c>
      <c r="AD394" s="131">
        <f t="shared" si="38"/>
        <v>114000</v>
      </c>
      <c r="AE394" s="173" t="s">
        <v>102</v>
      </c>
      <c r="AF394" s="173"/>
      <c r="AG394" s="173"/>
      <c r="AH394" s="174"/>
      <c r="AI394" s="175"/>
      <c r="AJ394" s="174"/>
      <c r="AK394" s="176"/>
      <c r="AL394" s="174"/>
      <c r="AM394" s="181"/>
      <c r="AN394" s="243" t="s">
        <v>178</v>
      </c>
      <c r="AO394" s="184"/>
    </row>
    <row r="395" spans="1:41" ht="30" hidden="1" customHeight="1" x14ac:dyDescent="0.35">
      <c r="A395" s="38">
        <v>2026</v>
      </c>
      <c r="B395" s="59" t="s">
        <v>60</v>
      </c>
      <c r="C395" s="58" t="s">
        <v>1081</v>
      </c>
      <c r="D395" s="237" t="s">
        <v>106</v>
      </c>
      <c r="E395" s="237">
        <v>1</v>
      </c>
      <c r="F395" s="58" t="s">
        <v>1082</v>
      </c>
      <c r="G395" s="237" t="s">
        <v>121</v>
      </c>
      <c r="H395" s="59" t="s">
        <v>127</v>
      </c>
      <c r="I395" s="70" t="s">
        <v>1083</v>
      </c>
      <c r="J395" s="237" t="s">
        <v>130</v>
      </c>
      <c r="K395" s="237" t="s">
        <v>3</v>
      </c>
      <c r="L395" s="59" t="s">
        <v>6</v>
      </c>
      <c r="M395" s="60" t="s">
        <v>880</v>
      </c>
      <c r="N395" s="132">
        <f>O395*1.2</f>
        <v>151200</v>
      </c>
      <c r="O395" s="187">
        <v>126000</v>
      </c>
      <c r="P395" s="187">
        <f>O395/1.2</f>
        <v>105000</v>
      </c>
      <c r="Q395" s="237" t="s">
        <v>139</v>
      </c>
      <c r="R395" s="79"/>
      <c r="S395" s="79"/>
      <c r="T395" s="58" t="s">
        <v>1084</v>
      </c>
      <c r="U395" s="237"/>
      <c r="V395" s="88">
        <v>46066</v>
      </c>
      <c r="W395" s="88">
        <v>46084</v>
      </c>
      <c r="X395" s="88">
        <v>46163</v>
      </c>
      <c r="Y395" s="131">
        <f>AA395/1.2</f>
        <v>78500</v>
      </c>
      <c r="Z395" s="131">
        <v>0</v>
      </c>
      <c r="AA395" s="131">
        <v>94200</v>
      </c>
      <c r="AB395" s="131">
        <v>0</v>
      </c>
      <c r="AC395" s="131">
        <f t="shared" si="39"/>
        <v>78500</v>
      </c>
      <c r="AD395" s="131">
        <f t="shared" si="38"/>
        <v>94200</v>
      </c>
      <c r="AE395" s="173" t="s">
        <v>102</v>
      </c>
      <c r="AF395" s="173"/>
      <c r="AG395" s="173"/>
      <c r="AH395" s="174"/>
      <c r="AI395" s="175"/>
      <c r="AJ395" s="174"/>
      <c r="AK395" s="176"/>
      <c r="AL395" s="174"/>
      <c r="AM395" s="181" t="s">
        <v>1030</v>
      </c>
      <c r="AO395" s="184"/>
    </row>
    <row r="396" spans="1:41" ht="30" hidden="1" customHeight="1" x14ac:dyDescent="0.35">
      <c r="A396" s="38">
        <v>2026</v>
      </c>
      <c r="B396" s="59" t="s">
        <v>60</v>
      </c>
      <c r="C396" s="58" t="s">
        <v>1081</v>
      </c>
      <c r="D396" s="237" t="s">
        <v>106</v>
      </c>
      <c r="E396" s="237">
        <v>2</v>
      </c>
      <c r="F396" s="58" t="s">
        <v>1085</v>
      </c>
      <c r="G396" s="237" t="s">
        <v>121</v>
      </c>
      <c r="H396" s="59" t="s">
        <v>126</v>
      </c>
      <c r="I396" s="70" t="s">
        <v>1086</v>
      </c>
      <c r="J396" s="237" t="s">
        <v>130</v>
      </c>
      <c r="K396" s="237" t="s">
        <v>3</v>
      </c>
      <c r="L396" s="59" t="s">
        <v>6</v>
      </c>
      <c r="M396" s="60" t="s">
        <v>880</v>
      </c>
      <c r="N396" s="132">
        <f>O396*1.2</f>
        <v>139680</v>
      </c>
      <c r="O396" s="187">
        <v>116400</v>
      </c>
      <c r="P396" s="187">
        <f>O396/1.2</f>
        <v>97000</v>
      </c>
      <c r="Q396" s="237" t="s">
        <v>139</v>
      </c>
      <c r="R396" s="79"/>
      <c r="S396" s="79"/>
      <c r="T396" s="58" t="s">
        <v>1087</v>
      </c>
      <c r="U396" s="237">
        <v>2026</v>
      </c>
      <c r="V396" s="88">
        <v>46066</v>
      </c>
      <c r="W396" s="88">
        <v>46084</v>
      </c>
      <c r="X396" s="88">
        <v>46153</v>
      </c>
      <c r="Y396" s="131">
        <f>AA396/1.2</f>
        <v>75000</v>
      </c>
      <c r="Z396" s="131">
        <v>0</v>
      </c>
      <c r="AA396" s="131">
        <v>90000</v>
      </c>
      <c r="AB396" s="131">
        <v>0</v>
      </c>
      <c r="AC396" s="131">
        <f t="shared" si="39"/>
        <v>75000</v>
      </c>
      <c r="AD396" s="131">
        <f t="shared" si="38"/>
        <v>90000</v>
      </c>
      <c r="AE396" s="173" t="s">
        <v>102</v>
      </c>
      <c r="AF396" s="173"/>
      <c r="AG396" s="173"/>
      <c r="AH396" s="174"/>
      <c r="AI396" s="175"/>
      <c r="AJ396" s="174"/>
      <c r="AK396" s="176"/>
      <c r="AL396" s="174"/>
      <c r="AM396" s="181" t="s">
        <v>1030</v>
      </c>
      <c r="AO396" s="184"/>
    </row>
    <row r="397" spans="1:41" ht="30" customHeight="1" x14ac:dyDescent="0.35">
      <c r="A397" s="38">
        <v>2026</v>
      </c>
      <c r="B397" s="59" t="s">
        <v>77</v>
      </c>
      <c r="C397" s="58" t="s">
        <v>1088</v>
      </c>
      <c r="D397" s="237" t="s">
        <v>114</v>
      </c>
      <c r="E397" s="237">
        <v>269</v>
      </c>
      <c r="F397" s="58" t="s">
        <v>1089</v>
      </c>
      <c r="G397" s="237" t="s">
        <v>121</v>
      </c>
      <c r="H397" s="59" t="s">
        <v>126</v>
      </c>
      <c r="I397" s="70"/>
      <c r="J397" s="237" t="s">
        <v>132</v>
      </c>
      <c r="K397" s="237" t="s">
        <v>3</v>
      </c>
      <c r="L397" s="59" t="s">
        <v>6</v>
      </c>
      <c r="M397" s="58" t="s">
        <v>182</v>
      </c>
      <c r="N397" s="130"/>
      <c r="O397" s="172"/>
      <c r="P397" s="172"/>
      <c r="Q397" s="237" t="s">
        <v>138</v>
      </c>
      <c r="R397" s="79"/>
      <c r="S397" s="79"/>
      <c r="T397" s="58" t="s">
        <v>1090</v>
      </c>
      <c r="U397" s="237">
        <v>2026</v>
      </c>
      <c r="V397" s="88">
        <v>46091</v>
      </c>
      <c r="W397" s="79"/>
      <c r="X397" s="88">
        <v>46092</v>
      </c>
      <c r="Y397" s="131">
        <v>156000</v>
      </c>
      <c r="Z397" s="131">
        <v>0</v>
      </c>
      <c r="AA397" s="131">
        <v>156000</v>
      </c>
      <c r="AB397" s="131">
        <v>0</v>
      </c>
      <c r="AC397" s="131">
        <f t="shared" si="39"/>
        <v>156000</v>
      </c>
      <c r="AD397" s="131">
        <f t="shared" si="38"/>
        <v>156000</v>
      </c>
      <c r="AE397" s="173" t="s">
        <v>102</v>
      </c>
      <c r="AF397" s="173"/>
      <c r="AG397" s="173"/>
      <c r="AH397" s="174"/>
      <c r="AI397" s="175"/>
      <c r="AJ397" s="174"/>
      <c r="AK397" s="176"/>
      <c r="AL397" s="174"/>
      <c r="AM397" s="181" t="s">
        <v>1030</v>
      </c>
      <c r="AN397" s="243" t="s">
        <v>178</v>
      </c>
      <c r="AO397" s="184"/>
    </row>
    <row r="398" spans="1:41" ht="30" hidden="1" customHeight="1" x14ac:dyDescent="0.35">
      <c r="A398" s="38">
        <v>2026</v>
      </c>
      <c r="B398" s="59" t="s">
        <v>711</v>
      </c>
      <c r="C398" s="70" t="s">
        <v>1091</v>
      </c>
      <c r="D398" s="237" t="s">
        <v>109</v>
      </c>
      <c r="E398" s="237">
        <v>1</v>
      </c>
      <c r="F398" s="58" t="s">
        <v>1092</v>
      </c>
      <c r="G398" s="237" t="s">
        <v>121</v>
      </c>
      <c r="H398" s="59" t="s">
        <v>126</v>
      </c>
      <c r="I398" s="70" t="s">
        <v>1091</v>
      </c>
      <c r="J398" s="237" t="s">
        <v>132</v>
      </c>
      <c r="K398" s="237" t="s">
        <v>3</v>
      </c>
      <c r="L398" s="59" t="s">
        <v>6</v>
      </c>
      <c r="M398" s="60" t="s">
        <v>1093</v>
      </c>
      <c r="N398" s="130"/>
      <c r="O398" s="172"/>
      <c r="P398" s="172"/>
      <c r="Q398" s="237" t="s">
        <v>139</v>
      </c>
      <c r="R398" s="79"/>
      <c r="S398" s="79"/>
      <c r="T398" s="58" t="s">
        <v>1094</v>
      </c>
      <c r="U398" s="237">
        <v>2026</v>
      </c>
      <c r="V398" s="88">
        <v>46091</v>
      </c>
      <c r="W398" s="79"/>
      <c r="X398" s="88">
        <v>46091</v>
      </c>
      <c r="Y398" s="131">
        <f>AA398/1.2</f>
        <v>246385</v>
      </c>
      <c r="Z398" s="131">
        <v>0</v>
      </c>
      <c r="AA398" s="131">
        <v>295662</v>
      </c>
      <c r="AB398" s="131">
        <v>0</v>
      </c>
      <c r="AC398" s="131">
        <f t="shared" si="39"/>
        <v>246385</v>
      </c>
      <c r="AD398" s="131">
        <f t="shared" si="38"/>
        <v>295662</v>
      </c>
      <c r="AE398" s="173" t="s">
        <v>102</v>
      </c>
      <c r="AF398" s="173"/>
      <c r="AG398" s="173"/>
      <c r="AH398" s="174"/>
      <c r="AI398" s="175"/>
      <c r="AJ398" s="174"/>
      <c r="AK398" s="176"/>
      <c r="AL398" s="174"/>
      <c r="AM398" s="181" t="s">
        <v>1030</v>
      </c>
      <c r="AO398" s="184"/>
    </row>
    <row r="399" spans="1:41" ht="30" hidden="1" customHeight="1" x14ac:dyDescent="0.35">
      <c r="A399" s="38">
        <v>2025</v>
      </c>
      <c r="B399" s="59" t="s">
        <v>56</v>
      </c>
      <c r="C399" s="58" t="s">
        <v>1095</v>
      </c>
      <c r="D399" s="237" t="s">
        <v>106</v>
      </c>
      <c r="E399" s="237">
        <v>1</v>
      </c>
      <c r="F399" s="58" t="s">
        <v>1096</v>
      </c>
      <c r="G399" s="237" t="s">
        <v>121</v>
      </c>
      <c r="H399" s="59" t="s">
        <v>126</v>
      </c>
      <c r="I399" s="70" t="s">
        <v>1097</v>
      </c>
      <c r="J399" s="237" t="s">
        <v>131</v>
      </c>
      <c r="K399" s="237" t="s">
        <v>1</v>
      </c>
      <c r="L399" s="59" t="s">
        <v>7</v>
      </c>
      <c r="M399" s="60" t="s">
        <v>961</v>
      </c>
      <c r="N399" s="132">
        <f>O399*1.2</f>
        <v>2503440</v>
      </c>
      <c r="O399" s="187">
        <v>2086200</v>
      </c>
      <c r="P399" s="187">
        <f>O399/1.2</f>
        <v>1738500</v>
      </c>
      <c r="Q399" s="237" t="s">
        <v>138</v>
      </c>
      <c r="R399" s="79"/>
      <c r="S399" s="79"/>
      <c r="T399" s="58" t="s">
        <v>1024</v>
      </c>
      <c r="U399" s="237">
        <v>2026</v>
      </c>
      <c r="V399" s="88">
        <v>46094</v>
      </c>
      <c r="W399" s="79"/>
      <c r="X399" s="88">
        <v>46108</v>
      </c>
      <c r="Y399" s="131">
        <f>AA399/1.2</f>
        <v>2081500</v>
      </c>
      <c r="Z399" s="131">
        <v>0</v>
      </c>
      <c r="AA399" s="131">
        <v>2497800</v>
      </c>
      <c r="AB399" s="131">
        <v>0</v>
      </c>
      <c r="AC399" s="131">
        <f t="shared" si="39"/>
        <v>2081500</v>
      </c>
      <c r="AD399" s="131">
        <f t="shared" si="38"/>
        <v>2497800</v>
      </c>
      <c r="AE399" s="173" t="s">
        <v>102</v>
      </c>
      <c r="AF399" s="173"/>
      <c r="AG399" s="173"/>
      <c r="AH399" s="174"/>
      <c r="AI399" s="175"/>
      <c r="AJ399" s="174"/>
      <c r="AK399" s="176"/>
      <c r="AL399" s="174"/>
      <c r="AM399" s="181" t="s">
        <v>1001</v>
      </c>
      <c r="AO399" s="184"/>
    </row>
    <row r="400" spans="1:41" ht="30" hidden="1" customHeight="1" x14ac:dyDescent="0.35">
      <c r="A400" s="38">
        <v>2026</v>
      </c>
      <c r="B400" s="59" t="s">
        <v>60</v>
      </c>
      <c r="C400" s="58" t="s">
        <v>1098</v>
      </c>
      <c r="D400" s="237" t="s">
        <v>109</v>
      </c>
      <c r="E400" s="237">
        <v>1</v>
      </c>
      <c r="F400" s="58" t="s">
        <v>1099</v>
      </c>
      <c r="G400" s="237" t="s">
        <v>121</v>
      </c>
      <c r="H400" s="59" t="s">
        <v>126</v>
      </c>
      <c r="I400" s="58" t="s">
        <v>1098</v>
      </c>
      <c r="J400" s="237" t="s">
        <v>132</v>
      </c>
      <c r="K400" s="237" t="s">
        <v>3</v>
      </c>
      <c r="L400" s="59" t="s">
        <v>7</v>
      </c>
      <c r="M400" s="60" t="s">
        <v>36</v>
      </c>
      <c r="N400" s="130"/>
      <c r="O400" s="172"/>
      <c r="P400" s="172"/>
      <c r="Q400" s="237" t="s">
        <v>139</v>
      </c>
      <c r="R400" s="79"/>
      <c r="S400" s="79"/>
      <c r="T400" s="58" t="s">
        <v>1100</v>
      </c>
      <c r="U400" s="237">
        <v>2026</v>
      </c>
      <c r="V400" s="79"/>
      <c r="W400" s="79"/>
      <c r="X400" s="88">
        <v>46098</v>
      </c>
      <c r="Y400" s="131">
        <v>199115</v>
      </c>
      <c r="Z400" s="131">
        <v>0</v>
      </c>
      <c r="AA400" s="131">
        <v>238938</v>
      </c>
      <c r="AB400" s="131">
        <v>0</v>
      </c>
      <c r="AC400" s="131">
        <f t="shared" si="39"/>
        <v>199115</v>
      </c>
      <c r="AD400" s="131">
        <f t="shared" si="38"/>
        <v>238938</v>
      </c>
      <c r="AE400" s="173" t="s">
        <v>102</v>
      </c>
      <c r="AF400" s="173"/>
      <c r="AG400" s="173"/>
      <c r="AH400" s="174"/>
      <c r="AI400" s="175"/>
      <c r="AJ400" s="174"/>
      <c r="AK400" s="176"/>
      <c r="AL400" s="174"/>
      <c r="AM400" s="181"/>
      <c r="AO400" s="184"/>
    </row>
    <row r="401" spans="1:41" ht="30" hidden="1" customHeight="1" x14ac:dyDescent="0.35">
      <c r="A401" s="38">
        <v>2026</v>
      </c>
      <c r="B401" s="59" t="s">
        <v>60</v>
      </c>
      <c r="C401" s="58" t="s">
        <v>1101</v>
      </c>
      <c r="D401" s="237" t="s">
        <v>109</v>
      </c>
      <c r="E401" s="237">
        <v>1</v>
      </c>
      <c r="F401" s="58" t="s">
        <v>1102</v>
      </c>
      <c r="G401" s="237" t="s">
        <v>121</v>
      </c>
      <c r="H401" s="59" t="s">
        <v>126</v>
      </c>
      <c r="I401" s="58" t="s">
        <v>1101</v>
      </c>
      <c r="J401" s="237" t="s">
        <v>132</v>
      </c>
      <c r="K401" s="237" t="s">
        <v>3</v>
      </c>
      <c r="L401" s="59" t="s">
        <v>6</v>
      </c>
      <c r="M401" s="60" t="s">
        <v>26</v>
      </c>
      <c r="N401" s="130"/>
      <c r="O401" s="172"/>
      <c r="P401" s="172"/>
      <c r="Q401" s="237" t="s">
        <v>139</v>
      </c>
      <c r="R401" s="79"/>
      <c r="S401" s="79"/>
      <c r="T401" s="58" t="s">
        <v>1103</v>
      </c>
      <c r="U401" s="237">
        <v>2026</v>
      </c>
      <c r="V401" s="79"/>
      <c r="W401" s="79"/>
      <c r="X401" s="88">
        <v>46111</v>
      </c>
      <c r="Y401" s="131">
        <v>109091.2</v>
      </c>
      <c r="Z401" s="131">
        <v>0</v>
      </c>
      <c r="AA401" s="131">
        <v>120000.32000000001</v>
      </c>
      <c r="AB401" s="131">
        <v>0</v>
      </c>
      <c r="AC401" s="131">
        <f t="shared" si="39"/>
        <v>109091.2</v>
      </c>
      <c r="AD401" s="131">
        <f t="shared" si="38"/>
        <v>120000.32000000001</v>
      </c>
      <c r="AE401" s="173" t="s">
        <v>102</v>
      </c>
      <c r="AF401" s="173"/>
      <c r="AG401" s="173"/>
      <c r="AH401" s="174"/>
      <c r="AI401" s="175"/>
      <c r="AJ401" s="174"/>
      <c r="AK401" s="176"/>
      <c r="AL401" s="174"/>
      <c r="AM401" s="181"/>
      <c r="AO401" s="184"/>
    </row>
    <row r="402" spans="1:41" ht="30" hidden="1" customHeight="1" x14ac:dyDescent="0.35">
      <c r="A402" s="38">
        <v>2026</v>
      </c>
      <c r="B402" s="59" t="s">
        <v>60</v>
      </c>
      <c r="C402" s="58" t="s">
        <v>1104</v>
      </c>
      <c r="D402" s="237" t="s">
        <v>109</v>
      </c>
      <c r="E402" s="237">
        <v>1</v>
      </c>
      <c r="F402" s="58" t="s">
        <v>1105</v>
      </c>
      <c r="G402" s="237" t="s">
        <v>121</v>
      </c>
      <c r="H402" s="59" t="s">
        <v>126</v>
      </c>
      <c r="I402" s="58" t="s">
        <v>1104</v>
      </c>
      <c r="J402" s="237" t="s">
        <v>132</v>
      </c>
      <c r="K402" s="237" t="s">
        <v>3</v>
      </c>
      <c r="L402" s="59" t="s">
        <v>6</v>
      </c>
      <c r="M402" s="60" t="s">
        <v>16</v>
      </c>
      <c r="N402" s="130"/>
      <c r="O402" s="172"/>
      <c r="P402" s="172"/>
      <c r="Q402" s="237" t="s">
        <v>139</v>
      </c>
      <c r="R402" s="79"/>
      <c r="S402" s="79"/>
      <c r="T402" s="58" t="s">
        <v>1106</v>
      </c>
      <c r="U402" s="237">
        <v>2026</v>
      </c>
      <c r="V402" s="79"/>
      <c r="W402" s="79"/>
      <c r="X402" s="88">
        <v>46112</v>
      </c>
      <c r="Y402" s="131">
        <v>382000</v>
      </c>
      <c r="Z402" s="131">
        <v>0</v>
      </c>
      <c r="AA402" s="131">
        <v>458400</v>
      </c>
      <c r="AB402" s="131">
        <v>0</v>
      </c>
      <c r="AC402" s="131">
        <f t="shared" si="39"/>
        <v>382000</v>
      </c>
      <c r="AD402" s="131">
        <f t="shared" si="38"/>
        <v>458400</v>
      </c>
      <c r="AE402" s="173" t="s">
        <v>102</v>
      </c>
      <c r="AF402" s="173"/>
      <c r="AG402" s="173"/>
      <c r="AH402" s="174"/>
      <c r="AI402" s="175"/>
      <c r="AJ402" s="174"/>
      <c r="AK402" s="176"/>
      <c r="AL402" s="174"/>
      <c r="AM402" s="181"/>
      <c r="AO402" s="184"/>
    </row>
    <row r="403" spans="1:41" ht="30" hidden="1" customHeight="1" x14ac:dyDescent="0.35">
      <c r="A403" s="38">
        <v>2025</v>
      </c>
      <c r="B403" s="59" t="s">
        <v>61</v>
      </c>
      <c r="C403" s="58" t="s">
        <v>1107</v>
      </c>
      <c r="D403" s="237" t="s">
        <v>106</v>
      </c>
      <c r="E403" s="237">
        <v>1</v>
      </c>
      <c r="F403" s="58" t="s">
        <v>1108</v>
      </c>
      <c r="G403" s="237" t="s">
        <v>121</v>
      </c>
      <c r="H403" s="59" t="s">
        <v>127</v>
      </c>
      <c r="I403" s="70"/>
      <c r="J403" s="237" t="s">
        <v>130</v>
      </c>
      <c r="K403" s="237" t="s">
        <v>3</v>
      </c>
      <c r="L403" s="59" t="s">
        <v>6</v>
      </c>
      <c r="M403" s="60" t="s">
        <v>980</v>
      </c>
      <c r="N403" s="132">
        <f>O403*1.2</f>
        <v>420000</v>
      </c>
      <c r="O403" s="187">
        <v>350000</v>
      </c>
      <c r="P403" s="187">
        <f>O403/1.2</f>
        <v>291666.66666666669</v>
      </c>
      <c r="Q403" s="237" t="s">
        <v>139</v>
      </c>
      <c r="R403" s="79"/>
      <c r="S403" s="79"/>
      <c r="T403" s="58" t="s">
        <v>1109</v>
      </c>
      <c r="U403" s="237">
        <v>2026</v>
      </c>
      <c r="V403" s="88">
        <v>46099</v>
      </c>
      <c r="W403" s="79"/>
      <c r="X403" s="88"/>
      <c r="Y403" s="131">
        <f>AA403/1.2</f>
        <v>291666.66666666669</v>
      </c>
      <c r="Z403" s="131">
        <v>0</v>
      </c>
      <c r="AA403" s="131">
        <v>350000</v>
      </c>
      <c r="AB403" s="131">
        <v>0</v>
      </c>
      <c r="AC403" s="131">
        <f t="shared" si="39"/>
        <v>291666.66666666669</v>
      </c>
      <c r="AD403" s="131">
        <f t="shared" si="38"/>
        <v>350000</v>
      </c>
      <c r="AE403" s="173" t="s">
        <v>101</v>
      </c>
      <c r="AF403" s="173"/>
      <c r="AG403" s="173"/>
      <c r="AH403" s="174"/>
      <c r="AI403" s="175"/>
      <c r="AJ403" s="174"/>
      <c r="AK403" s="176"/>
      <c r="AL403" s="174"/>
      <c r="AM403" s="177" t="s">
        <v>1110</v>
      </c>
      <c r="AO403" s="184"/>
    </row>
    <row r="404" spans="1:41" ht="30" hidden="1" customHeight="1" x14ac:dyDescent="0.35">
      <c r="A404" s="38">
        <v>2025</v>
      </c>
      <c r="B404" s="59" t="s">
        <v>56</v>
      </c>
      <c r="C404" s="58" t="s">
        <v>1111</v>
      </c>
      <c r="D404" s="237" t="s">
        <v>106</v>
      </c>
      <c r="E404" s="237">
        <v>1</v>
      </c>
      <c r="F404" s="58" t="s">
        <v>1112</v>
      </c>
      <c r="G404" s="237" t="s">
        <v>121</v>
      </c>
      <c r="H404" s="59" t="s">
        <v>126</v>
      </c>
      <c r="I404" s="70" t="s">
        <v>1113</v>
      </c>
      <c r="J404" s="237" t="s">
        <v>130</v>
      </c>
      <c r="K404" s="237" t="s">
        <v>1</v>
      </c>
      <c r="L404" s="59" t="s">
        <v>7</v>
      </c>
      <c r="M404" s="60" t="s">
        <v>36</v>
      </c>
      <c r="N404" s="132">
        <f>O404*1.2</f>
        <v>463680</v>
      </c>
      <c r="O404" s="187">
        <v>386400</v>
      </c>
      <c r="P404" s="187">
        <f>O404/1.2</f>
        <v>322000</v>
      </c>
      <c r="Q404" s="237" t="s">
        <v>138</v>
      </c>
      <c r="R404" s="79"/>
      <c r="S404" s="79"/>
      <c r="T404" s="58" t="s">
        <v>1024</v>
      </c>
      <c r="U404" s="237">
        <v>2026</v>
      </c>
      <c r="V404" s="88">
        <v>46099</v>
      </c>
      <c r="W404" s="79"/>
      <c r="X404" s="88">
        <v>46108</v>
      </c>
      <c r="Y404" s="131">
        <f>AA404/1.2</f>
        <v>383800</v>
      </c>
      <c r="Z404" s="131">
        <v>0</v>
      </c>
      <c r="AA404" s="131">
        <v>460560</v>
      </c>
      <c r="AB404" s="131">
        <v>0</v>
      </c>
      <c r="AC404" s="131">
        <f t="shared" si="39"/>
        <v>383800</v>
      </c>
      <c r="AD404" s="131">
        <f t="shared" si="38"/>
        <v>460560</v>
      </c>
      <c r="AE404" s="173" t="s">
        <v>102</v>
      </c>
      <c r="AF404" s="173"/>
      <c r="AG404" s="173"/>
      <c r="AH404" s="174"/>
      <c r="AI404" s="175"/>
      <c r="AJ404" s="174"/>
      <c r="AK404" s="176"/>
      <c r="AL404" s="174"/>
      <c r="AM404" s="181" t="s">
        <v>1001</v>
      </c>
      <c r="AO404" s="184"/>
    </row>
    <row r="405" spans="1:41" ht="30" customHeight="1" x14ac:dyDescent="0.35">
      <c r="A405" s="38">
        <v>2021</v>
      </c>
      <c r="B405" s="59" t="s">
        <v>68</v>
      </c>
      <c r="C405" s="171" t="s">
        <v>141</v>
      </c>
      <c r="D405" s="237" t="s">
        <v>114</v>
      </c>
      <c r="E405" s="237">
        <v>1</v>
      </c>
      <c r="F405" s="58" t="s">
        <v>1114</v>
      </c>
      <c r="G405" s="237" t="s">
        <v>121</v>
      </c>
      <c r="H405" s="59" t="s">
        <v>126</v>
      </c>
      <c r="I405" s="70">
        <v>490</v>
      </c>
      <c r="J405" s="237" t="s">
        <v>132</v>
      </c>
      <c r="K405" s="237" t="s">
        <v>3</v>
      </c>
      <c r="L405" s="59" t="s">
        <v>6</v>
      </c>
      <c r="M405" s="60" t="s">
        <v>1115</v>
      </c>
      <c r="N405" s="130"/>
      <c r="O405" s="172"/>
      <c r="P405" s="172"/>
      <c r="Q405" s="237" t="s">
        <v>141</v>
      </c>
      <c r="R405" s="79"/>
      <c r="S405" s="79"/>
      <c r="T405" s="58" t="s">
        <v>1116</v>
      </c>
      <c r="U405" s="237">
        <v>2021</v>
      </c>
      <c r="V405" s="88" t="s">
        <v>358</v>
      </c>
      <c r="W405" s="79"/>
      <c r="X405" s="88" t="s">
        <v>358</v>
      </c>
      <c r="Y405" s="131"/>
      <c r="Z405" s="131"/>
      <c r="AA405" s="131"/>
      <c r="AB405" s="131"/>
      <c r="AC405" s="131"/>
      <c r="AD405" s="131">
        <v>1241174</v>
      </c>
      <c r="AE405" s="173" t="s">
        <v>102</v>
      </c>
      <c r="AF405" s="173"/>
      <c r="AG405" s="173"/>
      <c r="AH405" s="174"/>
      <c r="AI405" s="175"/>
      <c r="AJ405" s="174"/>
      <c r="AK405" s="176"/>
      <c r="AL405" s="174"/>
      <c r="AM405" s="181"/>
      <c r="AN405" s="243" t="s">
        <v>178</v>
      </c>
      <c r="AO405" s="184"/>
    </row>
    <row r="406" spans="1:41" ht="30" customHeight="1" x14ac:dyDescent="0.35">
      <c r="A406" s="38">
        <v>2023</v>
      </c>
      <c r="B406" s="59" t="s">
        <v>68</v>
      </c>
      <c r="C406" s="171" t="s">
        <v>141</v>
      </c>
      <c r="D406" s="237" t="s">
        <v>114</v>
      </c>
      <c r="E406" s="237">
        <v>113</v>
      </c>
      <c r="F406" s="58" t="s">
        <v>1117</v>
      </c>
      <c r="G406" s="237" t="s">
        <v>121</v>
      </c>
      <c r="H406" s="59" t="s">
        <v>126</v>
      </c>
      <c r="I406" s="70" t="s">
        <v>1118</v>
      </c>
      <c r="J406" s="237" t="s">
        <v>132</v>
      </c>
      <c r="K406" s="237" t="s">
        <v>3</v>
      </c>
      <c r="L406" s="59" t="s">
        <v>6</v>
      </c>
      <c r="M406" s="60" t="s">
        <v>1115</v>
      </c>
      <c r="N406" s="130"/>
      <c r="O406" s="172"/>
      <c r="P406" s="172"/>
      <c r="Q406" s="237" t="s">
        <v>141</v>
      </c>
      <c r="R406" s="79"/>
      <c r="S406" s="79"/>
      <c r="T406" s="58" t="s">
        <v>1119</v>
      </c>
      <c r="U406" s="237">
        <v>2023</v>
      </c>
      <c r="V406" s="88" t="s">
        <v>358</v>
      </c>
      <c r="W406" s="79"/>
      <c r="X406" s="88" t="s">
        <v>358</v>
      </c>
      <c r="Y406" s="131"/>
      <c r="Z406" s="131"/>
      <c r="AA406" s="131"/>
      <c r="AB406" s="131"/>
      <c r="AC406" s="131"/>
      <c r="AD406" s="131">
        <v>1122588</v>
      </c>
      <c r="AE406" s="173" t="s">
        <v>102</v>
      </c>
      <c r="AF406" s="173"/>
      <c r="AG406" s="173"/>
      <c r="AH406" s="174"/>
      <c r="AI406" s="175"/>
      <c r="AJ406" s="174"/>
      <c r="AK406" s="176"/>
      <c r="AL406" s="174"/>
      <c r="AM406" s="181"/>
      <c r="AN406" s="243" t="s">
        <v>178</v>
      </c>
      <c r="AO406" s="190" t="s">
        <v>1120</v>
      </c>
    </row>
    <row r="407" spans="1:41" ht="30" customHeight="1" x14ac:dyDescent="0.35">
      <c r="A407" s="38">
        <v>2023</v>
      </c>
      <c r="B407" s="59" t="s">
        <v>68</v>
      </c>
      <c r="C407" s="171" t="s">
        <v>141</v>
      </c>
      <c r="D407" s="237" t="s">
        <v>114</v>
      </c>
      <c r="E407" s="237">
        <v>1</v>
      </c>
      <c r="F407" s="58" t="s">
        <v>1121</v>
      </c>
      <c r="G407" s="237" t="s">
        <v>121</v>
      </c>
      <c r="H407" s="59" t="s">
        <v>126</v>
      </c>
      <c r="I407" s="70" t="s">
        <v>1122</v>
      </c>
      <c r="J407" s="237" t="s">
        <v>132</v>
      </c>
      <c r="K407" s="237" t="s">
        <v>3</v>
      </c>
      <c r="L407" s="59" t="s">
        <v>6</v>
      </c>
      <c r="M407" s="60" t="s">
        <v>25</v>
      </c>
      <c r="N407" s="130"/>
      <c r="O407" s="172"/>
      <c r="P407" s="172"/>
      <c r="Q407" s="237" t="s">
        <v>141</v>
      </c>
      <c r="R407" s="79"/>
      <c r="S407" s="79"/>
      <c r="T407" s="58" t="s">
        <v>1123</v>
      </c>
      <c r="U407" s="237">
        <v>2023</v>
      </c>
      <c r="V407" s="88" t="s">
        <v>358</v>
      </c>
      <c r="W407" s="79"/>
      <c r="X407" s="88" t="s">
        <v>358</v>
      </c>
      <c r="Y407" s="131"/>
      <c r="Z407" s="131"/>
      <c r="AA407" s="131"/>
      <c r="AB407" s="131"/>
      <c r="AC407" s="131"/>
      <c r="AD407" s="131">
        <v>864000</v>
      </c>
      <c r="AE407" s="173" t="s">
        <v>102</v>
      </c>
      <c r="AF407" s="173"/>
      <c r="AG407" s="173"/>
      <c r="AH407" s="174"/>
      <c r="AI407" s="175"/>
      <c r="AJ407" s="174"/>
      <c r="AK407" s="176"/>
      <c r="AL407" s="174"/>
      <c r="AM407" s="181"/>
      <c r="AN407" s="243" t="s">
        <v>178</v>
      </c>
      <c r="AO407" s="184"/>
    </row>
    <row r="408" spans="1:41" ht="30" customHeight="1" x14ac:dyDescent="0.35">
      <c r="A408" s="38">
        <v>2021</v>
      </c>
      <c r="B408" s="59" t="s">
        <v>68</v>
      </c>
      <c r="C408" s="171" t="s">
        <v>141</v>
      </c>
      <c r="D408" s="237" t="s">
        <v>114</v>
      </c>
      <c r="E408" s="237">
        <v>1</v>
      </c>
      <c r="F408" s="58" t="s">
        <v>1124</v>
      </c>
      <c r="G408" s="237" t="s">
        <v>121</v>
      </c>
      <c r="H408" s="59" t="s">
        <v>126</v>
      </c>
      <c r="I408" s="58">
        <v>21000511</v>
      </c>
      <c r="J408" s="237" t="s">
        <v>132</v>
      </c>
      <c r="K408" s="237" t="s">
        <v>3</v>
      </c>
      <c r="L408" s="59" t="s">
        <v>6</v>
      </c>
      <c r="M408" s="60" t="s">
        <v>25</v>
      </c>
      <c r="N408" s="130"/>
      <c r="O408" s="172"/>
      <c r="P408" s="172"/>
      <c r="Q408" s="237" t="s">
        <v>141</v>
      </c>
      <c r="R408" s="79"/>
      <c r="S408" s="79"/>
      <c r="T408" s="58" t="s">
        <v>357</v>
      </c>
      <c r="U408" s="237">
        <v>2021</v>
      </c>
      <c r="V408" s="88" t="s">
        <v>358</v>
      </c>
      <c r="W408" s="79"/>
      <c r="X408" s="88" t="s">
        <v>358</v>
      </c>
      <c r="Y408" s="131"/>
      <c r="Z408" s="131"/>
      <c r="AA408" s="131"/>
      <c r="AB408" s="131"/>
      <c r="AC408" s="131" t="s">
        <v>358</v>
      </c>
      <c r="AD408" s="131">
        <v>2040000</v>
      </c>
      <c r="AE408" s="173" t="s">
        <v>102</v>
      </c>
      <c r="AF408" s="173"/>
      <c r="AG408" s="173"/>
      <c r="AH408" s="174"/>
      <c r="AI408" s="175"/>
      <c r="AJ408" s="174"/>
      <c r="AK408" s="176"/>
      <c r="AL408" s="174"/>
      <c r="AM408" s="181"/>
      <c r="AN408" s="243" t="s">
        <v>178</v>
      </c>
      <c r="AO408" s="184"/>
    </row>
    <row r="409" spans="1:41" ht="37.5" customHeight="1" x14ac:dyDescent="0.35">
      <c r="A409" s="38">
        <v>2023</v>
      </c>
      <c r="B409" s="59" t="s">
        <v>68</v>
      </c>
      <c r="C409" s="171" t="s">
        <v>141</v>
      </c>
      <c r="D409" s="237" t="s">
        <v>114</v>
      </c>
      <c r="E409" s="237">
        <v>114</v>
      </c>
      <c r="F409" s="58" t="s">
        <v>1125</v>
      </c>
      <c r="G409" s="237" t="s">
        <v>121</v>
      </c>
      <c r="H409" s="59" t="s">
        <v>126</v>
      </c>
      <c r="I409" s="70" t="s">
        <v>1126</v>
      </c>
      <c r="J409" s="237" t="s">
        <v>132</v>
      </c>
      <c r="K409" s="237" t="s">
        <v>3</v>
      </c>
      <c r="L409" s="59" t="s">
        <v>6</v>
      </c>
      <c r="M409" s="60" t="s">
        <v>1115</v>
      </c>
      <c r="N409" s="130"/>
      <c r="O409" s="172"/>
      <c r="P409" s="172"/>
      <c r="Q409" s="237" t="s">
        <v>141</v>
      </c>
      <c r="R409" s="79"/>
      <c r="S409" s="79"/>
      <c r="T409" s="58" t="s">
        <v>1127</v>
      </c>
      <c r="U409" s="237">
        <v>2023</v>
      </c>
      <c r="V409" s="88" t="s">
        <v>358</v>
      </c>
      <c r="W409" s="79"/>
      <c r="X409" s="88" t="s">
        <v>358</v>
      </c>
      <c r="Y409" s="131"/>
      <c r="Z409" s="131"/>
      <c r="AA409" s="131"/>
      <c r="AB409" s="131"/>
      <c r="AC409" s="131"/>
      <c r="AD409" s="131">
        <v>240480</v>
      </c>
      <c r="AE409" s="173" t="s">
        <v>102</v>
      </c>
      <c r="AF409" s="173"/>
      <c r="AG409" s="173"/>
      <c r="AH409" s="174"/>
      <c r="AI409" s="175"/>
      <c r="AJ409" s="174"/>
      <c r="AK409" s="176"/>
      <c r="AL409" s="174"/>
      <c r="AM409" s="181"/>
      <c r="AN409" s="243" t="s">
        <v>178</v>
      </c>
      <c r="AO409" s="184"/>
    </row>
    <row r="410" spans="1:41" ht="30" hidden="1" customHeight="1" x14ac:dyDescent="0.35">
      <c r="A410" s="38">
        <v>2026</v>
      </c>
      <c r="B410" s="59" t="s">
        <v>68</v>
      </c>
      <c r="C410" s="58" t="s">
        <v>1128</v>
      </c>
      <c r="D410" s="237" t="s">
        <v>106</v>
      </c>
      <c r="E410" s="237">
        <v>1</v>
      </c>
      <c r="F410" s="58" t="s">
        <v>1129</v>
      </c>
      <c r="G410" s="237" t="s">
        <v>121</v>
      </c>
      <c r="H410" s="59" t="s">
        <v>127</v>
      </c>
      <c r="I410" s="70"/>
      <c r="J410" s="237" t="s">
        <v>130</v>
      </c>
      <c r="K410" s="237" t="s">
        <v>3</v>
      </c>
      <c r="L410" s="59" t="s">
        <v>6</v>
      </c>
      <c r="M410" s="60" t="s">
        <v>980</v>
      </c>
      <c r="N410" s="132">
        <f>O410*1.2</f>
        <v>107208</v>
      </c>
      <c r="O410" s="187">
        <v>89340</v>
      </c>
      <c r="P410" s="187">
        <f>O410/1.2</f>
        <v>74450</v>
      </c>
      <c r="Q410" s="237" t="s">
        <v>139</v>
      </c>
      <c r="R410" s="79"/>
      <c r="S410" s="79"/>
      <c r="T410" s="58" t="s">
        <v>1130</v>
      </c>
      <c r="U410" s="237"/>
      <c r="V410" s="88">
        <v>46126</v>
      </c>
      <c r="W410" s="88">
        <v>46128</v>
      </c>
      <c r="X410" s="88"/>
      <c r="Y410" s="131">
        <f>AC410</f>
        <v>63720</v>
      </c>
      <c r="Z410" s="131">
        <v>0</v>
      </c>
      <c r="AA410" s="131">
        <f>AD410</f>
        <v>76464</v>
      </c>
      <c r="AB410" s="131">
        <v>0</v>
      </c>
      <c r="AC410" s="131">
        <f>AD410/1.2</f>
        <v>63720</v>
      </c>
      <c r="AD410" s="131">
        <v>76464</v>
      </c>
      <c r="AE410" s="173" t="s">
        <v>100</v>
      </c>
      <c r="AF410" s="173"/>
      <c r="AG410" s="173"/>
      <c r="AH410" s="174"/>
      <c r="AI410" s="175"/>
      <c r="AJ410" s="174"/>
      <c r="AK410" s="176"/>
      <c r="AL410" s="174"/>
      <c r="AM410" s="181" t="s">
        <v>1001</v>
      </c>
      <c r="AO410" s="184"/>
    </row>
    <row r="411" spans="1:41" ht="30" hidden="1" customHeight="1" x14ac:dyDescent="0.35">
      <c r="A411" s="38">
        <v>2026</v>
      </c>
      <c r="B411" s="59" t="s">
        <v>55</v>
      </c>
      <c r="C411" s="58" t="s">
        <v>1131</v>
      </c>
      <c r="D411" s="237" t="s">
        <v>106</v>
      </c>
      <c r="E411" s="237">
        <v>1</v>
      </c>
      <c r="F411" s="58" t="s">
        <v>1132</v>
      </c>
      <c r="G411" s="237" t="s">
        <v>121</v>
      </c>
      <c r="H411" s="59" t="s">
        <v>128</v>
      </c>
      <c r="I411" s="70"/>
      <c r="J411" s="237" t="s">
        <v>130</v>
      </c>
      <c r="K411" s="237" t="s">
        <v>1</v>
      </c>
      <c r="L411" s="59" t="s">
        <v>7</v>
      </c>
      <c r="M411" s="60" t="s">
        <v>961</v>
      </c>
      <c r="N411" s="132">
        <f>O411*1.2</f>
        <v>6716160</v>
      </c>
      <c r="O411" s="187">
        <v>5596800</v>
      </c>
      <c r="P411" s="187">
        <f>O411/1.2</f>
        <v>4664000</v>
      </c>
      <c r="Q411" s="237" t="s">
        <v>138</v>
      </c>
      <c r="R411" s="79"/>
      <c r="S411" s="79"/>
      <c r="T411" s="58"/>
      <c r="U411" s="237"/>
      <c r="V411" s="88">
        <v>46105</v>
      </c>
      <c r="W411" s="88">
        <v>46112</v>
      </c>
      <c r="X411" s="39"/>
      <c r="Y411" s="131"/>
      <c r="Z411" s="131">
        <v>0</v>
      </c>
      <c r="AA411" s="131"/>
      <c r="AB411" s="131">
        <v>0</v>
      </c>
      <c r="AC411" s="131"/>
      <c r="AD411" s="131"/>
      <c r="AE411" s="173" t="s">
        <v>100</v>
      </c>
      <c r="AF411" s="173"/>
      <c r="AG411" s="173"/>
      <c r="AH411" s="174"/>
      <c r="AI411" s="175"/>
      <c r="AJ411" s="174"/>
      <c r="AK411" s="176"/>
      <c r="AL411" s="174"/>
      <c r="AM411" s="181" t="s">
        <v>1133</v>
      </c>
      <c r="AO411" s="184"/>
    </row>
    <row r="412" spans="1:41" ht="30" customHeight="1" x14ac:dyDescent="0.35">
      <c r="A412" s="38">
        <v>2026</v>
      </c>
      <c r="B412" s="59" t="s">
        <v>77</v>
      </c>
      <c r="C412" s="58" t="s">
        <v>915</v>
      </c>
      <c r="D412" s="237" t="s">
        <v>114</v>
      </c>
      <c r="E412" s="237">
        <v>262</v>
      </c>
      <c r="F412" s="58" t="s">
        <v>1134</v>
      </c>
      <c r="G412" s="237" t="s">
        <v>121</v>
      </c>
      <c r="H412" s="59" t="s">
        <v>126</v>
      </c>
      <c r="I412" s="70" t="s">
        <v>1135</v>
      </c>
      <c r="J412" s="237" t="s">
        <v>132</v>
      </c>
      <c r="K412" s="237" t="s">
        <v>3</v>
      </c>
      <c r="L412" s="59" t="s">
        <v>6</v>
      </c>
      <c r="M412" s="58" t="s">
        <v>182</v>
      </c>
      <c r="N412" s="130"/>
      <c r="O412" s="172"/>
      <c r="P412" s="172"/>
      <c r="Q412" s="237" t="s">
        <v>138</v>
      </c>
      <c r="R412" s="79"/>
      <c r="S412" s="79"/>
      <c r="T412" s="58" t="s">
        <v>1136</v>
      </c>
      <c r="U412" s="237">
        <v>2026</v>
      </c>
      <c r="V412" s="88">
        <v>46106</v>
      </c>
      <c r="W412" s="79"/>
      <c r="X412" s="88">
        <v>46113</v>
      </c>
      <c r="Y412" s="131">
        <v>70400</v>
      </c>
      <c r="Z412" s="131">
        <v>0</v>
      </c>
      <c r="AA412" s="131">
        <v>84480</v>
      </c>
      <c r="AB412" s="131">
        <v>0</v>
      </c>
      <c r="AC412" s="131">
        <f>Y412</f>
        <v>70400</v>
      </c>
      <c r="AD412" s="131">
        <f>AA412</f>
        <v>84480</v>
      </c>
      <c r="AE412" s="173" t="s">
        <v>102</v>
      </c>
      <c r="AF412" s="173"/>
      <c r="AG412" s="173"/>
      <c r="AH412" s="174"/>
      <c r="AI412" s="175"/>
      <c r="AJ412" s="174"/>
      <c r="AK412" s="176"/>
      <c r="AL412" s="174"/>
      <c r="AM412" s="181" t="s">
        <v>1030</v>
      </c>
      <c r="AN412" s="243" t="s">
        <v>178</v>
      </c>
      <c r="AO412" s="184"/>
    </row>
    <row r="413" spans="1:41" ht="30" customHeight="1" x14ac:dyDescent="0.35">
      <c r="A413" s="38">
        <v>2026</v>
      </c>
      <c r="B413" s="59" t="s">
        <v>77</v>
      </c>
      <c r="C413" s="58" t="s">
        <v>1137</v>
      </c>
      <c r="D413" s="237" t="s">
        <v>114</v>
      </c>
      <c r="E413" s="237"/>
      <c r="F413" s="58" t="s">
        <v>1138</v>
      </c>
      <c r="G413" s="237" t="s">
        <v>121</v>
      </c>
      <c r="H413" s="59" t="s">
        <v>126</v>
      </c>
      <c r="I413" s="70" t="s">
        <v>1139</v>
      </c>
      <c r="J413" s="237" t="s">
        <v>132</v>
      </c>
      <c r="K413" s="237" t="s">
        <v>3</v>
      </c>
      <c r="L413" s="59" t="s">
        <v>6</v>
      </c>
      <c r="M413" s="58" t="s">
        <v>182</v>
      </c>
      <c r="N413" s="130"/>
      <c r="O413" s="172"/>
      <c r="P413" s="172"/>
      <c r="Q413" s="237" t="s">
        <v>138</v>
      </c>
      <c r="R413" s="79"/>
      <c r="S413" s="79"/>
      <c r="T413" s="58" t="s">
        <v>1136</v>
      </c>
      <c r="U413" s="237">
        <v>2026</v>
      </c>
      <c r="V413" s="88">
        <v>46119</v>
      </c>
      <c r="W413" s="79"/>
      <c r="X413" s="88">
        <v>46120</v>
      </c>
      <c r="Y413" s="131">
        <v>81900</v>
      </c>
      <c r="Z413" s="131">
        <v>0</v>
      </c>
      <c r="AA413" s="131">
        <v>90090</v>
      </c>
      <c r="AB413" s="131">
        <v>0</v>
      </c>
      <c r="AC413" s="131">
        <f>Y413</f>
        <v>81900</v>
      </c>
      <c r="AD413" s="131">
        <f>AA413</f>
        <v>90090</v>
      </c>
      <c r="AE413" s="173" t="s">
        <v>102</v>
      </c>
      <c r="AF413" s="173"/>
      <c r="AG413" s="173"/>
      <c r="AH413" s="174"/>
      <c r="AI413" s="175"/>
      <c r="AJ413" s="174"/>
      <c r="AK413" s="176"/>
      <c r="AL413" s="174"/>
      <c r="AM413" s="181" t="s">
        <v>1030</v>
      </c>
      <c r="AN413" s="244" t="s">
        <v>347</v>
      </c>
      <c r="AO413" s="184"/>
    </row>
    <row r="414" spans="1:41" ht="30" hidden="1" customHeight="1" x14ac:dyDescent="0.35">
      <c r="A414" s="38">
        <v>2026</v>
      </c>
      <c r="B414" s="59" t="s">
        <v>56</v>
      </c>
      <c r="C414" s="58" t="s">
        <v>1140</v>
      </c>
      <c r="D414" s="237" t="s">
        <v>106</v>
      </c>
      <c r="E414" s="237">
        <v>1</v>
      </c>
      <c r="F414" s="58" t="s">
        <v>1141</v>
      </c>
      <c r="G414" s="237" t="s">
        <v>121</v>
      </c>
      <c r="H414" s="59" t="s">
        <v>126</v>
      </c>
      <c r="I414" s="70"/>
      <c r="J414" s="237" t="s">
        <v>131</v>
      </c>
      <c r="K414" s="237" t="s">
        <v>3</v>
      </c>
      <c r="L414" s="59" t="s">
        <v>6</v>
      </c>
      <c r="M414" s="60" t="s">
        <v>15</v>
      </c>
      <c r="N414" s="132">
        <f>O414*1.2</f>
        <v>1140000</v>
      </c>
      <c r="O414" s="187">
        <v>950000</v>
      </c>
      <c r="P414" s="187">
        <f>O414/1.2</f>
        <v>791666.66666666674</v>
      </c>
      <c r="Q414" s="237" t="s">
        <v>139</v>
      </c>
      <c r="R414" s="79"/>
      <c r="S414" s="79"/>
      <c r="T414" s="58" t="s">
        <v>1142</v>
      </c>
      <c r="U414" s="237"/>
      <c r="V414" s="88">
        <v>46106</v>
      </c>
      <c r="W414" s="88">
        <v>46120</v>
      </c>
      <c r="X414" s="88">
        <v>46210</v>
      </c>
      <c r="Y414" s="131">
        <f>AC414</f>
        <v>693445</v>
      </c>
      <c r="Z414" s="131">
        <v>0</v>
      </c>
      <c r="AA414" s="131">
        <v>832134</v>
      </c>
      <c r="AB414" s="131">
        <v>0</v>
      </c>
      <c r="AC414" s="131">
        <f>AD414/1.2</f>
        <v>693445</v>
      </c>
      <c r="AD414" s="131">
        <v>832134</v>
      </c>
      <c r="AE414" s="173" t="s">
        <v>102</v>
      </c>
      <c r="AF414" s="173"/>
      <c r="AG414" s="173"/>
      <c r="AH414" s="174"/>
      <c r="AI414" s="175"/>
      <c r="AJ414" s="174"/>
      <c r="AK414" s="176"/>
      <c r="AL414" s="174"/>
      <c r="AM414" s="181" t="s">
        <v>1030</v>
      </c>
      <c r="AO414" s="184"/>
    </row>
    <row r="415" spans="1:41" ht="30" hidden="1" customHeight="1" x14ac:dyDescent="0.35">
      <c r="A415" s="43">
        <v>2026</v>
      </c>
      <c r="B415" s="59" t="s">
        <v>56</v>
      </c>
      <c r="C415" s="58" t="s">
        <v>1143</v>
      </c>
      <c r="D415" s="237" t="s">
        <v>106</v>
      </c>
      <c r="E415" s="237">
        <v>1</v>
      </c>
      <c r="F415" s="58" t="s">
        <v>1144</v>
      </c>
      <c r="G415" s="237" t="s">
        <v>118</v>
      </c>
      <c r="H415" s="59" t="s">
        <v>118</v>
      </c>
      <c r="I415" s="70"/>
      <c r="J415" s="237" t="s">
        <v>131</v>
      </c>
      <c r="K415" s="237" t="s">
        <v>3</v>
      </c>
      <c r="L415" s="59" t="s">
        <v>6</v>
      </c>
      <c r="M415" s="60" t="s">
        <v>23</v>
      </c>
      <c r="N415" s="132">
        <f>O415*1.2</f>
        <v>4320000</v>
      </c>
      <c r="O415" s="187">
        <v>3600000</v>
      </c>
      <c r="P415" s="187">
        <f>O415/1.2</f>
        <v>3000000</v>
      </c>
      <c r="Q415" s="237" t="s">
        <v>139</v>
      </c>
      <c r="R415" s="79"/>
      <c r="S415" s="79"/>
      <c r="T415" s="58"/>
      <c r="U415" s="237"/>
      <c r="V415" s="88">
        <v>46107</v>
      </c>
      <c r="W415" s="88">
        <v>46112</v>
      </c>
      <c r="X415" s="79"/>
      <c r="Y415" s="130">
        <v>0</v>
      </c>
      <c r="Z415" s="130">
        <v>0</v>
      </c>
      <c r="AA415" s="130">
        <v>0</v>
      </c>
      <c r="AB415" s="130">
        <v>0</v>
      </c>
      <c r="AC415" s="130">
        <v>0</v>
      </c>
      <c r="AD415" s="130">
        <v>0</v>
      </c>
      <c r="AE415" s="180" t="s">
        <v>103</v>
      </c>
      <c r="AF415" s="173"/>
      <c r="AG415" s="173"/>
      <c r="AH415" s="174"/>
      <c r="AI415" s="175"/>
      <c r="AJ415" s="174"/>
      <c r="AK415" s="176"/>
      <c r="AL415" s="174"/>
      <c r="AM415" s="181" t="s">
        <v>1030</v>
      </c>
      <c r="AO415" s="184"/>
    </row>
    <row r="416" spans="1:41" ht="30" customHeight="1" x14ac:dyDescent="0.35">
      <c r="A416" s="42">
        <v>2026</v>
      </c>
      <c r="B416" s="59" t="s">
        <v>63</v>
      </c>
      <c r="C416" s="171" t="s">
        <v>173</v>
      </c>
      <c r="D416" s="237" t="s">
        <v>114</v>
      </c>
      <c r="E416" s="237">
        <v>20</v>
      </c>
      <c r="F416" s="58" t="s">
        <v>1145</v>
      </c>
      <c r="G416" s="237" t="s">
        <v>121</v>
      </c>
      <c r="H416" s="59" t="s">
        <v>126</v>
      </c>
      <c r="I416" s="70"/>
      <c r="J416" s="237" t="s">
        <v>132</v>
      </c>
      <c r="K416" s="237" t="s">
        <v>3</v>
      </c>
      <c r="L416" s="59" t="s">
        <v>6</v>
      </c>
      <c r="M416" s="60" t="s">
        <v>953</v>
      </c>
      <c r="N416" s="130"/>
      <c r="O416" s="172"/>
      <c r="P416" s="172"/>
      <c r="Q416" s="237" t="s">
        <v>140</v>
      </c>
      <c r="R416" s="79"/>
      <c r="S416" s="79"/>
      <c r="T416" s="58" t="s">
        <v>1146</v>
      </c>
      <c r="U416" s="237">
        <v>2026</v>
      </c>
      <c r="V416" s="83"/>
      <c r="W416" s="79"/>
      <c r="X416" s="88">
        <v>46167</v>
      </c>
      <c r="Y416" s="131">
        <v>321020</v>
      </c>
      <c r="Z416" s="131">
        <v>35000</v>
      </c>
      <c r="AA416" s="131">
        <v>321020</v>
      </c>
      <c r="AB416" s="131">
        <v>35000</v>
      </c>
      <c r="AC416" s="131">
        <v>321020</v>
      </c>
      <c r="AD416" s="135">
        <v>321020</v>
      </c>
      <c r="AE416" s="173" t="s">
        <v>102</v>
      </c>
      <c r="AF416" s="173"/>
      <c r="AG416" s="173"/>
      <c r="AH416" s="174"/>
      <c r="AI416" s="175"/>
      <c r="AJ416" s="174"/>
      <c r="AK416" s="176"/>
      <c r="AL416" s="174"/>
      <c r="AM416" s="177" t="s">
        <v>1147</v>
      </c>
      <c r="AN416" s="243" t="s">
        <v>178</v>
      </c>
      <c r="AO416" s="184"/>
    </row>
    <row r="417" spans="1:41" ht="30" customHeight="1" x14ac:dyDescent="0.35">
      <c r="A417" s="42">
        <v>2026</v>
      </c>
      <c r="B417" s="59" t="s">
        <v>63</v>
      </c>
      <c r="C417" s="171" t="s">
        <v>173</v>
      </c>
      <c r="D417" s="237" t="s">
        <v>114</v>
      </c>
      <c r="E417" s="237">
        <v>19</v>
      </c>
      <c r="F417" s="58" t="s">
        <v>1148</v>
      </c>
      <c r="G417" s="237" t="s">
        <v>121</v>
      </c>
      <c r="H417" s="59" t="s">
        <v>126</v>
      </c>
      <c r="I417" s="70"/>
      <c r="J417" s="237" t="s">
        <v>132</v>
      </c>
      <c r="K417" s="237" t="s">
        <v>3</v>
      </c>
      <c r="L417" s="59" t="s">
        <v>6</v>
      </c>
      <c r="M417" s="60" t="s">
        <v>953</v>
      </c>
      <c r="N417" s="130"/>
      <c r="O417" s="172"/>
      <c r="P417" s="172"/>
      <c r="Q417" s="237" t="s">
        <v>140</v>
      </c>
      <c r="R417" s="79"/>
      <c r="S417" s="79"/>
      <c r="T417" s="58" t="s">
        <v>1146</v>
      </c>
      <c r="U417" s="237">
        <v>2026</v>
      </c>
      <c r="V417" s="83"/>
      <c r="W417" s="79"/>
      <c r="X417" s="88">
        <v>46167</v>
      </c>
      <c r="Y417" s="131">
        <v>321020</v>
      </c>
      <c r="Z417" s="131">
        <v>35000</v>
      </c>
      <c r="AA417" s="131">
        <v>321020</v>
      </c>
      <c r="AB417" s="131">
        <v>35000</v>
      </c>
      <c r="AC417" s="131">
        <v>321020</v>
      </c>
      <c r="AD417" s="135">
        <v>321020</v>
      </c>
      <c r="AE417" s="173" t="s">
        <v>102</v>
      </c>
      <c r="AF417" s="173"/>
      <c r="AG417" s="173"/>
      <c r="AH417" s="174"/>
      <c r="AI417" s="175"/>
      <c r="AJ417" s="174"/>
      <c r="AK417" s="176"/>
      <c r="AL417" s="174"/>
      <c r="AM417" s="177" t="s">
        <v>1147</v>
      </c>
      <c r="AN417" s="243" t="s">
        <v>178</v>
      </c>
      <c r="AO417" s="184"/>
    </row>
    <row r="418" spans="1:41" ht="30" customHeight="1" x14ac:dyDescent="0.35">
      <c r="A418" s="38">
        <v>2026</v>
      </c>
      <c r="B418" s="59" t="s">
        <v>63</v>
      </c>
      <c r="C418" s="171" t="s">
        <v>140</v>
      </c>
      <c r="D418" s="237" t="s">
        <v>114</v>
      </c>
      <c r="E418" s="237">
        <v>1</v>
      </c>
      <c r="F418" s="58" t="s">
        <v>1149</v>
      </c>
      <c r="G418" s="237" t="s">
        <v>121</v>
      </c>
      <c r="H418" s="59" t="s">
        <v>126</v>
      </c>
      <c r="I418" s="58" t="s">
        <v>1150</v>
      </c>
      <c r="J418" s="237" t="s">
        <v>132</v>
      </c>
      <c r="K418" s="237" t="s">
        <v>3</v>
      </c>
      <c r="L418" s="59" t="s">
        <v>6</v>
      </c>
      <c r="M418" s="60" t="s">
        <v>953</v>
      </c>
      <c r="N418" s="130"/>
      <c r="O418" s="172"/>
      <c r="P418" s="172"/>
      <c r="Q418" s="237" t="s">
        <v>140</v>
      </c>
      <c r="R418" s="79"/>
      <c r="S418" s="79"/>
      <c r="T418" s="58" t="s">
        <v>1151</v>
      </c>
      <c r="U418" s="237">
        <v>2026</v>
      </c>
      <c r="V418" s="88">
        <v>46118</v>
      </c>
      <c r="W418" s="79"/>
      <c r="X418" s="88">
        <v>46119</v>
      </c>
      <c r="Y418" s="131">
        <v>926100</v>
      </c>
      <c r="Z418" s="131">
        <v>0</v>
      </c>
      <c r="AA418" s="131">
        <f>+Y418</f>
        <v>926100</v>
      </c>
      <c r="AB418" s="131">
        <v>0</v>
      </c>
      <c r="AC418" s="131">
        <f>+AA418</f>
        <v>926100</v>
      </c>
      <c r="AD418" s="135">
        <f>+AC418</f>
        <v>926100</v>
      </c>
      <c r="AE418" s="173" t="s">
        <v>102</v>
      </c>
      <c r="AF418" s="173"/>
      <c r="AG418" s="173"/>
      <c r="AH418" s="174"/>
      <c r="AI418" s="175"/>
      <c r="AJ418" s="174"/>
      <c r="AK418" s="176"/>
      <c r="AL418" s="174"/>
      <c r="AM418" s="181" t="s">
        <v>1030</v>
      </c>
      <c r="AN418" s="243" t="s">
        <v>178</v>
      </c>
      <c r="AO418" s="184"/>
    </row>
    <row r="419" spans="1:41" ht="30" customHeight="1" x14ac:dyDescent="0.35">
      <c r="A419" s="38">
        <v>2024</v>
      </c>
      <c r="B419" s="59" t="s">
        <v>63</v>
      </c>
      <c r="C419" s="171" t="s">
        <v>141</v>
      </c>
      <c r="D419" s="237" t="s">
        <v>114</v>
      </c>
      <c r="E419" s="237">
        <v>1</v>
      </c>
      <c r="F419" s="58" t="s">
        <v>1152</v>
      </c>
      <c r="G419" s="237" t="s">
        <v>121</v>
      </c>
      <c r="H419" s="59" t="s">
        <v>126</v>
      </c>
      <c r="I419" s="58" t="s">
        <v>1153</v>
      </c>
      <c r="J419" s="237" t="s">
        <v>132</v>
      </c>
      <c r="K419" s="237" t="s">
        <v>3</v>
      </c>
      <c r="L419" s="59" t="s">
        <v>6</v>
      </c>
      <c r="M419" s="60" t="s">
        <v>953</v>
      </c>
      <c r="N419" s="130"/>
      <c r="O419" s="172"/>
      <c r="P419" s="172"/>
      <c r="Q419" s="237" t="s">
        <v>141</v>
      </c>
      <c r="R419" s="79"/>
      <c r="S419" s="79"/>
      <c r="T419" s="58" t="s">
        <v>1052</v>
      </c>
      <c r="U419" s="237">
        <v>2024</v>
      </c>
      <c r="V419" s="88" t="s">
        <v>358</v>
      </c>
      <c r="W419" s="79"/>
      <c r="X419" s="88" t="s">
        <v>358</v>
      </c>
      <c r="Y419" s="131">
        <v>1200000</v>
      </c>
      <c r="Z419" s="131">
        <v>0</v>
      </c>
      <c r="AA419" s="131">
        <v>1200000</v>
      </c>
      <c r="AB419" s="131">
        <v>0</v>
      </c>
      <c r="AC419" s="131">
        <v>1200000</v>
      </c>
      <c r="AD419" s="135">
        <v>1200000</v>
      </c>
      <c r="AE419" s="173" t="s">
        <v>102</v>
      </c>
      <c r="AF419" s="173"/>
      <c r="AG419" s="173"/>
      <c r="AH419" s="174"/>
      <c r="AI419" s="175"/>
      <c r="AJ419" s="174"/>
      <c r="AK419" s="176"/>
      <c r="AL419" s="174"/>
      <c r="AM419" s="181" t="s">
        <v>1030</v>
      </c>
      <c r="AN419" s="243" t="s">
        <v>178</v>
      </c>
      <c r="AO419" s="184"/>
    </row>
    <row r="420" spans="1:41" ht="42.5" customHeight="1" x14ac:dyDescent="0.35">
      <c r="A420" s="38">
        <v>2023</v>
      </c>
      <c r="B420" s="59" t="s">
        <v>63</v>
      </c>
      <c r="C420" s="171" t="s">
        <v>141</v>
      </c>
      <c r="D420" s="237" t="s">
        <v>114</v>
      </c>
      <c r="E420" s="237">
        <v>11</v>
      </c>
      <c r="F420" s="58" t="s">
        <v>1154</v>
      </c>
      <c r="G420" s="237" t="s">
        <v>121</v>
      </c>
      <c r="H420" s="59" t="s">
        <v>126</v>
      </c>
      <c r="I420" s="58" t="s">
        <v>1155</v>
      </c>
      <c r="J420" s="237" t="s">
        <v>132</v>
      </c>
      <c r="K420" s="237" t="s">
        <v>3</v>
      </c>
      <c r="L420" s="59" t="s">
        <v>6</v>
      </c>
      <c r="M420" s="60" t="s">
        <v>953</v>
      </c>
      <c r="N420" s="130"/>
      <c r="O420" s="172"/>
      <c r="P420" s="172"/>
      <c r="Q420" s="237" t="s">
        <v>141</v>
      </c>
      <c r="R420" s="79"/>
      <c r="S420" s="79"/>
      <c r="T420" s="58" t="s">
        <v>1156</v>
      </c>
      <c r="U420" s="237">
        <v>2023</v>
      </c>
      <c r="V420" s="88" t="s">
        <v>358</v>
      </c>
      <c r="W420" s="79"/>
      <c r="X420" s="88" t="s">
        <v>358</v>
      </c>
      <c r="Y420" s="131">
        <v>1000000</v>
      </c>
      <c r="Z420" s="131">
        <v>0</v>
      </c>
      <c r="AA420" s="131">
        <v>1000000</v>
      </c>
      <c r="AB420" s="131">
        <v>0</v>
      </c>
      <c r="AC420" s="131">
        <v>1000000</v>
      </c>
      <c r="AD420" s="135">
        <v>1000000</v>
      </c>
      <c r="AE420" s="173" t="s">
        <v>102</v>
      </c>
      <c r="AF420" s="173"/>
      <c r="AG420" s="173"/>
      <c r="AH420" s="174"/>
      <c r="AI420" s="175"/>
      <c r="AJ420" s="174"/>
      <c r="AK420" s="176"/>
      <c r="AL420" s="174"/>
      <c r="AM420" s="181" t="s">
        <v>1030</v>
      </c>
      <c r="AN420" s="243" t="s">
        <v>178</v>
      </c>
      <c r="AO420" s="184"/>
    </row>
    <row r="421" spans="1:41" ht="35.5" customHeight="1" x14ac:dyDescent="0.35">
      <c r="A421" s="38">
        <v>2022</v>
      </c>
      <c r="B421" s="59" t="s">
        <v>63</v>
      </c>
      <c r="C421" s="171" t="s">
        <v>141</v>
      </c>
      <c r="D421" s="237" t="s">
        <v>114</v>
      </c>
      <c r="E421" s="237">
        <v>2</v>
      </c>
      <c r="F421" s="58" t="s">
        <v>1157</v>
      </c>
      <c r="G421" s="237" t="s">
        <v>121</v>
      </c>
      <c r="H421" s="59" t="s">
        <v>126</v>
      </c>
      <c r="I421" s="58" t="s">
        <v>1158</v>
      </c>
      <c r="J421" s="237" t="s">
        <v>132</v>
      </c>
      <c r="K421" s="237" t="s">
        <v>3</v>
      </c>
      <c r="L421" s="59" t="s">
        <v>6</v>
      </c>
      <c r="M421" s="60" t="s">
        <v>953</v>
      </c>
      <c r="N421" s="130"/>
      <c r="O421" s="172"/>
      <c r="P421" s="172"/>
      <c r="Q421" s="237" t="s">
        <v>141</v>
      </c>
      <c r="R421" s="79"/>
      <c r="S421" s="79"/>
      <c r="T421" s="58" t="s">
        <v>1159</v>
      </c>
      <c r="U421" s="237">
        <v>2022</v>
      </c>
      <c r="V421" s="88" t="s">
        <v>358</v>
      </c>
      <c r="W421" s="79"/>
      <c r="X421" s="88" t="s">
        <v>358</v>
      </c>
      <c r="Y421" s="131">
        <v>155000000</v>
      </c>
      <c r="Z421" s="131">
        <v>0</v>
      </c>
      <c r="AA421" s="131">
        <v>155000000</v>
      </c>
      <c r="AB421" s="131">
        <v>0</v>
      </c>
      <c r="AC421" s="131">
        <v>155000000</v>
      </c>
      <c r="AD421" s="135">
        <v>155000000</v>
      </c>
      <c r="AE421" s="173" t="s">
        <v>102</v>
      </c>
      <c r="AF421" s="173"/>
      <c r="AG421" s="173"/>
      <c r="AH421" s="174"/>
      <c r="AI421" s="175"/>
      <c r="AJ421" s="174"/>
      <c r="AK421" s="176"/>
      <c r="AL421" s="174"/>
      <c r="AM421" s="181" t="s">
        <v>1030</v>
      </c>
      <c r="AN421" s="243" t="s">
        <v>178</v>
      </c>
      <c r="AO421" s="184"/>
    </row>
    <row r="422" spans="1:41" ht="30" customHeight="1" x14ac:dyDescent="0.35">
      <c r="A422" s="38">
        <v>2026</v>
      </c>
      <c r="B422" s="59" t="s">
        <v>63</v>
      </c>
      <c r="C422" s="171" t="s">
        <v>140</v>
      </c>
      <c r="D422" s="237" t="s">
        <v>114</v>
      </c>
      <c r="E422" s="237">
        <v>1</v>
      </c>
      <c r="F422" s="58" t="s">
        <v>1160</v>
      </c>
      <c r="G422" s="237" t="s">
        <v>121</v>
      </c>
      <c r="H422" s="59" t="s">
        <v>126</v>
      </c>
      <c r="I422" s="58" t="s">
        <v>1161</v>
      </c>
      <c r="J422" s="237" t="s">
        <v>132</v>
      </c>
      <c r="K422" s="237" t="s">
        <v>3</v>
      </c>
      <c r="L422" s="59" t="s">
        <v>6</v>
      </c>
      <c r="M422" s="60" t="s">
        <v>953</v>
      </c>
      <c r="N422" s="130"/>
      <c r="O422" s="172"/>
      <c r="P422" s="172"/>
      <c r="Q422" s="237" t="s">
        <v>140</v>
      </c>
      <c r="R422" s="79"/>
      <c r="S422" s="79"/>
      <c r="T422" s="58" t="s">
        <v>1162</v>
      </c>
      <c r="U422" s="237">
        <v>2026</v>
      </c>
      <c r="V422" s="88">
        <v>46118</v>
      </c>
      <c r="W422" s="79"/>
      <c r="X422" s="88">
        <v>46119</v>
      </c>
      <c r="Y422" s="131">
        <v>250000</v>
      </c>
      <c r="Z422" s="131">
        <v>0</v>
      </c>
      <c r="AA422" s="131">
        <f>+Y422</f>
        <v>250000</v>
      </c>
      <c r="AB422" s="131">
        <v>0</v>
      </c>
      <c r="AC422" s="131">
        <f>+AA422</f>
        <v>250000</v>
      </c>
      <c r="AD422" s="135">
        <f>+AC422</f>
        <v>250000</v>
      </c>
      <c r="AE422" s="173" t="s">
        <v>102</v>
      </c>
      <c r="AF422" s="173"/>
      <c r="AG422" s="173"/>
      <c r="AH422" s="174"/>
      <c r="AI422" s="175"/>
      <c r="AJ422" s="174"/>
      <c r="AK422" s="176"/>
      <c r="AL422" s="174"/>
      <c r="AM422" s="181" t="s">
        <v>1030</v>
      </c>
      <c r="AN422" s="243" t="s">
        <v>178</v>
      </c>
      <c r="AO422" s="184"/>
    </row>
    <row r="423" spans="1:41" ht="39.5" customHeight="1" x14ac:dyDescent="0.35">
      <c r="A423" s="38">
        <v>2026</v>
      </c>
      <c r="B423" s="59" t="s">
        <v>77</v>
      </c>
      <c r="C423" s="171" t="s">
        <v>173</v>
      </c>
      <c r="D423" s="237" t="s">
        <v>114</v>
      </c>
      <c r="E423" s="237">
        <v>218</v>
      </c>
      <c r="F423" s="58" t="s">
        <v>1163</v>
      </c>
      <c r="G423" s="237" t="s">
        <v>121</v>
      </c>
      <c r="H423" s="59" t="s">
        <v>126</v>
      </c>
      <c r="I423" s="70" t="s">
        <v>1164</v>
      </c>
      <c r="J423" s="237" t="s">
        <v>132</v>
      </c>
      <c r="K423" s="237" t="s">
        <v>3</v>
      </c>
      <c r="L423" s="59" t="s">
        <v>6</v>
      </c>
      <c r="M423" s="58" t="s">
        <v>1165</v>
      </c>
      <c r="N423" s="130"/>
      <c r="O423" s="172"/>
      <c r="P423" s="172"/>
      <c r="Q423" s="237" t="s">
        <v>138</v>
      </c>
      <c r="R423" s="79"/>
      <c r="S423" s="79"/>
      <c r="T423" s="58" t="s">
        <v>1166</v>
      </c>
      <c r="U423" s="237">
        <v>2026</v>
      </c>
      <c r="V423" s="88">
        <v>46113</v>
      </c>
      <c r="W423" s="79"/>
      <c r="X423" s="88">
        <v>46113</v>
      </c>
      <c r="Y423" s="131">
        <v>200000</v>
      </c>
      <c r="Z423" s="131">
        <v>0</v>
      </c>
      <c r="AA423" s="131">
        <v>200000</v>
      </c>
      <c r="AB423" s="131">
        <v>0</v>
      </c>
      <c r="AC423" s="131">
        <f>Y423</f>
        <v>200000</v>
      </c>
      <c r="AD423" s="131">
        <f>AA423</f>
        <v>200000</v>
      </c>
      <c r="AE423" s="173" t="s">
        <v>102</v>
      </c>
      <c r="AF423" s="173"/>
      <c r="AG423" s="173"/>
      <c r="AH423" s="174"/>
      <c r="AI423" s="175"/>
      <c r="AJ423" s="174"/>
      <c r="AK423" s="176"/>
      <c r="AL423" s="174"/>
      <c r="AM423" s="181" t="s">
        <v>1030</v>
      </c>
      <c r="AN423" s="243" t="s">
        <v>178</v>
      </c>
      <c r="AO423" s="184"/>
    </row>
    <row r="424" spans="1:41" ht="30" customHeight="1" x14ac:dyDescent="0.35">
      <c r="A424" s="38">
        <v>2026</v>
      </c>
      <c r="B424" s="59" t="s">
        <v>66</v>
      </c>
      <c r="C424" s="171" t="s">
        <v>173</v>
      </c>
      <c r="D424" s="237" t="s">
        <v>114</v>
      </c>
      <c r="E424" s="237">
        <v>207</v>
      </c>
      <c r="F424" s="58" t="s">
        <v>1167</v>
      </c>
      <c r="G424" s="237" t="s">
        <v>121</v>
      </c>
      <c r="H424" s="59" t="s">
        <v>126</v>
      </c>
      <c r="I424" s="70" t="s">
        <v>1168</v>
      </c>
      <c r="J424" s="237" t="s">
        <v>132</v>
      </c>
      <c r="K424" s="237" t="s">
        <v>3</v>
      </c>
      <c r="L424" s="59" t="s">
        <v>6</v>
      </c>
      <c r="M424" s="60" t="s">
        <v>27</v>
      </c>
      <c r="N424" s="130"/>
      <c r="O424" s="172"/>
      <c r="P424" s="172"/>
      <c r="Q424" s="237" t="s">
        <v>138</v>
      </c>
      <c r="R424" s="79"/>
      <c r="S424" s="79"/>
      <c r="T424" s="58" t="s">
        <v>1169</v>
      </c>
      <c r="U424" s="237">
        <v>2026</v>
      </c>
      <c r="V424" s="88">
        <v>46114</v>
      </c>
      <c r="W424" s="79"/>
      <c r="X424" s="88">
        <v>46135</v>
      </c>
      <c r="Y424" s="131">
        <v>60000</v>
      </c>
      <c r="Z424" s="131">
        <v>0</v>
      </c>
      <c r="AA424" s="131">
        <v>72000</v>
      </c>
      <c r="AB424" s="131">
        <v>0</v>
      </c>
      <c r="AC424" s="131">
        <f>Y424</f>
        <v>60000</v>
      </c>
      <c r="AD424" s="131">
        <f>AA424</f>
        <v>72000</v>
      </c>
      <c r="AE424" s="173" t="s">
        <v>102</v>
      </c>
      <c r="AF424" s="173"/>
      <c r="AG424" s="173"/>
      <c r="AH424" s="174"/>
      <c r="AI424" s="175"/>
      <c r="AJ424" s="174"/>
      <c r="AK424" s="176"/>
      <c r="AL424" s="174"/>
      <c r="AM424" s="181" t="s">
        <v>1030</v>
      </c>
      <c r="AN424" s="243" t="s">
        <v>178</v>
      </c>
      <c r="AO424" s="184"/>
    </row>
    <row r="425" spans="1:41" ht="30" hidden="1" customHeight="1" x14ac:dyDescent="0.35">
      <c r="A425" s="43">
        <v>2026</v>
      </c>
      <c r="B425" s="59" t="s">
        <v>711</v>
      </c>
      <c r="C425" s="70" t="s">
        <v>1170</v>
      </c>
      <c r="D425" s="237" t="s">
        <v>106</v>
      </c>
      <c r="E425" s="237">
        <v>1</v>
      </c>
      <c r="F425" s="58" t="s">
        <v>1171</v>
      </c>
      <c r="G425" s="237" t="s">
        <v>118</v>
      </c>
      <c r="H425" s="59" t="s">
        <v>118</v>
      </c>
      <c r="I425" s="70"/>
      <c r="J425" s="237" t="s">
        <v>130</v>
      </c>
      <c r="K425" s="237" t="s">
        <v>3</v>
      </c>
      <c r="L425" s="59" t="s">
        <v>7</v>
      </c>
      <c r="M425" s="60" t="s">
        <v>1015</v>
      </c>
      <c r="N425" s="132">
        <f>O425*1.2</f>
        <v>2276035.1999999997</v>
      </c>
      <c r="O425" s="187">
        <v>1896696</v>
      </c>
      <c r="P425" s="187">
        <f>O425/1.2</f>
        <v>1580580</v>
      </c>
      <c r="Q425" s="237" t="s">
        <v>138</v>
      </c>
      <c r="R425" s="79"/>
      <c r="S425" s="79"/>
      <c r="T425" s="171"/>
      <c r="U425" s="180"/>
      <c r="V425" s="88">
        <v>46114</v>
      </c>
      <c r="W425" s="88">
        <v>46118</v>
      </c>
      <c r="X425" s="79"/>
      <c r="Y425" s="130"/>
      <c r="Z425" s="130">
        <v>0</v>
      </c>
      <c r="AA425" s="130"/>
      <c r="AB425" s="130">
        <v>0</v>
      </c>
      <c r="AC425" s="130"/>
      <c r="AD425" s="130"/>
      <c r="AE425" s="173" t="s">
        <v>103</v>
      </c>
      <c r="AF425" s="173"/>
      <c r="AG425" s="173"/>
      <c r="AH425" s="174"/>
      <c r="AI425" s="175"/>
      <c r="AJ425" s="174"/>
      <c r="AK425" s="176"/>
      <c r="AL425" s="174"/>
      <c r="AM425" s="181" t="s">
        <v>1030</v>
      </c>
      <c r="AO425" s="184"/>
    </row>
    <row r="426" spans="1:41" ht="30" hidden="1" customHeight="1" x14ac:dyDescent="0.35">
      <c r="A426" s="38">
        <v>2026</v>
      </c>
      <c r="B426" s="59" t="s">
        <v>711</v>
      </c>
      <c r="C426" s="70" t="s">
        <v>1172</v>
      </c>
      <c r="D426" s="237" t="s">
        <v>106</v>
      </c>
      <c r="E426" s="237">
        <v>2</v>
      </c>
      <c r="F426" s="58" t="s">
        <v>1173</v>
      </c>
      <c r="G426" s="237" t="s">
        <v>121</v>
      </c>
      <c r="H426" s="59" t="s">
        <v>127</v>
      </c>
      <c r="I426" s="70"/>
      <c r="J426" s="237" t="s">
        <v>130</v>
      </c>
      <c r="K426" s="237" t="s">
        <v>3</v>
      </c>
      <c r="L426" s="59" t="s">
        <v>6</v>
      </c>
      <c r="M426" s="60" t="s">
        <v>1093</v>
      </c>
      <c r="N426" s="132">
        <f>O426*1.2</f>
        <v>340056</v>
      </c>
      <c r="O426" s="187">
        <v>283380</v>
      </c>
      <c r="P426" s="187">
        <f>O426/1.2</f>
        <v>236150</v>
      </c>
      <c r="Q426" s="237" t="s">
        <v>138</v>
      </c>
      <c r="R426" s="79"/>
      <c r="S426" s="79"/>
      <c r="T426" s="58" t="s">
        <v>1094</v>
      </c>
      <c r="U426" s="237"/>
      <c r="V426" s="88">
        <v>46114</v>
      </c>
      <c r="W426" s="88">
        <v>46118</v>
      </c>
      <c r="X426" s="88">
        <v>46189</v>
      </c>
      <c r="Y426" s="131">
        <f>+AC426</f>
        <v>280925</v>
      </c>
      <c r="Z426" s="131">
        <v>0</v>
      </c>
      <c r="AA426" s="131">
        <f>+AD426</f>
        <v>337110</v>
      </c>
      <c r="AB426" s="131">
        <v>0</v>
      </c>
      <c r="AC426" s="131">
        <f>+AD426/1.2</f>
        <v>280925</v>
      </c>
      <c r="AD426" s="131">
        <v>337110</v>
      </c>
      <c r="AE426" s="173" t="s">
        <v>102</v>
      </c>
      <c r="AF426" s="173"/>
      <c r="AG426" s="173"/>
      <c r="AH426" s="174"/>
      <c r="AI426" s="175"/>
      <c r="AJ426" s="174"/>
      <c r="AK426" s="176"/>
      <c r="AL426" s="174"/>
      <c r="AM426" s="181" t="s">
        <v>1030</v>
      </c>
      <c r="AO426" s="184"/>
    </row>
    <row r="427" spans="1:41" ht="30" hidden="1" customHeight="1" x14ac:dyDescent="0.35">
      <c r="A427" s="38">
        <v>2026</v>
      </c>
      <c r="B427" s="59" t="s">
        <v>711</v>
      </c>
      <c r="C427" s="70" t="s">
        <v>1174</v>
      </c>
      <c r="D427" s="237" t="s">
        <v>106</v>
      </c>
      <c r="E427" s="237">
        <v>1</v>
      </c>
      <c r="F427" s="58" t="s">
        <v>1175</v>
      </c>
      <c r="G427" s="237" t="s">
        <v>121</v>
      </c>
      <c r="H427" s="59" t="s">
        <v>126</v>
      </c>
      <c r="I427" s="70"/>
      <c r="J427" s="237" t="s">
        <v>130</v>
      </c>
      <c r="K427" s="237" t="s">
        <v>3</v>
      </c>
      <c r="L427" s="59" t="s">
        <v>6</v>
      </c>
      <c r="M427" s="60" t="s">
        <v>1093</v>
      </c>
      <c r="N427" s="132">
        <f>O427*1.2</f>
        <v>1523332.8</v>
      </c>
      <c r="O427" s="187">
        <v>1269444</v>
      </c>
      <c r="P427" s="187">
        <f>O427/1.2</f>
        <v>1057870</v>
      </c>
      <c r="Q427" s="237" t="s">
        <v>138</v>
      </c>
      <c r="R427" s="79"/>
      <c r="S427" s="79"/>
      <c r="T427" s="58" t="s">
        <v>1176</v>
      </c>
      <c r="U427" s="237"/>
      <c r="V427" s="88">
        <v>46114</v>
      </c>
      <c r="W427" s="88">
        <v>46120</v>
      </c>
      <c r="X427" s="88">
        <v>46197</v>
      </c>
      <c r="Y427" s="131">
        <f>AA427/1.2</f>
        <v>1149330</v>
      </c>
      <c r="Z427" s="131">
        <v>0</v>
      </c>
      <c r="AA427" s="131">
        <v>1379196</v>
      </c>
      <c r="AB427" s="131">
        <v>0</v>
      </c>
      <c r="AC427" s="131">
        <f>Y427</f>
        <v>1149330</v>
      </c>
      <c r="AD427" s="131">
        <f>AA427</f>
        <v>1379196</v>
      </c>
      <c r="AE427" s="173" t="s">
        <v>102</v>
      </c>
      <c r="AF427" s="173"/>
      <c r="AG427" s="173"/>
      <c r="AH427" s="174"/>
      <c r="AI427" s="175"/>
      <c r="AJ427" s="174"/>
      <c r="AK427" s="176"/>
      <c r="AL427" s="174"/>
      <c r="AM427" s="181" t="s">
        <v>1030</v>
      </c>
      <c r="AO427" s="184"/>
    </row>
    <row r="428" spans="1:41" ht="30" hidden="1" customHeight="1" x14ac:dyDescent="0.35">
      <c r="A428" s="43">
        <v>2026</v>
      </c>
      <c r="B428" s="59" t="s">
        <v>711</v>
      </c>
      <c r="C428" s="70" t="s">
        <v>1174</v>
      </c>
      <c r="D428" s="237" t="s">
        <v>106</v>
      </c>
      <c r="E428" s="237">
        <v>2</v>
      </c>
      <c r="F428" s="58" t="s">
        <v>1177</v>
      </c>
      <c r="G428" s="237" t="s">
        <v>118</v>
      </c>
      <c r="H428" s="59" t="s">
        <v>118</v>
      </c>
      <c r="I428" s="70"/>
      <c r="J428" s="237" t="s">
        <v>130</v>
      </c>
      <c r="K428" s="237" t="s">
        <v>3</v>
      </c>
      <c r="L428" s="59" t="s">
        <v>6</v>
      </c>
      <c r="M428" s="60" t="s">
        <v>1093</v>
      </c>
      <c r="N428" s="132">
        <f>O428*1.2</f>
        <v>488764.8</v>
      </c>
      <c r="O428" s="187">
        <v>407304</v>
      </c>
      <c r="P428" s="187">
        <f>O428/1.2</f>
        <v>339420</v>
      </c>
      <c r="Q428" s="237" t="s">
        <v>138</v>
      </c>
      <c r="R428" s="79"/>
      <c r="S428" s="79"/>
      <c r="T428" s="171"/>
      <c r="U428" s="180"/>
      <c r="V428" s="88">
        <v>46114</v>
      </c>
      <c r="W428" s="88">
        <v>46120</v>
      </c>
      <c r="X428" s="79">
        <v>0</v>
      </c>
      <c r="Y428" s="130">
        <v>0</v>
      </c>
      <c r="Z428" s="130">
        <v>0</v>
      </c>
      <c r="AA428" s="130">
        <v>0</v>
      </c>
      <c r="AB428" s="130">
        <v>0</v>
      </c>
      <c r="AC428" s="130">
        <v>0</v>
      </c>
      <c r="AD428" s="130">
        <v>0</v>
      </c>
      <c r="AE428" s="173" t="s">
        <v>103</v>
      </c>
      <c r="AF428" s="173"/>
      <c r="AG428" s="173"/>
      <c r="AH428" s="174"/>
      <c r="AI428" s="175"/>
      <c r="AJ428" s="174"/>
      <c r="AK428" s="176"/>
      <c r="AL428" s="174"/>
      <c r="AM428" s="181" t="s">
        <v>1030</v>
      </c>
      <c r="AO428" s="184"/>
    </row>
    <row r="429" spans="1:41" ht="30" hidden="1" customHeight="1" x14ac:dyDescent="0.35">
      <c r="A429" s="49">
        <v>2026</v>
      </c>
      <c r="B429" s="59" t="s">
        <v>60</v>
      </c>
      <c r="C429" s="70" t="s">
        <v>1178</v>
      </c>
      <c r="D429" s="237" t="s">
        <v>109</v>
      </c>
      <c r="E429" s="237">
        <v>1</v>
      </c>
      <c r="F429" s="58" t="s">
        <v>1179</v>
      </c>
      <c r="G429" s="237" t="s">
        <v>119</v>
      </c>
      <c r="H429" s="59" t="s">
        <v>119</v>
      </c>
      <c r="I429" s="70" t="s">
        <v>1178</v>
      </c>
      <c r="J429" s="237" t="s">
        <v>132</v>
      </c>
      <c r="K429" s="237" t="s">
        <v>3</v>
      </c>
      <c r="L429" s="59" t="s">
        <v>7</v>
      </c>
      <c r="M429" s="60" t="s">
        <v>1180</v>
      </c>
      <c r="N429" s="130"/>
      <c r="O429" s="172"/>
      <c r="P429" s="172"/>
      <c r="Q429" s="237" t="s">
        <v>139</v>
      </c>
      <c r="R429" s="79"/>
      <c r="S429" s="79"/>
      <c r="T429" s="58" t="s">
        <v>1181</v>
      </c>
      <c r="U429" s="237"/>
      <c r="V429" s="88">
        <v>46118</v>
      </c>
      <c r="W429" s="79"/>
      <c r="X429" s="88"/>
      <c r="Y429" s="131">
        <v>55000</v>
      </c>
      <c r="Z429" s="131">
        <v>0</v>
      </c>
      <c r="AA429" s="131">
        <v>66000</v>
      </c>
      <c r="AB429" s="131">
        <v>0</v>
      </c>
      <c r="AC429" s="131">
        <v>55000</v>
      </c>
      <c r="AD429" s="131">
        <v>66000</v>
      </c>
      <c r="AE429" s="173" t="s">
        <v>103</v>
      </c>
      <c r="AF429" s="173"/>
      <c r="AG429" s="173"/>
      <c r="AH429" s="174"/>
      <c r="AI429" s="175"/>
      <c r="AJ429" s="174"/>
      <c r="AK429" s="176"/>
      <c r="AL429" s="174"/>
      <c r="AM429" s="181" t="s">
        <v>1182</v>
      </c>
      <c r="AO429" s="184"/>
    </row>
    <row r="430" spans="1:41" ht="30" hidden="1" customHeight="1" x14ac:dyDescent="0.35">
      <c r="A430" s="38">
        <v>2026</v>
      </c>
      <c r="B430" s="59" t="s">
        <v>711</v>
      </c>
      <c r="C430" s="70" t="s">
        <v>1183</v>
      </c>
      <c r="D430" s="237" t="s">
        <v>106</v>
      </c>
      <c r="E430" s="237">
        <v>1</v>
      </c>
      <c r="F430" s="58" t="s">
        <v>1184</v>
      </c>
      <c r="G430" s="237" t="s">
        <v>121</v>
      </c>
      <c r="H430" s="59" t="s">
        <v>127</v>
      </c>
      <c r="I430" s="70"/>
      <c r="J430" s="237" t="s">
        <v>131</v>
      </c>
      <c r="K430" s="237" t="s">
        <v>4</v>
      </c>
      <c r="L430" s="59" t="s">
        <v>7</v>
      </c>
      <c r="M430" s="60" t="s">
        <v>971</v>
      </c>
      <c r="N430" s="132">
        <f>O430*1.2</f>
        <v>2139292.7999999998</v>
      </c>
      <c r="O430" s="187">
        <v>1782744</v>
      </c>
      <c r="P430" s="187">
        <f>O430/1.2</f>
        <v>1485620</v>
      </c>
      <c r="Q430" s="237" t="s">
        <v>138</v>
      </c>
      <c r="R430" s="79"/>
      <c r="S430" s="79"/>
      <c r="T430" s="58" t="s">
        <v>972</v>
      </c>
      <c r="U430" s="237"/>
      <c r="V430" s="88">
        <v>46121</v>
      </c>
      <c r="W430" s="88">
        <v>46126</v>
      </c>
      <c r="X430" s="88"/>
      <c r="Y430" s="131">
        <f>AA430/1.2</f>
        <v>1681451</v>
      </c>
      <c r="Z430" s="131">
        <f>AB430/1.2</f>
        <v>165310.15</v>
      </c>
      <c r="AA430" s="131">
        <v>2017741.2</v>
      </c>
      <c r="AB430" s="131">
        <v>198372.18</v>
      </c>
      <c r="AC430" s="131">
        <f>Y430</f>
        <v>1681451</v>
      </c>
      <c r="AD430" s="131">
        <f>AA430</f>
        <v>2017741.2</v>
      </c>
      <c r="AE430" s="173" t="s">
        <v>100</v>
      </c>
      <c r="AF430" s="173"/>
      <c r="AG430" s="173"/>
      <c r="AH430" s="174"/>
      <c r="AI430" s="175"/>
      <c r="AJ430" s="174"/>
      <c r="AK430" s="176"/>
      <c r="AL430" s="174"/>
      <c r="AM430" s="181" t="s">
        <v>1030</v>
      </c>
      <c r="AO430" s="184"/>
    </row>
    <row r="431" spans="1:41" ht="30" hidden="1" customHeight="1" x14ac:dyDescent="0.35">
      <c r="A431" s="43">
        <v>2026</v>
      </c>
      <c r="B431" s="59" t="s">
        <v>711</v>
      </c>
      <c r="C431" s="70" t="s">
        <v>1185</v>
      </c>
      <c r="D431" s="237" t="s">
        <v>106</v>
      </c>
      <c r="E431" s="237">
        <v>1</v>
      </c>
      <c r="F431" s="58" t="s">
        <v>1186</v>
      </c>
      <c r="G431" s="237" t="s">
        <v>118</v>
      </c>
      <c r="H431" s="59" t="s">
        <v>118</v>
      </c>
      <c r="I431" s="74"/>
      <c r="J431" s="237" t="s">
        <v>131</v>
      </c>
      <c r="K431" s="237" t="s">
        <v>1</v>
      </c>
      <c r="L431" s="59" t="s">
        <v>7</v>
      </c>
      <c r="M431" s="60" t="s">
        <v>35</v>
      </c>
      <c r="N431" s="132">
        <f>O431*1.2</f>
        <v>349387.2</v>
      </c>
      <c r="O431" s="187">
        <v>291156</v>
      </c>
      <c r="P431" s="187">
        <f>O431/1.2</f>
        <v>242630</v>
      </c>
      <c r="Q431" s="237" t="s">
        <v>138</v>
      </c>
      <c r="R431" s="79"/>
      <c r="S431" s="79"/>
      <c r="T431" s="171"/>
      <c r="U431" s="180"/>
      <c r="V431" s="88">
        <v>46119</v>
      </c>
      <c r="W431" s="88">
        <v>46126</v>
      </c>
      <c r="X431" s="79"/>
      <c r="Y431" s="130">
        <v>0</v>
      </c>
      <c r="Z431" s="130">
        <v>0</v>
      </c>
      <c r="AA431" s="130">
        <v>0</v>
      </c>
      <c r="AB431" s="130">
        <v>0</v>
      </c>
      <c r="AC431" s="130">
        <v>0</v>
      </c>
      <c r="AD431" s="130">
        <v>0</v>
      </c>
      <c r="AE431" s="173" t="s">
        <v>103</v>
      </c>
      <c r="AF431" s="173"/>
      <c r="AG431" s="173"/>
      <c r="AH431" s="174"/>
      <c r="AI431" s="175"/>
      <c r="AJ431" s="174"/>
      <c r="AK431" s="176"/>
      <c r="AL431" s="174"/>
      <c r="AM431" s="181" t="s">
        <v>1030</v>
      </c>
      <c r="AO431" s="184"/>
    </row>
    <row r="432" spans="1:41" ht="30" hidden="1" customHeight="1" x14ac:dyDescent="0.35">
      <c r="A432" s="43">
        <v>2026</v>
      </c>
      <c r="B432" s="59" t="s">
        <v>711</v>
      </c>
      <c r="C432" s="70" t="s">
        <v>1187</v>
      </c>
      <c r="D432" s="237" t="s">
        <v>106</v>
      </c>
      <c r="E432" s="237">
        <v>1</v>
      </c>
      <c r="F432" s="58" t="s">
        <v>1188</v>
      </c>
      <c r="G432" s="237" t="s">
        <v>118</v>
      </c>
      <c r="H432" s="59" t="s">
        <v>118</v>
      </c>
      <c r="I432" s="74"/>
      <c r="J432" s="237" t="s">
        <v>130</v>
      </c>
      <c r="K432" s="237" t="s">
        <v>3</v>
      </c>
      <c r="L432" s="59" t="s">
        <v>7</v>
      </c>
      <c r="M432" s="60" t="s">
        <v>1015</v>
      </c>
      <c r="N432" s="132">
        <f>O432*1.2</f>
        <v>345211.2</v>
      </c>
      <c r="O432" s="187">
        <v>287676</v>
      </c>
      <c r="P432" s="187">
        <f>O432/1.2</f>
        <v>239730</v>
      </c>
      <c r="Q432" s="237" t="s">
        <v>138</v>
      </c>
      <c r="R432" s="79"/>
      <c r="S432" s="79"/>
      <c r="T432" s="171"/>
      <c r="U432" s="180"/>
      <c r="V432" s="88">
        <v>46121</v>
      </c>
      <c r="W432" s="88">
        <v>46126</v>
      </c>
      <c r="X432" s="79">
        <v>0</v>
      </c>
      <c r="Y432" s="130">
        <v>0</v>
      </c>
      <c r="Z432" s="130">
        <v>0</v>
      </c>
      <c r="AA432" s="130">
        <v>0</v>
      </c>
      <c r="AB432" s="130">
        <v>0</v>
      </c>
      <c r="AC432" s="130">
        <v>0</v>
      </c>
      <c r="AD432" s="130">
        <v>0</v>
      </c>
      <c r="AE432" s="173" t="s">
        <v>103</v>
      </c>
      <c r="AF432" s="173"/>
      <c r="AG432" s="173"/>
      <c r="AH432" s="174"/>
      <c r="AI432" s="175"/>
      <c r="AJ432" s="174"/>
      <c r="AK432" s="176"/>
      <c r="AL432" s="174"/>
      <c r="AM432" s="181" t="s">
        <v>1030</v>
      </c>
      <c r="AO432" s="184"/>
    </row>
    <row r="433" spans="1:41" ht="30" hidden="1" customHeight="1" x14ac:dyDescent="0.35">
      <c r="A433" s="38">
        <v>2026</v>
      </c>
      <c r="B433" s="59" t="s">
        <v>711</v>
      </c>
      <c r="C433" s="70" t="s">
        <v>1189</v>
      </c>
      <c r="D433" s="237" t="s">
        <v>106</v>
      </c>
      <c r="E433" s="237">
        <v>1</v>
      </c>
      <c r="F433" s="58" t="s">
        <v>1190</v>
      </c>
      <c r="G433" s="237" t="s">
        <v>121</v>
      </c>
      <c r="H433" s="59" t="s">
        <v>126</v>
      </c>
      <c r="I433" s="70"/>
      <c r="J433" s="237" t="s">
        <v>131</v>
      </c>
      <c r="K433" s="237" t="s">
        <v>3</v>
      </c>
      <c r="L433" s="59" t="s">
        <v>6</v>
      </c>
      <c r="M433" s="60" t="s">
        <v>1093</v>
      </c>
      <c r="N433" s="132">
        <f>O433*1.2</f>
        <v>311040</v>
      </c>
      <c r="O433" s="187">
        <v>259200</v>
      </c>
      <c r="P433" s="187">
        <f>O433/1.2</f>
        <v>216000</v>
      </c>
      <c r="Q433" s="237" t="s">
        <v>139</v>
      </c>
      <c r="R433" s="79"/>
      <c r="S433" s="79"/>
      <c r="T433" s="58" t="s">
        <v>1191</v>
      </c>
      <c r="U433" s="237"/>
      <c r="V433" s="88">
        <v>46126</v>
      </c>
      <c r="W433" s="88">
        <v>46129</v>
      </c>
      <c r="X433" s="88">
        <v>46206</v>
      </c>
      <c r="Y433" s="131">
        <f>AC433</f>
        <v>256272.00000000003</v>
      </c>
      <c r="Z433" s="131">
        <v>0</v>
      </c>
      <c r="AA433" s="131">
        <f>AD433</f>
        <v>307526.40000000002</v>
      </c>
      <c r="AB433" s="131">
        <v>0</v>
      </c>
      <c r="AC433" s="131">
        <f>AD433/1.2</f>
        <v>256272.00000000003</v>
      </c>
      <c r="AD433" s="131">
        <v>307526.40000000002</v>
      </c>
      <c r="AE433" s="173" t="s">
        <v>102</v>
      </c>
      <c r="AF433" s="173"/>
      <c r="AG433" s="173"/>
      <c r="AH433" s="174"/>
      <c r="AI433" s="175"/>
      <c r="AJ433" s="174"/>
      <c r="AK433" s="176"/>
      <c r="AL433" s="174"/>
      <c r="AM433" s="181" t="s">
        <v>1030</v>
      </c>
      <c r="AO433" s="184"/>
    </row>
    <row r="434" spans="1:41" ht="30" hidden="1" customHeight="1" x14ac:dyDescent="0.35">
      <c r="A434" s="42">
        <v>2026</v>
      </c>
      <c r="B434" s="59" t="s">
        <v>55</v>
      </c>
      <c r="C434" s="70" t="s">
        <v>1192</v>
      </c>
      <c r="D434" s="237" t="s">
        <v>106</v>
      </c>
      <c r="E434" s="237">
        <v>1</v>
      </c>
      <c r="F434" s="58" t="s">
        <v>1193</v>
      </c>
      <c r="G434" s="237" t="s">
        <v>120</v>
      </c>
      <c r="H434" s="59" t="s">
        <v>120</v>
      </c>
      <c r="I434" s="70"/>
      <c r="J434" s="237" t="s">
        <v>131</v>
      </c>
      <c r="K434" s="237" t="s">
        <v>3</v>
      </c>
      <c r="L434" s="59" t="s">
        <v>7</v>
      </c>
      <c r="M434" s="60" t="s">
        <v>1180</v>
      </c>
      <c r="N434" s="132">
        <f>O434*1.2</f>
        <v>86400</v>
      </c>
      <c r="O434" s="187">
        <v>72000</v>
      </c>
      <c r="P434" s="187">
        <f>O434/1.2</f>
        <v>60000</v>
      </c>
      <c r="Q434" s="237" t="s">
        <v>138</v>
      </c>
      <c r="R434" s="79"/>
      <c r="S434" s="79"/>
      <c r="T434" s="58"/>
      <c r="U434" s="237"/>
      <c r="V434" s="85">
        <v>46198</v>
      </c>
      <c r="W434" s="86"/>
      <c r="X434" s="88"/>
      <c r="Y434" s="131"/>
      <c r="Z434" s="131">
        <v>0</v>
      </c>
      <c r="AA434" s="131"/>
      <c r="AB434" s="131">
        <v>0</v>
      </c>
      <c r="AC434" s="131"/>
      <c r="AD434" s="131"/>
      <c r="AE434" s="173" t="s">
        <v>99</v>
      </c>
      <c r="AF434" s="173"/>
      <c r="AG434" s="173"/>
      <c r="AH434" s="174"/>
      <c r="AI434" s="175"/>
      <c r="AJ434" s="174"/>
      <c r="AK434" s="176"/>
      <c r="AL434" s="174"/>
      <c r="AM434" s="177" t="s">
        <v>1194</v>
      </c>
      <c r="AO434" s="184"/>
    </row>
    <row r="435" spans="1:41" ht="30" customHeight="1" x14ac:dyDescent="0.35">
      <c r="A435" s="38">
        <v>2026</v>
      </c>
      <c r="B435" s="59" t="s">
        <v>63</v>
      </c>
      <c r="C435" s="171" t="s">
        <v>140</v>
      </c>
      <c r="D435" s="237" t="s">
        <v>114</v>
      </c>
      <c r="E435" s="237">
        <v>16</v>
      </c>
      <c r="F435" s="58" t="s">
        <v>1195</v>
      </c>
      <c r="G435" s="237" t="s">
        <v>121</v>
      </c>
      <c r="H435" s="59" t="s">
        <v>126</v>
      </c>
      <c r="I435" s="70" t="s">
        <v>1196</v>
      </c>
      <c r="J435" s="237" t="s">
        <v>132</v>
      </c>
      <c r="K435" s="237" t="s">
        <v>3</v>
      </c>
      <c r="L435" s="59" t="s">
        <v>6</v>
      </c>
      <c r="M435" s="60" t="s">
        <v>953</v>
      </c>
      <c r="N435" s="130"/>
      <c r="O435" s="172"/>
      <c r="P435" s="172"/>
      <c r="Q435" s="237" t="s">
        <v>140</v>
      </c>
      <c r="R435" s="79"/>
      <c r="S435" s="79"/>
      <c r="T435" s="58" t="s">
        <v>1197</v>
      </c>
      <c r="U435" s="237">
        <v>2026</v>
      </c>
      <c r="V435" s="88">
        <v>46126</v>
      </c>
      <c r="W435" s="79"/>
      <c r="X435" s="88">
        <v>46127</v>
      </c>
      <c r="Y435" s="131">
        <f>AA435</f>
        <v>848337.5</v>
      </c>
      <c r="Z435" s="131">
        <v>0</v>
      </c>
      <c r="AA435" s="131">
        <f>AC435</f>
        <v>848337.5</v>
      </c>
      <c r="AB435" s="131">
        <v>0</v>
      </c>
      <c r="AC435" s="131">
        <f>AD435</f>
        <v>848337.5</v>
      </c>
      <c r="AD435" s="135">
        <v>848337.5</v>
      </c>
      <c r="AE435" s="173" t="s">
        <v>102</v>
      </c>
      <c r="AF435" s="173"/>
      <c r="AG435" s="173"/>
      <c r="AH435" s="174"/>
      <c r="AI435" s="175"/>
      <c r="AJ435" s="174"/>
      <c r="AK435" s="176"/>
      <c r="AL435" s="174"/>
      <c r="AM435" s="181" t="s">
        <v>1030</v>
      </c>
      <c r="AN435" s="243" t="s">
        <v>178</v>
      </c>
      <c r="AO435" s="184"/>
    </row>
    <row r="436" spans="1:41" ht="30" customHeight="1" x14ac:dyDescent="0.35">
      <c r="A436" s="38">
        <v>2026</v>
      </c>
      <c r="B436" s="59" t="s">
        <v>63</v>
      </c>
      <c r="C436" s="171" t="s">
        <v>173</v>
      </c>
      <c r="D436" s="237" t="s">
        <v>114</v>
      </c>
      <c r="E436" s="237">
        <v>10</v>
      </c>
      <c r="F436" s="58" t="s">
        <v>1198</v>
      </c>
      <c r="G436" s="237" t="s">
        <v>121</v>
      </c>
      <c r="H436" s="59" t="s">
        <v>126</v>
      </c>
      <c r="I436" s="70" t="s">
        <v>1199</v>
      </c>
      <c r="J436" s="237" t="s">
        <v>132</v>
      </c>
      <c r="K436" s="237" t="s">
        <v>3</v>
      </c>
      <c r="L436" s="59" t="s">
        <v>6</v>
      </c>
      <c r="M436" s="60" t="s">
        <v>953</v>
      </c>
      <c r="N436" s="130"/>
      <c r="O436" s="172"/>
      <c r="P436" s="172"/>
      <c r="Q436" s="237" t="s">
        <v>139</v>
      </c>
      <c r="R436" s="79"/>
      <c r="S436" s="79"/>
      <c r="T436" s="58" t="s">
        <v>1200</v>
      </c>
      <c r="U436" s="237">
        <v>2026</v>
      </c>
      <c r="V436" s="88">
        <v>46118</v>
      </c>
      <c r="W436" s="79"/>
      <c r="X436" s="88">
        <v>46119</v>
      </c>
      <c r="Y436" s="131">
        <v>1349674.56</v>
      </c>
      <c r="Z436" s="131">
        <v>124800</v>
      </c>
      <c r="AA436" s="131">
        <f>Y436</f>
        <v>1349674.56</v>
      </c>
      <c r="AB436" s="131">
        <f>Z436</f>
        <v>124800</v>
      </c>
      <c r="AC436" s="131">
        <f>AA436</f>
        <v>1349674.56</v>
      </c>
      <c r="AD436" s="135">
        <f>AA436</f>
        <v>1349674.56</v>
      </c>
      <c r="AE436" s="173" t="s">
        <v>102</v>
      </c>
      <c r="AF436" s="173"/>
      <c r="AG436" s="173"/>
      <c r="AH436" s="174"/>
      <c r="AI436" s="175"/>
      <c r="AJ436" s="174"/>
      <c r="AK436" s="176"/>
      <c r="AL436" s="174"/>
      <c r="AM436" s="181" t="s">
        <v>1030</v>
      </c>
      <c r="AN436" s="243" t="s">
        <v>178</v>
      </c>
      <c r="AO436" s="184"/>
    </row>
    <row r="437" spans="1:41" ht="30" customHeight="1" x14ac:dyDescent="0.35">
      <c r="A437" s="38">
        <v>2026</v>
      </c>
      <c r="B437" s="59" t="s">
        <v>63</v>
      </c>
      <c r="C437" s="171" t="s">
        <v>173</v>
      </c>
      <c r="D437" s="237" t="s">
        <v>114</v>
      </c>
      <c r="E437" s="237">
        <v>4</v>
      </c>
      <c r="F437" s="58" t="s">
        <v>1201</v>
      </c>
      <c r="G437" s="237" t="s">
        <v>121</v>
      </c>
      <c r="H437" s="59" t="s">
        <v>126</v>
      </c>
      <c r="I437" s="70" t="s">
        <v>1202</v>
      </c>
      <c r="J437" s="237" t="s">
        <v>132</v>
      </c>
      <c r="K437" s="237" t="s">
        <v>3</v>
      </c>
      <c r="L437" s="59" t="s">
        <v>6</v>
      </c>
      <c r="M437" s="60" t="s">
        <v>953</v>
      </c>
      <c r="N437" s="130"/>
      <c r="O437" s="172"/>
      <c r="P437" s="172"/>
      <c r="Q437" s="237" t="s">
        <v>139</v>
      </c>
      <c r="R437" s="79"/>
      <c r="S437" s="79"/>
      <c r="T437" s="58" t="s">
        <v>1203</v>
      </c>
      <c r="U437" s="237">
        <v>2026</v>
      </c>
      <c r="V437" s="88">
        <v>46118</v>
      </c>
      <c r="W437" s="79"/>
      <c r="X437" s="88">
        <v>46119</v>
      </c>
      <c r="Y437" s="131">
        <v>2335975.2000000002</v>
      </c>
      <c r="Z437" s="131">
        <v>216000</v>
      </c>
      <c r="AA437" s="131">
        <f>+Y437</f>
        <v>2335975.2000000002</v>
      </c>
      <c r="AB437" s="131">
        <f>+Z437</f>
        <v>216000</v>
      </c>
      <c r="AC437" s="131">
        <f>AA437</f>
        <v>2335975.2000000002</v>
      </c>
      <c r="AD437" s="135">
        <f>AC437</f>
        <v>2335975.2000000002</v>
      </c>
      <c r="AE437" s="173" t="s">
        <v>102</v>
      </c>
      <c r="AF437" s="173"/>
      <c r="AG437" s="173"/>
      <c r="AH437" s="174"/>
      <c r="AI437" s="175"/>
      <c r="AJ437" s="174"/>
      <c r="AK437" s="176"/>
      <c r="AL437" s="174"/>
      <c r="AM437" s="181" t="s">
        <v>1030</v>
      </c>
      <c r="AN437" s="243" t="s">
        <v>178</v>
      </c>
      <c r="AO437" s="184"/>
    </row>
    <row r="438" spans="1:41" ht="30" customHeight="1" x14ac:dyDescent="0.35">
      <c r="A438" s="38">
        <v>2026</v>
      </c>
      <c r="B438" s="59" t="s">
        <v>63</v>
      </c>
      <c r="C438" s="171" t="s">
        <v>173</v>
      </c>
      <c r="D438" s="237" t="s">
        <v>114</v>
      </c>
      <c r="E438" s="237">
        <v>28</v>
      </c>
      <c r="F438" s="58" t="s">
        <v>1204</v>
      </c>
      <c r="G438" s="237" t="s">
        <v>121</v>
      </c>
      <c r="H438" s="59" t="s">
        <v>126</v>
      </c>
      <c r="I438" s="70" t="s">
        <v>1205</v>
      </c>
      <c r="J438" s="237" t="s">
        <v>132</v>
      </c>
      <c r="K438" s="237" t="s">
        <v>3</v>
      </c>
      <c r="L438" s="59" t="s">
        <v>6</v>
      </c>
      <c r="M438" s="60" t="s">
        <v>953</v>
      </c>
      <c r="N438" s="130"/>
      <c r="O438" s="172"/>
      <c r="P438" s="172"/>
      <c r="Q438" s="237" t="s">
        <v>139</v>
      </c>
      <c r="R438" s="79"/>
      <c r="S438" s="79"/>
      <c r="T438" s="58" t="s">
        <v>1206</v>
      </c>
      <c r="U438" s="237">
        <v>2026</v>
      </c>
      <c r="V438" s="88">
        <v>46118</v>
      </c>
      <c r="W438" s="79"/>
      <c r="X438" s="88">
        <v>46119</v>
      </c>
      <c r="Y438" s="131">
        <v>150000</v>
      </c>
      <c r="Z438" s="131">
        <v>0</v>
      </c>
      <c r="AA438" s="131">
        <f>Y438</f>
        <v>150000</v>
      </c>
      <c r="AB438" s="131">
        <v>0</v>
      </c>
      <c r="AC438" s="131">
        <v>125000</v>
      </c>
      <c r="AD438" s="135">
        <f t="shared" ref="AD438:AD445" si="40">AA438</f>
        <v>150000</v>
      </c>
      <c r="AE438" s="173" t="s">
        <v>102</v>
      </c>
      <c r="AF438" s="173"/>
      <c r="AG438" s="173"/>
      <c r="AH438" s="174"/>
      <c r="AI438" s="175"/>
      <c r="AJ438" s="174"/>
      <c r="AK438" s="176"/>
      <c r="AL438" s="174"/>
      <c r="AM438" s="181" t="s">
        <v>1030</v>
      </c>
      <c r="AN438" s="243" t="s">
        <v>178</v>
      </c>
      <c r="AO438" s="184"/>
    </row>
    <row r="439" spans="1:41" ht="49.5" hidden="1" customHeight="1" x14ac:dyDescent="0.35">
      <c r="A439" s="38">
        <v>2025</v>
      </c>
      <c r="B439" s="59" t="s">
        <v>55</v>
      </c>
      <c r="C439" s="70" t="s">
        <v>1207</v>
      </c>
      <c r="D439" s="237" t="s">
        <v>106</v>
      </c>
      <c r="E439" s="237">
        <v>1</v>
      </c>
      <c r="F439" s="58" t="s">
        <v>1208</v>
      </c>
      <c r="G439" s="237" t="s">
        <v>121</v>
      </c>
      <c r="H439" s="59" t="s">
        <v>126</v>
      </c>
      <c r="I439" s="70" t="s">
        <v>1209</v>
      </c>
      <c r="J439" s="237" t="s">
        <v>131</v>
      </c>
      <c r="K439" s="237" t="s">
        <v>1</v>
      </c>
      <c r="L439" s="59" t="s">
        <v>7</v>
      </c>
      <c r="M439" s="60" t="s">
        <v>961</v>
      </c>
      <c r="N439" s="132">
        <f>O439*1.2</f>
        <v>3067200</v>
      </c>
      <c r="O439" s="187">
        <v>2556000</v>
      </c>
      <c r="P439" s="187">
        <f>O439/1.2</f>
        <v>2130000</v>
      </c>
      <c r="Q439" s="237" t="s">
        <v>138</v>
      </c>
      <c r="R439" s="79"/>
      <c r="S439" s="79"/>
      <c r="T439" s="58" t="s">
        <v>1210</v>
      </c>
      <c r="U439" s="237">
        <v>2026</v>
      </c>
      <c r="V439" s="88">
        <v>46120</v>
      </c>
      <c r="W439" s="79"/>
      <c r="X439" s="88">
        <v>46121</v>
      </c>
      <c r="Y439" s="131">
        <f>AA439/1.2</f>
        <v>1978042.9500000002</v>
      </c>
      <c r="Z439" s="131">
        <f>AB439/1.2</f>
        <v>184500</v>
      </c>
      <c r="AA439" s="131">
        <v>2373651.54</v>
      </c>
      <c r="AB439" s="131">
        <v>221400</v>
      </c>
      <c r="AC439" s="131">
        <f>Y439</f>
        <v>1978042.9500000002</v>
      </c>
      <c r="AD439" s="131">
        <f t="shared" si="40"/>
        <v>2373651.54</v>
      </c>
      <c r="AE439" s="173" t="s">
        <v>102</v>
      </c>
      <c r="AF439" s="173"/>
      <c r="AG439" s="173"/>
      <c r="AH439" s="174"/>
      <c r="AI439" s="175"/>
      <c r="AJ439" s="174"/>
      <c r="AK439" s="176"/>
      <c r="AL439" s="174"/>
      <c r="AM439" s="181" t="s">
        <v>1030</v>
      </c>
      <c r="AO439" s="184"/>
    </row>
    <row r="440" spans="1:41" ht="30" hidden="1" customHeight="1" x14ac:dyDescent="0.35">
      <c r="A440" s="38">
        <v>2026</v>
      </c>
      <c r="B440" s="59" t="s">
        <v>55</v>
      </c>
      <c r="C440" s="70" t="s">
        <v>1211</v>
      </c>
      <c r="D440" s="237" t="s">
        <v>109</v>
      </c>
      <c r="E440" s="237">
        <v>1</v>
      </c>
      <c r="F440" s="58" t="s">
        <v>1212</v>
      </c>
      <c r="G440" s="237" t="s">
        <v>121</v>
      </c>
      <c r="H440" s="59" t="s">
        <v>126</v>
      </c>
      <c r="I440" s="70" t="s">
        <v>1211</v>
      </c>
      <c r="J440" s="237" t="s">
        <v>132</v>
      </c>
      <c r="K440" s="237" t="s">
        <v>3</v>
      </c>
      <c r="L440" s="59" t="s">
        <v>6</v>
      </c>
      <c r="M440" s="60" t="s">
        <v>23</v>
      </c>
      <c r="N440" s="130"/>
      <c r="O440" s="172"/>
      <c r="P440" s="172"/>
      <c r="Q440" s="237" t="s">
        <v>139</v>
      </c>
      <c r="R440" s="79"/>
      <c r="S440" s="79"/>
      <c r="T440" s="58" t="s">
        <v>1213</v>
      </c>
      <c r="U440" s="237">
        <v>2026</v>
      </c>
      <c r="V440" s="88">
        <v>46106</v>
      </c>
      <c r="W440" s="79"/>
      <c r="X440" s="88">
        <v>46133</v>
      </c>
      <c r="Y440" s="131">
        <v>89166.67</v>
      </c>
      <c r="Z440" s="131">
        <v>0</v>
      </c>
      <c r="AA440" s="131">
        <v>107000</v>
      </c>
      <c r="AB440" s="131">
        <v>0</v>
      </c>
      <c r="AC440" s="131">
        <f>Y440</f>
        <v>89166.67</v>
      </c>
      <c r="AD440" s="131">
        <f t="shared" si="40"/>
        <v>107000</v>
      </c>
      <c r="AE440" s="173" t="s">
        <v>102</v>
      </c>
      <c r="AF440" s="173"/>
      <c r="AG440" s="173"/>
      <c r="AH440" s="174"/>
      <c r="AI440" s="175"/>
      <c r="AJ440" s="174"/>
      <c r="AK440" s="176"/>
      <c r="AL440" s="174"/>
      <c r="AM440" s="181"/>
      <c r="AO440" s="184"/>
    </row>
    <row r="441" spans="1:41" ht="30" hidden="1" customHeight="1" x14ac:dyDescent="0.35">
      <c r="A441" s="38">
        <v>2026</v>
      </c>
      <c r="B441" s="59" t="s">
        <v>55</v>
      </c>
      <c r="C441" s="70" t="s">
        <v>1214</v>
      </c>
      <c r="D441" s="237" t="s">
        <v>109</v>
      </c>
      <c r="E441" s="237">
        <v>1</v>
      </c>
      <c r="F441" s="58" t="s">
        <v>1215</v>
      </c>
      <c r="G441" s="237" t="s">
        <v>121</v>
      </c>
      <c r="H441" s="59" t="s">
        <v>126</v>
      </c>
      <c r="I441" s="70" t="s">
        <v>1214</v>
      </c>
      <c r="J441" s="237" t="s">
        <v>132</v>
      </c>
      <c r="K441" s="237" t="s">
        <v>3</v>
      </c>
      <c r="L441" s="59" t="s">
        <v>6</v>
      </c>
      <c r="M441" s="60" t="s">
        <v>23</v>
      </c>
      <c r="N441" s="130"/>
      <c r="O441" s="172"/>
      <c r="P441" s="172"/>
      <c r="Q441" s="237" t="s">
        <v>139</v>
      </c>
      <c r="R441" s="79"/>
      <c r="S441" s="79"/>
      <c r="T441" s="58" t="s">
        <v>1216</v>
      </c>
      <c r="U441" s="237">
        <v>2026</v>
      </c>
      <c r="V441" s="88">
        <v>46106</v>
      </c>
      <c r="W441" s="79"/>
      <c r="X441" s="88">
        <v>46133</v>
      </c>
      <c r="Y441" s="131">
        <v>31500</v>
      </c>
      <c r="Z441" s="131">
        <v>0</v>
      </c>
      <c r="AA441" s="131">
        <v>37800</v>
      </c>
      <c r="AB441" s="131">
        <v>0</v>
      </c>
      <c r="AC441" s="131">
        <f>Y441</f>
        <v>31500</v>
      </c>
      <c r="AD441" s="131">
        <f t="shared" si="40"/>
        <v>37800</v>
      </c>
      <c r="AE441" s="173" t="s">
        <v>102</v>
      </c>
      <c r="AF441" s="173"/>
      <c r="AG441" s="173"/>
      <c r="AH441" s="174"/>
      <c r="AI441" s="175"/>
      <c r="AJ441" s="174"/>
      <c r="AK441" s="176"/>
      <c r="AL441" s="174"/>
      <c r="AM441" s="181"/>
      <c r="AO441" s="184"/>
    </row>
    <row r="442" spans="1:41" ht="30" customHeight="1" x14ac:dyDescent="0.35">
      <c r="A442" s="38">
        <v>2026</v>
      </c>
      <c r="B442" s="59" t="s">
        <v>68</v>
      </c>
      <c r="C442" s="70" t="s">
        <v>1217</v>
      </c>
      <c r="D442" s="237" t="s">
        <v>114</v>
      </c>
      <c r="E442" s="237">
        <v>149</v>
      </c>
      <c r="F442" s="58" t="s">
        <v>1218</v>
      </c>
      <c r="G442" s="237" t="s">
        <v>121</v>
      </c>
      <c r="H442" s="59" t="s">
        <v>126</v>
      </c>
      <c r="I442" s="70"/>
      <c r="J442" s="237" t="s">
        <v>132</v>
      </c>
      <c r="K442" s="237" t="s">
        <v>3</v>
      </c>
      <c r="L442" s="59" t="s">
        <v>6</v>
      </c>
      <c r="M442" s="58" t="s">
        <v>372</v>
      </c>
      <c r="N442" s="130"/>
      <c r="O442" s="172"/>
      <c r="P442" s="172"/>
      <c r="Q442" s="237" t="s">
        <v>138</v>
      </c>
      <c r="R442" s="79"/>
      <c r="S442" s="79"/>
      <c r="T442" s="58" t="s">
        <v>1219</v>
      </c>
      <c r="U442" s="237"/>
      <c r="V442" s="88">
        <v>46082</v>
      </c>
      <c r="W442" s="79"/>
      <c r="X442" s="88">
        <v>46083</v>
      </c>
      <c r="Y442" s="131">
        <v>130000</v>
      </c>
      <c r="Z442" s="131">
        <v>0</v>
      </c>
      <c r="AA442" s="131">
        <f>Y442</f>
        <v>130000</v>
      </c>
      <c r="AB442" s="131">
        <v>0</v>
      </c>
      <c r="AC442" s="131">
        <f>AA442</f>
        <v>130000</v>
      </c>
      <c r="AD442" s="131">
        <f t="shared" si="40"/>
        <v>130000</v>
      </c>
      <c r="AE442" s="173" t="s">
        <v>102</v>
      </c>
      <c r="AF442" s="173"/>
      <c r="AG442" s="173"/>
      <c r="AH442" s="174"/>
      <c r="AI442" s="175"/>
      <c r="AJ442" s="174"/>
      <c r="AK442" s="176"/>
      <c r="AL442" s="174"/>
      <c r="AM442" s="181" t="s">
        <v>1030</v>
      </c>
      <c r="AN442" s="243" t="s">
        <v>178</v>
      </c>
      <c r="AO442" s="184"/>
    </row>
    <row r="443" spans="1:41" ht="30" customHeight="1" x14ac:dyDescent="0.35">
      <c r="A443" s="38">
        <v>2026</v>
      </c>
      <c r="B443" s="59" t="s">
        <v>68</v>
      </c>
      <c r="C443" s="70" t="s">
        <v>1217</v>
      </c>
      <c r="D443" s="237" t="s">
        <v>114</v>
      </c>
      <c r="E443" s="237">
        <v>149</v>
      </c>
      <c r="F443" s="58" t="s">
        <v>1220</v>
      </c>
      <c r="G443" s="237" t="s">
        <v>121</v>
      </c>
      <c r="H443" s="59" t="s">
        <v>126</v>
      </c>
      <c r="I443" s="70"/>
      <c r="J443" s="237" t="s">
        <v>132</v>
      </c>
      <c r="K443" s="237" t="s">
        <v>3</v>
      </c>
      <c r="L443" s="59" t="s">
        <v>6</v>
      </c>
      <c r="M443" s="58" t="s">
        <v>372</v>
      </c>
      <c r="N443" s="130"/>
      <c r="O443" s="172"/>
      <c r="P443" s="172"/>
      <c r="Q443" s="237" t="s">
        <v>138</v>
      </c>
      <c r="R443" s="79"/>
      <c r="S443" s="79"/>
      <c r="T443" s="58" t="s">
        <v>1221</v>
      </c>
      <c r="U443" s="237"/>
      <c r="V443" s="88">
        <v>46082</v>
      </c>
      <c r="W443" s="79"/>
      <c r="X443" s="88">
        <v>46083</v>
      </c>
      <c r="Y443" s="131">
        <v>130000</v>
      </c>
      <c r="Z443" s="131">
        <v>0</v>
      </c>
      <c r="AA443" s="131">
        <f>Y443</f>
        <v>130000</v>
      </c>
      <c r="AB443" s="131">
        <v>0</v>
      </c>
      <c r="AC443" s="131">
        <f>AA443</f>
        <v>130000</v>
      </c>
      <c r="AD443" s="131">
        <f t="shared" si="40"/>
        <v>130000</v>
      </c>
      <c r="AE443" s="173" t="s">
        <v>102</v>
      </c>
      <c r="AF443" s="173"/>
      <c r="AG443" s="173"/>
      <c r="AH443" s="174"/>
      <c r="AI443" s="175"/>
      <c r="AJ443" s="174"/>
      <c r="AK443" s="176"/>
      <c r="AL443" s="174"/>
      <c r="AM443" s="181" t="s">
        <v>1030</v>
      </c>
      <c r="AN443" s="243" t="s">
        <v>178</v>
      </c>
      <c r="AO443" s="184"/>
    </row>
    <row r="444" spans="1:41" ht="30" customHeight="1" x14ac:dyDescent="0.35">
      <c r="A444" s="38">
        <v>2026</v>
      </c>
      <c r="B444" s="59" t="s">
        <v>68</v>
      </c>
      <c r="C444" s="70" t="s">
        <v>1217</v>
      </c>
      <c r="D444" s="237" t="s">
        <v>114</v>
      </c>
      <c r="E444" s="237">
        <v>149</v>
      </c>
      <c r="F444" s="58" t="s">
        <v>1222</v>
      </c>
      <c r="G444" s="237" t="s">
        <v>121</v>
      </c>
      <c r="H444" s="59" t="s">
        <v>126</v>
      </c>
      <c r="I444" s="70"/>
      <c r="J444" s="237" t="s">
        <v>132</v>
      </c>
      <c r="K444" s="237" t="s">
        <v>3</v>
      </c>
      <c r="L444" s="59" t="s">
        <v>6</v>
      </c>
      <c r="M444" s="58" t="s">
        <v>372</v>
      </c>
      <c r="N444" s="130"/>
      <c r="O444" s="172"/>
      <c r="P444" s="172"/>
      <c r="Q444" s="237" t="s">
        <v>138</v>
      </c>
      <c r="R444" s="79"/>
      <c r="S444" s="79"/>
      <c r="T444" s="58" t="s">
        <v>1223</v>
      </c>
      <c r="U444" s="237"/>
      <c r="V444" s="88">
        <v>46082</v>
      </c>
      <c r="W444" s="79"/>
      <c r="X444" s="88">
        <v>46083</v>
      </c>
      <c r="Y444" s="131">
        <v>130000</v>
      </c>
      <c r="Z444" s="131">
        <v>0</v>
      </c>
      <c r="AA444" s="131">
        <f>Y444</f>
        <v>130000</v>
      </c>
      <c r="AB444" s="131">
        <v>0</v>
      </c>
      <c r="AC444" s="131">
        <f>AA444</f>
        <v>130000</v>
      </c>
      <c r="AD444" s="131">
        <f t="shared" si="40"/>
        <v>130000</v>
      </c>
      <c r="AE444" s="173" t="s">
        <v>102</v>
      </c>
      <c r="AF444" s="173"/>
      <c r="AG444" s="173"/>
      <c r="AH444" s="174"/>
      <c r="AI444" s="175"/>
      <c r="AJ444" s="174"/>
      <c r="AK444" s="176"/>
      <c r="AL444" s="174"/>
      <c r="AM444" s="181" t="s">
        <v>1030</v>
      </c>
      <c r="AN444" s="243" t="s">
        <v>178</v>
      </c>
      <c r="AO444" s="184"/>
    </row>
    <row r="445" spans="1:41" ht="30" hidden="1" customHeight="1" x14ac:dyDescent="0.35">
      <c r="A445" s="38">
        <v>2026</v>
      </c>
      <c r="B445" s="59" t="s">
        <v>711</v>
      </c>
      <c r="C445" s="70" t="s">
        <v>1224</v>
      </c>
      <c r="D445" s="237" t="s">
        <v>106</v>
      </c>
      <c r="E445" s="237">
        <v>1</v>
      </c>
      <c r="F445" s="58" t="s">
        <v>1016</v>
      </c>
      <c r="G445" s="237" t="s">
        <v>121</v>
      </c>
      <c r="H445" s="59" t="s">
        <v>126</v>
      </c>
      <c r="I445" s="70"/>
      <c r="J445" s="237" t="s">
        <v>131</v>
      </c>
      <c r="K445" s="237" t="s">
        <v>3</v>
      </c>
      <c r="L445" s="59" t="s">
        <v>7</v>
      </c>
      <c r="M445" s="60" t="s">
        <v>1015</v>
      </c>
      <c r="N445" s="132">
        <f>O445*1.2</f>
        <v>895579.2</v>
      </c>
      <c r="O445" s="187">
        <v>746316</v>
      </c>
      <c r="P445" s="187">
        <f>O445/1.2</f>
        <v>621930</v>
      </c>
      <c r="Q445" s="237" t="s">
        <v>139</v>
      </c>
      <c r="R445" s="79"/>
      <c r="S445" s="79"/>
      <c r="T445" s="58"/>
      <c r="U445" s="237"/>
      <c r="V445" s="88">
        <v>46128</v>
      </c>
      <c r="W445" s="88">
        <v>46126</v>
      </c>
      <c r="X445" s="88">
        <v>46212</v>
      </c>
      <c r="Y445" s="131"/>
      <c r="Z445" s="131"/>
      <c r="AA445" s="131">
        <v>641388</v>
      </c>
      <c r="AB445" s="131">
        <v>0</v>
      </c>
      <c r="AC445" s="131">
        <v>534490</v>
      </c>
      <c r="AD445" s="131">
        <f t="shared" si="40"/>
        <v>641388</v>
      </c>
      <c r="AE445" s="173" t="s">
        <v>102</v>
      </c>
      <c r="AF445" s="173"/>
      <c r="AG445" s="173"/>
      <c r="AH445" s="174"/>
      <c r="AI445" s="175"/>
      <c r="AJ445" s="174"/>
      <c r="AK445" s="176"/>
      <c r="AL445" s="174"/>
      <c r="AM445" s="181" t="s">
        <v>1225</v>
      </c>
      <c r="AO445" s="184"/>
    </row>
    <row r="446" spans="1:41" ht="30" customHeight="1" x14ac:dyDescent="0.35">
      <c r="A446" s="38">
        <v>2026</v>
      </c>
      <c r="B446" s="59" t="s">
        <v>60</v>
      </c>
      <c r="C446" s="171" t="s">
        <v>141</v>
      </c>
      <c r="D446" s="237" t="s">
        <v>114</v>
      </c>
      <c r="E446" s="237">
        <v>496</v>
      </c>
      <c r="F446" s="58" t="s">
        <v>1226</v>
      </c>
      <c r="G446" s="237" t="s">
        <v>121</v>
      </c>
      <c r="H446" s="59" t="s">
        <v>126</v>
      </c>
      <c r="I446" s="58">
        <v>20000459</v>
      </c>
      <c r="J446" s="237" t="s">
        <v>132</v>
      </c>
      <c r="K446" s="237" t="s">
        <v>3</v>
      </c>
      <c r="L446" s="59" t="s">
        <v>6</v>
      </c>
      <c r="M446" s="60" t="s">
        <v>22</v>
      </c>
      <c r="N446" s="130"/>
      <c r="O446" s="172"/>
      <c r="P446" s="172"/>
      <c r="Q446" s="237" t="s">
        <v>141</v>
      </c>
      <c r="R446" s="79"/>
      <c r="S446" s="79"/>
      <c r="T446" s="58" t="s">
        <v>1227</v>
      </c>
      <c r="U446" s="180"/>
      <c r="V446" s="79"/>
      <c r="W446" s="79"/>
      <c r="X446" s="79"/>
      <c r="Y446" s="131">
        <f t="shared" ref="Y446:Y476" si="41">AC446</f>
        <v>622864.76</v>
      </c>
      <c r="Z446" s="131">
        <v>0</v>
      </c>
      <c r="AA446" s="131">
        <f t="shared" ref="AA446:AA476" si="42">AC446</f>
        <v>622864.76</v>
      </c>
      <c r="AB446" s="131">
        <v>0</v>
      </c>
      <c r="AC446" s="131">
        <f t="shared" ref="AC446:AC476" si="43">AD446</f>
        <v>622864.76</v>
      </c>
      <c r="AD446" s="131">
        <v>622864.76</v>
      </c>
      <c r="AE446" s="173" t="s">
        <v>102</v>
      </c>
      <c r="AF446" s="173"/>
      <c r="AG446" s="173"/>
      <c r="AH446" s="174"/>
      <c r="AI446" s="175"/>
      <c r="AJ446" s="174"/>
      <c r="AK446" s="176"/>
      <c r="AL446" s="174"/>
      <c r="AM446" s="181" t="s">
        <v>1030</v>
      </c>
      <c r="AN446" s="243" t="s">
        <v>178</v>
      </c>
      <c r="AO446" s="184"/>
    </row>
    <row r="447" spans="1:41" ht="30" customHeight="1" x14ac:dyDescent="0.35">
      <c r="A447" s="38">
        <v>2026</v>
      </c>
      <c r="B447" s="59" t="s">
        <v>60</v>
      </c>
      <c r="C447" s="171" t="s">
        <v>141</v>
      </c>
      <c r="D447" s="237" t="s">
        <v>114</v>
      </c>
      <c r="E447" s="237">
        <v>496</v>
      </c>
      <c r="F447" s="58" t="s">
        <v>1226</v>
      </c>
      <c r="G447" s="237" t="s">
        <v>121</v>
      </c>
      <c r="H447" s="59" t="s">
        <v>126</v>
      </c>
      <c r="I447" s="58">
        <v>20000470</v>
      </c>
      <c r="J447" s="237" t="s">
        <v>132</v>
      </c>
      <c r="K447" s="237" t="s">
        <v>3</v>
      </c>
      <c r="L447" s="59" t="s">
        <v>6</v>
      </c>
      <c r="M447" s="60" t="s">
        <v>22</v>
      </c>
      <c r="N447" s="130"/>
      <c r="O447" s="172"/>
      <c r="P447" s="172"/>
      <c r="Q447" s="237" t="s">
        <v>141</v>
      </c>
      <c r="R447" s="79"/>
      <c r="S447" s="79"/>
      <c r="T447" s="58" t="s">
        <v>1228</v>
      </c>
      <c r="U447" s="180"/>
      <c r="V447" s="79"/>
      <c r="W447" s="79"/>
      <c r="X447" s="79"/>
      <c r="Y447" s="131">
        <f t="shared" si="41"/>
        <v>9116.24</v>
      </c>
      <c r="Z447" s="131">
        <v>0</v>
      </c>
      <c r="AA447" s="131">
        <f t="shared" si="42"/>
        <v>9116.24</v>
      </c>
      <c r="AB447" s="131">
        <v>0</v>
      </c>
      <c r="AC447" s="131">
        <f t="shared" si="43"/>
        <v>9116.24</v>
      </c>
      <c r="AD447" s="131">
        <v>9116.24</v>
      </c>
      <c r="AE447" s="173" t="s">
        <v>102</v>
      </c>
      <c r="AF447" s="173"/>
      <c r="AG447" s="173"/>
      <c r="AH447" s="174"/>
      <c r="AI447" s="175"/>
      <c r="AJ447" s="174"/>
      <c r="AK447" s="176"/>
      <c r="AL447" s="174"/>
      <c r="AM447" s="181" t="s">
        <v>1030</v>
      </c>
      <c r="AN447" s="243" t="s">
        <v>178</v>
      </c>
      <c r="AO447" s="184"/>
    </row>
    <row r="448" spans="1:41" ht="30" customHeight="1" x14ac:dyDescent="0.35">
      <c r="A448" s="38">
        <v>2026</v>
      </c>
      <c r="B448" s="59" t="s">
        <v>60</v>
      </c>
      <c r="C448" s="171" t="s">
        <v>141</v>
      </c>
      <c r="D448" s="237" t="s">
        <v>114</v>
      </c>
      <c r="E448" s="237">
        <v>496</v>
      </c>
      <c r="F448" s="58" t="s">
        <v>1226</v>
      </c>
      <c r="G448" s="237" t="s">
        <v>121</v>
      </c>
      <c r="H448" s="59" t="s">
        <v>126</v>
      </c>
      <c r="I448" s="58">
        <v>20000471</v>
      </c>
      <c r="J448" s="237" t="s">
        <v>132</v>
      </c>
      <c r="K448" s="237" t="s">
        <v>3</v>
      </c>
      <c r="L448" s="59" t="s">
        <v>6</v>
      </c>
      <c r="M448" s="60" t="s">
        <v>22</v>
      </c>
      <c r="N448" s="130"/>
      <c r="O448" s="172"/>
      <c r="P448" s="172"/>
      <c r="Q448" s="237" t="s">
        <v>141</v>
      </c>
      <c r="R448" s="79"/>
      <c r="S448" s="79"/>
      <c r="T448" s="58" t="s">
        <v>1229</v>
      </c>
      <c r="U448" s="180"/>
      <c r="V448" s="79"/>
      <c r="W448" s="79"/>
      <c r="X448" s="79"/>
      <c r="Y448" s="131">
        <f t="shared" si="41"/>
        <v>12762.72</v>
      </c>
      <c r="Z448" s="131">
        <v>0</v>
      </c>
      <c r="AA448" s="131">
        <f t="shared" si="42"/>
        <v>12762.72</v>
      </c>
      <c r="AB448" s="131">
        <v>0</v>
      </c>
      <c r="AC448" s="131">
        <f t="shared" si="43"/>
        <v>12762.72</v>
      </c>
      <c r="AD448" s="131">
        <v>12762.72</v>
      </c>
      <c r="AE448" s="173" t="s">
        <v>102</v>
      </c>
      <c r="AF448" s="173"/>
      <c r="AG448" s="173"/>
      <c r="AH448" s="174"/>
      <c r="AI448" s="175"/>
      <c r="AJ448" s="174"/>
      <c r="AK448" s="176"/>
      <c r="AL448" s="174"/>
      <c r="AM448" s="181" t="s">
        <v>1030</v>
      </c>
      <c r="AN448" s="243" t="s">
        <v>178</v>
      </c>
      <c r="AO448" s="184"/>
    </row>
    <row r="449" spans="1:41" ht="30" customHeight="1" x14ac:dyDescent="0.35">
      <c r="A449" s="38">
        <v>2026</v>
      </c>
      <c r="B449" s="59" t="s">
        <v>60</v>
      </c>
      <c r="C449" s="171" t="s">
        <v>141</v>
      </c>
      <c r="D449" s="237" t="s">
        <v>114</v>
      </c>
      <c r="E449" s="237">
        <v>496</v>
      </c>
      <c r="F449" s="58" t="s">
        <v>1226</v>
      </c>
      <c r="G449" s="237" t="s">
        <v>121</v>
      </c>
      <c r="H449" s="59" t="s">
        <v>126</v>
      </c>
      <c r="I449" s="58">
        <v>20000454</v>
      </c>
      <c r="J449" s="237" t="s">
        <v>132</v>
      </c>
      <c r="K449" s="237" t="s">
        <v>3</v>
      </c>
      <c r="L449" s="59" t="s">
        <v>6</v>
      </c>
      <c r="M449" s="60" t="s">
        <v>22</v>
      </c>
      <c r="N449" s="130"/>
      <c r="O449" s="172"/>
      <c r="P449" s="172"/>
      <c r="Q449" s="237" t="s">
        <v>141</v>
      </c>
      <c r="R449" s="79"/>
      <c r="S449" s="79"/>
      <c r="T449" s="58" t="s">
        <v>1230</v>
      </c>
      <c r="U449" s="180"/>
      <c r="V449" s="79"/>
      <c r="W449" s="79"/>
      <c r="X449" s="79"/>
      <c r="Y449" s="131">
        <f t="shared" si="41"/>
        <v>1896356.04</v>
      </c>
      <c r="Z449" s="131">
        <v>0</v>
      </c>
      <c r="AA449" s="131">
        <f t="shared" si="42"/>
        <v>1896356.04</v>
      </c>
      <c r="AB449" s="131">
        <v>0</v>
      </c>
      <c r="AC449" s="131">
        <f t="shared" si="43"/>
        <v>1896356.04</v>
      </c>
      <c r="AD449" s="131">
        <v>1896356.04</v>
      </c>
      <c r="AE449" s="173" t="s">
        <v>102</v>
      </c>
      <c r="AF449" s="173"/>
      <c r="AG449" s="173"/>
      <c r="AH449" s="174"/>
      <c r="AI449" s="175"/>
      <c r="AJ449" s="174"/>
      <c r="AK449" s="176"/>
      <c r="AL449" s="174"/>
      <c r="AM449" s="181" t="s">
        <v>1030</v>
      </c>
      <c r="AN449" s="243" t="s">
        <v>178</v>
      </c>
      <c r="AO449" s="184"/>
    </row>
    <row r="450" spans="1:41" ht="30" customHeight="1" x14ac:dyDescent="0.35">
      <c r="A450" s="38">
        <v>2026</v>
      </c>
      <c r="B450" s="59" t="s">
        <v>60</v>
      </c>
      <c r="C450" s="171" t="s">
        <v>141</v>
      </c>
      <c r="D450" s="237" t="s">
        <v>114</v>
      </c>
      <c r="E450" s="237">
        <v>496</v>
      </c>
      <c r="F450" s="58" t="s">
        <v>1226</v>
      </c>
      <c r="G450" s="237" t="s">
        <v>121</v>
      </c>
      <c r="H450" s="59" t="s">
        <v>126</v>
      </c>
      <c r="I450" s="58">
        <v>20000481</v>
      </c>
      <c r="J450" s="237" t="s">
        <v>132</v>
      </c>
      <c r="K450" s="237" t="s">
        <v>3</v>
      </c>
      <c r="L450" s="59" t="s">
        <v>6</v>
      </c>
      <c r="M450" s="60" t="s">
        <v>22</v>
      </c>
      <c r="N450" s="130"/>
      <c r="O450" s="172"/>
      <c r="P450" s="172"/>
      <c r="Q450" s="237" t="s">
        <v>141</v>
      </c>
      <c r="R450" s="79"/>
      <c r="S450" s="79"/>
      <c r="T450" s="58" t="s">
        <v>1231</v>
      </c>
      <c r="U450" s="180"/>
      <c r="V450" s="79"/>
      <c r="W450" s="79"/>
      <c r="X450" s="79"/>
      <c r="Y450" s="131">
        <f t="shared" si="41"/>
        <v>190540.92</v>
      </c>
      <c r="Z450" s="131">
        <v>0</v>
      </c>
      <c r="AA450" s="131">
        <f t="shared" si="42"/>
        <v>190540.92</v>
      </c>
      <c r="AB450" s="131">
        <v>0</v>
      </c>
      <c r="AC450" s="131">
        <f t="shared" si="43"/>
        <v>190540.92</v>
      </c>
      <c r="AD450" s="131">
        <v>190540.92</v>
      </c>
      <c r="AE450" s="173" t="s">
        <v>102</v>
      </c>
      <c r="AF450" s="173"/>
      <c r="AG450" s="173"/>
      <c r="AH450" s="174"/>
      <c r="AI450" s="175"/>
      <c r="AJ450" s="174"/>
      <c r="AK450" s="176"/>
      <c r="AL450" s="174"/>
      <c r="AM450" s="181" t="s">
        <v>1030</v>
      </c>
      <c r="AN450" s="243" t="s">
        <v>178</v>
      </c>
      <c r="AO450" s="184"/>
    </row>
    <row r="451" spans="1:41" ht="30" customHeight="1" x14ac:dyDescent="0.35">
      <c r="A451" s="38">
        <v>2026</v>
      </c>
      <c r="B451" s="59" t="s">
        <v>60</v>
      </c>
      <c r="C451" s="171" t="s">
        <v>141</v>
      </c>
      <c r="D451" s="237" t="s">
        <v>114</v>
      </c>
      <c r="E451" s="237">
        <v>496</v>
      </c>
      <c r="F451" s="58" t="s">
        <v>1226</v>
      </c>
      <c r="G451" s="237" t="s">
        <v>121</v>
      </c>
      <c r="H451" s="59" t="s">
        <v>126</v>
      </c>
      <c r="I451" s="58">
        <v>20000669</v>
      </c>
      <c r="J451" s="237" t="s">
        <v>132</v>
      </c>
      <c r="K451" s="237" t="s">
        <v>3</v>
      </c>
      <c r="L451" s="59" t="s">
        <v>6</v>
      </c>
      <c r="M451" s="60" t="s">
        <v>22</v>
      </c>
      <c r="N451" s="130"/>
      <c r="O451" s="172"/>
      <c r="P451" s="172"/>
      <c r="Q451" s="237" t="s">
        <v>141</v>
      </c>
      <c r="R451" s="79"/>
      <c r="S451" s="79"/>
      <c r="T451" s="58" t="s">
        <v>1232</v>
      </c>
      <c r="U451" s="180"/>
      <c r="V451" s="79"/>
      <c r="W451" s="79"/>
      <c r="X451" s="79"/>
      <c r="Y451" s="131">
        <f t="shared" si="41"/>
        <v>144079.24</v>
      </c>
      <c r="Z451" s="131">
        <v>0</v>
      </c>
      <c r="AA451" s="131">
        <f t="shared" si="42"/>
        <v>144079.24</v>
      </c>
      <c r="AB451" s="131">
        <v>0</v>
      </c>
      <c r="AC451" s="131">
        <f t="shared" si="43"/>
        <v>144079.24</v>
      </c>
      <c r="AD451" s="131">
        <v>144079.24</v>
      </c>
      <c r="AE451" s="173" t="s">
        <v>102</v>
      </c>
      <c r="AF451" s="173"/>
      <c r="AG451" s="173"/>
      <c r="AH451" s="174"/>
      <c r="AI451" s="175"/>
      <c r="AJ451" s="174"/>
      <c r="AK451" s="176"/>
      <c r="AL451" s="174"/>
      <c r="AM451" s="181" t="s">
        <v>1030</v>
      </c>
      <c r="AN451" s="243" t="s">
        <v>178</v>
      </c>
      <c r="AO451" s="184"/>
    </row>
    <row r="452" spans="1:41" ht="30" customHeight="1" x14ac:dyDescent="0.35">
      <c r="A452" s="38">
        <v>2026</v>
      </c>
      <c r="B452" s="59" t="s">
        <v>60</v>
      </c>
      <c r="C452" s="171" t="s">
        <v>141</v>
      </c>
      <c r="D452" s="237" t="s">
        <v>114</v>
      </c>
      <c r="E452" s="237">
        <v>496</v>
      </c>
      <c r="F452" s="58" t="s">
        <v>1226</v>
      </c>
      <c r="G452" s="237" t="s">
        <v>121</v>
      </c>
      <c r="H452" s="59" t="s">
        <v>126</v>
      </c>
      <c r="I452" s="58">
        <v>20000468</v>
      </c>
      <c r="J452" s="237" t="s">
        <v>132</v>
      </c>
      <c r="K452" s="237" t="s">
        <v>3</v>
      </c>
      <c r="L452" s="59" t="s">
        <v>6</v>
      </c>
      <c r="M452" s="60" t="s">
        <v>22</v>
      </c>
      <c r="N452" s="130"/>
      <c r="O452" s="172"/>
      <c r="P452" s="172"/>
      <c r="Q452" s="237" t="s">
        <v>141</v>
      </c>
      <c r="R452" s="79"/>
      <c r="S452" s="79"/>
      <c r="T452" s="58" t="s">
        <v>1233</v>
      </c>
      <c r="U452" s="180"/>
      <c r="V452" s="79"/>
      <c r="W452" s="79"/>
      <c r="X452" s="79"/>
      <c r="Y452" s="131">
        <f t="shared" si="41"/>
        <v>25525.52</v>
      </c>
      <c r="Z452" s="131">
        <v>0</v>
      </c>
      <c r="AA452" s="131">
        <f t="shared" si="42"/>
        <v>25525.52</v>
      </c>
      <c r="AB452" s="131">
        <v>0</v>
      </c>
      <c r="AC452" s="131">
        <f t="shared" si="43"/>
        <v>25525.52</v>
      </c>
      <c r="AD452" s="131">
        <v>25525.52</v>
      </c>
      <c r="AE452" s="173" t="s">
        <v>102</v>
      </c>
      <c r="AF452" s="173"/>
      <c r="AG452" s="173"/>
      <c r="AH452" s="174"/>
      <c r="AI452" s="175"/>
      <c r="AJ452" s="174"/>
      <c r="AK452" s="176"/>
      <c r="AL452" s="174"/>
      <c r="AM452" s="181" t="s">
        <v>1030</v>
      </c>
      <c r="AN452" s="243" t="s">
        <v>178</v>
      </c>
      <c r="AO452" s="184"/>
    </row>
    <row r="453" spans="1:41" ht="30" customHeight="1" x14ac:dyDescent="0.35">
      <c r="A453" s="38">
        <v>2026</v>
      </c>
      <c r="B453" s="59" t="s">
        <v>60</v>
      </c>
      <c r="C453" s="171" t="s">
        <v>141</v>
      </c>
      <c r="D453" s="237" t="s">
        <v>114</v>
      </c>
      <c r="E453" s="237">
        <v>496</v>
      </c>
      <c r="F453" s="58" t="s">
        <v>1226</v>
      </c>
      <c r="G453" s="237" t="s">
        <v>121</v>
      </c>
      <c r="H453" s="59" t="s">
        <v>126</v>
      </c>
      <c r="I453" s="58">
        <v>20000469</v>
      </c>
      <c r="J453" s="237" t="s">
        <v>132</v>
      </c>
      <c r="K453" s="237" t="s">
        <v>3</v>
      </c>
      <c r="L453" s="59" t="s">
        <v>6</v>
      </c>
      <c r="M453" s="60" t="s">
        <v>22</v>
      </c>
      <c r="N453" s="130"/>
      <c r="O453" s="172"/>
      <c r="P453" s="172"/>
      <c r="Q453" s="237" t="s">
        <v>141</v>
      </c>
      <c r="R453" s="79"/>
      <c r="S453" s="79"/>
      <c r="T453" s="58" t="s">
        <v>1234</v>
      </c>
      <c r="U453" s="180"/>
      <c r="V453" s="79"/>
      <c r="W453" s="79"/>
      <c r="X453" s="79"/>
      <c r="Y453" s="131">
        <f t="shared" si="41"/>
        <v>25525.52</v>
      </c>
      <c r="Z453" s="131">
        <v>0</v>
      </c>
      <c r="AA453" s="131">
        <f t="shared" si="42"/>
        <v>25525.52</v>
      </c>
      <c r="AB453" s="131">
        <v>0</v>
      </c>
      <c r="AC453" s="131">
        <f t="shared" si="43"/>
        <v>25525.52</v>
      </c>
      <c r="AD453" s="131">
        <v>25525.52</v>
      </c>
      <c r="AE453" s="173" t="s">
        <v>102</v>
      </c>
      <c r="AF453" s="173"/>
      <c r="AG453" s="173"/>
      <c r="AH453" s="174"/>
      <c r="AI453" s="175"/>
      <c r="AJ453" s="174"/>
      <c r="AK453" s="176"/>
      <c r="AL453" s="174"/>
      <c r="AM453" s="181" t="s">
        <v>1030</v>
      </c>
      <c r="AN453" s="243" t="s">
        <v>178</v>
      </c>
      <c r="AO453" s="184"/>
    </row>
    <row r="454" spans="1:41" ht="30" customHeight="1" x14ac:dyDescent="0.35">
      <c r="A454" s="38">
        <v>2026</v>
      </c>
      <c r="B454" s="59" t="s">
        <v>60</v>
      </c>
      <c r="C454" s="171" t="s">
        <v>141</v>
      </c>
      <c r="D454" s="237" t="s">
        <v>114</v>
      </c>
      <c r="E454" s="237">
        <v>496</v>
      </c>
      <c r="F454" s="58" t="s">
        <v>1226</v>
      </c>
      <c r="G454" s="237" t="s">
        <v>121</v>
      </c>
      <c r="H454" s="59" t="s">
        <v>126</v>
      </c>
      <c r="I454" s="58">
        <v>20000451</v>
      </c>
      <c r="J454" s="237" t="s">
        <v>132</v>
      </c>
      <c r="K454" s="237" t="s">
        <v>3</v>
      </c>
      <c r="L454" s="59" t="s">
        <v>6</v>
      </c>
      <c r="M454" s="60" t="s">
        <v>22</v>
      </c>
      <c r="N454" s="130"/>
      <c r="O454" s="172"/>
      <c r="P454" s="172"/>
      <c r="Q454" s="237" t="s">
        <v>141</v>
      </c>
      <c r="R454" s="79"/>
      <c r="S454" s="79"/>
      <c r="T454" s="58" t="s">
        <v>1235</v>
      </c>
      <c r="U454" s="180"/>
      <c r="V454" s="79"/>
      <c r="W454" s="79"/>
      <c r="X454" s="79"/>
      <c r="Y454" s="131">
        <f t="shared" si="41"/>
        <v>88245</v>
      </c>
      <c r="Z454" s="131">
        <v>0</v>
      </c>
      <c r="AA454" s="131">
        <f t="shared" si="42"/>
        <v>88245</v>
      </c>
      <c r="AB454" s="131">
        <v>0</v>
      </c>
      <c r="AC454" s="131">
        <f t="shared" si="43"/>
        <v>88245</v>
      </c>
      <c r="AD454" s="131">
        <v>88245</v>
      </c>
      <c r="AE454" s="173" t="s">
        <v>102</v>
      </c>
      <c r="AF454" s="173"/>
      <c r="AG454" s="173"/>
      <c r="AH454" s="174"/>
      <c r="AI454" s="175"/>
      <c r="AJ454" s="174"/>
      <c r="AK454" s="176"/>
      <c r="AL454" s="174"/>
      <c r="AM454" s="181" t="s">
        <v>1030</v>
      </c>
      <c r="AN454" s="243" t="s">
        <v>178</v>
      </c>
      <c r="AO454" s="184"/>
    </row>
    <row r="455" spans="1:41" ht="30" customHeight="1" x14ac:dyDescent="0.35">
      <c r="A455" s="38">
        <v>2026</v>
      </c>
      <c r="B455" s="59" t="s">
        <v>60</v>
      </c>
      <c r="C455" s="171" t="s">
        <v>141</v>
      </c>
      <c r="D455" s="237" t="s">
        <v>114</v>
      </c>
      <c r="E455" s="237">
        <v>496</v>
      </c>
      <c r="F455" s="58" t="s">
        <v>1226</v>
      </c>
      <c r="G455" s="237" t="s">
        <v>121</v>
      </c>
      <c r="H455" s="59" t="s">
        <v>126</v>
      </c>
      <c r="I455" s="58">
        <v>20000668</v>
      </c>
      <c r="J455" s="237" t="s">
        <v>132</v>
      </c>
      <c r="K455" s="237" t="s">
        <v>3</v>
      </c>
      <c r="L455" s="59" t="s">
        <v>6</v>
      </c>
      <c r="M455" s="60" t="s">
        <v>22</v>
      </c>
      <c r="N455" s="130"/>
      <c r="O455" s="172"/>
      <c r="P455" s="172"/>
      <c r="Q455" s="237" t="s">
        <v>141</v>
      </c>
      <c r="R455" s="79"/>
      <c r="S455" s="79"/>
      <c r="T455" s="58" t="s">
        <v>1236</v>
      </c>
      <c r="U455" s="180"/>
      <c r="V455" s="79"/>
      <c r="W455" s="79"/>
      <c r="X455" s="79"/>
      <c r="Y455" s="131">
        <f t="shared" si="41"/>
        <v>265585.03999999998</v>
      </c>
      <c r="Z455" s="131">
        <v>0</v>
      </c>
      <c r="AA455" s="131">
        <f t="shared" si="42"/>
        <v>265585.03999999998</v>
      </c>
      <c r="AB455" s="131">
        <v>0</v>
      </c>
      <c r="AC455" s="131">
        <f t="shared" si="43"/>
        <v>265585.03999999998</v>
      </c>
      <c r="AD455" s="131">
        <v>265585.03999999998</v>
      </c>
      <c r="AE455" s="173" t="s">
        <v>102</v>
      </c>
      <c r="AF455" s="173"/>
      <c r="AG455" s="173"/>
      <c r="AH455" s="174"/>
      <c r="AI455" s="175"/>
      <c r="AJ455" s="174"/>
      <c r="AK455" s="176"/>
      <c r="AL455" s="174"/>
      <c r="AM455" s="181" t="s">
        <v>1030</v>
      </c>
      <c r="AN455" s="243" t="s">
        <v>178</v>
      </c>
      <c r="AO455" s="184"/>
    </row>
    <row r="456" spans="1:41" ht="30" customHeight="1" x14ac:dyDescent="0.35">
      <c r="A456" s="38">
        <v>2026</v>
      </c>
      <c r="B456" s="59" t="s">
        <v>60</v>
      </c>
      <c r="C456" s="171" t="s">
        <v>141</v>
      </c>
      <c r="D456" s="237" t="s">
        <v>114</v>
      </c>
      <c r="E456" s="237">
        <v>496</v>
      </c>
      <c r="F456" s="58" t="s">
        <v>1226</v>
      </c>
      <c r="G456" s="237" t="s">
        <v>121</v>
      </c>
      <c r="H456" s="59" t="s">
        <v>126</v>
      </c>
      <c r="I456" s="58">
        <v>20000480</v>
      </c>
      <c r="J456" s="237" t="s">
        <v>132</v>
      </c>
      <c r="K456" s="237" t="s">
        <v>3</v>
      </c>
      <c r="L456" s="59" t="s">
        <v>6</v>
      </c>
      <c r="M456" s="60" t="s">
        <v>22</v>
      </c>
      <c r="N456" s="130"/>
      <c r="O456" s="172"/>
      <c r="P456" s="172"/>
      <c r="Q456" s="237" t="s">
        <v>141</v>
      </c>
      <c r="R456" s="79"/>
      <c r="S456" s="79"/>
      <c r="T456" s="58" t="s">
        <v>1237</v>
      </c>
      <c r="U456" s="180"/>
      <c r="V456" s="79"/>
      <c r="W456" s="79"/>
      <c r="X456" s="79"/>
      <c r="Y456" s="131">
        <f t="shared" si="41"/>
        <v>135907.6</v>
      </c>
      <c r="Z456" s="131">
        <v>0</v>
      </c>
      <c r="AA456" s="131">
        <f t="shared" si="42"/>
        <v>135907.6</v>
      </c>
      <c r="AB456" s="131">
        <v>0</v>
      </c>
      <c r="AC456" s="131">
        <f t="shared" si="43"/>
        <v>135907.6</v>
      </c>
      <c r="AD456" s="131">
        <v>135907.6</v>
      </c>
      <c r="AE456" s="173" t="s">
        <v>102</v>
      </c>
      <c r="AF456" s="173"/>
      <c r="AG456" s="173"/>
      <c r="AH456" s="174"/>
      <c r="AI456" s="175"/>
      <c r="AJ456" s="174"/>
      <c r="AK456" s="176"/>
      <c r="AL456" s="174"/>
      <c r="AM456" s="181" t="s">
        <v>1030</v>
      </c>
      <c r="AN456" s="243" t="s">
        <v>178</v>
      </c>
      <c r="AO456" s="184"/>
    </row>
    <row r="457" spans="1:41" ht="30" customHeight="1" x14ac:dyDescent="0.35">
      <c r="A457" s="38">
        <v>2026</v>
      </c>
      <c r="B457" s="59" t="s">
        <v>60</v>
      </c>
      <c r="C457" s="171" t="s">
        <v>141</v>
      </c>
      <c r="D457" s="237" t="s">
        <v>114</v>
      </c>
      <c r="E457" s="237">
        <v>496</v>
      </c>
      <c r="F457" s="58" t="s">
        <v>1226</v>
      </c>
      <c r="G457" s="237" t="s">
        <v>121</v>
      </c>
      <c r="H457" s="59" t="s">
        <v>126</v>
      </c>
      <c r="I457" s="58">
        <v>20000482</v>
      </c>
      <c r="J457" s="237" t="s">
        <v>132</v>
      </c>
      <c r="K457" s="237" t="s">
        <v>3</v>
      </c>
      <c r="L457" s="59" t="s">
        <v>6</v>
      </c>
      <c r="M457" s="60" t="s">
        <v>22</v>
      </c>
      <c r="N457" s="130"/>
      <c r="O457" s="172"/>
      <c r="P457" s="172"/>
      <c r="Q457" s="237" t="s">
        <v>141</v>
      </c>
      <c r="R457" s="79"/>
      <c r="S457" s="79"/>
      <c r="T457" s="58" t="s">
        <v>1238</v>
      </c>
      <c r="U457" s="180"/>
      <c r="V457" s="79"/>
      <c r="W457" s="79"/>
      <c r="X457" s="79"/>
      <c r="Y457" s="131">
        <f t="shared" si="41"/>
        <v>1863740.64</v>
      </c>
      <c r="Z457" s="131">
        <v>0</v>
      </c>
      <c r="AA457" s="131">
        <f t="shared" si="42"/>
        <v>1863740.64</v>
      </c>
      <c r="AB457" s="131">
        <v>0</v>
      </c>
      <c r="AC457" s="131">
        <f t="shared" si="43"/>
        <v>1863740.64</v>
      </c>
      <c r="AD457" s="131">
        <v>1863740.64</v>
      </c>
      <c r="AE457" s="173" t="s">
        <v>102</v>
      </c>
      <c r="AF457" s="173"/>
      <c r="AG457" s="173"/>
      <c r="AH457" s="174"/>
      <c r="AI457" s="175"/>
      <c r="AJ457" s="174"/>
      <c r="AK457" s="176"/>
      <c r="AL457" s="174"/>
      <c r="AM457" s="181" t="s">
        <v>1030</v>
      </c>
      <c r="AN457" s="243" t="s">
        <v>178</v>
      </c>
      <c r="AO457" s="184"/>
    </row>
    <row r="458" spans="1:41" ht="30" customHeight="1" x14ac:dyDescent="0.35">
      <c r="A458" s="38">
        <v>2026</v>
      </c>
      <c r="B458" s="59" t="s">
        <v>60</v>
      </c>
      <c r="C458" s="171" t="s">
        <v>141</v>
      </c>
      <c r="D458" s="237" t="s">
        <v>114</v>
      </c>
      <c r="E458" s="237">
        <v>496</v>
      </c>
      <c r="F458" s="58" t="s">
        <v>1226</v>
      </c>
      <c r="G458" s="237" t="s">
        <v>121</v>
      </c>
      <c r="H458" s="59" t="s">
        <v>126</v>
      </c>
      <c r="I458" s="58">
        <v>20000464</v>
      </c>
      <c r="J458" s="237" t="s">
        <v>132</v>
      </c>
      <c r="K458" s="237" t="s">
        <v>3</v>
      </c>
      <c r="L458" s="59" t="s">
        <v>6</v>
      </c>
      <c r="M458" s="60" t="s">
        <v>22</v>
      </c>
      <c r="N458" s="130"/>
      <c r="O458" s="172"/>
      <c r="P458" s="172"/>
      <c r="Q458" s="237" t="s">
        <v>141</v>
      </c>
      <c r="R458" s="79"/>
      <c r="S458" s="79"/>
      <c r="T458" s="58" t="s">
        <v>1239</v>
      </c>
      <c r="U458" s="180"/>
      <c r="V458" s="79"/>
      <c r="W458" s="79"/>
      <c r="X458" s="79"/>
      <c r="Y458" s="131">
        <f t="shared" si="41"/>
        <v>1553117.28</v>
      </c>
      <c r="Z458" s="131">
        <v>0</v>
      </c>
      <c r="AA458" s="131">
        <f t="shared" si="42"/>
        <v>1553117.28</v>
      </c>
      <c r="AB458" s="131">
        <v>0</v>
      </c>
      <c r="AC458" s="131">
        <f t="shared" si="43"/>
        <v>1553117.28</v>
      </c>
      <c r="AD458" s="131">
        <v>1553117.28</v>
      </c>
      <c r="AE458" s="173" t="s">
        <v>102</v>
      </c>
      <c r="AF458" s="173"/>
      <c r="AG458" s="173"/>
      <c r="AH458" s="174"/>
      <c r="AI458" s="175"/>
      <c r="AJ458" s="174"/>
      <c r="AK458" s="176"/>
      <c r="AL458" s="174"/>
      <c r="AM458" s="181" t="s">
        <v>1030</v>
      </c>
      <c r="AN458" s="243" t="s">
        <v>178</v>
      </c>
      <c r="AO458" s="184"/>
    </row>
    <row r="459" spans="1:41" ht="30" customHeight="1" x14ac:dyDescent="0.35">
      <c r="A459" s="38">
        <v>2026</v>
      </c>
      <c r="B459" s="59" t="s">
        <v>60</v>
      </c>
      <c r="C459" s="171" t="s">
        <v>141</v>
      </c>
      <c r="D459" s="237" t="s">
        <v>114</v>
      </c>
      <c r="E459" s="237">
        <v>496</v>
      </c>
      <c r="F459" s="58" t="s">
        <v>1226</v>
      </c>
      <c r="G459" s="237" t="s">
        <v>121</v>
      </c>
      <c r="H459" s="59" t="s">
        <v>126</v>
      </c>
      <c r="I459" s="58">
        <v>20000466</v>
      </c>
      <c r="J459" s="237" t="s">
        <v>132</v>
      </c>
      <c r="K459" s="237" t="s">
        <v>3</v>
      </c>
      <c r="L459" s="59" t="s">
        <v>6</v>
      </c>
      <c r="M459" s="60" t="s">
        <v>22</v>
      </c>
      <c r="N459" s="130"/>
      <c r="O459" s="172"/>
      <c r="P459" s="172"/>
      <c r="Q459" s="237" t="s">
        <v>141</v>
      </c>
      <c r="R459" s="79"/>
      <c r="S459" s="79"/>
      <c r="T459" s="58" t="s">
        <v>1240</v>
      </c>
      <c r="U459" s="180"/>
      <c r="V459" s="79"/>
      <c r="W459" s="79"/>
      <c r="X459" s="79"/>
      <c r="Y459" s="131">
        <f t="shared" si="41"/>
        <v>1588415.4</v>
      </c>
      <c r="Z459" s="131">
        <v>0</v>
      </c>
      <c r="AA459" s="131">
        <f t="shared" si="42"/>
        <v>1588415.4</v>
      </c>
      <c r="AB459" s="131">
        <v>0</v>
      </c>
      <c r="AC459" s="131">
        <f t="shared" si="43"/>
        <v>1588415.4</v>
      </c>
      <c r="AD459" s="131">
        <v>1588415.4</v>
      </c>
      <c r="AE459" s="173" t="s">
        <v>102</v>
      </c>
      <c r="AF459" s="173"/>
      <c r="AG459" s="173"/>
      <c r="AH459" s="174"/>
      <c r="AI459" s="175"/>
      <c r="AJ459" s="174"/>
      <c r="AK459" s="176"/>
      <c r="AL459" s="174"/>
      <c r="AM459" s="181" t="s">
        <v>1030</v>
      </c>
      <c r="AN459" s="243" t="s">
        <v>178</v>
      </c>
      <c r="AO459" s="184"/>
    </row>
    <row r="460" spans="1:41" ht="30" customHeight="1" x14ac:dyDescent="0.35">
      <c r="A460" s="38">
        <v>2026</v>
      </c>
      <c r="B460" s="59" t="s">
        <v>60</v>
      </c>
      <c r="C460" s="171" t="s">
        <v>141</v>
      </c>
      <c r="D460" s="237" t="s">
        <v>114</v>
      </c>
      <c r="E460" s="237">
        <v>496</v>
      </c>
      <c r="F460" s="58" t="s">
        <v>1226</v>
      </c>
      <c r="G460" s="237" t="s">
        <v>121</v>
      </c>
      <c r="H460" s="59" t="s">
        <v>126</v>
      </c>
      <c r="I460" s="58">
        <v>20000465</v>
      </c>
      <c r="J460" s="237" t="s">
        <v>132</v>
      </c>
      <c r="K460" s="237" t="s">
        <v>3</v>
      </c>
      <c r="L460" s="59" t="s">
        <v>6</v>
      </c>
      <c r="M460" s="60" t="s">
        <v>22</v>
      </c>
      <c r="N460" s="130"/>
      <c r="O460" s="172"/>
      <c r="P460" s="172"/>
      <c r="Q460" s="237" t="s">
        <v>141</v>
      </c>
      <c r="R460" s="79"/>
      <c r="S460" s="79"/>
      <c r="T460" s="58" t="s">
        <v>1240</v>
      </c>
      <c r="U460" s="180"/>
      <c r="V460" s="79"/>
      <c r="W460" s="79"/>
      <c r="X460" s="79"/>
      <c r="Y460" s="131">
        <f t="shared" si="41"/>
        <v>529471.80000000005</v>
      </c>
      <c r="Z460" s="131">
        <v>0</v>
      </c>
      <c r="AA460" s="131">
        <f t="shared" si="42"/>
        <v>529471.80000000005</v>
      </c>
      <c r="AB460" s="131">
        <v>0</v>
      </c>
      <c r="AC460" s="131">
        <f t="shared" si="43"/>
        <v>529471.80000000005</v>
      </c>
      <c r="AD460" s="131">
        <v>529471.80000000005</v>
      </c>
      <c r="AE460" s="173" t="s">
        <v>102</v>
      </c>
      <c r="AF460" s="173"/>
      <c r="AG460" s="173"/>
      <c r="AH460" s="174"/>
      <c r="AI460" s="175"/>
      <c r="AJ460" s="174"/>
      <c r="AK460" s="176"/>
      <c r="AL460" s="174"/>
      <c r="AM460" s="181" t="s">
        <v>1030</v>
      </c>
      <c r="AN460" s="243" t="s">
        <v>178</v>
      </c>
      <c r="AO460" s="184"/>
    </row>
    <row r="461" spans="1:41" ht="30" customHeight="1" x14ac:dyDescent="0.35">
      <c r="A461" s="38">
        <v>2026</v>
      </c>
      <c r="B461" s="59" t="s">
        <v>60</v>
      </c>
      <c r="C461" s="171" t="s">
        <v>141</v>
      </c>
      <c r="D461" s="237" t="s">
        <v>114</v>
      </c>
      <c r="E461" s="237">
        <v>496</v>
      </c>
      <c r="F461" s="58" t="s">
        <v>1226</v>
      </c>
      <c r="G461" s="237" t="s">
        <v>121</v>
      </c>
      <c r="H461" s="59" t="s">
        <v>126</v>
      </c>
      <c r="I461" s="58">
        <v>20000467</v>
      </c>
      <c r="J461" s="237" t="s">
        <v>132</v>
      </c>
      <c r="K461" s="237" t="s">
        <v>3</v>
      </c>
      <c r="L461" s="59" t="s">
        <v>6</v>
      </c>
      <c r="M461" s="60" t="s">
        <v>22</v>
      </c>
      <c r="N461" s="130"/>
      <c r="O461" s="172"/>
      <c r="P461" s="172"/>
      <c r="Q461" s="237" t="s">
        <v>141</v>
      </c>
      <c r="R461" s="79"/>
      <c r="S461" s="79"/>
      <c r="T461" s="58" t="s">
        <v>1240</v>
      </c>
      <c r="U461" s="180"/>
      <c r="V461" s="79"/>
      <c r="W461" s="79"/>
      <c r="X461" s="79"/>
      <c r="Y461" s="131">
        <f t="shared" si="41"/>
        <v>641784</v>
      </c>
      <c r="Z461" s="131">
        <v>0</v>
      </c>
      <c r="AA461" s="131">
        <f t="shared" si="42"/>
        <v>641784</v>
      </c>
      <c r="AB461" s="131">
        <v>0</v>
      </c>
      <c r="AC461" s="131">
        <f t="shared" si="43"/>
        <v>641784</v>
      </c>
      <c r="AD461" s="131">
        <v>641784</v>
      </c>
      <c r="AE461" s="173" t="s">
        <v>102</v>
      </c>
      <c r="AF461" s="173"/>
      <c r="AG461" s="173"/>
      <c r="AH461" s="174"/>
      <c r="AI461" s="175"/>
      <c r="AJ461" s="174"/>
      <c r="AK461" s="176"/>
      <c r="AL461" s="174"/>
      <c r="AM461" s="181" t="s">
        <v>1030</v>
      </c>
      <c r="AN461" s="243" t="s">
        <v>178</v>
      </c>
      <c r="AO461" s="184"/>
    </row>
    <row r="462" spans="1:41" ht="30" customHeight="1" x14ac:dyDescent="0.35">
      <c r="A462" s="38">
        <v>2026</v>
      </c>
      <c r="B462" s="59" t="s">
        <v>60</v>
      </c>
      <c r="C462" s="171" t="s">
        <v>141</v>
      </c>
      <c r="D462" s="237" t="s">
        <v>114</v>
      </c>
      <c r="E462" s="237">
        <v>496</v>
      </c>
      <c r="F462" s="58" t="s">
        <v>1226</v>
      </c>
      <c r="G462" s="237" t="s">
        <v>121</v>
      </c>
      <c r="H462" s="59" t="s">
        <v>126</v>
      </c>
      <c r="I462" s="58">
        <v>20000472</v>
      </c>
      <c r="J462" s="237" t="s">
        <v>132</v>
      </c>
      <c r="K462" s="237" t="s">
        <v>3</v>
      </c>
      <c r="L462" s="59" t="s">
        <v>6</v>
      </c>
      <c r="M462" s="60" t="s">
        <v>22</v>
      </c>
      <c r="N462" s="130"/>
      <c r="O462" s="172"/>
      <c r="P462" s="172"/>
      <c r="Q462" s="237" t="s">
        <v>141</v>
      </c>
      <c r="R462" s="79"/>
      <c r="S462" s="79"/>
      <c r="T462" s="58" t="s">
        <v>1241</v>
      </c>
      <c r="U462" s="180"/>
      <c r="V462" s="79"/>
      <c r="W462" s="79"/>
      <c r="X462" s="79"/>
      <c r="Y462" s="131">
        <f t="shared" si="41"/>
        <v>260724.72</v>
      </c>
      <c r="Z462" s="131">
        <v>0</v>
      </c>
      <c r="AA462" s="131">
        <f t="shared" si="42"/>
        <v>260724.72</v>
      </c>
      <c r="AB462" s="131">
        <v>0</v>
      </c>
      <c r="AC462" s="131">
        <f t="shared" si="43"/>
        <v>260724.72</v>
      </c>
      <c r="AD462" s="131">
        <v>260724.72</v>
      </c>
      <c r="AE462" s="173" t="s">
        <v>102</v>
      </c>
      <c r="AF462" s="173"/>
      <c r="AG462" s="173"/>
      <c r="AH462" s="174"/>
      <c r="AI462" s="175"/>
      <c r="AJ462" s="174"/>
      <c r="AK462" s="176"/>
      <c r="AL462" s="174"/>
      <c r="AM462" s="181" t="s">
        <v>1030</v>
      </c>
      <c r="AN462" s="243" t="s">
        <v>178</v>
      </c>
      <c r="AO462" s="184"/>
    </row>
    <row r="463" spans="1:41" ht="30" customHeight="1" x14ac:dyDescent="0.35">
      <c r="A463" s="38">
        <v>2026</v>
      </c>
      <c r="B463" s="59" t="s">
        <v>60</v>
      </c>
      <c r="C463" s="171" t="s">
        <v>141</v>
      </c>
      <c r="D463" s="237" t="s">
        <v>114</v>
      </c>
      <c r="E463" s="237">
        <v>496</v>
      </c>
      <c r="F463" s="58" t="s">
        <v>1226</v>
      </c>
      <c r="G463" s="237" t="s">
        <v>121</v>
      </c>
      <c r="H463" s="59" t="s">
        <v>126</v>
      </c>
      <c r="I463" s="58">
        <v>20000473</v>
      </c>
      <c r="J463" s="237" t="s">
        <v>132</v>
      </c>
      <c r="K463" s="237" t="s">
        <v>3</v>
      </c>
      <c r="L463" s="59" t="s">
        <v>6</v>
      </c>
      <c r="M463" s="60" t="s">
        <v>22</v>
      </c>
      <c r="N463" s="130"/>
      <c r="O463" s="172"/>
      <c r="P463" s="172"/>
      <c r="Q463" s="237" t="s">
        <v>141</v>
      </c>
      <c r="R463" s="79"/>
      <c r="S463" s="79"/>
      <c r="T463" s="58" t="s">
        <v>1242</v>
      </c>
      <c r="U463" s="180"/>
      <c r="V463" s="79"/>
      <c r="W463" s="79"/>
      <c r="X463" s="79"/>
      <c r="Y463" s="131">
        <f t="shared" si="41"/>
        <v>260724.72</v>
      </c>
      <c r="Z463" s="131">
        <v>0</v>
      </c>
      <c r="AA463" s="131">
        <f t="shared" si="42"/>
        <v>260724.72</v>
      </c>
      <c r="AB463" s="131">
        <v>0</v>
      </c>
      <c r="AC463" s="131">
        <f t="shared" si="43"/>
        <v>260724.72</v>
      </c>
      <c r="AD463" s="131">
        <v>260724.72</v>
      </c>
      <c r="AE463" s="173" t="s">
        <v>102</v>
      </c>
      <c r="AF463" s="173"/>
      <c r="AG463" s="173"/>
      <c r="AH463" s="174"/>
      <c r="AI463" s="175"/>
      <c r="AJ463" s="174"/>
      <c r="AK463" s="176"/>
      <c r="AL463" s="174"/>
      <c r="AM463" s="181" t="s">
        <v>1030</v>
      </c>
      <c r="AN463" s="243" t="s">
        <v>178</v>
      </c>
      <c r="AO463" s="184"/>
    </row>
    <row r="464" spans="1:41" ht="30" customHeight="1" x14ac:dyDescent="0.35">
      <c r="A464" s="38">
        <v>2026</v>
      </c>
      <c r="B464" s="59" t="s">
        <v>60</v>
      </c>
      <c r="C464" s="171" t="s">
        <v>141</v>
      </c>
      <c r="D464" s="237" t="s">
        <v>114</v>
      </c>
      <c r="E464" s="237">
        <v>496</v>
      </c>
      <c r="F464" s="58" t="s">
        <v>1226</v>
      </c>
      <c r="G464" s="237" t="s">
        <v>121</v>
      </c>
      <c r="H464" s="59" t="s">
        <v>126</v>
      </c>
      <c r="I464" s="58">
        <v>20000474</v>
      </c>
      <c r="J464" s="237" t="s">
        <v>132</v>
      </c>
      <c r="K464" s="237" t="s">
        <v>3</v>
      </c>
      <c r="L464" s="59" t="s">
        <v>6</v>
      </c>
      <c r="M464" s="60" t="s">
        <v>22</v>
      </c>
      <c r="N464" s="130"/>
      <c r="O464" s="172"/>
      <c r="P464" s="172"/>
      <c r="Q464" s="237" t="s">
        <v>141</v>
      </c>
      <c r="R464" s="79"/>
      <c r="S464" s="79"/>
      <c r="T464" s="58" t="s">
        <v>1243</v>
      </c>
      <c r="U464" s="180"/>
      <c r="V464" s="79"/>
      <c r="W464" s="79"/>
      <c r="X464" s="79"/>
      <c r="Y464" s="131">
        <f t="shared" si="41"/>
        <v>521449.44</v>
      </c>
      <c r="Z464" s="131">
        <v>0</v>
      </c>
      <c r="AA464" s="131">
        <f t="shared" si="42"/>
        <v>521449.44</v>
      </c>
      <c r="AB464" s="131">
        <v>0</v>
      </c>
      <c r="AC464" s="131">
        <f t="shared" si="43"/>
        <v>521449.44</v>
      </c>
      <c r="AD464" s="131">
        <v>521449.44</v>
      </c>
      <c r="AE464" s="173" t="s">
        <v>102</v>
      </c>
      <c r="AF464" s="173"/>
      <c r="AG464" s="173"/>
      <c r="AH464" s="174"/>
      <c r="AI464" s="175"/>
      <c r="AJ464" s="174"/>
      <c r="AK464" s="176"/>
      <c r="AL464" s="174"/>
      <c r="AM464" s="181" t="s">
        <v>1030</v>
      </c>
      <c r="AN464" s="243" t="s">
        <v>178</v>
      </c>
      <c r="AO464" s="184"/>
    </row>
    <row r="465" spans="1:41" ht="30" customHeight="1" x14ac:dyDescent="0.35">
      <c r="A465" s="38">
        <v>2026</v>
      </c>
      <c r="B465" s="59" t="s">
        <v>60</v>
      </c>
      <c r="C465" s="171" t="s">
        <v>141</v>
      </c>
      <c r="D465" s="237" t="s">
        <v>114</v>
      </c>
      <c r="E465" s="237">
        <v>496</v>
      </c>
      <c r="F465" s="58" t="s">
        <v>1226</v>
      </c>
      <c r="G465" s="237" t="s">
        <v>121</v>
      </c>
      <c r="H465" s="59" t="s">
        <v>126</v>
      </c>
      <c r="I465" s="58">
        <v>20000475</v>
      </c>
      <c r="J465" s="237" t="s">
        <v>132</v>
      </c>
      <c r="K465" s="237" t="s">
        <v>3</v>
      </c>
      <c r="L465" s="59" t="s">
        <v>6</v>
      </c>
      <c r="M465" s="60" t="s">
        <v>22</v>
      </c>
      <c r="N465" s="130"/>
      <c r="O465" s="172"/>
      <c r="P465" s="172"/>
      <c r="Q465" s="237" t="s">
        <v>141</v>
      </c>
      <c r="R465" s="79"/>
      <c r="S465" s="79"/>
      <c r="T465" s="58" t="s">
        <v>1244</v>
      </c>
      <c r="U465" s="180"/>
      <c r="V465" s="79"/>
      <c r="W465" s="79"/>
      <c r="X465" s="79"/>
      <c r="Y465" s="131">
        <f t="shared" si="41"/>
        <v>521449.44</v>
      </c>
      <c r="Z465" s="131">
        <v>0</v>
      </c>
      <c r="AA465" s="131">
        <f t="shared" si="42"/>
        <v>521449.44</v>
      </c>
      <c r="AB465" s="131">
        <v>0</v>
      </c>
      <c r="AC465" s="131">
        <f t="shared" si="43"/>
        <v>521449.44</v>
      </c>
      <c r="AD465" s="131">
        <v>521449.44</v>
      </c>
      <c r="AE465" s="173" t="s">
        <v>102</v>
      </c>
      <c r="AF465" s="173"/>
      <c r="AG465" s="173"/>
      <c r="AH465" s="174"/>
      <c r="AI465" s="175"/>
      <c r="AJ465" s="174"/>
      <c r="AK465" s="176"/>
      <c r="AL465" s="174"/>
      <c r="AM465" s="181" t="s">
        <v>1030</v>
      </c>
      <c r="AN465" s="243" t="s">
        <v>178</v>
      </c>
      <c r="AO465" s="184"/>
    </row>
    <row r="466" spans="1:41" ht="30" customHeight="1" x14ac:dyDescent="0.35">
      <c r="A466" s="38">
        <v>2026</v>
      </c>
      <c r="B466" s="59" t="s">
        <v>60</v>
      </c>
      <c r="C466" s="171" t="s">
        <v>141</v>
      </c>
      <c r="D466" s="237" t="s">
        <v>114</v>
      </c>
      <c r="E466" s="237">
        <v>496</v>
      </c>
      <c r="F466" s="58" t="s">
        <v>1226</v>
      </c>
      <c r="G466" s="237" t="s">
        <v>121</v>
      </c>
      <c r="H466" s="59" t="s">
        <v>126</v>
      </c>
      <c r="I466" s="58">
        <v>20000476</v>
      </c>
      <c r="J466" s="237" t="s">
        <v>132</v>
      </c>
      <c r="K466" s="237" t="s">
        <v>3</v>
      </c>
      <c r="L466" s="59" t="s">
        <v>6</v>
      </c>
      <c r="M466" s="60" t="s">
        <v>22</v>
      </c>
      <c r="N466" s="130"/>
      <c r="O466" s="172"/>
      <c r="P466" s="172"/>
      <c r="Q466" s="237" t="s">
        <v>141</v>
      </c>
      <c r="R466" s="79"/>
      <c r="S466" s="79"/>
      <c r="T466" s="58" t="s">
        <v>1245</v>
      </c>
      <c r="U466" s="180"/>
      <c r="V466" s="79"/>
      <c r="W466" s="79"/>
      <c r="X466" s="79"/>
      <c r="Y466" s="131">
        <f t="shared" si="41"/>
        <v>521449.44</v>
      </c>
      <c r="Z466" s="131">
        <v>0</v>
      </c>
      <c r="AA466" s="131">
        <f t="shared" si="42"/>
        <v>521449.44</v>
      </c>
      <c r="AB466" s="131">
        <v>0</v>
      </c>
      <c r="AC466" s="131">
        <f t="shared" si="43"/>
        <v>521449.44</v>
      </c>
      <c r="AD466" s="131">
        <v>521449.44</v>
      </c>
      <c r="AE466" s="173" t="s">
        <v>102</v>
      </c>
      <c r="AF466" s="173"/>
      <c r="AG466" s="173"/>
      <c r="AH466" s="174"/>
      <c r="AI466" s="175"/>
      <c r="AJ466" s="174"/>
      <c r="AK466" s="176"/>
      <c r="AL466" s="174"/>
      <c r="AM466" s="181" t="s">
        <v>1030</v>
      </c>
      <c r="AN466" s="243" t="s">
        <v>178</v>
      </c>
      <c r="AO466" s="184"/>
    </row>
    <row r="467" spans="1:41" ht="30" customHeight="1" x14ac:dyDescent="0.35">
      <c r="A467" s="38">
        <v>2026</v>
      </c>
      <c r="B467" s="59" t="s">
        <v>60</v>
      </c>
      <c r="C467" s="171" t="s">
        <v>141</v>
      </c>
      <c r="D467" s="237" t="s">
        <v>114</v>
      </c>
      <c r="E467" s="237">
        <v>496</v>
      </c>
      <c r="F467" s="58" t="s">
        <v>1226</v>
      </c>
      <c r="G467" s="237" t="s">
        <v>121</v>
      </c>
      <c r="H467" s="59" t="s">
        <v>126</v>
      </c>
      <c r="I467" s="58">
        <v>20000479</v>
      </c>
      <c r="J467" s="237" t="s">
        <v>132</v>
      </c>
      <c r="K467" s="237" t="s">
        <v>3</v>
      </c>
      <c r="L467" s="59" t="s">
        <v>6</v>
      </c>
      <c r="M467" s="60" t="s">
        <v>22</v>
      </c>
      <c r="N467" s="130"/>
      <c r="O467" s="172"/>
      <c r="P467" s="172"/>
      <c r="Q467" s="237" t="s">
        <v>141</v>
      </c>
      <c r="R467" s="79"/>
      <c r="S467" s="79"/>
      <c r="T467" s="58" t="s">
        <v>1246</v>
      </c>
      <c r="U467" s="180"/>
      <c r="V467" s="79"/>
      <c r="W467" s="79"/>
      <c r="X467" s="79"/>
      <c r="Y467" s="131">
        <f t="shared" si="41"/>
        <v>75219.960000000006</v>
      </c>
      <c r="Z467" s="131">
        <v>0</v>
      </c>
      <c r="AA467" s="131">
        <f t="shared" si="42"/>
        <v>75219.960000000006</v>
      </c>
      <c r="AB467" s="131">
        <v>0</v>
      </c>
      <c r="AC467" s="131">
        <f t="shared" si="43"/>
        <v>75219.960000000006</v>
      </c>
      <c r="AD467" s="131">
        <v>75219.960000000006</v>
      </c>
      <c r="AE467" s="173" t="s">
        <v>102</v>
      </c>
      <c r="AF467" s="173"/>
      <c r="AG467" s="173"/>
      <c r="AH467" s="174"/>
      <c r="AI467" s="175"/>
      <c r="AJ467" s="174"/>
      <c r="AK467" s="176"/>
      <c r="AL467" s="174"/>
      <c r="AM467" s="181" t="s">
        <v>1030</v>
      </c>
      <c r="AN467" s="243" t="s">
        <v>178</v>
      </c>
      <c r="AO467" s="184"/>
    </row>
    <row r="468" spans="1:41" ht="30" customHeight="1" x14ac:dyDescent="0.35">
      <c r="A468" s="38">
        <v>2026</v>
      </c>
      <c r="B468" s="59" t="s">
        <v>60</v>
      </c>
      <c r="C468" s="171" t="s">
        <v>141</v>
      </c>
      <c r="D468" s="237" t="s">
        <v>114</v>
      </c>
      <c r="E468" s="237">
        <v>496</v>
      </c>
      <c r="F468" s="58" t="s">
        <v>1226</v>
      </c>
      <c r="G468" s="237" t="s">
        <v>121</v>
      </c>
      <c r="H468" s="59" t="s">
        <v>126</v>
      </c>
      <c r="I468" s="58">
        <v>20000478</v>
      </c>
      <c r="J468" s="237" t="s">
        <v>132</v>
      </c>
      <c r="K468" s="237" t="s">
        <v>3</v>
      </c>
      <c r="L468" s="59" t="s">
        <v>6</v>
      </c>
      <c r="M468" s="60" t="s">
        <v>22</v>
      </c>
      <c r="N468" s="130"/>
      <c r="O468" s="172"/>
      <c r="P468" s="172"/>
      <c r="Q468" s="237" t="s">
        <v>141</v>
      </c>
      <c r="R468" s="79"/>
      <c r="S468" s="79"/>
      <c r="T468" s="58" t="s">
        <v>1246</v>
      </c>
      <c r="U468" s="180"/>
      <c r="V468" s="79"/>
      <c r="W468" s="79"/>
      <c r="X468" s="79"/>
      <c r="Y468" s="131">
        <f t="shared" si="41"/>
        <v>38579.879999999997</v>
      </c>
      <c r="Z468" s="131">
        <v>0</v>
      </c>
      <c r="AA468" s="131">
        <f t="shared" si="42"/>
        <v>38579.879999999997</v>
      </c>
      <c r="AB468" s="131">
        <v>0</v>
      </c>
      <c r="AC468" s="131">
        <f t="shared" si="43"/>
        <v>38579.879999999997</v>
      </c>
      <c r="AD468" s="131">
        <v>38579.879999999997</v>
      </c>
      <c r="AE468" s="173" t="s">
        <v>102</v>
      </c>
      <c r="AF468" s="173"/>
      <c r="AG468" s="173"/>
      <c r="AH468" s="174"/>
      <c r="AI468" s="175"/>
      <c r="AJ468" s="174"/>
      <c r="AK468" s="176"/>
      <c r="AL468" s="174"/>
      <c r="AM468" s="181" t="s">
        <v>1030</v>
      </c>
      <c r="AN468" s="243" t="s">
        <v>178</v>
      </c>
      <c r="AO468" s="184"/>
    </row>
    <row r="469" spans="1:41" ht="30" customHeight="1" x14ac:dyDescent="0.35">
      <c r="A469" s="38">
        <v>2026</v>
      </c>
      <c r="B469" s="59" t="s">
        <v>60</v>
      </c>
      <c r="C469" s="171" t="s">
        <v>141</v>
      </c>
      <c r="D469" s="237" t="s">
        <v>114</v>
      </c>
      <c r="E469" s="237">
        <v>496</v>
      </c>
      <c r="F469" s="58" t="s">
        <v>1226</v>
      </c>
      <c r="G469" s="237" t="s">
        <v>121</v>
      </c>
      <c r="H469" s="59" t="s">
        <v>126</v>
      </c>
      <c r="I469" s="58">
        <v>20000477</v>
      </c>
      <c r="J469" s="237" t="s">
        <v>132</v>
      </c>
      <c r="K469" s="237" t="s">
        <v>3</v>
      </c>
      <c r="L469" s="59" t="s">
        <v>6</v>
      </c>
      <c r="M469" s="60" t="s">
        <v>22</v>
      </c>
      <c r="N469" s="130"/>
      <c r="O469" s="172"/>
      <c r="P469" s="172"/>
      <c r="Q469" s="237" t="s">
        <v>141</v>
      </c>
      <c r="R469" s="79"/>
      <c r="S469" s="79"/>
      <c r="T469" s="58" t="s">
        <v>1247</v>
      </c>
      <c r="U469" s="180"/>
      <c r="V469" s="79"/>
      <c r="W469" s="79"/>
      <c r="X469" s="79"/>
      <c r="Y469" s="131">
        <f t="shared" si="41"/>
        <v>319440</v>
      </c>
      <c r="Z469" s="131">
        <v>0</v>
      </c>
      <c r="AA469" s="131">
        <f t="shared" si="42"/>
        <v>319440</v>
      </c>
      <c r="AB469" s="131">
        <v>0</v>
      </c>
      <c r="AC469" s="131">
        <f t="shared" si="43"/>
        <v>319440</v>
      </c>
      <c r="AD469" s="131">
        <v>319440</v>
      </c>
      <c r="AE469" s="173" t="s">
        <v>102</v>
      </c>
      <c r="AF469" s="173"/>
      <c r="AG469" s="173"/>
      <c r="AH469" s="174"/>
      <c r="AI469" s="175"/>
      <c r="AJ469" s="174"/>
      <c r="AK469" s="176"/>
      <c r="AL469" s="174"/>
      <c r="AM469" s="181" t="s">
        <v>1030</v>
      </c>
      <c r="AN469" s="243" t="s">
        <v>178</v>
      </c>
      <c r="AO469" s="184"/>
    </row>
    <row r="470" spans="1:41" ht="30" customHeight="1" x14ac:dyDescent="0.35">
      <c r="A470" s="38">
        <v>2026</v>
      </c>
      <c r="B470" s="59" t="s">
        <v>60</v>
      </c>
      <c r="C470" s="171" t="s">
        <v>141</v>
      </c>
      <c r="D470" s="237" t="s">
        <v>114</v>
      </c>
      <c r="E470" s="237">
        <v>496</v>
      </c>
      <c r="F470" s="58" t="s">
        <v>1226</v>
      </c>
      <c r="G470" s="237" t="s">
        <v>121</v>
      </c>
      <c r="H470" s="59" t="s">
        <v>126</v>
      </c>
      <c r="I470" s="58">
        <v>20000462</v>
      </c>
      <c r="J470" s="237" t="s">
        <v>132</v>
      </c>
      <c r="K470" s="237" t="s">
        <v>3</v>
      </c>
      <c r="L470" s="59" t="s">
        <v>6</v>
      </c>
      <c r="M470" s="60" t="s">
        <v>22</v>
      </c>
      <c r="N470" s="130"/>
      <c r="O470" s="172"/>
      <c r="P470" s="172"/>
      <c r="Q470" s="237" t="s">
        <v>141</v>
      </c>
      <c r="R470" s="79"/>
      <c r="S470" s="79"/>
      <c r="T470" s="58" t="s">
        <v>1248</v>
      </c>
      <c r="U470" s="180"/>
      <c r="V470" s="79"/>
      <c r="W470" s="79"/>
      <c r="X470" s="79"/>
      <c r="Y470" s="131">
        <f t="shared" si="41"/>
        <v>154608.95999999999</v>
      </c>
      <c r="Z470" s="131">
        <v>0</v>
      </c>
      <c r="AA470" s="131">
        <f t="shared" si="42"/>
        <v>154608.95999999999</v>
      </c>
      <c r="AB470" s="131">
        <v>0</v>
      </c>
      <c r="AC470" s="131">
        <f t="shared" si="43"/>
        <v>154608.95999999999</v>
      </c>
      <c r="AD470" s="131">
        <v>154608.95999999999</v>
      </c>
      <c r="AE470" s="173" t="s">
        <v>102</v>
      </c>
      <c r="AF470" s="173"/>
      <c r="AG470" s="173"/>
      <c r="AH470" s="174"/>
      <c r="AI470" s="175"/>
      <c r="AJ470" s="174"/>
      <c r="AK470" s="176"/>
      <c r="AL470" s="174"/>
      <c r="AM470" s="181" t="s">
        <v>1030</v>
      </c>
      <c r="AN470" s="243" t="s">
        <v>178</v>
      </c>
      <c r="AO470" s="184"/>
    </row>
    <row r="471" spans="1:41" ht="30" customHeight="1" x14ac:dyDescent="0.35">
      <c r="A471" s="38">
        <v>2026</v>
      </c>
      <c r="B471" s="59" t="s">
        <v>60</v>
      </c>
      <c r="C471" s="171" t="s">
        <v>141</v>
      </c>
      <c r="D471" s="237" t="s">
        <v>114</v>
      </c>
      <c r="E471" s="237">
        <v>496</v>
      </c>
      <c r="F471" s="58" t="s">
        <v>1226</v>
      </c>
      <c r="G471" s="237" t="s">
        <v>121</v>
      </c>
      <c r="H471" s="59" t="s">
        <v>126</v>
      </c>
      <c r="I471" s="75">
        <v>20000483</v>
      </c>
      <c r="J471" s="237" t="s">
        <v>132</v>
      </c>
      <c r="K471" s="237" t="s">
        <v>3</v>
      </c>
      <c r="L471" s="59" t="s">
        <v>6</v>
      </c>
      <c r="M471" s="60" t="s">
        <v>22</v>
      </c>
      <c r="N471" s="130"/>
      <c r="O471" s="172"/>
      <c r="P471" s="172"/>
      <c r="Q471" s="237" t="s">
        <v>141</v>
      </c>
      <c r="R471" s="79"/>
      <c r="S471" s="79"/>
      <c r="T471" s="58" t="s">
        <v>1249</v>
      </c>
      <c r="U471" s="180"/>
      <c r="V471" s="79"/>
      <c r="W471" s="79"/>
      <c r="X471" s="79"/>
      <c r="Y471" s="131">
        <f t="shared" si="41"/>
        <v>92400</v>
      </c>
      <c r="Z471" s="131">
        <v>0</v>
      </c>
      <c r="AA471" s="131">
        <f t="shared" si="42"/>
        <v>92400</v>
      </c>
      <c r="AB471" s="131">
        <v>0</v>
      </c>
      <c r="AC471" s="131">
        <f t="shared" si="43"/>
        <v>92400</v>
      </c>
      <c r="AD471" s="131">
        <v>92400</v>
      </c>
      <c r="AE471" s="173" t="s">
        <v>102</v>
      </c>
      <c r="AF471" s="173"/>
      <c r="AG471" s="173"/>
      <c r="AH471" s="174"/>
      <c r="AI471" s="175"/>
      <c r="AJ471" s="174"/>
      <c r="AK471" s="176"/>
      <c r="AL471" s="174"/>
      <c r="AM471" s="181" t="s">
        <v>1030</v>
      </c>
      <c r="AN471" s="243" t="s">
        <v>178</v>
      </c>
      <c r="AO471" s="184"/>
    </row>
    <row r="472" spans="1:41" ht="30" customHeight="1" x14ac:dyDescent="0.35">
      <c r="A472" s="38">
        <v>2026</v>
      </c>
      <c r="B472" s="59" t="s">
        <v>60</v>
      </c>
      <c r="C472" s="171" t="s">
        <v>141</v>
      </c>
      <c r="D472" s="237" t="s">
        <v>114</v>
      </c>
      <c r="E472" s="237">
        <v>496</v>
      </c>
      <c r="F472" s="58" t="s">
        <v>1226</v>
      </c>
      <c r="G472" s="237" t="s">
        <v>121</v>
      </c>
      <c r="H472" s="59" t="s">
        <v>126</v>
      </c>
      <c r="I472" s="75">
        <v>20000457</v>
      </c>
      <c r="J472" s="237" t="s">
        <v>132</v>
      </c>
      <c r="K472" s="237" t="s">
        <v>3</v>
      </c>
      <c r="L472" s="59" t="s">
        <v>6</v>
      </c>
      <c r="M472" s="60" t="s">
        <v>22</v>
      </c>
      <c r="N472" s="130"/>
      <c r="O472" s="172"/>
      <c r="P472" s="172"/>
      <c r="Q472" s="237" t="s">
        <v>141</v>
      </c>
      <c r="R472" s="79"/>
      <c r="S472" s="79"/>
      <c r="T472" s="58" t="s">
        <v>1250</v>
      </c>
      <c r="U472" s="180"/>
      <c r="V472" s="79"/>
      <c r="W472" s="79"/>
      <c r="X472" s="79"/>
      <c r="Y472" s="131">
        <f t="shared" si="41"/>
        <v>290400</v>
      </c>
      <c r="Z472" s="131">
        <v>0</v>
      </c>
      <c r="AA472" s="131">
        <f t="shared" si="42"/>
        <v>290400</v>
      </c>
      <c r="AB472" s="131">
        <v>0</v>
      </c>
      <c r="AC472" s="131">
        <f t="shared" si="43"/>
        <v>290400</v>
      </c>
      <c r="AD472" s="131">
        <v>290400</v>
      </c>
      <c r="AE472" s="173" t="s">
        <v>102</v>
      </c>
      <c r="AF472" s="173"/>
      <c r="AG472" s="173"/>
      <c r="AH472" s="174"/>
      <c r="AI472" s="175"/>
      <c r="AJ472" s="174"/>
      <c r="AK472" s="176"/>
      <c r="AL472" s="174"/>
      <c r="AM472" s="181" t="s">
        <v>1030</v>
      </c>
      <c r="AN472" s="243" t="s">
        <v>178</v>
      </c>
      <c r="AO472" s="184"/>
    </row>
    <row r="473" spans="1:41" ht="30" customHeight="1" x14ac:dyDescent="0.35">
      <c r="A473" s="38">
        <v>2026</v>
      </c>
      <c r="B473" s="59" t="s">
        <v>60</v>
      </c>
      <c r="C473" s="171" t="s">
        <v>141</v>
      </c>
      <c r="D473" s="237" t="s">
        <v>114</v>
      </c>
      <c r="E473" s="237">
        <v>496</v>
      </c>
      <c r="F473" s="58" t="s">
        <v>1226</v>
      </c>
      <c r="G473" s="237" t="s">
        <v>121</v>
      </c>
      <c r="H473" s="59" t="s">
        <v>126</v>
      </c>
      <c r="I473" s="75">
        <v>20000461</v>
      </c>
      <c r="J473" s="237" t="s">
        <v>132</v>
      </c>
      <c r="K473" s="237" t="s">
        <v>3</v>
      </c>
      <c r="L473" s="59" t="s">
        <v>6</v>
      </c>
      <c r="M473" s="60" t="s">
        <v>22</v>
      </c>
      <c r="N473" s="130"/>
      <c r="O473" s="172"/>
      <c r="P473" s="172"/>
      <c r="Q473" s="237" t="s">
        <v>141</v>
      </c>
      <c r="R473" s="79"/>
      <c r="S473" s="79"/>
      <c r="T473" s="58" t="s">
        <v>1251</v>
      </c>
      <c r="U473" s="180"/>
      <c r="V473" s="79"/>
      <c r="W473" s="79"/>
      <c r="X473" s="79"/>
      <c r="Y473" s="131">
        <f t="shared" si="41"/>
        <v>303600</v>
      </c>
      <c r="Z473" s="131">
        <v>0</v>
      </c>
      <c r="AA473" s="131">
        <f t="shared" si="42"/>
        <v>303600</v>
      </c>
      <c r="AB473" s="131">
        <v>0</v>
      </c>
      <c r="AC473" s="131">
        <f t="shared" si="43"/>
        <v>303600</v>
      </c>
      <c r="AD473" s="131">
        <v>303600</v>
      </c>
      <c r="AE473" s="173" t="s">
        <v>102</v>
      </c>
      <c r="AF473" s="173"/>
      <c r="AG473" s="173"/>
      <c r="AH473" s="174"/>
      <c r="AI473" s="175"/>
      <c r="AJ473" s="174"/>
      <c r="AK473" s="176"/>
      <c r="AL473" s="174"/>
      <c r="AM473" s="181" t="s">
        <v>1030</v>
      </c>
      <c r="AN473" s="243" t="s">
        <v>178</v>
      </c>
      <c r="AO473" s="184"/>
    </row>
    <row r="474" spans="1:41" ht="30" customHeight="1" x14ac:dyDescent="0.35">
      <c r="A474" s="38">
        <v>2026</v>
      </c>
      <c r="B474" s="59" t="s">
        <v>60</v>
      </c>
      <c r="C474" s="171" t="s">
        <v>141</v>
      </c>
      <c r="D474" s="237" t="s">
        <v>114</v>
      </c>
      <c r="E474" s="237">
        <v>496</v>
      </c>
      <c r="F474" s="58" t="s">
        <v>1226</v>
      </c>
      <c r="G474" s="237" t="s">
        <v>121</v>
      </c>
      <c r="H474" s="59" t="s">
        <v>126</v>
      </c>
      <c r="I474" s="75">
        <v>20000458</v>
      </c>
      <c r="J474" s="237" t="s">
        <v>132</v>
      </c>
      <c r="K474" s="237" t="s">
        <v>3</v>
      </c>
      <c r="L474" s="59" t="s">
        <v>6</v>
      </c>
      <c r="M474" s="60" t="s">
        <v>22</v>
      </c>
      <c r="N474" s="130"/>
      <c r="O474" s="172"/>
      <c r="P474" s="172"/>
      <c r="Q474" s="237" t="s">
        <v>141</v>
      </c>
      <c r="R474" s="79"/>
      <c r="S474" s="79"/>
      <c r="T474" s="58" t="s">
        <v>1252</v>
      </c>
      <c r="U474" s="180"/>
      <c r="V474" s="79"/>
      <c r="W474" s="79"/>
      <c r="X474" s="79"/>
      <c r="Y474" s="131">
        <f t="shared" si="41"/>
        <v>288802.8</v>
      </c>
      <c r="Z474" s="131">
        <v>0</v>
      </c>
      <c r="AA474" s="131">
        <f t="shared" si="42"/>
        <v>288802.8</v>
      </c>
      <c r="AB474" s="131">
        <v>0</v>
      </c>
      <c r="AC474" s="131">
        <f t="shared" si="43"/>
        <v>288802.8</v>
      </c>
      <c r="AD474" s="131">
        <v>288802.8</v>
      </c>
      <c r="AE474" s="173" t="s">
        <v>102</v>
      </c>
      <c r="AF474" s="173"/>
      <c r="AG474" s="173"/>
      <c r="AH474" s="174"/>
      <c r="AI474" s="175"/>
      <c r="AJ474" s="174"/>
      <c r="AK474" s="176"/>
      <c r="AL474" s="174"/>
      <c r="AM474" s="181" t="s">
        <v>1030</v>
      </c>
      <c r="AN474" s="243" t="s">
        <v>178</v>
      </c>
      <c r="AO474" s="184"/>
    </row>
    <row r="475" spans="1:41" ht="30" customHeight="1" x14ac:dyDescent="0.35">
      <c r="A475" s="38">
        <v>2026</v>
      </c>
      <c r="B475" s="59" t="s">
        <v>60</v>
      </c>
      <c r="C475" s="171" t="s">
        <v>141</v>
      </c>
      <c r="D475" s="237" t="s">
        <v>114</v>
      </c>
      <c r="E475" s="237">
        <v>496</v>
      </c>
      <c r="F475" s="58" t="s">
        <v>1226</v>
      </c>
      <c r="G475" s="237" t="s">
        <v>121</v>
      </c>
      <c r="H475" s="59" t="s">
        <v>126</v>
      </c>
      <c r="I475" s="75">
        <v>20000463</v>
      </c>
      <c r="J475" s="237" t="s">
        <v>132</v>
      </c>
      <c r="K475" s="237" t="s">
        <v>3</v>
      </c>
      <c r="L475" s="59" t="s">
        <v>6</v>
      </c>
      <c r="M475" s="60" t="s">
        <v>22</v>
      </c>
      <c r="N475" s="130"/>
      <c r="O475" s="172"/>
      <c r="P475" s="172"/>
      <c r="Q475" s="237" t="s">
        <v>141</v>
      </c>
      <c r="R475" s="79"/>
      <c r="S475" s="79"/>
      <c r="T475" s="58" t="s">
        <v>1253</v>
      </c>
      <c r="U475" s="180"/>
      <c r="V475" s="79"/>
      <c r="W475" s="79"/>
      <c r="X475" s="79"/>
      <c r="Y475" s="131">
        <f t="shared" si="41"/>
        <v>406560</v>
      </c>
      <c r="Z475" s="131">
        <v>0</v>
      </c>
      <c r="AA475" s="131">
        <f t="shared" si="42"/>
        <v>406560</v>
      </c>
      <c r="AB475" s="131">
        <v>0</v>
      </c>
      <c r="AC475" s="131">
        <f t="shared" si="43"/>
        <v>406560</v>
      </c>
      <c r="AD475" s="131">
        <v>406560</v>
      </c>
      <c r="AE475" s="173" t="s">
        <v>102</v>
      </c>
      <c r="AF475" s="173"/>
      <c r="AG475" s="173"/>
      <c r="AH475" s="174"/>
      <c r="AI475" s="175"/>
      <c r="AJ475" s="174"/>
      <c r="AK475" s="176"/>
      <c r="AL475" s="174"/>
      <c r="AM475" s="181" t="s">
        <v>1030</v>
      </c>
      <c r="AN475" s="243" t="s">
        <v>178</v>
      </c>
      <c r="AO475" s="184"/>
    </row>
    <row r="476" spans="1:41" ht="30" customHeight="1" x14ac:dyDescent="0.35">
      <c r="A476" s="38">
        <v>2026</v>
      </c>
      <c r="B476" s="59" t="s">
        <v>60</v>
      </c>
      <c r="C476" s="171" t="s">
        <v>141</v>
      </c>
      <c r="D476" s="237" t="s">
        <v>114</v>
      </c>
      <c r="E476" s="237">
        <v>496</v>
      </c>
      <c r="F476" s="58" t="s">
        <v>1226</v>
      </c>
      <c r="G476" s="237" t="s">
        <v>121</v>
      </c>
      <c r="H476" s="59" t="s">
        <v>126</v>
      </c>
      <c r="I476" s="75">
        <v>20000447</v>
      </c>
      <c r="J476" s="237" t="s">
        <v>132</v>
      </c>
      <c r="K476" s="237" t="s">
        <v>3</v>
      </c>
      <c r="L476" s="59" t="s">
        <v>6</v>
      </c>
      <c r="M476" s="60" t="s">
        <v>22</v>
      </c>
      <c r="N476" s="130"/>
      <c r="O476" s="172"/>
      <c r="P476" s="172"/>
      <c r="Q476" s="237" t="s">
        <v>141</v>
      </c>
      <c r="R476" s="79"/>
      <c r="S476" s="79"/>
      <c r="T476" s="58" t="s">
        <v>1254</v>
      </c>
      <c r="U476" s="180"/>
      <c r="V476" s="79"/>
      <c r="W476" s="79"/>
      <c r="X476" s="79"/>
      <c r="Y476" s="131">
        <f t="shared" si="41"/>
        <v>58564</v>
      </c>
      <c r="Z476" s="131">
        <v>0</v>
      </c>
      <c r="AA476" s="131">
        <f t="shared" si="42"/>
        <v>58564</v>
      </c>
      <c r="AB476" s="131">
        <v>0</v>
      </c>
      <c r="AC476" s="131">
        <f t="shared" si="43"/>
        <v>58564</v>
      </c>
      <c r="AD476" s="131">
        <v>58564</v>
      </c>
      <c r="AE476" s="173" t="s">
        <v>102</v>
      </c>
      <c r="AF476" s="173"/>
      <c r="AG476" s="173"/>
      <c r="AH476" s="174"/>
      <c r="AI476" s="175"/>
      <c r="AJ476" s="174"/>
      <c r="AK476" s="176"/>
      <c r="AL476" s="174"/>
      <c r="AM476" s="181" t="s">
        <v>1030</v>
      </c>
      <c r="AN476" s="243" t="s">
        <v>178</v>
      </c>
      <c r="AO476" s="184"/>
    </row>
    <row r="477" spans="1:41" ht="30" hidden="1" customHeight="1" x14ac:dyDescent="0.35">
      <c r="A477" s="38">
        <v>2022</v>
      </c>
      <c r="B477" s="59" t="s">
        <v>60</v>
      </c>
      <c r="C477" s="171" t="s">
        <v>141</v>
      </c>
      <c r="D477" s="237" t="s">
        <v>106</v>
      </c>
      <c r="E477" s="237">
        <v>1</v>
      </c>
      <c r="F477" s="58" t="s">
        <v>1255</v>
      </c>
      <c r="G477" s="237" t="s">
        <v>121</v>
      </c>
      <c r="H477" s="59" t="s">
        <v>126</v>
      </c>
      <c r="I477" s="70" t="s">
        <v>1256</v>
      </c>
      <c r="J477" s="237" t="s">
        <v>131</v>
      </c>
      <c r="K477" s="237" t="s">
        <v>3</v>
      </c>
      <c r="L477" s="59" t="s">
        <v>6</v>
      </c>
      <c r="M477" s="60" t="s">
        <v>928</v>
      </c>
      <c r="N477" s="130"/>
      <c r="O477" s="172"/>
      <c r="P477" s="172"/>
      <c r="Q477" s="237" t="s">
        <v>141</v>
      </c>
      <c r="R477" s="88">
        <v>44844</v>
      </c>
      <c r="S477" s="88">
        <v>46670</v>
      </c>
      <c r="T477" s="58" t="s">
        <v>1257</v>
      </c>
      <c r="U477" s="237">
        <v>2022</v>
      </c>
      <c r="V477" s="79"/>
      <c r="W477" s="79"/>
      <c r="X477" s="88">
        <v>44761</v>
      </c>
      <c r="Y477" s="131">
        <v>6119655.7000000002</v>
      </c>
      <c r="Z477" s="131">
        <v>0</v>
      </c>
      <c r="AA477" s="131">
        <v>7343586.8399999999</v>
      </c>
      <c r="AB477" s="131">
        <v>0</v>
      </c>
      <c r="AC477" s="131">
        <f>Y477</f>
        <v>6119655.7000000002</v>
      </c>
      <c r="AD477" s="131">
        <f>AA477</f>
        <v>7343586.8399999999</v>
      </c>
      <c r="AE477" s="173" t="s">
        <v>102</v>
      </c>
      <c r="AF477" s="173"/>
      <c r="AG477" s="173"/>
      <c r="AH477" s="174"/>
      <c r="AI477" s="175"/>
      <c r="AJ477" s="174"/>
      <c r="AK477" s="176"/>
      <c r="AL477" s="174"/>
      <c r="AM477" s="181"/>
      <c r="AO477" s="184"/>
    </row>
    <row r="478" spans="1:41" ht="30" hidden="1" customHeight="1" x14ac:dyDescent="0.35">
      <c r="A478" s="38">
        <v>2023</v>
      </c>
      <c r="B478" s="59" t="s">
        <v>60</v>
      </c>
      <c r="C478" s="171" t="s">
        <v>141</v>
      </c>
      <c r="D478" s="237" t="s">
        <v>106</v>
      </c>
      <c r="E478" s="237">
        <v>1</v>
      </c>
      <c r="F478" s="58" t="s">
        <v>1258</v>
      </c>
      <c r="G478" s="237" t="s">
        <v>121</v>
      </c>
      <c r="H478" s="59" t="s">
        <v>126</v>
      </c>
      <c r="I478" s="70" t="s">
        <v>1259</v>
      </c>
      <c r="J478" s="237" t="s">
        <v>131</v>
      </c>
      <c r="K478" s="237" t="s">
        <v>3</v>
      </c>
      <c r="L478" s="59" t="s">
        <v>6</v>
      </c>
      <c r="M478" s="60" t="s">
        <v>28</v>
      </c>
      <c r="N478" s="130"/>
      <c r="O478" s="172"/>
      <c r="P478" s="172"/>
      <c r="Q478" s="237" t="s">
        <v>141</v>
      </c>
      <c r="R478" s="88">
        <v>45042</v>
      </c>
      <c r="S478" s="88">
        <v>46869</v>
      </c>
      <c r="T478" s="58" t="s">
        <v>1260</v>
      </c>
      <c r="U478" s="237">
        <v>2023</v>
      </c>
      <c r="V478" s="79"/>
      <c r="W478" s="79"/>
      <c r="X478" s="88">
        <v>45028</v>
      </c>
      <c r="Y478" s="131">
        <v>1208077</v>
      </c>
      <c r="Z478" s="131">
        <v>0</v>
      </c>
      <c r="AA478" s="131">
        <v>1449692.4</v>
      </c>
      <c r="AB478" s="131">
        <v>0</v>
      </c>
      <c r="AC478" s="131">
        <f>Y478</f>
        <v>1208077</v>
      </c>
      <c r="AD478" s="131">
        <f>AA478</f>
        <v>1449692.4</v>
      </c>
      <c r="AE478" s="173" t="s">
        <v>102</v>
      </c>
      <c r="AF478" s="173"/>
      <c r="AG478" s="173"/>
      <c r="AH478" s="174"/>
      <c r="AI478" s="175"/>
      <c r="AJ478" s="174"/>
      <c r="AK478" s="176"/>
      <c r="AL478" s="174"/>
      <c r="AM478" s="181"/>
      <c r="AO478" s="184"/>
    </row>
    <row r="479" spans="1:41" ht="30" hidden="1" customHeight="1" x14ac:dyDescent="0.35">
      <c r="A479" s="38">
        <v>2021</v>
      </c>
      <c r="B479" s="59" t="s">
        <v>60</v>
      </c>
      <c r="C479" s="171" t="s">
        <v>141</v>
      </c>
      <c r="D479" s="237" t="s">
        <v>106</v>
      </c>
      <c r="E479" s="237">
        <v>1</v>
      </c>
      <c r="F479" s="58" t="s">
        <v>1255</v>
      </c>
      <c r="G479" s="237" t="s">
        <v>121</v>
      </c>
      <c r="H479" s="59" t="s">
        <v>126</v>
      </c>
      <c r="I479" s="70" t="s">
        <v>1261</v>
      </c>
      <c r="J479" s="237" t="s">
        <v>131</v>
      </c>
      <c r="K479" s="237" t="s">
        <v>3</v>
      </c>
      <c r="L479" s="59" t="s">
        <v>6</v>
      </c>
      <c r="M479" s="60" t="s">
        <v>928</v>
      </c>
      <c r="N479" s="130"/>
      <c r="O479" s="172"/>
      <c r="P479" s="172"/>
      <c r="Q479" s="237" t="s">
        <v>141</v>
      </c>
      <c r="R479" s="88">
        <v>44358</v>
      </c>
      <c r="S479" s="88">
        <v>46184</v>
      </c>
      <c r="T479" s="58" t="s">
        <v>1262</v>
      </c>
      <c r="U479" s="237">
        <v>2021</v>
      </c>
      <c r="V479" s="79"/>
      <c r="W479" s="79"/>
      <c r="X479" s="88">
        <v>44312</v>
      </c>
      <c r="Y479" s="131"/>
      <c r="Z479" s="131">
        <v>0</v>
      </c>
      <c r="AA479" s="131">
        <v>2940732</v>
      </c>
      <c r="AB479" s="131">
        <v>0</v>
      </c>
      <c r="AC479" s="131"/>
      <c r="AD479" s="131">
        <v>2940732</v>
      </c>
      <c r="AE479" s="173" t="s">
        <v>102</v>
      </c>
      <c r="AF479" s="173"/>
      <c r="AG479" s="173"/>
      <c r="AH479" s="174"/>
      <c r="AI479" s="175"/>
      <c r="AJ479" s="174"/>
      <c r="AK479" s="176"/>
      <c r="AL479" s="174"/>
      <c r="AM479" s="181" t="s">
        <v>1263</v>
      </c>
      <c r="AO479" s="184"/>
    </row>
    <row r="480" spans="1:41" ht="30" hidden="1" customHeight="1" x14ac:dyDescent="0.35">
      <c r="A480" s="38">
        <v>2023</v>
      </c>
      <c r="B480" s="59" t="s">
        <v>60</v>
      </c>
      <c r="C480" s="171" t="s">
        <v>141</v>
      </c>
      <c r="D480" s="237" t="s">
        <v>106</v>
      </c>
      <c r="E480" s="237">
        <v>1</v>
      </c>
      <c r="F480" s="58" t="s">
        <v>1258</v>
      </c>
      <c r="G480" s="237" t="s">
        <v>121</v>
      </c>
      <c r="H480" s="59" t="s">
        <v>126</v>
      </c>
      <c r="I480" s="70" t="s">
        <v>1264</v>
      </c>
      <c r="J480" s="237" t="s">
        <v>131</v>
      </c>
      <c r="K480" s="237" t="s">
        <v>3</v>
      </c>
      <c r="L480" s="59" t="s">
        <v>6</v>
      </c>
      <c r="M480" s="60" t="s">
        <v>28</v>
      </c>
      <c r="N480" s="130"/>
      <c r="O480" s="172"/>
      <c r="P480" s="172"/>
      <c r="Q480" s="237" t="s">
        <v>141</v>
      </c>
      <c r="R480" s="88">
        <v>45042</v>
      </c>
      <c r="S480" s="88">
        <v>46869</v>
      </c>
      <c r="T480" s="58" t="s">
        <v>1265</v>
      </c>
      <c r="U480" s="237">
        <v>2023</v>
      </c>
      <c r="V480" s="79"/>
      <c r="W480" s="79"/>
      <c r="X480" s="88">
        <v>45028</v>
      </c>
      <c r="Y480" s="131">
        <v>572137.5</v>
      </c>
      <c r="Z480" s="131">
        <v>0</v>
      </c>
      <c r="AA480" s="131">
        <v>686565</v>
      </c>
      <c r="AB480" s="131">
        <v>0</v>
      </c>
      <c r="AC480" s="131">
        <f>Y480</f>
        <v>572137.5</v>
      </c>
      <c r="AD480" s="131">
        <f>AA480</f>
        <v>686565</v>
      </c>
      <c r="AE480" s="173" t="s">
        <v>102</v>
      </c>
      <c r="AF480" s="173"/>
      <c r="AG480" s="173"/>
      <c r="AH480" s="174"/>
      <c r="AI480" s="175"/>
      <c r="AJ480" s="174"/>
      <c r="AK480" s="176"/>
      <c r="AL480" s="174"/>
      <c r="AM480" s="181"/>
      <c r="AO480" s="184"/>
    </row>
    <row r="481" spans="1:41" ht="30" hidden="1" customHeight="1" x14ac:dyDescent="0.35">
      <c r="A481" s="38">
        <v>2023</v>
      </c>
      <c r="B481" s="59" t="s">
        <v>60</v>
      </c>
      <c r="C481" s="171" t="s">
        <v>141</v>
      </c>
      <c r="D481" s="237" t="s">
        <v>106</v>
      </c>
      <c r="E481" s="237">
        <v>1</v>
      </c>
      <c r="F481" s="58" t="s">
        <v>1266</v>
      </c>
      <c r="G481" s="237" t="s">
        <v>121</v>
      </c>
      <c r="H481" s="59" t="s">
        <v>126</v>
      </c>
      <c r="I481" s="70" t="s">
        <v>1267</v>
      </c>
      <c r="J481" s="237" t="s">
        <v>131</v>
      </c>
      <c r="K481" s="237" t="s">
        <v>3</v>
      </c>
      <c r="L481" s="59" t="s">
        <v>6</v>
      </c>
      <c r="M481" s="60" t="s">
        <v>880</v>
      </c>
      <c r="N481" s="133"/>
      <c r="O481" s="199"/>
      <c r="P481" s="199"/>
      <c r="Q481" s="237" t="s">
        <v>141</v>
      </c>
      <c r="R481" s="88">
        <v>44959</v>
      </c>
      <c r="S481" s="88">
        <v>46055</v>
      </c>
      <c r="T481" s="58" t="s">
        <v>881</v>
      </c>
      <c r="U481" s="237">
        <v>2023</v>
      </c>
      <c r="V481" s="86"/>
      <c r="W481" s="86"/>
      <c r="X481" s="88">
        <v>44957</v>
      </c>
      <c r="Y481" s="131"/>
      <c r="Z481" s="131">
        <v>0</v>
      </c>
      <c r="AA481" s="131">
        <v>867981.07</v>
      </c>
      <c r="AB481" s="131">
        <v>0</v>
      </c>
      <c r="AC481" s="131"/>
      <c r="AD481" s="131">
        <v>867981.07</v>
      </c>
      <c r="AE481" s="173" t="s">
        <v>102</v>
      </c>
      <c r="AF481" s="173"/>
      <c r="AG481" s="173"/>
      <c r="AH481" s="174"/>
      <c r="AI481" s="175"/>
      <c r="AJ481" s="174"/>
      <c r="AK481" s="176"/>
      <c r="AL481" s="174"/>
      <c r="AM481" s="200" t="s">
        <v>1268</v>
      </c>
      <c r="AO481" s="184"/>
    </row>
    <row r="482" spans="1:41" ht="30" hidden="1" customHeight="1" x14ac:dyDescent="0.35">
      <c r="A482" s="38">
        <v>2023</v>
      </c>
      <c r="B482" s="59" t="s">
        <v>60</v>
      </c>
      <c r="C482" s="171" t="s">
        <v>141</v>
      </c>
      <c r="D482" s="237" t="s">
        <v>106</v>
      </c>
      <c r="E482" s="237">
        <v>1</v>
      </c>
      <c r="F482" s="58" t="s">
        <v>1255</v>
      </c>
      <c r="G482" s="237" t="s">
        <v>121</v>
      </c>
      <c r="H482" s="59" t="s">
        <v>126</v>
      </c>
      <c r="I482" s="70" t="s">
        <v>1269</v>
      </c>
      <c r="J482" s="237" t="s">
        <v>131</v>
      </c>
      <c r="K482" s="237" t="s">
        <v>3</v>
      </c>
      <c r="L482" s="59" t="s">
        <v>6</v>
      </c>
      <c r="M482" s="60" t="s">
        <v>928</v>
      </c>
      <c r="N482" s="130"/>
      <c r="O482" s="172"/>
      <c r="P482" s="172"/>
      <c r="Q482" s="237" t="s">
        <v>141</v>
      </c>
      <c r="R482" s="88">
        <v>45378</v>
      </c>
      <c r="S482" s="88">
        <v>47204</v>
      </c>
      <c r="T482" s="58" t="s">
        <v>1262</v>
      </c>
      <c r="U482" s="237">
        <v>2023</v>
      </c>
      <c r="V482" s="79"/>
      <c r="W482" s="79"/>
      <c r="X482" s="88">
        <v>45288</v>
      </c>
      <c r="Y482" s="131">
        <v>333060</v>
      </c>
      <c r="Z482" s="131">
        <v>0</v>
      </c>
      <c r="AA482" s="131">
        <v>399672</v>
      </c>
      <c r="AB482" s="131">
        <v>0</v>
      </c>
      <c r="AC482" s="131">
        <f>Y482</f>
        <v>333060</v>
      </c>
      <c r="AD482" s="131">
        <f>AA482</f>
        <v>399672</v>
      </c>
      <c r="AE482" s="173" t="s">
        <v>102</v>
      </c>
      <c r="AF482" s="173"/>
      <c r="AG482" s="173"/>
      <c r="AH482" s="174"/>
      <c r="AI482" s="175"/>
      <c r="AJ482" s="174"/>
      <c r="AK482" s="176"/>
      <c r="AL482" s="174"/>
      <c r="AM482" s="181"/>
      <c r="AO482" s="184"/>
    </row>
    <row r="483" spans="1:41" ht="30" hidden="1" customHeight="1" x14ac:dyDescent="0.35">
      <c r="A483" s="38">
        <v>2022</v>
      </c>
      <c r="B483" s="59" t="s">
        <v>60</v>
      </c>
      <c r="C483" s="171" t="s">
        <v>141</v>
      </c>
      <c r="D483" s="237" t="s">
        <v>106</v>
      </c>
      <c r="E483" s="237">
        <v>1</v>
      </c>
      <c r="F483" s="58" t="s">
        <v>1255</v>
      </c>
      <c r="G483" s="237" t="s">
        <v>121</v>
      </c>
      <c r="H483" s="59" t="s">
        <v>126</v>
      </c>
      <c r="I483" s="70" t="s">
        <v>1270</v>
      </c>
      <c r="J483" s="237" t="s">
        <v>131</v>
      </c>
      <c r="K483" s="237" t="s">
        <v>3</v>
      </c>
      <c r="L483" s="59" t="s">
        <v>6</v>
      </c>
      <c r="M483" s="60" t="s">
        <v>928</v>
      </c>
      <c r="N483" s="130"/>
      <c r="O483" s="172"/>
      <c r="P483" s="172"/>
      <c r="Q483" s="237" t="s">
        <v>141</v>
      </c>
      <c r="R483" s="88">
        <v>45650</v>
      </c>
      <c r="S483" s="88">
        <v>47476</v>
      </c>
      <c r="T483" s="58" t="s">
        <v>1257</v>
      </c>
      <c r="U483" s="237">
        <v>2024</v>
      </c>
      <c r="V483" s="79"/>
      <c r="W483" s="79"/>
      <c r="X483" s="88">
        <v>45559</v>
      </c>
      <c r="Y483" s="131">
        <v>2891971.65</v>
      </c>
      <c r="Z483" s="131">
        <v>0</v>
      </c>
      <c r="AA483" s="131">
        <v>3470365.98</v>
      </c>
      <c r="AB483" s="131">
        <v>0</v>
      </c>
      <c r="AC483" s="131">
        <f>Y483</f>
        <v>2891971.65</v>
      </c>
      <c r="AD483" s="131">
        <f>AA483</f>
        <v>3470365.98</v>
      </c>
      <c r="AE483" s="173" t="s">
        <v>102</v>
      </c>
      <c r="AF483" s="173"/>
      <c r="AG483" s="173"/>
      <c r="AH483" s="174"/>
      <c r="AI483" s="175"/>
      <c r="AJ483" s="174"/>
      <c r="AK483" s="176"/>
      <c r="AL483" s="174"/>
      <c r="AM483" s="181"/>
      <c r="AO483" s="184"/>
    </row>
    <row r="484" spans="1:41" ht="30" hidden="1" customHeight="1" x14ac:dyDescent="0.35">
      <c r="A484" s="38">
        <v>2025</v>
      </c>
      <c r="B484" s="59" t="s">
        <v>60</v>
      </c>
      <c r="C484" s="171" t="s">
        <v>141</v>
      </c>
      <c r="D484" s="237" t="s">
        <v>106</v>
      </c>
      <c r="E484" s="237">
        <v>1</v>
      </c>
      <c r="F484" s="58" t="s">
        <v>1271</v>
      </c>
      <c r="G484" s="237" t="s">
        <v>121</v>
      </c>
      <c r="H484" s="59" t="s">
        <v>126</v>
      </c>
      <c r="I484" s="70" t="s">
        <v>1272</v>
      </c>
      <c r="J484" s="237" t="s">
        <v>131</v>
      </c>
      <c r="K484" s="237" t="s">
        <v>3</v>
      </c>
      <c r="L484" s="59" t="s">
        <v>6</v>
      </c>
      <c r="M484" s="60" t="s">
        <v>880</v>
      </c>
      <c r="N484" s="130"/>
      <c r="O484" s="172"/>
      <c r="P484" s="172"/>
      <c r="Q484" s="237" t="s">
        <v>141</v>
      </c>
      <c r="R484" s="88">
        <v>45778</v>
      </c>
      <c r="S484" s="88">
        <v>46874</v>
      </c>
      <c r="T484" s="58" t="s">
        <v>881</v>
      </c>
      <c r="U484" s="237">
        <v>2025</v>
      </c>
      <c r="V484" s="79"/>
      <c r="W484" s="79"/>
      <c r="X484" s="88">
        <v>45777</v>
      </c>
      <c r="Y484" s="131">
        <f>+AA484/1.2</f>
        <v>34337901.666666672</v>
      </c>
      <c r="Z484" s="131">
        <v>0</v>
      </c>
      <c r="AA484" s="131">
        <v>41205482</v>
      </c>
      <c r="AB484" s="131">
        <v>0</v>
      </c>
      <c r="AC484" s="131">
        <f>+Y484</f>
        <v>34337901.666666672</v>
      </c>
      <c r="AD484" s="131">
        <f>+AA484</f>
        <v>41205482</v>
      </c>
      <c r="AE484" s="173" t="s">
        <v>102</v>
      </c>
      <c r="AF484" s="173"/>
      <c r="AG484" s="173"/>
      <c r="AH484" s="174"/>
      <c r="AI484" s="175"/>
      <c r="AJ484" s="174"/>
      <c r="AK484" s="176"/>
      <c r="AL484" s="174"/>
      <c r="AM484" s="181"/>
      <c r="AO484" s="184"/>
    </row>
    <row r="485" spans="1:41" ht="30" hidden="1" customHeight="1" x14ac:dyDescent="0.35">
      <c r="A485" s="38">
        <v>2025</v>
      </c>
      <c r="B485" s="59" t="s">
        <v>60</v>
      </c>
      <c r="C485" s="171" t="s">
        <v>141</v>
      </c>
      <c r="D485" s="237" t="s">
        <v>106</v>
      </c>
      <c r="E485" s="237">
        <v>1</v>
      </c>
      <c r="F485" s="58" t="s">
        <v>1273</v>
      </c>
      <c r="G485" s="237" t="s">
        <v>121</v>
      </c>
      <c r="H485" s="59" t="s">
        <v>126</v>
      </c>
      <c r="I485" s="70" t="s">
        <v>1274</v>
      </c>
      <c r="J485" s="237" t="s">
        <v>131</v>
      </c>
      <c r="K485" s="237" t="s">
        <v>3</v>
      </c>
      <c r="L485" s="59" t="s">
        <v>6</v>
      </c>
      <c r="M485" s="60" t="s">
        <v>25</v>
      </c>
      <c r="N485" s="130"/>
      <c r="O485" s="172"/>
      <c r="P485" s="172"/>
      <c r="Q485" s="237" t="s">
        <v>141</v>
      </c>
      <c r="R485" s="88">
        <v>45981</v>
      </c>
      <c r="S485" s="88">
        <v>47457</v>
      </c>
      <c r="T485" s="58" t="s">
        <v>1275</v>
      </c>
      <c r="U485" s="237">
        <v>2025</v>
      </c>
      <c r="V485" s="79"/>
      <c r="W485" s="79"/>
      <c r="X485" s="88">
        <v>45981</v>
      </c>
      <c r="Y485" s="131">
        <v>150080</v>
      </c>
      <c r="Z485" s="131">
        <v>0</v>
      </c>
      <c r="AA485" s="131">
        <v>180096</v>
      </c>
      <c r="AB485" s="131">
        <v>0</v>
      </c>
      <c r="AC485" s="131">
        <v>150080</v>
      </c>
      <c r="AD485" s="131">
        <v>180096</v>
      </c>
      <c r="AE485" s="173" t="s">
        <v>102</v>
      </c>
      <c r="AF485" s="173"/>
      <c r="AG485" s="173"/>
      <c r="AH485" s="174"/>
      <c r="AI485" s="175"/>
      <c r="AJ485" s="174"/>
      <c r="AK485" s="176"/>
      <c r="AL485" s="174"/>
      <c r="AM485" s="181"/>
      <c r="AO485" s="184"/>
    </row>
    <row r="486" spans="1:41" ht="30" customHeight="1" x14ac:dyDescent="0.35">
      <c r="A486" s="38">
        <v>2025</v>
      </c>
      <c r="B486" s="59" t="s">
        <v>60</v>
      </c>
      <c r="C486" s="171" t="s">
        <v>141</v>
      </c>
      <c r="D486" s="237" t="s">
        <v>114</v>
      </c>
      <c r="E486" s="237">
        <v>1</v>
      </c>
      <c r="F486" s="58" t="s">
        <v>1276</v>
      </c>
      <c r="G486" s="237" t="s">
        <v>121</v>
      </c>
      <c r="H486" s="59" t="s">
        <v>126</v>
      </c>
      <c r="I486" s="70" t="s">
        <v>1277</v>
      </c>
      <c r="J486" s="237" t="s">
        <v>132</v>
      </c>
      <c r="K486" s="237" t="s">
        <v>3</v>
      </c>
      <c r="L486" s="59" t="s">
        <v>6</v>
      </c>
      <c r="M486" s="60" t="s">
        <v>1278</v>
      </c>
      <c r="N486" s="130"/>
      <c r="O486" s="172"/>
      <c r="P486" s="172"/>
      <c r="Q486" s="237" t="s">
        <v>141</v>
      </c>
      <c r="R486" s="88">
        <v>45761</v>
      </c>
      <c r="S486" s="88">
        <v>46856</v>
      </c>
      <c r="T486" s="58" t="s">
        <v>1279</v>
      </c>
      <c r="U486" s="237">
        <v>2025</v>
      </c>
      <c r="V486" s="79"/>
      <c r="W486" s="79"/>
      <c r="X486" s="78"/>
      <c r="Y486" s="131">
        <v>8891000</v>
      </c>
      <c r="Z486" s="131">
        <v>0</v>
      </c>
      <c r="AA486" s="131">
        <v>9780100</v>
      </c>
      <c r="AB486" s="131">
        <v>0</v>
      </c>
      <c r="AC486" s="131">
        <v>8891000</v>
      </c>
      <c r="AD486" s="131">
        <f>AA486</f>
        <v>9780100</v>
      </c>
      <c r="AE486" s="173" t="s">
        <v>102</v>
      </c>
      <c r="AF486" s="173"/>
      <c r="AG486" s="173"/>
      <c r="AH486" s="174"/>
      <c r="AI486" s="175"/>
      <c r="AJ486" s="174"/>
      <c r="AK486" s="176"/>
      <c r="AL486" s="174"/>
      <c r="AM486" s="181"/>
      <c r="AN486" s="243" t="s">
        <v>178</v>
      </c>
      <c r="AO486" s="184"/>
    </row>
    <row r="487" spans="1:41" ht="30" customHeight="1" x14ac:dyDescent="0.35">
      <c r="A487" s="38">
        <v>2025</v>
      </c>
      <c r="B487" s="59" t="s">
        <v>60</v>
      </c>
      <c r="C487" s="171" t="s">
        <v>141</v>
      </c>
      <c r="D487" s="237" t="s">
        <v>114</v>
      </c>
      <c r="E487" s="237">
        <v>1</v>
      </c>
      <c r="F487" s="58" t="s">
        <v>1280</v>
      </c>
      <c r="G487" s="237" t="s">
        <v>121</v>
      </c>
      <c r="H487" s="59" t="s">
        <v>126</v>
      </c>
      <c r="I487" s="70" t="s">
        <v>1281</v>
      </c>
      <c r="J487" s="237" t="s">
        <v>132</v>
      </c>
      <c r="K487" s="237" t="s">
        <v>3</v>
      </c>
      <c r="L487" s="59" t="s">
        <v>6</v>
      </c>
      <c r="M487" s="60" t="s">
        <v>23</v>
      </c>
      <c r="N487" s="130"/>
      <c r="O487" s="172"/>
      <c r="P487" s="172"/>
      <c r="Q487" s="237" t="s">
        <v>141</v>
      </c>
      <c r="R487" s="88">
        <v>45658</v>
      </c>
      <c r="S487" s="88">
        <v>47118</v>
      </c>
      <c r="T487" s="58" t="s">
        <v>924</v>
      </c>
      <c r="U487" s="237">
        <v>2025</v>
      </c>
      <c r="V487" s="79"/>
      <c r="W487" s="79"/>
      <c r="X487" s="78"/>
      <c r="Y487" s="138"/>
      <c r="Z487" s="131">
        <v>0</v>
      </c>
      <c r="AA487" s="131">
        <v>400000</v>
      </c>
      <c r="AB487" s="131">
        <v>0</v>
      </c>
      <c r="AC487" s="138"/>
      <c r="AD487" s="131">
        <f>AA487</f>
        <v>400000</v>
      </c>
      <c r="AE487" s="173" t="s">
        <v>102</v>
      </c>
      <c r="AF487" s="173"/>
      <c r="AG487" s="173"/>
      <c r="AH487" s="174"/>
      <c r="AI487" s="175"/>
      <c r="AJ487" s="174"/>
      <c r="AK487" s="176"/>
      <c r="AL487" s="174"/>
      <c r="AM487" s="181"/>
      <c r="AN487" s="243" t="s">
        <v>178</v>
      </c>
      <c r="AO487" s="184"/>
    </row>
    <row r="488" spans="1:41" ht="30" customHeight="1" x14ac:dyDescent="0.35">
      <c r="A488" s="38" t="s">
        <v>358</v>
      </c>
      <c r="B488" s="59" t="s">
        <v>60</v>
      </c>
      <c r="C488" s="171" t="s">
        <v>141</v>
      </c>
      <c r="D488" s="237" t="s">
        <v>114</v>
      </c>
      <c r="E488" s="237">
        <v>1</v>
      </c>
      <c r="F488" s="58" t="s">
        <v>1282</v>
      </c>
      <c r="G488" s="237" t="s">
        <v>121</v>
      </c>
      <c r="H488" s="59" t="s">
        <v>126</v>
      </c>
      <c r="I488" s="70"/>
      <c r="J488" s="237" t="s">
        <v>132</v>
      </c>
      <c r="K488" s="237" t="s">
        <v>3</v>
      </c>
      <c r="L488" s="59" t="s">
        <v>6</v>
      </c>
      <c r="M488" s="60" t="s">
        <v>25</v>
      </c>
      <c r="N488" s="130"/>
      <c r="O488" s="172"/>
      <c r="P488" s="172"/>
      <c r="Q488" s="237" t="s">
        <v>141</v>
      </c>
      <c r="R488" s="88"/>
      <c r="S488" s="88"/>
      <c r="T488" s="58" t="s">
        <v>1275</v>
      </c>
      <c r="U488" s="237">
        <v>2025</v>
      </c>
      <c r="V488" s="79"/>
      <c r="W488" s="79"/>
      <c r="X488" s="78"/>
      <c r="Y488" s="138"/>
      <c r="Z488" s="131">
        <v>0</v>
      </c>
      <c r="AA488" s="131">
        <v>1100000</v>
      </c>
      <c r="AB488" s="131">
        <v>0</v>
      </c>
      <c r="AC488" s="138"/>
      <c r="AD488" s="131">
        <f>AA488</f>
        <v>1100000</v>
      </c>
      <c r="AE488" s="173" t="s">
        <v>102</v>
      </c>
      <c r="AF488" s="173"/>
      <c r="AG488" s="173"/>
      <c r="AH488" s="174"/>
      <c r="AI488" s="175"/>
      <c r="AJ488" s="174"/>
      <c r="AK488" s="176"/>
      <c r="AL488" s="174"/>
      <c r="AM488" s="181"/>
      <c r="AN488" s="243" t="s">
        <v>178</v>
      </c>
      <c r="AO488" s="184"/>
    </row>
    <row r="489" spans="1:41" ht="30" customHeight="1" x14ac:dyDescent="0.35">
      <c r="A489" s="38" t="s">
        <v>358</v>
      </c>
      <c r="B489" s="59" t="s">
        <v>60</v>
      </c>
      <c r="C489" s="171" t="s">
        <v>141</v>
      </c>
      <c r="D489" s="237" t="s">
        <v>114</v>
      </c>
      <c r="E489" s="237"/>
      <c r="F489" s="58" t="s">
        <v>1283</v>
      </c>
      <c r="G489" s="237" t="s">
        <v>121</v>
      </c>
      <c r="H489" s="59" t="s">
        <v>126</v>
      </c>
      <c r="I489" s="70" t="s">
        <v>1284</v>
      </c>
      <c r="J489" s="237"/>
      <c r="K489" s="237" t="s">
        <v>3</v>
      </c>
      <c r="L489" s="59" t="s">
        <v>6</v>
      </c>
      <c r="M489" s="60" t="s">
        <v>26</v>
      </c>
      <c r="N489" s="130"/>
      <c r="O489" s="172"/>
      <c r="P489" s="172"/>
      <c r="Q489" s="237" t="s">
        <v>141</v>
      </c>
      <c r="R489" s="88"/>
      <c r="S489" s="88"/>
      <c r="T489" s="58" t="s">
        <v>1285</v>
      </c>
      <c r="U489" s="41"/>
      <c r="V489" s="79"/>
      <c r="W489" s="79"/>
      <c r="X489" s="78"/>
      <c r="Y489" s="138"/>
      <c r="Z489" s="131">
        <v>0</v>
      </c>
      <c r="AA489" s="131">
        <v>1200000</v>
      </c>
      <c r="AB489" s="131">
        <v>0</v>
      </c>
      <c r="AC489" s="138"/>
      <c r="AD489" s="131">
        <f>AA489</f>
        <v>1200000</v>
      </c>
      <c r="AE489" s="173" t="s">
        <v>102</v>
      </c>
      <c r="AF489" s="173"/>
      <c r="AG489" s="173"/>
      <c r="AH489" s="174"/>
      <c r="AI489" s="175"/>
      <c r="AJ489" s="174"/>
      <c r="AK489" s="176"/>
      <c r="AL489" s="174"/>
      <c r="AM489" s="181"/>
      <c r="AN489" s="243" t="s">
        <v>178</v>
      </c>
      <c r="AO489" s="184"/>
    </row>
    <row r="490" spans="1:41" ht="30" customHeight="1" x14ac:dyDescent="0.35">
      <c r="A490" s="38" t="s">
        <v>358</v>
      </c>
      <c r="B490" s="59" t="s">
        <v>60</v>
      </c>
      <c r="C490" s="171" t="s">
        <v>141</v>
      </c>
      <c r="D490" s="237" t="s">
        <v>114</v>
      </c>
      <c r="E490" s="237">
        <v>1</v>
      </c>
      <c r="F490" s="58" t="s">
        <v>1286</v>
      </c>
      <c r="G490" s="237" t="s">
        <v>121</v>
      </c>
      <c r="H490" s="59" t="s">
        <v>126</v>
      </c>
      <c r="I490" s="70"/>
      <c r="J490" s="237" t="s">
        <v>132</v>
      </c>
      <c r="K490" s="237" t="s">
        <v>3</v>
      </c>
      <c r="L490" s="59" t="s">
        <v>6</v>
      </c>
      <c r="M490" s="60" t="s">
        <v>28</v>
      </c>
      <c r="N490" s="130"/>
      <c r="O490" s="172"/>
      <c r="P490" s="172"/>
      <c r="Q490" s="237" t="s">
        <v>141</v>
      </c>
      <c r="R490" s="88"/>
      <c r="S490" s="88"/>
      <c r="T490" s="65"/>
      <c r="U490" s="41"/>
      <c r="V490" s="79"/>
      <c r="W490" s="79"/>
      <c r="X490" s="78"/>
      <c r="Y490" s="138"/>
      <c r="Z490" s="131">
        <v>0</v>
      </c>
      <c r="AA490" s="131">
        <v>318</v>
      </c>
      <c r="AB490" s="131">
        <v>0</v>
      </c>
      <c r="AC490" s="138"/>
      <c r="AD490" s="131">
        <f t="shared" ref="AD490:AD496" si="44">+AA490</f>
        <v>318</v>
      </c>
      <c r="AE490" s="173" t="s">
        <v>102</v>
      </c>
      <c r="AF490" s="173"/>
      <c r="AG490" s="173"/>
      <c r="AH490" s="174"/>
      <c r="AI490" s="175"/>
      <c r="AJ490" s="174"/>
      <c r="AK490" s="176"/>
      <c r="AL490" s="174"/>
      <c r="AM490" s="181"/>
      <c r="AN490" s="243" t="s">
        <v>178</v>
      </c>
      <c r="AO490" s="184"/>
    </row>
    <row r="491" spans="1:41" ht="30" customHeight="1" x14ac:dyDescent="0.35">
      <c r="A491" s="38" t="s">
        <v>358</v>
      </c>
      <c r="B491" s="59" t="s">
        <v>60</v>
      </c>
      <c r="C491" s="171" t="s">
        <v>141</v>
      </c>
      <c r="D491" s="237" t="s">
        <v>114</v>
      </c>
      <c r="E491" s="237">
        <v>1</v>
      </c>
      <c r="F491" s="58" t="s">
        <v>1287</v>
      </c>
      <c r="G491" s="237" t="s">
        <v>121</v>
      </c>
      <c r="H491" s="59" t="s">
        <v>126</v>
      </c>
      <c r="I491" s="58">
        <v>302220000247</v>
      </c>
      <c r="J491" s="237" t="s">
        <v>132</v>
      </c>
      <c r="K491" s="237" t="s">
        <v>3</v>
      </c>
      <c r="L491" s="59" t="s">
        <v>6</v>
      </c>
      <c r="M491" s="60" t="s">
        <v>23</v>
      </c>
      <c r="N491" s="130"/>
      <c r="O491" s="172"/>
      <c r="P491" s="172"/>
      <c r="Q491" s="237" t="s">
        <v>141</v>
      </c>
      <c r="R491" s="88"/>
      <c r="S491" s="88"/>
      <c r="T491" s="65"/>
      <c r="U491" s="41"/>
      <c r="V491" s="79"/>
      <c r="W491" s="79"/>
      <c r="X491" s="78"/>
      <c r="Y491" s="138"/>
      <c r="Z491" s="131">
        <v>0</v>
      </c>
      <c r="AA491" s="131">
        <v>5000000</v>
      </c>
      <c r="AB491" s="131">
        <v>0</v>
      </c>
      <c r="AC491" s="138"/>
      <c r="AD491" s="131">
        <f t="shared" si="44"/>
        <v>5000000</v>
      </c>
      <c r="AE491" s="173" t="s">
        <v>102</v>
      </c>
      <c r="AF491" s="173"/>
      <c r="AG491" s="173"/>
      <c r="AH491" s="174"/>
      <c r="AI491" s="175"/>
      <c r="AJ491" s="174"/>
      <c r="AK491" s="176"/>
      <c r="AL491" s="174"/>
      <c r="AM491" s="181"/>
      <c r="AN491" s="243" t="s">
        <v>178</v>
      </c>
      <c r="AO491" s="184"/>
    </row>
    <row r="492" spans="1:41" ht="30" customHeight="1" x14ac:dyDescent="0.35">
      <c r="A492" s="38" t="s">
        <v>358</v>
      </c>
      <c r="B492" s="59" t="s">
        <v>60</v>
      </c>
      <c r="C492" s="171" t="s">
        <v>141</v>
      </c>
      <c r="D492" s="237" t="s">
        <v>114</v>
      </c>
      <c r="E492" s="237">
        <v>1</v>
      </c>
      <c r="F492" s="58" t="s">
        <v>1288</v>
      </c>
      <c r="G492" s="237" t="s">
        <v>121</v>
      </c>
      <c r="H492" s="59" t="s">
        <v>126</v>
      </c>
      <c r="I492" s="70" t="s">
        <v>1289</v>
      </c>
      <c r="J492" s="237" t="s">
        <v>132</v>
      </c>
      <c r="K492" s="237" t="s">
        <v>3</v>
      </c>
      <c r="L492" s="59" t="s">
        <v>6</v>
      </c>
      <c r="M492" s="60" t="s">
        <v>28</v>
      </c>
      <c r="N492" s="130"/>
      <c r="O492" s="172"/>
      <c r="P492" s="172"/>
      <c r="Q492" s="237" t="s">
        <v>141</v>
      </c>
      <c r="R492" s="88"/>
      <c r="S492" s="88"/>
      <c r="T492" s="65"/>
      <c r="U492" s="41"/>
      <c r="V492" s="79"/>
      <c r="W492" s="79"/>
      <c r="X492" s="78"/>
      <c r="Y492" s="138"/>
      <c r="Z492" s="131">
        <v>0</v>
      </c>
      <c r="AA492" s="131">
        <v>70000</v>
      </c>
      <c r="AB492" s="131">
        <v>0</v>
      </c>
      <c r="AC492" s="138"/>
      <c r="AD492" s="131">
        <f t="shared" si="44"/>
        <v>70000</v>
      </c>
      <c r="AE492" s="173" t="s">
        <v>102</v>
      </c>
      <c r="AF492" s="173"/>
      <c r="AG492" s="173"/>
      <c r="AH492" s="174"/>
      <c r="AI492" s="175"/>
      <c r="AJ492" s="174"/>
      <c r="AK492" s="176"/>
      <c r="AL492" s="174"/>
      <c r="AM492" s="181"/>
      <c r="AN492" s="243" t="s">
        <v>178</v>
      </c>
      <c r="AO492" s="184"/>
    </row>
    <row r="493" spans="1:41" ht="30" customHeight="1" x14ac:dyDescent="0.35">
      <c r="A493" s="38" t="s">
        <v>358</v>
      </c>
      <c r="B493" s="59" t="s">
        <v>60</v>
      </c>
      <c r="C493" s="171" t="s">
        <v>141</v>
      </c>
      <c r="D493" s="237" t="s">
        <v>114</v>
      </c>
      <c r="E493" s="237">
        <v>1</v>
      </c>
      <c r="F493" s="58" t="s">
        <v>1290</v>
      </c>
      <c r="G493" s="237" t="s">
        <v>121</v>
      </c>
      <c r="H493" s="59" t="s">
        <v>126</v>
      </c>
      <c r="I493" s="70" t="s">
        <v>1291</v>
      </c>
      <c r="J493" s="237" t="s">
        <v>132</v>
      </c>
      <c r="K493" s="237" t="s">
        <v>3</v>
      </c>
      <c r="L493" s="59" t="s">
        <v>6</v>
      </c>
      <c r="M493" s="60" t="s">
        <v>28</v>
      </c>
      <c r="N493" s="130"/>
      <c r="O493" s="172"/>
      <c r="P493" s="172"/>
      <c r="Q493" s="237" t="s">
        <v>141</v>
      </c>
      <c r="R493" s="88"/>
      <c r="S493" s="88"/>
      <c r="T493" s="65"/>
      <c r="U493" s="41"/>
      <c r="V493" s="79"/>
      <c r="W493" s="79"/>
      <c r="X493" s="78"/>
      <c r="Y493" s="138"/>
      <c r="Z493" s="131">
        <v>0</v>
      </c>
      <c r="AA493" s="131">
        <v>5000</v>
      </c>
      <c r="AB493" s="131">
        <v>0</v>
      </c>
      <c r="AC493" s="138"/>
      <c r="AD493" s="131">
        <f t="shared" si="44"/>
        <v>5000</v>
      </c>
      <c r="AE493" s="173" t="s">
        <v>102</v>
      </c>
      <c r="AF493" s="173"/>
      <c r="AG493" s="173"/>
      <c r="AH493" s="174"/>
      <c r="AI493" s="175"/>
      <c r="AJ493" s="174"/>
      <c r="AK493" s="176"/>
      <c r="AL493" s="174"/>
      <c r="AM493" s="181"/>
      <c r="AN493" s="243" t="s">
        <v>178</v>
      </c>
      <c r="AO493" s="184"/>
    </row>
    <row r="494" spans="1:41" ht="30" customHeight="1" x14ac:dyDescent="0.35">
      <c r="A494" s="38" t="s">
        <v>358</v>
      </c>
      <c r="B494" s="59" t="s">
        <v>60</v>
      </c>
      <c r="C494" s="171" t="s">
        <v>141</v>
      </c>
      <c r="D494" s="237" t="s">
        <v>114</v>
      </c>
      <c r="E494" s="237">
        <v>1</v>
      </c>
      <c r="F494" s="58" t="s">
        <v>1292</v>
      </c>
      <c r="G494" s="237" t="s">
        <v>121</v>
      </c>
      <c r="H494" s="59" t="s">
        <v>126</v>
      </c>
      <c r="I494" s="70" t="s">
        <v>1293</v>
      </c>
      <c r="J494" s="237" t="s">
        <v>132</v>
      </c>
      <c r="K494" s="237" t="s">
        <v>3</v>
      </c>
      <c r="L494" s="59" t="s">
        <v>6</v>
      </c>
      <c r="M494" s="60" t="s">
        <v>26</v>
      </c>
      <c r="N494" s="130"/>
      <c r="O494" s="172"/>
      <c r="P494" s="172"/>
      <c r="Q494" s="237" t="s">
        <v>141</v>
      </c>
      <c r="R494" s="88"/>
      <c r="S494" s="88"/>
      <c r="T494" s="65"/>
      <c r="U494" s="41"/>
      <c r="V494" s="79"/>
      <c r="W494" s="79"/>
      <c r="X494" s="78"/>
      <c r="Y494" s="138"/>
      <c r="Z494" s="131">
        <v>0</v>
      </c>
      <c r="AA494" s="131">
        <v>4000000</v>
      </c>
      <c r="AB494" s="131">
        <v>0</v>
      </c>
      <c r="AC494" s="138"/>
      <c r="AD494" s="131">
        <f t="shared" si="44"/>
        <v>4000000</v>
      </c>
      <c r="AE494" s="173" t="s">
        <v>102</v>
      </c>
      <c r="AF494" s="173"/>
      <c r="AG494" s="173"/>
      <c r="AH494" s="174"/>
      <c r="AI494" s="175"/>
      <c r="AJ494" s="174"/>
      <c r="AK494" s="176"/>
      <c r="AL494" s="174"/>
      <c r="AM494" s="181"/>
      <c r="AN494" s="243" t="s">
        <v>178</v>
      </c>
      <c r="AO494" s="184"/>
    </row>
    <row r="495" spans="1:41" ht="30" customHeight="1" x14ac:dyDescent="0.35">
      <c r="A495" s="38" t="s">
        <v>358</v>
      </c>
      <c r="B495" s="59" t="s">
        <v>60</v>
      </c>
      <c r="C495" s="171" t="s">
        <v>141</v>
      </c>
      <c r="D495" s="237" t="s">
        <v>114</v>
      </c>
      <c r="E495" s="237">
        <v>1</v>
      </c>
      <c r="F495" s="58" t="s">
        <v>1294</v>
      </c>
      <c r="G495" s="237" t="s">
        <v>121</v>
      </c>
      <c r="H495" s="59" t="s">
        <v>126</v>
      </c>
      <c r="I495" s="70"/>
      <c r="J495" s="237" t="s">
        <v>132</v>
      </c>
      <c r="K495" s="237" t="s">
        <v>3</v>
      </c>
      <c r="L495" s="59" t="s">
        <v>6</v>
      </c>
      <c r="M495" s="60" t="s">
        <v>23</v>
      </c>
      <c r="N495" s="130"/>
      <c r="O495" s="172"/>
      <c r="P495" s="172"/>
      <c r="Q495" s="237" t="s">
        <v>141</v>
      </c>
      <c r="R495" s="88"/>
      <c r="S495" s="88"/>
      <c r="T495" s="65"/>
      <c r="U495" s="41"/>
      <c r="V495" s="79"/>
      <c r="W495" s="79"/>
      <c r="X495" s="78"/>
      <c r="Y495" s="138"/>
      <c r="Z495" s="131">
        <v>0</v>
      </c>
      <c r="AA495" s="131">
        <v>900000</v>
      </c>
      <c r="AB495" s="131">
        <v>0</v>
      </c>
      <c r="AC495" s="138"/>
      <c r="AD495" s="131">
        <f t="shared" si="44"/>
        <v>900000</v>
      </c>
      <c r="AE495" s="173" t="s">
        <v>102</v>
      </c>
      <c r="AF495" s="173"/>
      <c r="AG495" s="173"/>
      <c r="AH495" s="174"/>
      <c r="AI495" s="175"/>
      <c r="AJ495" s="174"/>
      <c r="AK495" s="176"/>
      <c r="AL495" s="174"/>
      <c r="AM495" s="181"/>
      <c r="AN495" s="243" t="s">
        <v>178</v>
      </c>
      <c r="AO495" s="184"/>
    </row>
    <row r="496" spans="1:41" ht="30" customHeight="1" x14ac:dyDescent="0.35">
      <c r="A496" s="38" t="s">
        <v>358</v>
      </c>
      <c r="B496" s="59" t="s">
        <v>60</v>
      </c>
      <c r="C496" s="171" t="s">
        <v>141</v>
      </c>
      <c r="D496" s="237" t="s">
        <v>114</v>
      </c>
      <c r="E496" s="237">
        <v>1</v>
      </c>
      <c r="F496" s="58" t="s">
        <v>1295</v>
      </c>
      <c r="G496" s="237" t="s">
        <v>121</v>
      </c>
      <c r="H496" s="59" t="s">
        <v>126</v>
      </c>
      <c r="I496" s="70"/>
      <c r="J496" s="237" t="s">
        <v>132</v>
      </c>
      <c r="K496" s="237" t="s">
        <v>3</v>
      </c>
      <c r="L496" s="59" t="s">
        <v>6</v>
      </c>
      <c r="M496" s="60" t="s">
        <v>880</v>
      </c>
      <c r="N496" s="130"/>
      <c r="O496" s="172"/>
      <c r="P496" s="172"/>
      <c r="Q496" s="237" t="s">
        <v>141</v>
      </c>
      <c r="R496" s="88"/>
      <c r="S496" s="88"/>
      <c r="T496" s="65"/>
      <c r="U496" s="41"/>
      <c r="V496" s="79"/>
      <c r="W496" s="79"/>
      <c r="X496" s="78"/>
      <c r="Y496" s="138"/>
      <c r="Z496" s="131">
        <v>0</v>
      </c>
      <c r="AA496" s="131">
        <v>51000</v>
      </c>
      <c r="AB496" s="131">
        <v>0</v>
      </c>
      <c r="AC496" s="138"/>
      <c r="AD496" s="131">
        <f t="shared" si="44"/>
        <v>51000</v>
      </c>
      <c r="AE496" s="173" t="s">
        <v>102</v>
      </c>
      <c r="AF496" s="173"/>
      <c r="AG496" s="173"/>
      <c r="AH496" s="174"/>
      <c r="AI496" s="175"/>
      <c r="AJ496" s="174"/>
      <c r="AK496" s="176"/>
      <c r="AL496" s="174"/>
      <c r="AM496" s="181"/>
      <c r="AN496" s="243" t="s">
        <v>178</v>
      </c>
      <c r="AO496" s="184"/>
    </row>
    <row r="497" spans="1:41" ht="30" customHeight="1" x14ac:dyDescent="0.35">
      <c r="A497" s="38" t="s">
        <v>358</v>
      </c>
      <c r="B497" s="59" t="s">
        <v>60</v>
      </c>
      <c r="C497" s="171" t="s">
        <v>141</v>
      </c>
      <c r="D497" s="237" t="s">
        <v>114</v>
      </c>
      <c r="E497" s="237">
        <v>1</v>
      </c>
      <c r="F497" s="58" t="s">
        <v>1296</v>
      </c>
      <c r="G497" s="237" t="s">
        <v>121</v>
      </c>
      <c r="H497" s="59" t="s">
        <v>126</v>
      </c>
      <c r="I497" s="70"/>
      <c r="J497" s="237" t="s">
        <v>132</v>
      </c>
      <c r="K497" s="237" t="s">
        <v>3</v>
      </c>
      <c r="L497" s="59" t="s">
        <v>6</v>
      </c>
      <c r="M497" s="60" t="s">
        <v>28</v>
      </c>
      <c r="N497" s="130"/>
      <c r="O497" s="172"/>
      <c r="P497" s="172"/>
      <c r="Q497" s="237" t="s">
        <v>141</v>
      </c>
      <c r="R497" s="88"/>
      <c r="S497" s="88"/>
      <c r="T497" s="65"/>
      <c r="U497" s="41"/>
      <c r="V497" s="79"/>
      <c r="W497" s="79"/>
      <c r="X497" s="78"/>
      <c r="Y497" s="138"/>
      <c r="Z497" s="131">
        <v>0</v>
      </c>
      <c r="AA497" s="131">
        <v>2934182.63</v>
      </c>
      <c r="AB497" s="131">
        <v>0</v>
      </c>
      <c r="AC497" s="138"/>
      <c r="AD497" s="131">
        <f>AA497</f>
        <v>2934182.63</v>
      </c>
      <c r="AE497" s="173" t="s">
        <v>102</v>
      </c>
      <c r="AF497" s="173"/>
      <c r="AG497" s="173"/>
      <c r="AH497" s="174"/>
      <c r="AI497" s="175"/>
      <c r="AJ497" s="174"/>
      <c r="AK497" s="176"/>
      <c r="AL497" s="174"/>
      <c r="AM497" s="181"/>
      <c r="AN497" s="243" t="s">
        <v>178</v>
      </c>
      <c r="AO497" s="184"/>
    </row>
    <row r="498" spans="1:41" ht="30" customHeight="1" x14ac:dyDescent="0.35">
      <c r="A498" s="38" t="s">
        <v>358</v>
      </c>
      <c r="B498" s="59" t="s">
        <v>60</v>
      </c>
      <c r="C498" s="171" t="s">
        <v>141</v>
      </c>
      <c r="D498" s="237" t="s">
        <v>114</v>
      </c>
      <c r="E498" s="237">
        <v>1</v>
      </c>
      <c r="F498" s="58" t="s">
        <v>1297</v>
      </c>
      <c r="G498" s="237" t="s">
        <v>121</v>
      </c>
      <c r="H498" s="59" t="s">
        <v>126</v>
      </c>
      <c r="I498" s="70"/>
      <c r="J498" s="237" t="s">
        <v>132</v>
      </c>
      <c r="K498" s="237" t="s">
        <v>3</v>
      </c>
      <c r="L498" s="59" t="s">
        <v>6</v>
      </c>
      <c r="M498" s="60" t="s">
        <v>28</v>
      </c>
      <c r="N498" s="130"/>
      <c r="O498" s="172"/>
      <c r="P498" s="172"/>
      <c r="Q498" s="237" t="s">
        <v>141</v>
      </c>
      <c r="R498" s="88"/>
      <c r="S498" s="88"/>
      <c r="T498" s="65"/>
      <c r="U498" s="41"/>
      <c r="V498" s="79"/>
      <c r="W498" s="79"/>
      <c r="X498" s="78"/>
      <c r="Y498" s="138"/>
      <c r="Z498" s="131">
        <v>0</v>
      </c>
      <c r="AA498" s="131">
        <v>6602511.1500000004</v>
      </c>
      <c r="AB498" s="131">
        <v>0</v>
      </c>
      <c r="AC498" s="138"/>
      <c r="AD498" s="131">
        <f>AA498</f>
        <v>6602511.1500000004</v>
      </c>
      <c r="AE498" s="173" t="s">
        <v>102</v>
      </c>
      <c r="AF498" s="173"/>
      <c r="AG498" s="173"/>
      <c r="AH498" s="174"/>
      <c r="AI498" s="175"/>
      <c r="AJ498" s="174"/>
      <c r="AK498" s="176"/>
      <c r="AL498" s="174"/>
      <c r="AM498" s="181"/>
      <c r="AN498" s="243" t="s">
        <v>178</v>
      </c>
      <c r="AO498" s="184"/>
    </row>
    <row r="499" spans="1:41" ht="30" customHeight="1" x14ac:dyDescent="0.35">
      <c r="A499" s="38" t="s">
        <v>358</v>
      </c>
      <c r="B499" s="59" t="s">
        <v>60</v>
      </c>
      <c r="C499" s="171" t="s">
        <v>141</v>
      </c>
      <c r="D499" s="237" t="s">
        <v>114</v>
      </c>
      <c r="E499" s="237">
        <v>1</v>
      </c>
      <c r="F499" s="58" t="s">
        <v>1298</v>
      </c>
      <c r="G499" s="237" t="s">
        <v>121</v>
      </c>
      <c r="H499" s="59" t="s">
        <v>126</v>
      </c>
      <c r="I499" s="70"/>
      <c r="J499" s="237" t="s">
        <v>132</v>
      </c>
      <c r="K499" s="237" t="s">
        <v>3</v>
      </c>
      <c r="L499" s="59" t="s">
        <v>6</v>
      </c>
      <c r="M499" s="60" t="s">
        <v>28</v>
      </c>
      <c r="N499" s="130"/>
      <c r="O499" s="172"/>
      <c r="P499" s="172"/>
      <c r="Q499" s="237" t="s">
        <v>141</v>
      </c>
      <c r="R499" s="88"/>
      <c r="S499" s="88"/>
      <c r="T499" s="65"/>
      <c r="U499" s="41"/>
      <c r="V499" s="79"/>
      <c r="W499" s="79"/>
      <c r="X499" s="78"/>
      <c r="Y499" s="138"/>
      <c r="Z499" s="131">
        <v>0</v>
      </c>
      <c r="AA499" s="131">
        <v>3806571</v>
      </c>
      <c r="AB499" s="131">
        <v>0</v>
      </c>
      <c r="AC499" s="138"/>
      <c r="AD499" s="131">
        <f>AA499</f>
        <v>3806571</v>
      </c>
      <c r="AE499" s="173" t="s">
        <v>102</v>
      </c>
      <c r="AF499" s="173"/>
      <c r="AG499" s="173"/>
      <c r="AH499" s="174"/>
      <c r="AI499" s="175"/>
      <c r="AJ499" s="174"/>
      <c r="AK499" s="176"/>
      <c r="AL499" s="174"/>
      <c r="AM499" s="181"/>
      <c r="AN499" s="243" t="s">
        <v>178</v>
      </c>
      <c r="AO499" s="184"/>
    </row>
    <row r="500" spans="1:41" ht="30" customHeight="1" x14ac:dyDescent="0.35">
      <c r="A500" s="38" t="s">
        <v>358</v>
      </c>
      <c r="B500" s="59" t="s">
        <v>60</v>
      </c>
      <c r="C500" s="171" t="s">
        <v>141</v>
      </c>
      <c r="D500" s="237" t="s">
        <v>114</v>
      </c>
      <c r="E500" s="237">
        <v>1</v>
      </c>
      <c r="F500" s="58" t="s">
        <v>1299</v>
      </c>
      <c r="G500" s="237" t="s">
        <v>121</v>
      </c>
      <c r="H500" s="59" t="s">
        <v>126</v>
      </c>
      <c r="I500" s="70"/>
      <c r="J500" s="237" t="s">
        <v>132</v>
      </c>
      <c r="K500" s="237" t="s">
        <v>3</v>
      </c>
      <c r="L500" s="59" t="s">
        <v>6</v>
      </c>
      <c r="M500" s="60" t="s">
        <v>1300</v>
      </c>
      <c r="N500" s="130"/>
      <c r="O500" s="172"/>
      <c r="P500" s="172"/>
      <c r="Q500" s="237" t="s">
        <v>141</v>
      </c>
      <c r="R500" s="88"/>
      <c r="S500" s="88"/>
      <c r="T500" s="65"/>
      <c r="U500" s="41"/>
      <c r="V500" s="79"/>
      <c r="W500" s="79"/>
      <c r="X500" s="78"/>
      <c r="Y500" s="138"/>
      <c r="Z500" s="131">
        <v>0</v>
      </c>
      <c r="AA500" s="131">
        <f>AD500</f>
        <v>550000</v>
      </c>
      <c r="AB500" s="131">
        <v>0</v>
      </c>
      <c r="AC500" s="138"/>
      <c r="AD500" s="131">
        <v>550000</v>
      </c>
      <c r="AE500" s="173" t="s">
        <v>102</v>
      </c>
      <c r="AF500" s="173"/>
      <c r="AG500" s="173"/>
      <c r="AH500" s="174"/>
      <c r="AI500" s="175"/>
      <c r="AJ500" s="174"/>
      <c r="AK500" s="176"/>
      <c r="AL500" s="174"/>
      <c r="AM500" s="181"/>
      <c r="AN500" s="243" t="s">
        <v>178</v>
      </c>
      <c r="AO500" s="184"/>
    </row>
    <row r="501" spans="1:41" ht="30" customHeight="1" x14ac:dyDescent="0.35">
      <c r="A501" s="38" t="s">
        <v>358</v>
      </c>
      <c r="B501" s="59" t="s">
        <v>60</v>
      </c>
      <c r="C501" s="171" t="s">
        <v>141</v>
      </c>
      <c r="D501" s="237" t="s">
        <v>114</v>
      </c>
      <c r="E501" s="237">
        <v>1</v>
      </c>
      <c r="F501" s="58" t="s">
        <v>1301</v>
      </c>
      <c r="G501" s="237" t="s">
        <v>121</v>
      </c>
      <c r="H501" s="59" t="s">
        <v>126</v>
      </c>
      <c r="I501" s="70"/>
      <c r="J501" s="237" t="s">
        <v>132</v>
      </c>
      <c r="K501" s="237" t="s">
        <v>3</v>
      </c>
      <c r="L501" s="59" t="s">
        <v>6</v>
      </c>
      <c r="M501" s="60" t="s">
        <v>1300</v>
      </c>
      <c r="N501" s="130"/>
      <c r="O501" s="172"/>
      <c r="P501" s="172"/>
      <c r="Q501" s="237" t="s">
        <v>141</v>
      </c>
      <c r="R501" s="88"/>
      <c r="S501" s="88"/>
      <c r="T501" s="65"/>
      <c r="U501" s="41"/>
      <c r="V501" s="79"/>
      <c r="W501" s="79"/>
      <c r="X501" s="78"/>
      <c r="Y501" s="138"/>
      <c r="Z501" s="131">
        <v>0</v>
      </c>
      <c r="AA501" s="131">
        <v>1119028</v>
      </c>
      <c r="AB501" s="131">
        <v>0</v>
      </c>
      <c r="AC501" s="138"/>
      <c r="AD501" s="131">
        <v>1119028</v>
      </c>
      <c r="AE501" s="173" t="s">
        <v>102</v>
      </c>
      <c r="AF501" s="173"/>
      <c r="AG501" s="173"/>
      <c r="AH501" s="174"/>
      <c r="AI501" s="175"/>
      <c r="AJ501" s="174"/>
      <c r="AK501" s="176"/>
      <c r="AL501" s="174"/>
      <c r="AM501" s="181"/>
      <c r="AN501" s="243" t="s">
        <v>178</v>
      </c>
      <c r="AO501" s="184"/>
    </row>
    <row r="502" spans="1:41" ht="30" customHeight="1" x14ac:dyDescent="0.35">
      <c r="A502" s="38">
        <v>2017</v>
      </c>
      <c r="B502" s="59" t="s">
        <v>70</v>
      </c>
      <c r="C502" s="171" t="s">
        <v>141</v>
      </c>
      <c r="D502" s="237" t="s">
        <v>114</v>
      </c>
      <c r="E502" s="237">
        <v>277</v>
      </c>
      <c r="F502" s="58" t="s">
        <v>1302</v>
      </c>
      <c r="G502" s="237" t="s">
        <v>121</v>
      </c>
      <c r="H502" s="59" t="s">
        <v>126</v>
      </c>
      <c r="I502" s="70" t="s">
        <v>1303</v>
      </c>
      <c r="J502" s="237" t="s">
        <v>132</v>
      </c>
      <c r="K502" s="237" t="s">
        <v>3</v>
      </c>
      <c r="L502" s="59" t="s">
        <v>6</v>
      </c>
      <c r="M502" s="60" t="s">
        <v>31</v>
      </c>
      <c r="N502" s="130"/>
      <c r="O502" s="172"/>
      <c r="P502" s="172"/>
      <c r="Q502" s="237" t="s">
        <v>141</v>
      </c>
      <c r="R502" s="79"/>
      <c r="S502" s="79"/>
      <c r="T502" s="58" t="s">
        <v>1304</v>
      </c>
      <c r="U502" s="237">
        <v>2017</v>
      </c>
      <c r="V502" s="79"/>
      <c r="W502" s="79"/>
      <c r="X502" s="79"/>
      <c r="Y502" s="131">
        <v>85714.32</v>
      </c>
      <c r="Z502" s="131">
        <v>0</v>
      </c>
      <c r="AA502" s="131">
        <v>85714.32</v>
      </c>
      <c r="AB502" s="131">
        <v>0</v>
      </c>
      <c r="AC502" s="131">
        <v>85714.32</v>
      </c>
      <c r="AD502" s="131">
        <v>85714.32</v>
      </c>
      <c r="AE502" s="173" t="s">
        <v>102</v>
      </c>
      <c r="AF502" s="173"/>
      <c r="AG502" s="173"/>
      <c r="AH502" s="174"/>
      <c r="AI502" s="175"/>
      <c r="AJ502" s="174"/>
      <c r="AK502" s="176"/>
      <c r="AL502" s="174"/>
      <c r="AM502" s="181"/>
      <c r="AN502" s="243" t="s">
        <v>178</v>
      </c>
      <c r="AO502" s="184"/>
    </row>
    <row r="503" spans="1:41" ht="30" customHeight="1" x14ac:dyDescent="0.35">
      <c r="A503" s="38">
        <v>2011</v>
      </c>
      <c r="B503" s="59" t="s">
        <v>70</v>
      </c>
      <c r="C503" s="171" t="s">
        <v>141</v>
      </c>
      <c r="D503" s="237" t="s">
        <v>114</v>
      </c>
      <c r="E503" s="237">
        <v>274</v>
      </c>
      <c r="F503" s="58" t="s">
        <v>1305</v>
      </c>
      <c r="G503" s="237" t="s">
        <v>121</v>
      </c>
      <c r="H503" s="59" t="s">
        <v>126</v>
      </c>
      <c r="I503" s="70" t="s">
        <v>1306</v>
      </c>
      <c r="J503" s="237" t="s">
        <v>132</v>
      </c>
      <c r="K503" s="237" t="s">
        <v>3</v>
      </c>
      <c r="L503" s="59" t="s">
        <v>6</v>
      </c>
      <c r="M503" s="60" t="s">
        <v>31</v>
      </c>
      <c r="N503" s="130"/>
      <c r="O503" s="172"/>
      <c r="P503" s="172"/>
      <c r="Q503" s="237" t="s">
        <v>141</v>
      </c>
      <c r="R503" s="79"/>
      <c r="S503" s="79"/>
      <c r="T503" s="58" t="s">
        <v>1307</v>
      </c>
      <c r="U503" s="237">
        <v>2011</v>
      </c>
      <c r="V503" s="79"/>
      <c r="W503" s="79"/>
      <c r="X503" s="79"/>
      <c r="Y503" s="131">
        <v>171428.5704</v>
      </c>
      <c r="Z503" s="131">
        <v>0</v>
      </c>
      <c r="AA503" s="131">
        <v>171428.5704</v>
      </c>
      <c r="AB503" s="131">
        <v>0</v>
      </c>
      <c r="AC503" s="131">
        <v>171428.5704</v>
      </c>
      <c r="AD503" s="131">
        <v>171428.5704</v>
      </c>
      <c r="AE503" s="173" t="s">
        <v>102</v>
      </c>
      <c r="AF503" s="173"/>
      <c r="AG503" s="173"/>
      <c r="AH503" s="174"/>
      <c r="AI503" s="175"/>
      <c r="AJ503" s="174"/>
      <c r="AK503" s="176"/>
      <c r="AL503" s="174"/>
      <c r="AM503" s="181"/>
      <c r="AN503" s="243" t="s">
        <v>178</v>
      </c>
      <c r="AO503" s="184"/>
    </row>
    <row r="504" spans="1:41" ht="30" customHeight="1" x14ac:dyDescent="0.35">
      <c r="A504" s="38">
        <v>2011</v>
      </c>
      <c r="B504" s="59" t="s">
        <v>70</v>
      </c>
      <c r="C504" s="171" t="s">
        <v>141</v>
      </c>
      <c r="D504" s="237" t="s">
        <v>114</v>
      </c>
      <c r="E504" s="237">
        <v>275</v>
      </c>
      <c r="F504" s="58" t="s">
        <v>1305</v>
      </c>
      <c r="G504" s="237" t="s">
        <v>121</v>
      </c>
      <c r="H504" s="59" t="s">
        <v>126</v>
      </c>
      <c r="I504" s="70" t="s">
        <v>1308</v>
      </c>
      <c r="J504" s="237" t="s">
        <v>132</v>
      </c>
      <c r="K504" s="237" t="s">
        <v>3</v>
      </c>
      <c r="L504" s="59" t="s">
        <v>6</v>
      </c>
      <c r="M504" s="60" t="s">
        <v>31</v>
      </c>
      <c r="N504" s="130"/>
      <c r="O504" s="172"/>
      <c r="P504" s="172"/>
      <c r="Q504" s="237" t="s">
        <v>141</v>
      </c>
      <c r="R504" s="79"/>
      <c r="S504" s="79"/>
      <c r="T504" s="58" t="s">
        <v>1309</v>
      </c>
      <c r="U504" s="237">
        <v>2011</v>
      </c>
      <c r="V504" s="79"/>
      <c r="W504" s="79"/>
      <c r="X504" s="79"/>
      <c r="Y504" s="131">
        <v>171428.5704</v>
      </c>
      <c r="Z504" s="131">
        <v>0</v>
      </c>
      <c r="AA504" s="131">
        <v>171428.5704</v>
      </c>
      <c r="AB504" s="131">
        <v>0</v>
      </c>
      <c r="AC504" s="131">
        <v>171428.5704</v>
      </c>
      <c r="AD504" s="131">
        <v>171428.5704</v>
      </c>
      <c r="AE504" s="173" t="s">
        <v>102</v>
      </c>
      <c r="AF504" s="173"/>
      <c r="AG504" s="173"/>
      <c r="AH504" s="174"/>
      <c r="AI504" s="175"/>
      <c r="AJ504" s="174"/>
      <c r="AK504" s="176"/>
      <c r="AL504" s="174"/>
      <c r="AM504" s="181"/>
      <c r="AN504" s="243" t="s">
        <v>178</v>
      </c>
      <c r="AO504" s="184"/>
    </row>
    <row r="505" spans="1:41" ht="30" customHeight="1" x14ac:dyDescent="0.35">
      <c r="A505" s="38">
        <v>2011</v>
      </c>
      <c r="B505" s="59" t="s">
        <v>70</v>
      </c>
      <c r="C505" s="171" t="s">
        <v>141</v>
      </c>
      <c r="D505" s="237" t="s">
        <v>114</v>
      </c>
      <c r="E505" s="237">
        <v>276</v>
      </c>
      <c r="F505" s="58" t="s">
        <v>1310</v>
      </c>
      <c r="G505" s="237" t="s">
        <v>121</v>
      </c>
      <c r="H505" s="59" t="s">
        <v>126</v>
      </c>
      <c r="I505" s="70" t="s">
        <v>1311</v>
      </c>
      <c r="J505" s="237" t="s">
        <v>132</v>
      </c>
      <c r="K505" s="237" t="s">
        <v>3</v>
      </c>
      <c r="L505" s="59" t="s">
        <v>6</v>
      </c>
      <c r="M505" s="60" t="s">
        <v>31</v>
      </c>
      <c r="N505" s="130"/>
      <c r="O505" s="172"/>
      <c r="P505" s="172"/>
      <c r="Q505" s="237" t="s">
        <v>141</v>
      </c>
      <c r="R505" s="79"/>
      <c r="S505" s="79"/>
      <c r="T505" s="58" t="s">
        <v>1312</v>
      </c>
      <c r="U505" s="237">
        <v>2011</v>
      </c>
      <c r="V505" s="79"/>
      <c r="W505" s="79"/>
      <c r="X505" s="78"/>
      <c r="Y505" s="131">
        <v>171428.5704</v>
      </c>
      <c r="Z505" s="131">
        <v>0</v>
      </c>
      <c r="AA505" s="131">
        <v>171428.5704</v>
      </c>
      <c r="AB505" s="131">
        <v>0</v>
      </c>
      <c r="AC505" s="131">
        <v>171428.5704</v>
      </c>
      <c r="AD505" s="131">
        <v>171428.5704</v>
      </c>
      <c r="AE505" s="173" t="s">
        <v>102</v>
      </c>
      <c r="AF505" s="173"/>
      <c r="AG505" s="173"/>
      <c r="AH505" s="174"/>
      <c r="AI505" s="175"/>
      <c r="AJ505" s="174"/>
      <c r="AK505" s="176"/>
      <c r="AL505" s="174"/>
      <c r="AM505" s="181"/>
      <c r="AN505" s="243" t="s">
        <v>178</v>
      </c>
      <c r="AO505" s="184"/>
    </row>
    <row r="506" spans="1:41" ht="30" customHeight="1" x14ac:dyDescent="0.35">
      <c r="A506" s="38" t="s">
        <v>358</v>
      </c>
      <c r="B506" s="59" t="s">
        <v>70</v>
      </c>
      <c r="C506" s="171" t="s">
        <v>141</v>
      </c>
      <c r="D506" s="237" t="s">
        <v>114</v>
      </c>
      <c r="E506" s="237">
        <v>1</v>
      </c>
      <c r="F506" s="58" t="s">
        <v>1313</v>
      </c>
      <c r="G506" s="237" t="s">
        <v>121</v>
      </c>
      <c r="H506" s="59" t="s">
        <v>126</v>
      </c>
      <c r="I506" s="70" t="s">
        <v>1314</v>
      </c>
      <c r="J506" s="237" t="s">
        <v>132</v>
      </c>
      <c r="K506" s="237" t="s">
        <v>3</v>
      </c>
      <c r="L506" s="59" t="s">
        <v>6</v>
      </c>
      <c r="M506" s="60" t="s">
        <v>980</v>
      </c>
      <c r="N506" s="130"/>
      <c r="O506" s="172"/>
      <c r="P506" s="172"/>
      <c r="Q506" s="237" t="s">
        <v>141</v>
      </c>
      <c r="R506" s="79"/>
      <c r="S506" s="79"/>
      <c r="T506" s="58" t="s">
        <v>1315</v>
      </c>
      <c r="U506" s="180"/>
      <c r="V506" s="79"/>
      <c r="W506" s="79"/>
      <c r="X506" s="78"/>
      <c r="Y506" s="131">
        <v>183680</v>
      </c>
      <c r="Z506" s="131">
        <v>0</v>
      </c>
      <c r="AA506" s="131">
        <v>183680</v>
      </c>
      <c r="AB506" s="131">
        <v>0</v>
      </c>
      <c r="AC506" s="131">
        <v>183680</v>
      </c>
      <c r="AD506" s="131">
        <v>183680</v>
      </c>
      <c r="AE506" s="173" t="s">
        <v>102</v>
      </c>
      <c r="AF506" s="173"/>
      <c r="AG506" s="173"/>
      <c r="AH506" s="174"/>
      <c r="AI506" s="175"/>
      <c r="AJ506" s="174"/>
      <c r="AK506" s="176"/>
      <c r="AL506" s="174"/>
      <c r="AM506" s="181"/>
      <c r="AN506" s="243" t="s">
        <v>178</v>
      </c>
      <c r="AO506" s="184"/>
    </row>
    <row r="507" spans="1:41" ht="30" customHeight="1" x14ac:dyDescent="0.35">
      <c r="A507" s="38">
        <v>2001</v>
      </c>
      <c r="B507" s="59" t="s">
        <v>70</v>
      </c>
      <c r="C507" s="171" t="s">
        <v>141</v>
      </c>
      <c r="D507" s="237" t="s">
        <v>114</v>
      </c>
      <c r="E507" s="237">
        <v>1</v>
      </c>
      <c r="F507" s="58" t="s">
        <v>1313</v>
      </c>
      <c r="G507" s="237" t="s">
        <v>121</v>
      </c>
      <c r="H507" s="59" t="s">
        <v>126</v>
      </c>
      <c r="I507" s="70" t="s">
        <v>1316</v>
      </c>
      <c r="J507" s="237" t="s">
        <v>132</v>
      </c>
      <c r="K507" s="237" t="s">
        <v>3</v>
      </c>
      <c r="L507" s="59" t="s">
        <v>6</v>
      </c>
      <c r="M507" s="60" t="s">
        <v>980</v>
      </c>
      <c r="N507" s="130"/>
      <c r="O507" s="172"/>
      <c r="P507" s="172"/>
      <c r="Q507" s="237" t="s">
        <v>141</v>
      </c>
      <c r="R507" s="79"/>
      <c r="S507" s="79"/>
      <c r="T507" s="58" t="s">
        <v>1317</v>
      </c>
      <c r="U507" s="237">
        <v>2001</v>
      </c>
      <c r="V507" s="79"/>
      <c r="W507" s="79"/>
      <c r="X507" s="78"/>
      <c r="Y507" s="131">
        <v>127666.66666666701</v>
      </c>
      <c r="Z507" s="131">
        <v>0</v>
      </c>
      <c r="AA507" s="131">
        <v>127666.66666666701</v>
      </c>
      <c r="AB507" s="131">
        <v>0</v>
      </c>
      <c r="AC507" s="131">
        <v>127666.66666666701</v>
      </c>
      <c r="AD507" s="131">
        <v>127666.66666666701</v>
      </c>
      <c r="AE507" s="173" t="s">
        <v>102</v>
      </c>
      <c r="AF507" s="173"/>
      <c r="AG507" s="173"/>
      <c r="AH507" s="174"/>
      <c r="AI507" s="175"/>
      <c r="AJ507" s="174"/>
      <c r="AK507" s="176"/>
      <c r="AL507" s="174"/>
      <c r="AM507" s="181"/>
      <c r="AN507" s="243" t="s">
        <v>178</v>
      </c>
      <c r="AO507" s="184"/>
    </row>
    <row r="508" spans="1:41" ht="30" customHeight="1" x14ac:dyDescent="0.35">
      <c r="A508" s="38">
        <v>2025</v>
      </c>
      <c r="B508" s="59" t="s">
        <v>66</v>
      </c>
      <c r="C508" s="171" t="s">
        <v>141</v>
      </c>
      <c r="D508" s="237" t="s">
        <v>114</v>
      </c>
      <c r="E508" s="237"/>
      <c r="F508" s="58" t="s">
        <v>1318</v>
      </c>
      <c r="G508" s="237" t="s">
        <v>121</v>
      </c>
      <c r="H508" s="59" t="s">
        <v>126</v>
      </c>
      <c r="I508" s="70" t="s">
        <v>1319</v>
      </c>
      <c r="J508" s="237" t="s">
        <v>132</v>
      </c>
      <c r="K508" s="237" t="s">
        <v>3</v>
      </c>
      <c r="L508" s="59" t="s">
        <v>6</v>
      </c>
      <c r="M508" s="60" t="s">
        <v>27</v>
      </c>
      <c r="N508" s="130"/>
      <c r="O508" s="172"/>
      <c r="P508" s="172"/>
      <c r="Q508" s="237" t="s">
        <v>141</v>
      </c>
      <c r="R508" s="79"/>
      <c r="S508" s="79"/>
      <c r="T508" s="58" t="s">
        <v>1320</v>
      </c>
      <c r="U508" s="237">
        <v>2025</v>
      </c>
      <c r="V508" s="79"/>
      <c r="W508" s="79"/>
      <c r="X508" s="78"/>
      <c r="Y508" s="131">
        <f>AC508</f>
        <v>1300000</v>
      </c>
      <c r="Z508" s="131">
        <v>0</v>
      </c>
      <c r="AA508" s="131">
        <f>AD508</f>
        <v>1560000</v>
      </c>
      <c r="AB508" s="131">
        <v>0</v>
      </c>
      <c r="AC508" s="131">
        <v>1300000</v>
      </c>
      <c r="AD508" s="131">
        <v>1560000</v>
      </c>
      <c r="AE508" s="173" t="s">
        <v>102</v>
      </c>
      <c r="AF508" s="173"/>
      <c r="AG508" s="173"/>
      <c r="AH508" s="174"/>
      <c r="AI508" s="175"/>
      <c r="AJ508" s="174"/>
      <c r="AK508" s="176"/>
      <c r="AL508" s="174"/>
      <c r="AM508" s="181"/>
      <c r="AN508" s="244" t="s">
        <v>347</v>
      </c>
      <c r="AO508" s="184"/>
    </row>
    <row r="509" spans="1:41" ht="30" customHeight="1" x14ac:dyDescent="0.35">
      <c r="A509" s="38" t="s">
        <v>358</v>
      </c>
      <c r="B509" s="59" t="s">
        <v>61</v>
      </c>
      <c r="C509" s="171" t="s">
        <v>141</v>
      </c>
      <c r="D509" s="237" t="s">
        <v>114</v>
      </c>
      <c r="E509" s="237">
        <v>1</v>
      </c>
      <c r="F509" s="58" t="s">
        <v>1321</v>
      </c>
      <c r="G509" s="237" t="s">
        <v>121</v>
      </c>
      <c r="H509" s="59" t="s">
        <v>126</v>
      </c>
      <c r="I509" s="70" t="s">
        <v>1322</v>
      </c>
      <c r="J509" s="237" t="s">
        <v>132</v>
      </c>
      <c r="K509" s="237" t="s">
        <v>3</v>
      </c>
      <c r="L509" s="59" t="s">
        <v>6</v>
      </c>
      <c r="M509" s="60" t="s">
        <v>25</v>
      </c>
      <c r="N509" s="130"/>
      <c r="O509" s="172"/>
      <c r="P509" s="172"/>
      <c r="Q509" s="237" t="s">
        <v>141</v>
      </c>
      <c r="R509" s="79"/>
      <c r="S509" s="79"/>
      <c r="T509" s="58" t="s">
        <v>1323</v>
      </c>
      <c r="U509" s="237" t="s">
        <v>358</v>
      </c>
      <c r="V509" s="79"/>
      <c r="W509" s="79"/>
      <c r="X509" s="78"/>
      <c r="Y509" s="131">
        <v>250000</v>
      </c>
      <c r="Z509" s="131">
        <v>0</v>
      </c>
      <c r="AA509" s="131">
        <v>250000</v>
      </c>
      <c r="AB509" s="131">
        <v>0</v>
      </c>
      <c r="AC509" s="131">
        <v>250000</v>
      </c>
      <c r="AD509" s="131">
        <v>250000</v>
      </c>
      <c r="AE509" s="173" t="s">
        <v>102</v>
      </c>
      <c r="AF509" s="173"/>
      <c r="AG509" s="173"/>
      <c r="AH509" s="174"/>
      <c r="AI509" s="175"/>
      <c r="AJ509" s="174"/>
      <c r="AK509" s="176"/>
      <c r="AL509" s="174"/>
      <c r="AM509" s="181"/>
      <c r="AN509" s="243" t="s">
        <v>178</v>
      </c>
      <c r="AO509" s="184"/>
    </row>
    <row r="510" spans="1:41" ht="30" customHeight="1" x14ac:dyDescent="0.35">
      <c r="A510" s="38">
        <v>2024</v>
      </c>
      <c r="B510" s="59" t="s">
        <v>63</v>
      </c>
      <c r="C510" s="171" t="s">
        <v>141</v>
      </c>
      <c r="D510" s="237" t="s">
        <v>114</v>
      </c>
      <c r="E510" s="237">
        <v>8</v>
      </c>
      <c r="F510" s="58" t="s">
        <v>1324</v>
      </c>
      <c r="G510" s="237" t="s">
        <v>121</v>
      </c>
      <c r="H510" s="59" t="s">
        <v>126</v>
      </c>
      <c r="I510" s="70" t="s">
        <v>1325</v>
      </c>
      <c r="J510" s="237" t="s">
        <v>132</v>
      </c>
      <c r="K510" s="237" t="s">
        <v>3</v>
      </c>
      <c r="L510" s="59" t="s">
        <v>6</v>
      </c>
      <c r="M510" s="60" t="s">
        <v>953</v>
      </c>
      <c r="N510" s="130"/>
      <c r="O510" s="172"/>
      <c r="P510" s="172"/>
      <c r="Q510" s="237" t="s">
        <v>141</v>
      </c>
      <c r="R510" s="79"/>
      <c r="S510" s="79"/>
      <c r="T510" s="58" t="s">
        <v>1326</v>
      </c>
      <c r="U510" s="237">
        <v>2024</v>
      </c>
      <c r="V510" s="79"/>
      <c r="W510" s="79"/>
      <c r="X510" s="78"/>
      <c r="Y510" s="131">
        <v>1427180</v>
      </c>
      <c r="Z510" s="131">
        <v>0</v>
      </c>
      <c r="AA510" s="131">
        <v>1427180</v>
      </c>
      <c r="AB510" s="131">
        <v>0</v>
      </c>
      <c r="AC510" s="131">
        <v>1427180</v>
      </c>
      <c r="AD510" s="135">
        <v>1427180</v>
      </c>
      <c r="AE510" s="173" t="s">
        <v>102</v>
      </c>
      <c r="AF510" s="173"/>
      <c r="AG510" s="173"/>
      <c r="AH510" s="174"/>
      <c r="AI510" s="175"/>
      <c r="AJ510" s="174"/>
      <c r="AK510" s="176"/>
      <c r="AL510" s="174"/>
      <c r="AM510" s="181" t="s">
        <v>1030</v>
      </c>
      <c r="AN510" s="243" t="s">
        <v>178</v>
      </c>
      <c r="AO510" s="184"/>
    </row>
    <row r="511" spans="1:41" ht="30" customHeight="1" x14ac:dyDescent="0.35">
      <c r="A511" s="38">
        <v>2025</v>
      </c>
      <c r="B511" s="59" t="s">
        <v>63</v>
      </c>
      <c r="C511" s="171" t="s">
        <v>141</v>
      </c>
      <c r="D511" s="237" t="s">
        <v>114</v>
      </c>
      <c r="E511" s="237">
        <v>18</v>
      </c>
      <c r="F511" s="58" t="s">
        <v>1327</v>
      </c>
      <c r="G511" s="237" t="s">
        <v>121</v>
      </c>
      <c r="H511" s="59" t="s">
        <v>126</v>
      </c>
      <c r="I511" s="70" t="s">
        <v>1328</v>
      </c>
      <c r="J511" s="237" t="s">
        <v>132</v>
      </c>
      <c r="K511" s="237" t="s">
        <v>3</v>
      </c>
      <c r="L511" s="59" t="s">
        <v>6</v>
      </c>
      <c r="M511" s="60" t="s">
        <v>953</v>
      </c>
      <c r="N511" s="130"/>
      <c r="O511" s="172"/>
      <c r="P511" s="172"/>
      <c r="Q511" s="237" t="s">
        <v>141</v>
      </c>
      <c r="R511" s="79"/>
      <c r="S511" s="79"/>
      <c r="T511" s="58" t="s">
        <v>1329</v>
      </c>
      <c r="U511" s="237">
        <v>2025</v>
      </c>
      <c r="V511" s="79"/>
      <c r="W511" s="79"/>
      <c r="X511" s="78"/>
      <c r="Y511" s="131">
        <v>414064</v>
      </c>
      <c r="Z511" s="131">
        <v>40000</v>
      </c>
      <c r="AA511" s="131">
        <v>414064</v>
      </c>
      <c r="AB511" s="131">
        <v>40000</v>
      </c>
      <c r="AC511" s="131">
        <v>414064</v>
      </c>
      <c r="AD511" s="135">
        <v>414064</v>
      </c>
      <c r="AE511" s="173" t="s">
        <v>102</v>
      </c>
      <c r="AF511" s="173"/>
      <c r="AG511" s="173"/>
      <c r="AH511" s="174"/>
      <c r="AI511" s="175"/>
      <c r="AJ511" s="174"/>
      <c r="AK511" s="176"/>
      <c r="AL511" s="174"/>
      <c r="AM511" s="181" t="s">
        <v>1030</v>
      </c>
      <c r="AN511" s="243" t="s">
        <v>178</v>
      </c>
      <c r="AO511" s="184"/>
    </row>
    <row r="512" spans="1:41" ht="30" customHeight="1" x14ac:dyDescent="0.35">
      <c r="A512" s="38">
        <v>2025</v>
      </c>
      <c r="B512" s="59" t="s">
        <v>63</v>
      </c>
      <c r="C512" s="171" t="s">
        <v>141</v>
      </c>
      <c r="D512" s="237" t="s">
        <v>114</v>
      </c>
      <c r="E512" s="237">
        <v>6</v>
      </c>
      <c r="F512" s="58" t="s">
        <v>1330</v>
      </c>
      <c r="G512" s="237" t="s">
        <v>121</v>
      </c>
      <c r="H512" s="59" t="s">
        <v>126</v>
      </c>
      <c r="I512" s="70" t="s">
        <v>1331</v>
      </c>
      <c r="J512" s="237" t="s">
        <v>132</v>
      </c>
      <c r="K512" s="237" t="s">
        <v>3</v>
      </c>
      <c r="L512" s="59" t="s">
        <v>6</v>
      </c>
      <c r="M512" s="60" t="s">
        <v>953</v>
      </c>
      <c r="N512" s="130"/>
      <c r="O512" s="172"/>
      <c r="P512" s="172"/>
      <c r="Q512" s="237" t="s">
        <v>141</v>
      </c>
      <c r="R512" s="79"/>
      <c r="S512" s="79"/>
      <c r="T512" s="58" t="s">
        <v>1332</v>
      </c>
      <c r="U512" s="237">
        <v>2025</v>
      </c>
      <c r="V512" s="79"/>
      <c r="W512" s="79"/>
      <c r="X512" s="78"/>
      <c r="Y512" s="131">
        <v>96190</v>
      </c>
      <c r="Z512" s="131">
        <v>10000</v>
      </c>
      <c r="AA512" s="131">
        <v>96190</v>
      </c>
      <c r="AB512" s="131">
        <v>10000</v>
      </c>
      <c r="AC512" s="131">
        <v>96190</v>
      </c>
      <c r="AD512" s="135">
        <v>96190</v>
      </c>
      <c r="AE512" s="173" t="s">
        <v>102</v>
      </c>
      <c r="AF512" s="173"/>
      <c r="AG512" s="173"/>
      <c r="AH512" s="174"/>
      <c r="AI512" s="175"/>
      <c r="AJ512" s="174"/>
      <c r="AK512" s="176"/>
      <c r="AL512" s="174"/>
      <c r="AM512" s="181" t="s">
        <v>1030</v>
      </c>
      <c r="AN512" s="243" t="s">
        <v>178</v>
      </c>
      <c r="AO512" s="184"/>
    </row>
    <row r="513" spans="1:41" ht="30" customHeight="1" x14ac:dyDescent="0.35">
      <c r="A513" s="38">
        <v>2025</v>
      </c>
      <c r="B513" s="59" t="s">
        <v>711</v>
      </c>
      <c r="C513" s="171" t="s">
        <v>141</v>
      </c>
      <c r="D513" s="237" t="s">
        <v>114</v>
      </c>
      <c r="E513" s="237">
        <v>1</v>
      </c>
      <c r="F513" s="58" t="s">
        <v>1333</v>
      </c>
      <c r="G513" s="237" t="s">
        <v>121</v>
      </c>
      <c r="H513" s="59" t="s">
        <v>126</v>
      </c>
      <c r="I513" s="70" t="s">
        <v>1334</v>
      </c>
      <c r="J513" s="237" t="s">
        <v>132</v>
      </c>
      <c r="K513" s="237" t="s">
        <v>3</v>
      </c>
      <c r="L513" s="59" t="s">
        <v>6</v>
      </c>
      <c r="M513" s="60" t="s">
        <v>25</v>
      </c>
      <c r="N513" s="130"/>
      <c r="O513" s="172"/>
      <c r="P513" s="172"/>
      <c r="Q513" s="237" t="s">
        <v>141</v>
      </c>
      <c r="R513" s="79"/>
      <c r="S513" s="79"/>
      <c r="T513" s="58" t="s">
        <v>1335</v>
      </c>
      <c r="U513" s="237">
        <v>2025</v>
      </c>
      <c r="V513" s="79"/>
      <c r="W513" s="79"/>
      <c r="X513" s="78"/>
      <c r="Y513" s="131">
        <v>366650</v>
      </c>
      <c r="Z513" s="131">
        <v>0</v>
      </c>
      <c r="AA513" s="131">
        <v>439980</v>
      </c>
      <c r="AB513" s="131">
        <v>0</v>
      </c>
      <c r="AC513" s="131">
        <v>366650</v>
      </c>
      <c r="AD513" s="131">
        <v>439980</v>
      </c>
      <c r="AE513" s="173" t="s">
        <v>102</v>
      </c>
      <c r="AF513" s="173"/>
      <c r="AG513" s="173"/>
      <c r="AH513" s="174"/>
      <c r="AI513" s="175"/>
      <c r="AJ513" s="174"/>
      <c r="AK513" s="176"/>
      <c r="AL513" s="174"/>
      <c r="AM513" s="181"/>
      <c r="AN513" s="243" t="s">
        <v>178</v>
      </c>
      <c r="AO513" s="184"/>
    </row>
    <row r="514" spans="1:41" ht="30" customHeight="1" x14ac:dyDescent="0.35">
      <c r="A514" s="38">
        <v>2025</v>
      </c>
      <c r="B514" s="59" t="s">
        <v>711</v>
      </c>
      <c r="C514" s="171" t="s">
        <v>141</v>
      </c>
      <c r="D514" s="237" t="s">
        <v>114</v>
      </c>
      <c r="E514" s="237">
        <v>1</v>
      </c>
      <c r="F514" s="58" t="s">
        <v>1336</v>
      </c>
      <c r="G514" s="237" t="s">
        <v>121</v>
      </c>
      <c r="H514" s="59" t="s">
        <v>126</v>
      </c>
      <c r="I514" s="70" t="s">
        <v>1337</v>
      </c>
      <c r="J514" s="237" t="s">
        <v>132</v>
      </c>
      <c r="K514" s="237" t="s">
        <v>3</v>
      </c>
      <c r="L514" s="59" t="s">
        <v>6</v>
      </c>
      <c r="M514" s="60" t="s">
        <v>25</v>
      </c>
      <c r="N514" s="130"/>
      <c r="O514" s="172"/>
      <c r="P514" s="172"/>
      <c r="Q514" s="237" t="s">
        <v>141</v>
      </c>
      <c r="R514" s="79"/>
      <c r="S514" s="79"/>
      <c r="T514" s="58" t="s">
        <v>1338</v>
      </c>
      <c r="U514" s="237">
        <v>2024</v>
      </c>
      <c r="V514" s="79"/>
      <c r="W514" s="79"/>
      <c r="X514" s="78"/>
      <c r="Y514" s="131">
        <v>283200</v>
      </c>
      <c r="Z514" s="131">
        <v>0</v>
      </c>
      <c r="AA514" s="131">
        <v>339840</v>
      </c>
      <c r="AB514" s="131"/>
      <c r="AC514" s="131">
        <v>0</v>
      </c>
      <c r="AD514" s="131">
        <v>339840</v>
      </c>
      <c r="AE514" s="173" t="s">
        <v>102</v>
      </c>
      <c r="AF514" s="173"/>
      <c r="AG514" s="173"/>
      <c r="AH514" s="174"/>
      <c r="AI514" s="175"/>
      <c r="AJ514" s="174"/>
      <c r="AK514" s="176"/>
      <c r="AL514" s="174"/>
      <c r="AM514" s="181"/>
      <c r="AN514" s="243" t="s">
        <v>178</v>
      </c>
      <c r="AO514" s="184"/>
    </row>
    <row r="515" spans="1:41" ht="30" customHeight="1" x14ac:dyDescent="0.35">
      <c r="A515" s="38">
        <v>2025</v>
      </c>
      <c r="B515" s="59" t="s">
        <v>711</v>
      </c>
      <c r="C515" s="171" t="s">
        <v>141</v>
      </c>
      <c r="D515" s="237" t="s">
        <v>114</v>
      </c>
      <c r="E515" s="237">
        <v>1</v>
      </c>
      <c r="F515" s="58" t="s">
        <v>1339</v>
      </c>
      <c r="G515" s="237" t="s">
        <v>121</v>
      </c>
      <c r="H515" s="59" t="s">
        <v>126</v>
      </c>
      <c r="I515" s="70" t="s">
        <v>1340</v>
      </c>
      <c r="J515" s="237" t="s">
        <v>132</v>
      </c>
      <c r="K515" s="237" t="s">
        <v>3</v>
      </c>
      <c r="L515" s="59" t="s">
        <v>6</v>
      </c>
      <c r="M515" s="60" t="s">
        <v>25</v>
      </c>
      <c r="N515" s="130"/>
      <c r="O515" s="172"/>
      <c r="P515" s="172"/>
      <c r="Q515" s="237" t="s">
        <v>141</v>
      </c>
      <c r="R515" s="79"/>
      <c r="S515" s="79"/>
      <c r="T515" s="58" t="s">
        <v>1335</v>
      </c>
      <c r="U515" s="237">
        <v>2025</v>
      </c>
      <c r="V515" s="79"/>
      <c r="W515" s="79"/>
      <c r="X515" s="78"/>
      <c r="Y515" s="131">
        <v>114720</v>
      </c>
      <c r="Z515" s="131">
        <v>0</v>
      </c>
      <c r="AA515" s="131">
        <v>137664</v>
      </c>
      <c r="AB515" s="131">
        <v>0</v>
      </c>
      <c r="AC515" s="131">
        <v>114720</v>
      </c>
      <c r="AD515" s="131">
        <v>137664</v>
      </c>
      <c r="AE515" s="173" t="s">
        <v>102</v>
      </c>
      <c r="AF515" s="173"/>
      <c r="AG515" s="173"/>
      <c r="AH515" s="174"/>
      <c r="AI515" s="175"/>
      <c r="AJ515" s="174"/>
      <c r="AK515" s="176"/>
      <c r="AL515" s="174"/>
      <c r="AM515" s="181"/>
      <c r="AN515" s="243" t="s">
        <v>178</v>
      </c>
      <c r="AO515" s="184"/>
    </row>
    <row r="516" spans="1:41" ht="30" customHeight="1" x14ac:dyDescent="0.35">
      <c r="A516" s="38">
        <v>2025</v>
      </c>
      <c r="B516" s="59" t="s">
        <v>711</v>
      </c>
      <c r="C516" s="171" t="s">
        <v>141</v>
      </c>
      <c r="D516" s="237" t="s">
        <v>114</v>
      </c>
      <c r="E516" s="237">
        <v>1</v>
      </c>
      <c r="F516" s="58" t="s">
        <v>1341</v>
      </c>
      <c r="G516" s="237" t="s">
        <v>121</v>
      </c>
      <c r="H516" s="59" t="s">
        <v>126</v>
      </c>
      <c r="I516" s="70" t="s">
        <v>1342</v>
      </c>
      <c r="J516" s="237" t="s">
        <v>132</v>
      </c>
      <c r="K516" s="237" t="s">
        <v>3</v>
      </c>
      <c r="L516" s="59" t="s">
        <v>6</v>
      </c>
      <c r="M516" s="60" t="s">
        <v>980</v>
      </c>
      <c r="N516" s="130"/>
      <c r="O516" s="172"/>
      <c r="P516" s="172"/>
      <c r="Q516" s="237" t="s">
        <v>141</v>
      </c>
      <c r="R516" s="79"/>
      <c r="S516" s="79"/>
      <c r="T516" s="58" t="s">
        <v>1343</v>
      </c>
      <c r="U516" s="237">
        <v>2025</v>
      </c>
      <c r="V516" s="79"/>
      <c r="W516" s="79"/>
      <c r="X516" s="78"/>
      <c r="Y516" s="131">
        <v>1644442.8</v>
      </c>
      <c r="Z516" s="131">
        <v>156000</v>
      </c>
      <c r="AA516" s="131">
        <v>1644442.8</v>
      </c>
      <c r="AB516" s="131">
        <v>156000</v>
      </c>
      <c r="AC516" s="131">
        <v>1644442.8</v>
      </c>
      <c r="AD516" s="131">
        <v>1644442.8</v>
      </c>
      <c r="AE516" s="173" t="s">
        <v>102</v>
      </c>
      <c r="AF516" s="173"/>
      <c r="AG516" s="173"/>
      <c r="AH516" s="174"/>
      <c r="AI516" s="175"/>
      <c r="AJ516" s="174"/>
      <c r="AK516" s="176"/>
      <c r="AL516" s="174"/>
      <c r="AM516" s="181"/>
      <c r="AN516" s="243" t="s">
        <v>178</v>
      </c>
      <c r="AO516" s="184"/>
    </row>
    <row r="517" spans="1:41" ht="30" customHeight="1" x14ac:dyDescent="0.35">
      <c r="A517" s="38">
        <v>2025</v>
      </c>
      <c r="B517" s="59" t="s">
        <v>57</v>
      </c>
      <c r="C517" s="171" t="s">
        <v>141</v>
      </c>
      <c r="D517" s="237" t="s">
        <v>114</v>
      </c>
      <c r="E517" s="237"/>
      <c r="F517" s="58" t="s">
        <v>1344</v>
      </c>
      <c r="G517" s="237" t="s">
        <v>121</v>
      </c>
      <c r="H517" s="59" t="s">
        <v>126</v>
      </c>
      <c r="I517" s="70" t="s">
        <v>1345</v>
      </c>
      <c r="J517" s="237" t="s">
        <v>132</v>
      </c>
      <c r="K517" s="237" t="s">
        <v>3</v>
      </c>
      <c r="L517" s="59" t="s">
        <v>6</v>
      </c>
      <c r="M517" s="60" t="s">
        <v>24</v>
      </c>
      <c r="N517" s="130"/>
      <c r="O517" s="172"/>
      <c r="P517" s="172"/>
      <c r="Q517" s="237" t="s">
        <v>141</v>
      </c>
      <c r="R517" s="79"/>
      <c r="S517" s="79"/>
      <c r="T517" s="58" t="s">
        <v>1346</v>
      </c>
      <c r="U517" s="237">
        <v>2025</v>
      </c>
      <c r="V517" s="79"/>
      <c r="W517" s="79"/>
      <c r="X517" s="78"/>
      <c r="Y517" s="131">
        <v>480000</v>
      </c>
      <c r="Z517" s="131">
        <v>0</v>
      </c>
      <c r="AA517" s="131">
        <v>576000</v>
      </c>
      <c r="AB517" s="131">
        <v>0</v>
      </c>
      <c r="AC517" s="139">
        <v>480000</v>
      </c>
      <c r="AD517" s="131">
        <v>576000</v>
      </c>
      <c r="AE517" s="201" t="s">
        <v>102</v>
      </c>
      <c r="AF517" s="173"/>
      <c r="AG517" s="173"/>
      <c r="AH517" s="174"/>
      <c r="AI517" s="175"/>
      <c r="AJ517" s="174"/>
      <c r="AK517" s="176"/>
      <c r="AL517" s="174"/>
      <c r="AM517" s="181"/>
      <c r="AN517" s="244" t="s">
        <v>347</v>
      </c>
      <c r="AO517" s="184"/>
    </row>
    <row r="518" spans="1:41" ht="30" customHeight="1" x14ac:dyDescent="0.35">
      <c r="A518" s="38">
        <v>2023</v>
      </c>
      <c r="B518" s="59" t="s">
        <v>78</v>
      </c>
      <c r="C518" s="171" t="s">
        <v>141</v>
      </c>
      <c r="D518" s="237" t="s">
        <v>114</v>
      </c>
      <c r="E518" s="237">
        <v>1</v>
      </c>
      <c r="F518" s="58" t="s">
        <v>1347</v>
      </c>
      <c r="G518" s="237" t="s">
        <v>121</v>
      </c>
      <c r="H518" s="59" t="s">
        <v>126</v>
      </c>
      <c r="I518" s="70">
        <v>45292</v>
      </c>
      <c r="J518" s="237" t="s">
        <v>132</v>
      </c>
      <c r="K518" s="237" t="s">
        <v>3</v>
      </c>
      <c r="L518" s="59" t="s">
        <v>6</v>
      </c>
      <c r="M518" s="60" t="s">
        <v>356</v>
      </c>
      <c r="N518" s="130"/>
      <c r="O518" s="172"/>
      <c r="P518" s="172"/>
      <c r="Q518" s="237" t="s">
        <v>141</v>
      </c>
      <c r="R518" s="79"/>
      <c r="S518" s="79"/>
      <c r="T518" s="58" t="s">
        <v>1348</v>
      </c>
      <c r="U518" s="237">
        <v>2024</v>
      </c>
      <c r="V518" s="79"/>
      <c r="W518" s="79"/>
      <c r="X518" s="78"/>
      <c r="Y518" s="131">
        <f>AC518</f>
        <v>98750</v>
      </c>
      <c r="Z518" s="131">
        <v>0</v>
      </c>
      <c r="AA518" s="131">
        <f>AD518</f>
        <v>118500</v>
      </c>
      <c r="AB518" s="131">
        <v>0</v>
      </c>
      <c r="AC518" s="139">
        <f>AD518/1.2</f>
        <v>98750</v>
      </c>
      <c r="AD518" s="131">
        <v>118500</v>
      </c>
      <c r="AE518" s="201" t="s">
        <v>102</v>
      </c>
      <c r="AF518" s="173"/>
      <c r="AG518" s="173"/>
      <c r="AH518" s="174"/>
      <c r="AI518" s="175"/>
      <c r="AJ518" s="174"/>
      <c r="AK518" s="176"/>
      <c r="AL518" s="174"/>
      <c r="AM518" s="181"/>
      <c r="AN518" s="243" t="s">
        <v>178</v>
      </c>
      <c r="AO518" s="184"/>
    </row>
    <row r="519" spans="1:41" ht="30" customHeight="1" x14ac:dyDescent="0.35">
      <c r="A519" s="38">
        <v>2023</v>
      </c>
      <c r="B519" s="59" t="s">
        <v>78</v>
      </c>
      <c r="C519" s="171" t="s">
        <v>141</v>
      </c>
      <c r="D519" s="237" t="s">
        <v>114</v>
      </c>
      <c r="E519" s="237">
        <v>1</v>
      </c>
      <c r="F519" s="58" t="s">
        <v>1349</v>
      </c>
      <c r="G519" s="237" t="s">
        <v>121</v>
      </c>
      <c r="H519" s="59" t="s">
        <v>126</v>
      </c>
      <c r="I519" s="70" t="s">
        <v>1350</v>
      </c>
      <c r="J519" s="237" t="s">
        <v>132</v>
      </c>
      <c r="K519" s="237" t="s">
        <v>3</v>
      </c>
      <c r="L519" s="59" t="s">
        <v>6</v>
      </c>
      <c r="M519" s="60" t="s">
        <v>24</v>
      </c>
      <c r="N519" s="130"/>
      <c r="O519" s="172"/>
      <c r="P519" s="172"/>
      <c r="Q519" s="237" t="s">
        <v>141</v>
      </c>
      <c r="R519" s="79"/>
      <c r="S519" s="79"/>
      <c r="T519" s="58" t="s">
        <v>1351</v>
      </c>
      <c r="U519" s="237">
        <v>2023</v>
      </c>
      <c r="V519" s="79"/>
      <c r="W519" s="79"/>
      <c r="X519" s="78"/>
      <c r="Y519" s="131">
        <f>AA519/1.2</f>
        <v>83333.333333333343</v>
      </c>
      <c r="Z519" s="131">
        <v>0</v>
      </c>
      <c r="AA519" s="131">
        <v>100000</v>
      </c>
      <c r="AB519" s="131">
        <v>0</v>
      </c>
      <c r="AC519" s="131">
        <f>Y519</f>
        <v>83333.333333333343</v>
      </c>
      <c r="AD519" s="131">
        <f>AA519</f>
        <v>100000</v>
      </c>
      <c r="AE519" s="201" t="s">
        <v>102</v>
      </c>
      <c r="AF519" s="173"/>
      <c r="AG519" s="173"/>
      <c r="AH519" s="174"/>
      <c r="AI519" s="175"/>
      <c r="AJ519" s="174"/>
      <c r="AK519" s="176"/>
      <c r="AL519" s="174"/>
      <c r="AM519" s="181" t="s">
        <v>1030</v>
      </c>
      <c r="AN519" s="243" t="s">
        <v>178</v>
      </c>
      <c r="AO519" s="184"/>
    </row>
    <row r="520" spans="1:41" ht="30" customHeight="1" x14ac:dyDescent="0.35">
      <c r="A520" s="38">
        <v>2022</v>
      </c>
      <c r="B520" s="59" t="s">
        <v>78</v>
      </c>
      <c r="C520" s="171" t="s">
        <v>141</v>
      </c>
      <c r="D520" s="237" t="s">
        <v>114</v>
      </c>
      <c r="E520" s="237">
        <v>1</v>
      </c>
      <c r="F520" s="58" t="s">
        <v>1352</v>
      </c>
      <c r="G520" s="237" t="s">
        <v>121</v>
      </c>
      <c r="H520" s="59" t="s">
        <v>126</v>
      </c>
      <c r="I520" s="70" t="s">
        <v>1353</v>
      </c>
      <c r="J520" s="237" t="s">
        <v>132</v>
      </c>
      <c r="K520" s="237" t="s">
        <v>3</v>
      </c>
      <c r="L520" s="59" t="s">
        <v>6</v>
      </c>
      <c r="M520" s="60" t="s">
        <v>24</v>
      </c>
      <c r="N520" s="130"/>
      <c r="O520" s="172"/>
      <c r="P520" s="172"/>
      <c r="Q520" s="237" t="s">
        <v>141</v>
      </c>
      <c r="R520" s="79"/>
      <c r="S520" s="79"/>
      <c r="T520" s="58" t="s">
        <v>1354</v>
      </c>
      <c r="U520" s="237">
        <v>2022</v>
      </c>
      <c r="V520" s="79"/>
      <c r="W520" s="79"/>
      <c r="X520" s="78"/>
      <c r="Y520" s="131">
        <f>AA520/1.2</f>
        <v>83333.333333333343</v>
      </c>
      <c r="Z520" s="131">
        <v>0</v>
      </c>
      <c r="AA520" s="131">
        <v>100000</v>
      </c>
      <c r="AB520" s="131">
        <v>0</v>
      </c>
      <c r="AC520" s="131">
        <f>Y520</f>
        <v>83333.333333333343</v>
      </c>
      <c r="AD520" s="131">
        <f>AA520</f>
        <v>100000</v>
      </c>
      <c r="AE520" s="201" t="s">
        <v>102</v>
      </c>
      <c r="AF520" s="173"/>
      <c r="AG520" s="173"/>
      <c r="AH520" s="174"/>
      <c r="AI520" s="175"/>
      <c r="AJ520" s="174"/>
      <c r="AK520" s="176"/>
      <c r="AL520" s="174"/>
      <c r="AM520" s="181" t="s">
        <v>1030</v>
      </c>
      <c r="AN520" s="243" t="s">
        <v>178</v>
      </c>
      <c r="AO520" s="184"/>
    </row>
    <row r="521" spans="1:41" ht="30" customHeight="1" x14ac:dyDescent="0.35">
      <c r="A521" s="38" t="s">
        <v>358</v>
      </c>
      <c r="B521" s="59" t="s">
        <v>55</v>
      </c>
      <c r="C521" s="171" t="s">
        <v>141</v>
      </c>
      <c r="D521" s="237" t="s">
        <v>114</v>
      </c>
      <c r="E521" s="237">
        <v>582</v>
      </c>
      <c r="F521" s="58" t="s">
        <v>1355</v>
      </c>
      <c r="G521" s="237" t="s">
        <v>121</v>
      </c>
      <c r="H521" s="59" t="s">
        <v>126</v>
      </c>
      <c r="I521" s="73"/>
      <c r="J521" s="237" t="s">
        <v>132</v>
      </c>
      <c r="K521" s="237" t="s">
        <v>3</v>
      </c>
      <c r="L521" s="59" t="s">
        <v>6</v>
      </c>
      <c r="M521" s="60" t="s">
        <v>21</v>
      </c>
      <c r="N521" s="130"/>
      <c r="O521" s="172"/>
      <c r="P521" s="172"/>
      <c r="Q521" s="237" t="s">
        <v>141</v>
      </c>
      <c r="R521" s="79"/>
      <c r="S521" s="79"/>
      <c r="T521" s="58" t="s">
        <v>1356</v>
      </c>
      <c r="U521" s="237" t="s">
        <v>358</v>
      </c>
      <c r="V521" s="79"/>
      <c r="W521" s="79"/>
      <c r="X521" s="78"/>
      <c r="Y521" s="131">
        <f>AC521</f>
        <v>3000000</v>
      </c>
      <c r="Z521" s="131" t="s">
        <v>358</v>
      </c>
      <c r="AA521" s="131">
        <f>AC521</f>
        <v>3000000</v>
      </c>
      <c r="AB521" s="131" t="s">
        <v>358</v>
      </c>
      <c r="AC521" s="131">
        <f>AD521</f>
        <v>3000000</v>
      </c>
      <c r="AD521" s="131">
        <v>3000000</v>
      </c>
      <c r="AE521" s="173" t="s">
        <v>102</v>
      </c>
      <c r="AF521" s="173"/>
      <c r="AG521" s="173"/>
      <c r="AH521" s="174"/>
      <c r="AI521" s="175"/>
      <c r="AJ521" s="174"/>
      <c r="AK521" s="176"/>
      <c r="AL521" s="174"/>
      <c r="AM521" s="181"/>
      <c r="AN521" s="243" t="s">
        <v>178</v>
      </c>
      <c r="AO521" s="184"/>
    </row>
    <row r="522" spans="1:41" ht="30" customHeight="1" x14ac:dyDescent="0.35">
      <c r="A522" s="38" t="s">
        <v>358</v>
      </c>
      <c r="B522" s="59" t="s">
        <v>55</v>
      </c>
      <c r="C522" s="171" t="s">
        <v>141</v>
      </c>
      <c r="D522" s="237" t="s">
        <v>114</v>
      </c>
      <c r="E522" s="237">
        <v>583</v>
      </c>
      <c r="F522" s="58" t="s">
        <v>1357</v>
      </c>
      <c r="G522" s="237" t="s">
        <v>121</v>
      </c>
      <c r="H522" s="59" t="s">
        <v>126</v>
      </c>
      <c r="I522" s="73"/>
      <c r="J522" s="237" t="s">
        <v>132</v>
      </c>
      <c r="K522" s="237" t="s">
        <v>3</v>
      </c>
      <c r="L522" s="59" t="s">
        <v>6</v>
      </c>
      <c r="M522" s="60" t="s">
        <v>21</v>
      </c>
      <c r="N522" s="130"/>
      <c r="O522" s="172"/>
      <c r="P522" s="172"/>
      <c r="Q522" s="237" t="s">
        <v>141</v>
      </c>
      <c r="R522" s="79"/>
      <c r="S522" s="79"/>
      <c r="T522" s="58" t="s">
        <v>1358</v>
      </c>
      <c r="U522" s="237" t="s">
        <v>358</v>
      </c>
      <c r="V522" s="79"/>
      <c r="W522" s="79"/>
      <c r="X522" s="78"/>
      <c r="Y522" s="131">
        <f>AC522</f>
        <v>2340000</v>
      </c>
      <c r="Z522" s="131" t="s">
        <v>358</v>
      </c>
      <c r="AA522" s="131">
        <f>AC522</f>
        <v>2340000</v>
      </c>
      <c r="AB522" s="131" t="s">
        <v>358</v>
      </c>
      <c r="AC522" s="131">
        <v>2340000</v>
      </c>
      <c r="AD522" s="131">
        <v>2340000</v>
      </c>
      <c r="AE522" s="173" t="s">
        <v>102</v>
      </c>
      <c r="AF522" s="173"/>
      <c r="AG522" s="173"/>
      <c r="AH522" s="174"/>
      <c r="AI522" s="175"/>
      <c r="AJ522" s="174"/>
      <c r="AK522" s="176"/>
      <c r="AL522" s="174"/>
      <c r="AM522" s="181"/>
      <c r="AN522" s="243" t="s">
        <v>178</v>
      </c>
      <c r="AO522" s="184"/>
    </row>
    <row r="523" spans="1:41" ht="30" customHeight="1" x14ac:dyDescent="0.35">
      <c r="A523" s="38" t="s">
        <v>358</v>
      </c>
      <c r="B523" s="59" t="s">
        <v>55</v>
      </c>
      <c r="C523" s="171" t="s">
        <v>141</v>
      </c>
      <c r="D523" s="237" t="s">
        <v>114</v>
      </c>
      <c r="E523" s="237">
        <v>584</v>
      </c>
      <c r="F523" s="58" t="s">
        <v>1359</v>
      </c>
      <c r="G523" s="237" t="s">
        <v>121</v>
      </c>
      <c r="H523" s="59" t="s">
        <v>126</v>
      </c>
      <c r="I523" s="73"/>
      <c r="J523" s="237" t="s">
        <v>132</v>
      </c>
      <c r="K523" s="237" t="s">
        <v>3</v>
      </c>
      <c r="L523" s="59" t="s">
        <v>6</v>
      </c>
      <c r="M523" s="60" t="s">
        <v>21</v>
      </c>
      <c r="N523" s="130"/>
      <c r="O523" s="172"/>
      <c r="P523" s="172"/>
      <c r="Q523" s="237" t="s">
        <v>141</v>
      </c>
      <c r="R523" s="79"/>
      <c r="S523" s="79"/>
      <c r="T523" s="58" t="s">
        <v>1360</v>
      </c>
      <c r="U523" s="237" t="s">
        <v>358</v>
      </c>
      <c r="V523" s="79"/>
      <c r="W523" s="79"/>
      <c r="X523" s="78"/>
      <c r="Y523" s="131">
        <f>AC523</f>
        <v>15800000</v>
      </c>
      <c r="Z523" s="131" t="s">
        <v>358</v>
      </c>
      <c r="AA523" s="131">
        <f>AD523</f>
        <v>18960000</v>
      </c>
      <c r="AB523" s="131" t="s">
        <v>358</v>
      </c>
      <c r="AC523" s="131">
        <f>AD523/1.2</f>
        <v>15800000</v>
      </c>
      <c r="AD523" s="131">
        <v>18960000</v>
      </c>
      <c r="AE523" s="173" t="s">
        <v>102</v>
      </c>
      <c r="AF523" s="173"/>
      <c r="AG523" s="173"/>
      <c r="AH523" s="174"/>
      <c r="AI523" s="175"/>
      <c r="AJ523" s="174"/>
      <c r="AK523" s="176"/>
      <c r="AL523" s="174"/>
      <c r="AM523" s="181"/>
      <c r="AN523" s="243" t="s">
        <v>178</v>
      </c>
      <c r="AO523" s="184"/>
    </row>
    <row r="524" spans="1:41" ht="30" customHeight="1" x14ac:dyDescent="0.35">
      <c r="A524" s="38" t="s">
        <v>358</v>
      </c>
      <c r="B524" s="59" t="s">
        <v>55</v>
      </c>
      <c r="C524" s="171" t="s">
        <v>141</v>
      </c>
      <c r="D524" s="237" t="s">
        <v>114</v>
      </c>
      <c r="E524" s="237">
        <v>585</v>
      </c>
      <c r="F524" s="58" t="s">
        <v>1361</v>
      </c>
      <c r="G524" s="237" t="s">
        <v>121</v>
      </c>
      <c r="H524" s="59" t="s">
        <v>126</v>
      </c>
      <c r="I524" s="73"/>
      <c r="J524" s="237" t="s">
        <v>132</v>
      </c>
      <c r="K524" s="237" t="s">
        <v>3</v>
      </c>
      <c r="L524" s="59" t="s">
        <v>6</v>
      </c>
      <c r="M524" s="60" t="s">
        <v>21</v>
      </c>
      <c r="N524" s="130"/>
      <c r="O524" s="172"/>
      <c r="P524" s="172"/>
      <c r="Q524" s="237" t="s">
        <v>141</v>
      </c>
      <c r="R524" s="79"/>
      <c r="S524" s="79"/>
      <c r="T524" s="58" t="s">
        <v>1362</v>
      </c>
      <c r="U524" s="237" t="s">
        <v>358</v>
      </c>
      <c r="V524" s="79"/>
      <c r="W524" s="79"/>
      <c r="X524" s="78"/>
      <c r="Y524" s="131">
        <v>66430944.359999999</v>
      </c>
      <c r="Z524" s="131" t="s">
        <v>358</v>
      </c>
      <c r="AA524" s="131">
        <v>66430944.359999999</v>
      </c>
      <c r="AB524" s="131" t="s">
        <v>358</v>
      </c>
      <c r="AC524" s="131">
        <v>66430944.359999999</v>
      </c>
      <c r="AD524" s="131">
        <v>66430944.359999999</v>
      </c>
      <c r="AE524" s="173" t="s">
        <v>102</v>
      </c>
      <c r="AF524" s="173"/>
      <c r="AG524" s="173"/>
      <c r="AH524" s="174"/>
      <c r="AI524" s="175"/>
      <c r="AJ524" s="174"/>
      <c r="AK524" s="176"/>
      <c r="AL524" s="174"/>
      <c r="AM524" s="181"/>
      <c r="AN524" s="243" t="s">
        <v>178</v>
      </c>
      <c r="AO524" s="184"/>
    </row>
    <row r="525" spans="1:41" ht="30" customHeight="1" x14ac:dyDescent="0.35">
      <c r="A525" s="38" t="s">
        <v>358</v>
      </c>
      <c r="B525" s="59" t="s">
        <v>55</v>
      </c>
      <c r="C525" s="171" t="s">
        <v>141</v>
      </c>
      <c r="D525" s="237" t="s">
        <v>114</v>
      </c>
      <c r="E525" s="237">
        <v>588</v>
      </c>
      <c r="F525" s="58" t="s">
        <v>1363</v>
      </c>
      <c r="G525" s="237" t="s">
        <v>121</v>
      </c>
      <c r="H525" s="59" t="s">
        <v>126</v>
      </c>
      <c r="I525" s="73"/>
      <c r="J525" s="237" t="s">
        <v>132</v>
      </c>
      <c r="K525" s="237" t="s">
        <v>3</v>
      </c>
      <c r="L525" s="59" t="s">
        <v>6</v>
      </c>
      <c r="M525" s="60" t="s">
        <v>21</v>
      </c>
      <c r="N525" s="130"/>
      <c r="O525" s="172"/>
      <c r="P525" s="172"/>
      <c r="Q525" s="237" t="s">
        <v>141</v>
      </c>
      <c r="R525" s="79"/>
      <c r="S525" s="79"/>
      <c r="T525" s="58" t="s">
        <v>1364</v>
      </c>
      <c r="U525" s="237" t="s">
        <v>358</v>
      </c>
      <c r="V525" s="79"/>
      <c r="W525" s="79"/>
      <c r="X525" s="78"/>
      <c r="Y525" s="131">
        <f>AC525</f>
        <v>1625000</v>
      </c>
      <c r="Z525" s="131" t="s">
        <v>358</v>
      </c>
      <c r="AA525" s="131">
        <f>AD525</f>
        <v>1950000</v>
      </c>
      <c r="AB525" s="131" t="s">
        <v>358</v>
      </c>
      <c r="AC525" s="131">
        <f>AD525/1.2</f>
        <v>1625000</v>
      </c>
      <c r="AD525" s="131">
        <v>1950000</v>
      </c>
      <c r="AE525" s="173" t="s">
        <v>102</v>
      </c>
      <c r="AF525" s="173"/>
      <c r="AG525" s="173"/>
      <c r="AH525" s="174"/>
      <c r="AI525" s="175"/>
      <c r="AJ525" s="174"/>
      <c r="AK525" s="176"/>
      <c r="AL525" s="174"/>
      <c r="AM525" s="181"/>
      <c r="AN525" s="243" t="s">
        <v>178</v>
      </c>
      <c r="AO525" s="184"/>
    </row>
    <row r="526" spans="1:41" ht="30" customHeight="1" x14ac:dyDescent="0.35">
      <c r="A526" s="38">
        <v>2021</v>
      </c>
      <c r="B526" s="59" t="s">
        <v>55</v>
      </c>
      <c r="C526" s="171" t="s">
        <v>141</v>
      </c>
      <c r="D526" s="237" t="s">
        <v>114</v>
      </c>
      <c r="E526" s="237">
        <v>586</v>
      </c>
      <c r="F526" s="58" t="s">
        <v>1365</v>
      </c>
      <c r="G526" s="237" t="s">
        <v>121</v>
      </c>
      <c r="H526" s="59" t="s">
        <v>126</v>
      </c>
      <c r="I526" s="73"/>
      <c r="J526" s="237" t="s">
        <v>132</v>
      </c>
      <c r="K526" s="237" t="s">
        <v>3</v>
      </c>
      <c r="L526" s="59" t="s">
        <v>6</v>
      </c>
      <c r="M526" s="60" t="s">
        <v>25</v>
      </c>
      <c r="N526" s="130"/>
      <c r="O526" s="172"/>
      <c r="P526" s="172"/>
      <c r="Q526" s="237" t="s">
        <v>141</v>
      </c>
      <c r="R526" s="79"/>
      <c r="S526" s="79"/>
      <c r="T526" s="58" t="s">
        <v>1366</v>
      </c>
      <c r="U526" s="237">
        <v>2021</v>
      </c>
      <c r="V526" s="79"/>
      <c r="W526" s="79"/>
      <c r="X526" s="78"/>
      <c r="Y526" s="131">
        <f>AC526</f>
        <v>1504920</v>
      </c>
      <c r="Z526" s="131" t="s">
        <v>358</v>
      </c>
      <c r="AA526" s="131">
        <f>AD526</f>
        <v>1805904</v>
      </c>
      <c r="AB526" s="131" t="s">
        <v>358</v>
      </c>
      <c r="AC526" s="131">
        <f>AD526/1.2</f>
        <v>1504920</v>
      </c>
      <c r="AD526" s="131">
        <v>1805904</v>
      </c>
      <c r="AE526" s="173" t="s">
        <v>102</v>
      </c>
      <c r="AF526" s="173"/>
      <c r="AG526" s="173"/>
      <c r="AH526" s="174"/>
      <c r="AI526" s="175"/>
      <c r="AJ526" s="174"/>
      <c r="AK526" s="176"/>
      <c r="AL526" s="174"/>
      <c r="AM526" s="181"/>
      <c r="AN526" s="243" t="s">
        <v>178</v>
      </c>
      <c r="AO526" s="184"/>
    </row>
    <row r="527" spans="1:41" ht="30" customHeight="1" x14ac:dyDescent="0.35">
      <c r="A527" s="38">
        <v>2021</v>
      </c>
      <c r="B527" s="59" t="s">
        <v>55</v>
      </c>
      <c r="C527" s="171" t="s">
        <v>141</v>
      </c>
      <c r="D527" s="237" t="s">
        <v>114</v>
      </c>
      <c r="E527" s="237">
        <v>587</v>
      </c>
      <c r="F527" s="58" t="s">
        <v>1367</v>
      </c>
      <c r="G527" s="237" t="s">
        <v>121</v>
      </c>
      <c r="H527" s="59" t="s">
        <v>126</v>
      </c>
      <c r="I527" s="73"/>
      <c r="J527" s="237" t="s">
        <v>132</v>
      </c>
      <c r="K527" s="237" t="s">
        <v>3</v>
      </c>
      <c r="L527" s="59" t="s">
        <v>6</v>
      </c>
      <c r="M527" s="60" t="s">
        <v>25</v>
      </c>
      <c r="N527" s="130"/>
      <c r="O527" s="172"/>
      <c r="P527" s="172"/>
      <c r="Q527" s="237" t="s">
        <v>141</v>
      </c>
      <c r="R527" s="79"/>
      <c r="S527" s="79"/>
      <c r="T527" s="58" t="s">
        <v>1368</v>
      </c>
      <c r="U527" s="237">
        <v>2021</v>
      </c>
      <c r="V527" s="79"/>
      <c r="W527" s="79"/>
      <c r="X527" s="78"/>
      <c r="Y527" s="131">
        <f>AC527</f>
        <v>9302904.1583333332</v>
      </c>
      <c r="Z527" s="131" t="s">
        <v>358</v>
      </c>
      <c r="AA527" s="131">
        <f>AD527</f>
        <v>11163484.99</v>
      </c>
      <c r="AB527" s="131" t="s">
        <v>358</v>
      </c>
      <c r="AC527" s="131">
        <f>AD527/1.2</f>
        <v>9302904.1583333332</v>
      </c>
      <c r="AD527" s="131">
        <v>11163484.99</v>
      </c>
      <c r="AE527" s="173" t="s">
        <v>102</v>
      </c>
      <c r="AF527" s="173"/>
      <c r="AG527" s="173"/>
      <c r="AH527" s="174"/>
      <c r="AI527" s="175"/>
      <c r="AJ527" s="174"/>
      <c r="AK527" s="176"/>
      <c r="AL527" s="174"/>
      <c r="AM527" s="181"/>
      <c r="AN527" s="243" t="s">
        <v>178</v>
      </c>
      <c r="AO527" s="184"/>
    </row>
    <row r="528" spans="1:41" ht="30" hidden="1" customHeight="1" x14ac:dyDescent="0.35">
      <c r="A528" s="38">
        <v>2023</v>
      </c>
      <c r="B528" s="59" t="s">
        <v>55</v>
      </c>
      <c r="C528" s="171" t="s">
        <v>141</v>
      </c>
      <c r="D528" s="237" t="s">
        <v>106</v>
      </c>
      <c r="E528" s="237">
        <v>1</v>
      </c>
      <c r="F528" s="58" t="s">
        <v>1369</v>
      </c>
      <c r="G528" s="237" t="s">
        <v>121</v>
      </c>
      <c r="H528" s="59" t="s">
        <v>126</v>
      </c>
      <c r="I528" s="70" t="s">
        <v>1370</v>
      </c>
      <c r="J528" s="237" t="s">
        <v>132</v>
      </c>
      <c r="K528" s="237" t="s">
        <v>3</v>
      </c>
      <c r="L528" s="59" t="s">
        <v>6</v>
      </c>
      <c r="M528" s="60" t="s">
        <v>23</v>
      </c>
      <c r="N528" s="130"/>
      <c r="O528" s="172"/>
      <c r="P528" s="172"/>
      <c r="Q528" s="237" t="s">
        <v>141</v>
      </c>
      <c r="R528" s="79"/>
      <c r="S528" s="79"/>
      <c r="T528" s="58" t="s">
        <v>1371</v>
      </c>
      <c r="U528" s="237">
        <v>2023</v>
      </c>
      <c r="V528" s="79"/>
      <c r="W528" s="79"/>
      <c r="X528" s="78"/>
      <c r="Y528" s="131">
        <f>AC528</f>
        <v>150000</v>
      </c>
      <c r="Z528" s="131" t="s">
        <v>358</v>
      </c>
      <c r="AA528" s="131">
        <f>AD528</f>
        <v>180000</v>
      </c>
      <c r="AB528" s="131" t="s">
        <v>358</v>
      </c>
      <c r="AC528" s="131">
        <f>AD528/1.2</f>
        <v>150000</v>
      </c>
      <c r="AD528" s="131">
        <v>180000</v>
      </c>
      <c r="AE528" s="173" t="s">
        <v>102</v>
      </c>
      <c r="AF528" s="173"/>
      <c r="AG528" s="173"/>
      <c r="AH528" s="174"/>
      <c r="AI528" s="175"/>
      <c r="AJ528" s="174"/>
      <c r="AK528" s="176"/>
      <c r="AL528" s="174"/>
      <c r="AM528" s="181"/>
      <c r="AO528" s="184"/>
    </row>
    <row r="529" spans="1:45" ht="30" hidden="1" customHeight="1" x14ac:dyDescent="0.35">
      <c r="A529" s="38">
        <v>2023</v>
      </c>
      <c r="B529" s="59" t="s">
        <v>55</v>
      </c>
      <c r="C529" s="171" t="s">
        <v>141</v>
      </c>
      <c r="D529" s="237" t="s">
        <v>106</v>
      </c>
      <c r="E529" s="237">
        <v>1</v>
      </c>
      <c r="F529" s="58" t="s">
        <v>1372</v>
      </c>
      <c r="G529" s="237" t="s">
        <v>121</v>
      </c>
      <c r="H529" s="59" t="s">
        <v>126</v>
      </c>
      <c r="I529" s="70" t="s">
        <v>1373</v>
      </c>
      <c r="J529" s="237" t="s">
        <v>132</v>
      </c>
      <c r="K529" s="237" t="s">
        <v>3</v>
      </c>
      <c r="L529" s="59" t="s">
        <v>6</v>
      </c>
      <c r="M529" s="60" t="s">
        <v>980</v>
      </c>
      <c r="N529" s="130"/>
      <c r="O529" s="172"/>
      <c r="P529" s="172"/>
      <c r="Q529" s="237" t="s">
        <v>141</v>
      </c>
      <c r="R529" s="79"/>
      <c r="S529" s="79"/>
      <c r="T529" s="58" t="s">
        <v>1374</v>
      </c>
      <c r="U529" s="237">
        <v>2023</v>
      </c>
      <c r="V529" s="79"/>
      <c r="W529" s="79"/>
      <c r="X529" s="78"/>
      <c r="Y529" s="131">
        <v>766500</v>
      </c>
      <c r="Z529" s="131">
        <v>0</v>
      </c>
      <c r="AA529" s="131">
        <v>919800</v>
      </c>
      <c r="AB529" s="131">
        <v>0</v>
      </c>
      <c r="AC529" s="131">
        <f>Y529</f>
        <v>766500</v>
      </c>
      <c r="AD529" s="131">
        <f>AA529</f>
        <v>919800</v>
      </c>
      <c r="AE529" s="173" t="s">
        <v>102</v>
      </c>
      <c r="AF529" s="173"/>
      <c r="AG529" s="173"/>
      <c r="AH529" s="174"/>
      <c r="AI529" s="175"/>
      <c r="AJ529" s="174"/>
      <c r="AK529" s="176"/>
      <c r="AL529" s="174"/>
      <c r="AM529" s="181"/>
      <c r="AO529" s="184"/>
    </row>
    <row r="530" spans="1:45" ht="30" hidden="1" customHeight="1" x14ac:dyDescent="0.35">
      <c r="A530" s="38">
        <v>2022</v>
      </c>
      <c r="B530" s="59" t="s">
        <v>55</v>
      </c>
      <c r="C530" s="171" t="s">
        <v>141</v>
      </c>
      <c r="D530" s="237" t="s">
        <v>106</v>
      </c>
      <c r="E530" s="237">
        <v>1</v>
      </c>
      <c r="F530" s="58" t="s">
        <v>1375</v>
      </c>
      <c r="G530" s="237" t="s">
        <v>121</v>
      </c>
      <c r="H530" s="59" t="s">
        <v>126</v>
      </c>
      <c r="I530" s="70" t="s">
        <v>1376</v>
      </c>
      <c r="J530" s="237" t="s">
        <v>132</v>
      </c>
      <c r="K530" s="237" t="s">
        <v>3</v>
      </c>
      <c r="L530" s="59" t="s">
        <v>6</v>
      </c>
      <c r="M530" s="60" t="s">
        <v>23</v>
      </c>
      <c r="N530" s="130"/>
      <c r="O530" s="172"/>
      <c r="P530" s="172"/>
      <c r="Q530" s="237" t="s">
        <v>141</v>
      </c>
      <c r="R530" s="79"/>
      <c r="S530" s="79"/>
      <c r="T530" s="58" t="s">
        <v>1377</v>
      </c>
      <c r="U530" s="39">
        <v>2022</v>
      </c>
      <c r="V530" s="79"/>
      <c r="W530" s="79"/>
      <c r="X530" s="78"/>
      <c r="Y530" s="131">
        <v>265800</v>
      </c>
      <c r="Z530" s="131">
        <v>0</v>
      </c>
      <c r="AA530" s="131">
        <v>318960</v>
      </c>
      <c r="AB530" s="131">
        <v>0</v>
      </c>
      <c r="AC530" s="131">
        <f>Y530</f>
        <v>265800</v>
      </c>
      <c r="AD530" s="131">
        <f>AA530</f>
        <v>318960</v>
      </c>
      <c r="AE530" s="173" t="s">
        <v>102</v>
      </c>
      <c r="AF530" s="173"/>
      <c r="AG530" s="173"/>
      <c r="AH530" s="174"/>
      <c r="AI530" s="175"/>
      <c r="AJ530" s="174"/>
      <c r="AK530" s="176"/>
      <c r="AL530" s="174"/>
      <c r="AM530" s="181"/>
      <c r="AO530" s="184"/>
    </row>
    <row r="531" spans="1:45" ht="30" hidden="1" customHeight="1" x14ac:dyDescent="0.35">
      <c r="A531" s="38">
        <v>2023</v>
      </c>
      <c r="B531" s="59" t="s">
        <v>55</v>
      </c>
      <c r="C531" s="171" t="s">
        <v>141</v>
      </c>
      <c r="D531" s="237" t="s">
        <v>106</v>
      </c>
      <c r="E531" s="237">
        <v>1</v>
      </c>
      <c r="F531" s="58" t="s">
        <v>1378</v>
      </c>
      <c r="G531" s="237" t="s">
        <v>121</v>
      </c>
      <c r="H531" s="59" t="s">
        <v>126</v>
      </c>
      <c r="I531" s="70" t="s">
        <v>1379</v>
      </c>
      <c r="J531" s="237" t="s">
        <v>132</v>
      </c>
      <c r="K531" s="237" t="s">
        <v>3</v>
      </c>
      <c r="L531" s="59" t="s">
        <v>6</v>
      </c>
      <c r="M531" s="60" t="s">
        <v>23</v>
      </c>
      <c r="N531" s="130"/>
      <c r="O531" s="172"/>
      <c r="P531" s="172"/>
      <c r="Q531" s="237" t="s">
        <v>141</v>
      </c>
      <c r="R531" s="79"/>
      <c r="S531" s="79"/>
      <c r="T531" s="58" t="s">
        <v>962</v>
      </c>
      <c r="U531" s="39">
        <v>2023</v>
      </c>
      <c r="V531" s="79"/>
      <c r="W531" s="79"/>
      <c r="X531" s="78"/>
      <c r="Y531" s="131">
        <v>699000</v>
      </c>
      <c r="Z531" s="131">
        <v>0</v>
      </c>
      <c r="AA531" s="131">
        <v>838800</v>
      </c>
      <c r="AB531" s="131">
        <v>0</v>
      </c>
      <c r="AC531" s="131">
        <f>Y531</f>
        <v>699000</v>
      </c>
      <c r="AD531" s="131">
        <f>AA531</f>
        <v>838800</v>
      </c>
      <c r="AE531" s="173" t="s">
        <v>102</v>
      </c>
      <c r="AF531" s="173"/>
      <c r="AG531" s="173"/>
      <c r="AH531" s="174"/>
      <c r="AI531" s="175"/>
      <c r="AJ531" s="174"/>
      <c r="AK531" s="176"/>
      <c r="AL531" s="174"/>
      <c r="AM531" s="181"/>
      <c r="AO531" s="184"/>
    </row>
    <row r="532" spans="1:45" ht="30" hidden="1" customHeight="1" x14ac:dyDescent="0.35">
      <c r="A532" s="38">
        <v>2024</v>
      </c>
      <c r="B532" s="59" t="s">
        <v>711</v>
      </c>
      <c r="C532" s="171" t="s">
        <v>141</v>
      </c>
      <c r="D532" s="237" t="s">
        <v>106</v>
      </c>
      <c r="E532" s="237">
        <v>1</v>
      </c>
      <c r="F532" s="58" t="s">
        <v>1380</v>
      </c>
      <c r="G532" s="237" t="s">
        <v>121</v>
      </c>
      <c r="H532" s="59" t="s">
        <v>126</v>
      </c>
      <c r="I532" s="70" t="s">
        <v>1381</v>
      </c>
      <c r="J532" s="237" t="s">
        <v>132</v>
      </c>
      <c r="K532" s="237" t="s">
        <v>3</v>
      </c>
      <c r="L532" s="59" t="s">
        <v>6</v>
      </c>
      <c r="M532" s="60" t="s">
        <v>980</v>
      </c>
      <c r="N532" s="130"/>
      <c r="O532" s="172"/>
      <c r="P532" s="172"/>
      <c r="Q532" s="237" t="s">
        <v>141</v>
      </c>
      <c r="R532" s="79"/>
      <c r="S532" s="79"/>
      <c r="T532" s="68"/>
      <c r="U532" s="237">
        <v>2024</v>
      </c>
      <c r="V532" s="79"/>
      <c r="W532" s="79"/>
      <c r="X532" s="78"/>
      <c r="Y532" s="131">
        <f>AC532</f>
        <v>312850</v>
      </c>
      <c r="Z532" s="131">
        <v>0</v>
      </c>
      <c r="AA532" s="131">
        <f>AD532</f>
        <v>375420</v>
      </c>
      <c r="AB532" s="131">
        <v>0</v>
      </c>
      <c r="AC532" s="131">
        <f>AD532/1.2</f>
        <v>312850</v>
      </c>
      <c r="AD532" s="131">
        <v>375420</v>
      </c>
      <c r="AE532" s="173" t="s">
        <v>102</v>
      </c>
      <c r="AF532" s="173"/>
      <c r="AG532" s="173"/>
      <c r="AH532" s="174"/>
      <c r="AI532" s="175"/>
      <c r="AJ532" s="174"/>
      <c r="AK532" s="176"/>
      <c r="AL532" s="174"/>
      <c r="AM532" s="181"/>
      <c r="AO532" s="184"/>
    </row>
    <row r="533" spans="1:45" ht="30" hidden="1" customHeight="1" x14ac:dyDescent="0.35">
      <c r="A533" s="38">
        <v>2025</v>
      </c>
      <c r="B533" s="59" t="s">
        <v>711</v>
      </c>
      <c r="C533" s="171" t="s">
        <v>141</v>
      </c>
      <c r="D533" s="237" t="s">
        <v>106</v>
      </c>
      <c r="E533" s="237">
        <v>1</v>
      </c>
      <c r="F533" s="58" t="s">
        <v>1382</v>
      </c>
      <c r="G533" s="237" t="s">
        <v>121</v>
      </c>
      <c r="H533" s="59" t="s">
        <v>126</v>
      </c>
      <c r="I533" s="73"/>
      <c r="J533" s="237" t="s">
        <v>132</v>
      </c>
      <c r="K533" s="237" t="s">
        <v>3</v>
      </c>
      <c r="L533" s="59" t="s">
        <v>6</v>
      </c>
      <c r="M533" s="60" t="s">
        <v>980</v>
      </c>
      <c r="N533" s="130"/>
      <c r="O533" s="172"/>
      <c r="P533" s="172"/>
      <c r="Q533" s="237" t="s">
        <v>141</v>
      </c>
      <c r="R533" s="79"/>
      <c r="S533" s="79"/>
      <c r="T533" s="68"/>
      <c r="U533" s="237">
        <v>2025</v>
      </c>
      <c r="V533" s="79"/>
      <c r="W533" s="79"/>
      <c r="X533" s="78"/>
      <c r="Y533" s="131">
        <f>AC533</f>
        <v>200000</v>
      </c>
      <c r="Z533" s="131">
        <v>0</v>
      </c>
      <c r="AA533" s="131">
        <f>AD533</f>
        <v>240000</v>
      </c>
      <c r="AB533" s="131">
        <v>0</v>
      </c>
      <c r="AC533" s="131">
        <f>AD533/1.2</f>
        <v>200000</v>
      </c>
      <c r="AD533" s="131">
        <v>240000</v>
      </c>
      <c r="AE533" s="173" t="s">
        <v>102</v>
      </c>
      <c r="AF533" s="173"/>
      <c r="AG533" s="173"/>
      <c r="AH533" s="174"/>
      <c r="AI533" s="175"/>
      <c r="AJ533" s="174"/>
      <c r="AK533" s="176"/>
      <c r="AL533" s="174"/>
      <c r="AM533" s="181"/>
      <c r="AO533" s="184"/>
    </row>
    <row r="534" spans="1:45" ht="30" hidden="1" customHeight="1" x14ac:dyDescent="0.35">
      <c r="A534" s="38">
        <v>2025</v>
      </c>
      <c r="B534" s="59" t="s">
        <v>711</v>
      </c>
      <c r="C534" s="171" t="s">
        <v>141</v>
      </c>
      <c r="D534" s="237" t="s">
        <v>106</v>
      </c>
      <c r="E534" s="237">
        <v>1</v>
      </c>
      <c r="F534" s="58" t="s">
        <v>1383</v>
      </c>
      <c r="G534" s="237" t="s">
        <v>121</v>
      </c>
      <c r="H534" s="59" t="s">
        <v>126</v>
      </c>
      <c r="I534" s="73"/>
      <c r="J534" s="237" t="s">
        <v>132</v>
      </c>
      <c r="K534" s="237" t="s">
        <v>3</v>
      </c>
      <c r="L534" s="59" t="s">
        <v>6</v>
      </c>
      <c r="M534" s="60" t="s">
        <v>980</v>
      </c>
      <c r="N534" s="130"/>
      <c r="O534" s="172"/>
      <c r="P534" s="172"/>
      <c r="Q534" s="237" t="s">
        <v>141</v>
      </c>
      <c r="R534" s="79"/>
      <c r="S534" s="79"/>
      <c r="T534" s="68"/>
      <c r="U534" s="237">
        <v>2025</v>
      </c>
      <c r="V534" s="79"/>
      <c r="W534" s="79"/>
      <c r="X534" s="78"/>
      <c r="Y534" s="131">
        <f>AC534</f>
        <v>430000</v>
      </c>
      <c r="Z534" s="131">
        <v>0</v>
      </c>
      <c r="AA534" s="131">
        <f>AD534</f>
        <v>516000</v>
      </c>
      <c r="AB534" s="131">
        <v>0</v>
      </c>
      <c r="AC534" s="131">
        <f>AD534/1.2</f>
        <v>430000</v>
      </c>
      <c r="AD534" s="131">
        <v>516000</v>
      </c>
      <c r="AE534" s="173" t="s">
        <v>102</v>
      </c>
      <c r="AF534" s="173"/>
      <c r="AG534" s="173"/>
      <c r="AH534" s="174"/>
      <c r="AI534" s="175"/>
      <c r="AJ534" s="174"/>
      <c r="AK534" s="176"/>
      <c r="AL534" s="174"/>
      <c r="AM534" s="181"/>
      <c r="AO534" s="184"/>
    </row>
    <row r="535" spans="1:45" ht="30" hidden="1" customHeight="1" x14ac:dyDescent="0.35">
      <c r="A535" s="38">
        <v>2022</v>
      </c>
      <c r="B535" s="59" t="s">
        <v>711</v>
      </c>
      <c r="C535" s="171" t="s">
        <v>141</v>
      </c>
      <c r="D535" s="237" t="s">
        <v>106</v>
      </c>
      <c r="E535" s="237">
        <v>1</v>
      </c>
      <c r="F535" s="58" t="s">
        <v>1384</v>
      </c>
      <c r="G535" s="237" t="s">
        <v>121</v>
      </c>
      <c r="H535" s="59" t="s">
        <v>126</v>
      </c>
      <c r="I535" s="70" t="s">
        <v>1385</v>
      </c>
      <c r="J535" s="39" t="s">
        <v>131</v>
      </c>
      <c r="K535" s="237" t="s">
        <v>3</v>
      </c>
      <c r="L535" s="59" t="s">
        <v>6</v>
      </c>
      <c r="M535" s="60" t="s">
        <v>980</v>
      </c>
      <c r="N535" s="130"/>
      <c r="O535" s="172"/>
      <c r="P535" s="172"/>
      <c r="Q535" s="237" t="s">
        <v>141</v>
      </c>
      <c r="R535" s="79"/>
      <c r="S535" s="79"/>
      <c r="T535" s="68"/>
      <c r="U535" s="237">
        <v>2022</v>
      </c>
      <c r="V535" s="79"/>
      <c r="W535" s="79"/>
      <c r="X535" s="78"/>
      <c r="Y535" s="131">
        <f>AC535</f>
        <v>1138082.8800000001</v>
      </c>
      <c r="Z535" s="131">
        <v>0</v>
      </c>
      <c r="AA535" s="131">
        <f>AD535</f>
        <v>1365699.456</v>
      </c>
      <c r="AB535" s="131">
        <v>0</v>
      </c>
      <c r="AC535" s="131">
        <f>AD535/1.2</f>
        <v>1138082.8800000001</v>
      </c>
      <c r="AD535" s="131">
        <v>1365699.456</v>
      </c>
      <c r="AE535" s="173" t="s">
        <v>102</v>
      </c>
      <c r="AF535" s="173"/>
      <c r="AG535" s="173"/>
      <c r="AH535" s="174"/>
      <c r="AI535" s="175"/>
      <c r="AJ535" s="174"/>
      <c r="AK535" s="176"/>
      <c r="AL535" s="174"/>
      <c r="AM535" s="181"/>
      <c r="AO535" s="184"/>
    </row>
    <row r="536" spans="1:45" ht="30" hidden="1" customHeight="1" x14ac:dyDescent="0.35">
      <c r="A536" s="38">
        <v>2023</v>
      </c>
      <c r="B536" s="59" t="s">
        <v>711</v>
      </c>
      <c r="C536" s="171" t="s">
        <v>141</v>
      </c>
      <c r="D536" s="237" t="s">
        <v>106</v>
      </c>
      <c r="E536" s="237">
        <v>1</v>
      </c>
      <c r="F536" s="58" t="s">
        <v>1386</v>
      </c>
      <c r="G536" s="237" t="s">
        <v>121</v>
      </c>
      <c r="H536" s="59" t="s">
        <v>126</v>
      </c>
      <c r="I536" s="70" t="s">
        <v>1387</v>
      </c>
      <c r="J536" s="39" t="s">
        <v>131</v>
      </c>
      <c r="K536" s="237" t="s">
        <v>3</v>
      </c>
      <c r="L536" s="59" t="s">
        <v>6</v>
      </c>
      <c r="M536" s="60" t="s">
        <v>25</v>
      </c>
      <c r="N536" s="130"/>
      <c r="O536" s="172"/>
      <c r="P536" s="172"/>
      <c r="Q536" s="237" t="s">
        <v>141</v>
      </c>
      <c r="R536" s="79"/>
      <c r="S536" s="79"/>
      <c r="T536" s="68"/>
      <c r="U536" s="237">
        <v>2023</v>
      </c>
      <c r="V536" s="79"/>
      <c r="W536" s="79"/>
      <c r="X536" s="78"/>
      <c r="Y536" s="131">
        <f>AC536</f>
        <v>412190</v>
      </c>
      <c r="Z536" s="131">
        <v>0</v>
      </c>
      <c r="AA536" s="131">
        <f>AD536</f>
        <v>494628</v>
      </c>
      <c r="AB536" s="131">
        <v>0</v>
      </c>
      <c r="AC536" s="131">
        <f>AD536/1.2</f>
        <v>412190</v>
      </c>
      <c r="AD536" s="131">
        <v>494628</v>
      </c>
      <c r="AE536" s="173" t="s">
        <v>102</v>
      </c>
      <c r="AF536" s="173"/>
      <c r="AG536" s="173"/>
      <c r="AH536" s="174"/>
      <c r="AI536" s="175"/>
      <c r="AJ536" s="174"/>
      <c r="AK536" s="176"/>
      <c r="AL536" s="174"/>
      <c r="AM536" s="181"/>
      <c r="AO536" s="184"/>
    </row>
    <row r="537" spans="1:45" ht="30" hidden="1" customHeight="1" x14ac:dyDescent="0.35">
      <c r="A537" s="43">
        <v>2026</v>
      </c>
      <c r="B537" s="59" t="s">
        <v>711</v>
      </c>
      <c r="C537" s="70" t="s">
        <v>1388</v>
      </c>
      <c r="D537" s="237" t="s">
        <v>106</v>
      </c>
      <c r="E537" s="237">
        <v>1</v>
      </c>
      <c r="F537" s="58" t="s">
        <v>1389</v>
      </c>
      <c r="G537" s="237" t="s">
        <v>118</v>
      </c>
      <c r="H537" s="59" t="s">
        <v>118</v>
      </c>
      <c r="I537" s="74"/>
      <c r="J537" s="237" t="s">
        <v>131</v>
      </c>
      <c r="K537" s="237" t="s">
        <v>2</v>
      </c>
      <c r="L537" s="59" t="s">
        <v>7</v>
      </c>
      <c r="M537" s="60" t="s">
        <v>971</v>
      </c>
      <c r="N537" s="132">
        <f>O537*1.2</f>
        <v>10738656</v>
      </c>
      <c r="O537" s="187">
        <v>8948880</v>
      </c>
      <c r="P537" s="187">
        <f>O537/1.2</f>
        <v>7457400</v>
      </c>
      <c r="Q537" s="237" t="s">
        <v>138</v>
      </c>
      <c r="R537" s="79"/>
      <c r="S537" s="79"/>
      <c r="T537" s="171"/>
      <c r="U537" s="180"/>
      <c r="V537" s="39">
        <v>46129</v>
      </c>
      <c r="W537" s="39">
        <v>46133</v>
      </c>
      <c r="X537" s="79"/>
      <c r="Y537" s="130">
        <v>0</v>
      </c>
      <c r="Z537" s="130">
        <v>0</v>
      </c>
      <c r="AA537" s="130">
        <v>0</v>
      </c>
      <c r="AB537" s="130">
        <v>0</v>
      </c>
      <c r="AC537" s="130">
        <v>0</v>
      </c>
      <c r="AD537" s="130">
        <v>0</v>
      </c>
      <c r="AE537" s="173" t="s">
        <v>103</v>
      </c>
      <c r="AF537" s="173"/>
      <c r="AG537" s="173"/>
      <c r="AH537" s="174"/>
      <c r="AI537" s="175"/>
      <c r="AJ537" s="174"/>
      <c r="AK537" s="176"/>
      <c r="AL537" s="174"/>
      <c r="AM537" s="181"/>
      <c r="AO537" s="184"/>
    </row>
    <row r="538" spans="1:45" ht="30" customHeight="1" x14ac:dyDescent="0.35">
      <c r="A538" s="40">
        <v>2026</v>
      </c>
      <c r="B538" s="59" t="s">
        <v>72</v>
      </c>
      <c r="C538" s="70" t="s">
        <v>1390</v>
      </c>
      <c r="D538" s="237" t="s">
        <v>114</v>
      </c>
      <c r="E538" s="237">
        <v>356</v>
      </c>
      <c r="F538" s="58" t="s">
        <v>1391</v>
      </c>
      <c r="G538" s="237" t="s">
        <v>121</v>
      </c>
      <c r="H538" s="59" t="s">
        <v>126</v>
      </c>
      <c r="I538" s="65"/>
      <c r="J538" s="237" t="s">
        <v>132</v>
      </c>
      <c r="K538" s="237" t="s">
        <v>3</v>
      </c>
      <c r="L538" s="59" t="s">
        <v>6</v>
      </c>
      <c r="M538" s="58" t="s">
        <v>729</v>
      </c>
      <c r="N538" s="130"/>
      <c r="O538" s="172"/>
      <c r="P538" s="172"/>
      <c r="Q538" s="237" t="s">
        <v>138</v>
      </c>
      <c r="R538" s="79"/>
      <c r="S538" s="79"/>
      <c r="T538" s="58" t="s">
        <v>1392</v>
      </c>
      <c r="U538" s="237">
        <v>2026</v>
      </c>
      <c r="V538" s="39">
        <v>46129</v>
      </c>
      <c r="W538" s="79"/>
      <c r="X538" s="39"/>
      <c r="Y538" s="131">
        <v>45000</v>
      </c>
      <c r="Z538" s="131">
        <v>0</v>
      </c>
      <c r="AA538" s="131">
        <v>45000</v>
      </c>
      <c r="AB538" s="131">
        <v>0</v>
      </c>
      <c r="AC538" s="131">
        <f t="shared" ref="AC538:AC546" si="45">Y538</f>
        <v>45000</v>
      </c>
      <c r="AD538" s="131">
        <f>AC538</f>
        <v>45000</v>
      </c>
      <c r="AE538" s="173" t="s">
        <v>102</v>
      </c>
      <c r="AF538" s="173"/>
      <c r="AG538" s="173"/>
      <c r="AH538" s="174"/>
      <c r="AI538" s="175"/>
      <c r="AJ538" s="174"/>
      <c r="AK538" s="176"/>
      <c r="AL538" s="174"/>
      <c r="AM538" s="181"/>
      <c r="AN538" s="243" t="s">
        <v>178</v>
      </c>
      <c r="AO538" s="184"/>
    </row>
    <row r="539" spans="1:45" ht="30" customHeight="1" x14ac:dyDescent="0.35">
      <c r="A539" s="40">
        <v>2026</v>
      </c>
      <c r="B539" s="59" t="s">
        <v>72</v>
      </c>
      <c r="C539" s="70" t="s">
        <v>1390</v>
      </c>
      <c r="D539" s="237" t="s">
        <v>114</v>
      </c>
      <c r="E539" s="237">
        <v>1</v>
      </c>
      <c r="F539" s="58" t="s">
        <v>1393</v>
      </c>
      <c r="G539" s="237" t="s">
        <v>121</v>
      </c>
      <c r="H539" s="59" t="s">
        <v>126</v>
      </c>
      <c r="I539" s="65"/>
      <c r="J539" s="237" t="s">
        <v>132</v>
      </c>
      <c r="K539" s="237" t="s">
        <v>3</v>
      </c>
      <c r="L539" s="59" t="s">
        <v>6</v>
      </c>
      <c r="M539" s="58" t="s">
        <v>729</v>
      </c>
      <c r="N539" s="130"/>
      <c r="O539" s="172"/>
      <c r="P539" s="172"/>
      <c r="Q539" s="237" t="s">
        <v>138</v>
      </c>
      <c r="R539" s="79"/>
      <c r="S539" s="79"/>
      <c r="T539" s="58" t="s">
        <v>702</v>
      </c>
      <c r="U539" s="237">
        <v>2026</v>
      </c>
      <c r="V539" s="39">
        <v>46129</v>
      </c>
      <c r="W539" s="79"/>
      <c r="X539" s="39"/>
      <c r="Y539" s="131">
        <v>96000</v>
      </c>
      <c r="Z539" s="131">
        <v>0</v>
      </c>
      <c r="AA539" s="131">
        <v>96000</v>
      </c>
      <c r="AB539" s="131">
        <v>0</v>
      </c>
      <c r="AC539" s="131">
        <f t="shared" si="45"/>
        <v>96000</v>
      </c>
      <c r="AD539" s="131">
        <f>AC539</f>
        <v>96000</v>
      </c>
      <c r="AE539" s="173" t="s">
        <v>102</v>
      </c>
      <c r="AF539" s="173"/>
      <c r="AG539" s="173"/>
      <c r="AH539" s="174"/>
      <c r="AI539" s="175"/>
      <c r="AJ539" s="174"/>
      <c r="AK539" s="176"/>
      <c r="AL539" s="174"/>
      <c r="AM539" s="181"/>
      <c r="AN539" s="243" t="s">
        <v>178</v>
      </c>
      <c r="AO539" s="184"/>
    </row>
    <row r="540" spans="1:45" ht="30" customHeight="1" x14ac:dyDescent="0.35">
      <c r="A540" s="38">
        <v>2026</v>
      </c>
      <c r="B540" s="59" t="s">
        <v>68</v>
      </c>
      <c r="C540" s="171" t="s">
        <v>173</v>
      </c>
      <c r="D540" s="237" t="s">
        <v>114</v>
      </c>
      <c r="E540" s="237">
        <v>1</v>
      </c>
      <c r="F540" s="58" t="s">
        <v>1394</v>
      </c>
      <c r="G540" s="237" t="s">
        <v>121</v>
      </c>
      <c r="H540" s="59" t="s">
        <v>126</v>
      </c>
      <c r="I540" s="70" t="s">
        <v>1395</v>
      </c>
      <c r="J540" s="237" t="s">
        <v>132</v>
      </c>
      <c r="K540" s="237" t="s">
        <v>3</v>
      </c>
      <c r="L540" s="59" t="s">
        <v>6</v>
      </c>
      <c r="M540" s="60" t="s">
        <v>980</v>
      </c>
      <c r="N540" s="130"/>
      <c r="O540" s="172"/>
      <c r="P540" s="172"/>
      <c r="Q540" s="237" t="s">
        <v>139</v>
      </c>
      <c r="R540" s="79"/>
      <c r="S540" s="79"/>
      <c r="T540" s="58" t="s">
        <v>1396</v>
      </c>
      <c r="U540" s="237">
        <v>2026</v>
      </c>
      <c r="V540" s="39">
        <v>46132</v>
      </c>
      <c r="W540" s="79"/>
      <c r="X540" s="39">
        <v>46115</v>
      </c>
      <c r="Y540" s="131">
        <v>360000</v>
      </c>
      <c r="Z540" s="131">
        <v>0</v>
      </c>
      <c r="AA540" s="131">
        <v>432000</v>
      </c>
      <c r="AB540" s="131">
        <v>0</v>
      </c>
      <c r="AC540" s="131">
        <f t="shared" si="45"/>
        <v>360000</v>
      </c>
      <c r="AD540" s="131">
        <f>AC540</f>
        <v>360000</v>
      </c>
      <c r="AE540" s="173" t="s">
        <v>102</v>
      </c>
      <c r="AF540" s="173"/>
      <c r="AG540" s="173"/>
      <c r="AH540" s="174"/>
      <c r="AI540" s="175"/>
      <c r="AJ540" s="174"/>
      <c r="AK540" s="176"/>
      <c r="AL540" s="174"/>
      <c r="AM540" s="181"/>
      <c r="AN540" s="243" t="s">
        <v>178</v>
      </c>
      <c r="AO540" s="184"/>
    </row>
    <row r="541" spans="1:45" ht="30" customHeight="1" x14ac:dyDescent="0.35">
      <c r="A541" s="38">
        <v>2026</v>
      </c>
      <c r="B541" s="59" t="s">
        <v>68</v>
      </c>
      <c r="C541" s="171" t="s">
        <v>173</v>
      </c>
      <c r="D541" s="237" t="s">
        <v>114</v>
      </c>
      <c r="E541" s="237">
        <v>1</v>
      </c>
      <c r="F541" s="58" t="s">
        <v>1397</v>
      </c>
      <c r="G541" s="237" t="s">
        <v>121</v>
      </c>
      <c r="H541" s="59" t="s">
        <v>126</v>
      </c>
      <c r="I541" s="70" t="s">
        <v>1398</v>
      </c>
      <c r="J541" s="237" t="s">
        <v>132</v>
      </c>
      <c r="K541" s="237" t="s">
        <v>3</v>
      </c>
      <c r="L541" s="59" t="s">
        <v>6</v>
      </c>
      <c r="M541" s="60" t="s">
        <v>1115</v>
      </c>
      <c r="N541" s="130"/>
      <c r="O541" s="172"/>
      <c r="P541" s="172"/>
      <c r="Q541" s="237" t="s">
        <v>139</v>
      </c>
      <c r="R541" s="79"/>
      <c r="S541" s="79"/>
      <c r="T541" s="58" t="s">
        <v>1399</v>
      </c>
      <c r="U541" s="237">
        <v>2026</v>
      </c>
      <c r="V541" s="39">
        <v>46132</v>
      </c>
      <c r="W541" s="79"/>
      <c r="X541" s="39">
        <v>46115</v>
      </c>
      <c r="Y541" s="131">
        <v>437638.83</v>
      </c>
      <c r="Z541" s="131">
        <v>46667.040000000001</v>
      </c>
      <c r="AA541" s="131">
        <f>Y541</f>
        <v>437638.83</v>
      </c>
      <c r="AB541" s="131">
        <v>46667.040000000001</v>
      </c>
      <c r="AC541" s="131">
        <f t="shared" si="45"/>
        <v>437638.83</v>
      </c>
      <c r="AD541" s="131">
        <f>AC541</f>
        <v>437638.83</v>
      </c>
      <c r="AE541" s="173" t="s">
        <v>102</v>
      </c>
      <c r="AF541" s="173"/>
      <c r="AG541" s="173"/>
      <c r="AH541" s="174"/>
      <c r="AI541" s="175"/>
      <c r="AJ541" s="174"/>
      <c r="AK541" s="176"/>
      <c r="AL541" s="174"/>
      <c r="AM541" s="181"/>
      <c r="AN541" s="243" t="s">
        <v>178</v>
      </c>
      <c r="AO541" s="184"/>
    </row>
    <row r="542" spans="1:45" ht="30" customHeight="1" x14ac:dyDescent="0.35">
      <c r="A542" s="38">
        <v>2026</v>
      </c>
      <c r="B542" s="59" t="s">
        <v>66</v>
      </c>
      <c r="C542" s="171" t="s">
        <v>173</v>
      </c>
      <c r="D542" s="237" t="s">
        <v>114</v>
      </c>
      <c r="E542" s="237">
        <v>200</v>
      </c>
      <c r="F542" s="58" t="s">
        <v>1400</v>
      </c>
      <c r="G542" s="237" t="s">
        <v>121</v>
      </c>
      <c r="H542" s="59" t="s">
        <v>126</v>
      </c>
      <c r="I542" s="70" t="s">
        <v>1401</v>
      </c>
      <c r="J542" s="237" t="s">
        <v>132</v>
      </c>
      <c r="K542" s="237" t="s">
        <v>3</v>
      </c>
      <c r="L542" s="59" t="s">
        <v>6</v>
      </c>
      <c r="M542" s="60" t="s">
        <v>27</v>
      </c>
      <c r="N542" s="130"/>
      <c r="O542" s="172"/>
      <c r="P542" s="172"/>
      <c r="Q542" s="237" t="s">
        <v>139</v>
      </c>
      <c r="R542" s="79"/>
      <c r="S542" s="79"/>
      <c r="T542" s="58" t="s">
        <v>876</v>
      </c>
      <c r="U542" s="237">
        <v>2026</v>
      </c>
      <c r="V542" s="39">
        <v>46132</v>
      </c>
      <c r="W542" s="79"/>
      <c r="X542" s="39">
        <v>46168</v>
      </c>
      <c r="Y542" s="131">
        <v>900000</v>
      </c>
      <c r="Z542" s="131">
        <v>0</v>
      </c>
      <c r="AA542" s="131">
        <v>1080000</v>
      </c>
      <c r="AB542" s="131">
        <v>0</v>
      </c>
      <c r="AC542" s="131">
        <f t="shared" si="45"/>
        <v>900000</v>
      </c>
      <c r="AD542" s="131">
        <f>+AA542</f>
        <v>1080000</v>
      </c>
      <c r="AE542" s="173" t="s">
        <v>102</v>
      </c>
      <c r="AF542" s="173"/>
      <c r="AG542" s="173"/>
      <c r="AH542" s="174"/>
      <c r="AI542" s="175"/>
      <c r="AJ542" s="174"/>
      <c r="AK542" s="176"/>
      <c r="AL542" s="174"/>
      <c r="AM542" s="181"/>
      <c r="AN542" s="243" t="s">
        <v>178</v>
      </c>
      <c r="AO542" s="184"/>
    </row>
    <row r="543" spans="1:45" ht="30" customHeight="1" x14ac:dyDescent="0.35">
      <c r="A543" s="40">
        <v>2026</v>
      </c>
      <c r="B543" s="59" t="s">
        <v>72</v>
      </c>
      <c r="C543" s="58" t="s">
        <v>1402</v>
      </c>
      <c r="D543" s="237" t="s">
        <v>114</v>
      </c>
      <c r="E543" s="180"/>
      <c r="F543" s="58" t="s">
        <v>1403</v>
      </c>
      <c r="G543" s="237" t="s">
        <v>121</v>
      </c>
      <c r="H543" s="59" t="s">
        <v>126</v>
      </c>
      <c r="I543" s="65"/>
      <c r="J543" s="237" t="s">
        <v>132</v>
      </c>
      <c r="K543" s="237" t="s">
        <v>3</v>
      </c>
      <c r="L543" s="59" t="s">
        <v>6</v>
      </c>
      <c r="M543" s="58" t="s">
        <v>202</v>
      </c>
      <c r="N543" s="130"/>
      <c r="O543" s="172"/>
      <c r="P543" s="172"/>
      <c r="Q543" s="237" t="s">
        <v>139</v>
      </c>
      <c r="R543" s="78"/>
      <c r="S543" s="78"/>
      <c r="T543" s="58" t="s">
        <v>1404</v>
      </c>
      <c r="U543" s="237">
        <v>2026</v>
      </c>
      <c r="V543" s="39">
        <v>46082</v>
      </c>
      <c r="W543" s="78"/>
      <c r="X543" s="88"/>
      <c r="Y543" s="131">
        <v>70000</v>
      </c>
      <c r="Z543" s="131">
        <v>0</v>
      </c>
      <c r="AA543" s="131">
        <f>Y543</f>
        <v>70000</v>
      </c>
      <c r="AB543" s="131">
        <v>0</v>
      </c>
      <c r="AC543" s="131">
        <f t="shared" si="45"/>
        <v>70000</v>
      </c>
      <c r="AD543" s="131">
        <f>Y543</f>
        <v>70000</v>
      </c>
      <c r="AE543" s="173" t="s">
        <v>102</v>
      </c>
      <c r="AF543" s="173"/>
      <c r="AG543" s="173"/>
      <c r="AH543" s="174"/>
      <c r="AI543" s="175"/>
      <c r="AJ543" s="174"/>
      <c r="AK543" s="176"/>
      <c r="AL543" s="174"/>
      <c r="AM543" s="177" t="s">
        <v>204</v>
      </c>
      <c r="AN543" s="243" t="s">
        <v>178</v>
      </c>
      <c r="AO543" s="178"/>
      <c r="AP543" s="179"/>
      <c r="AQ543" s="179"/>
      <c r="AR543" s="24"/>
      <c r="AS543" s="179"/>
    </row>
    <row r="544" spans="1:45" ht="30" customHeight="1" x14ac:dyDescent="0.35">
      <c r="A544" s="40">
        <v>2026</v>
      </c>
      <c r="B544" s="59" t="s">
        <v>72</v>
      </c>
      <c r="C544" s="58" t="s">
        <v>1402</v>
      </c>
      <c r="D544" s="237" t="s">
        <v>114</v>
      </c>
      <c r="E544" s="180"/>
      <c r="F544" s="58" t="s">
        <v>1405</v>
      </c>
      <c r="G544" s="237" t="s">
        <v>121</v>
      </c>
      <c r="H544" s="59" t="s">
        <v>126</v>
      </c>
      <c r="I544" s="65"/>
      <c r="J544" s="237" t="s">
        <v>132</v>
      </c>
      <c r="K544" s="237" t="s">
        <v>3</v>
      </c>
      <c r="L544" s="59" t="s">
        <v>6</v>
      </c>
      <c r="M544" s="58" t="s">
        <v>202</v>
      </c>
      <c r="N544" s="130"/>
      <c r="O544" s="172"/>
      <c r="P544" s="172"/>
      <c r="Q544" s="237" t="s">
        <v>139</v>
      </c>
      <c r="R544" s="78"/>
      <c r="S544" s="78"/>
      <c r="T544" s="58" t="s">
        <v>1406</v>
      </c>
      <c r="U544" s="237">
        <v>2026</v>
      </c>
      <c r="V544" s="39">
        <v>46082</v>
      </c>
      <c r="W544" s="78"/>
      <c r="X544" s="88"/>
      <c r="Y544" s="131">
        <v>80000</v>
      </c>
      <c r="Z544" s="131">
        <v>0</v>
      </c>
      <c r="AA544" s="131">
        <f>Y544</f>
        <v>80000</v>
      </c>
      <c r="AB544" s="131">
        <v>0</v>
      </c>
      <c r="AC544" s="131">
        <f t="shared" si="45"/>
        <v>80000</v>
      </c>
      <c r="AD544" s="131">
        <f>Y544</f>
        <v>80000</v>
      </c>
      <c r="AE544" s="173" t="s">
        <v>102</v>
      </c>
      <c r="AF544" s="173"/>
      <c r="AG544" s="173"/>
      <c r="AH544" s="174"/>
      <c r="AI544" s="175"/>
      <c r="AJ544" s="174"/>
      <c r="AK544" s="176"/>
      <c r="AL544" s="174"/>
      <c r="AM544" s="177" t="s">
        <v>204</v>
      </c>
      <c r="AN544" s="243" t="s">
        <v>178</v>
      </c>
      <c r="AO544" s="178"/>
      <c r="AP544" s="179"/>
      <c r="AQ544" s="179"/>
      <c r="AR544" s="24"/>
      <c r="AS544" s="179"/>
    </row>
    <row r="545" spans="1:45" ht="30" customHeight="1" x14ac:dyDescent="0.35">
      <c r="A545" s="40">
        <v>2026</v>
      </c>
      <c r="B545" s="59" t="s">
        <v>72</v>
      </c>
      <c r="C545" s="58" t="s">
        <v>1402</v>
      </c>
      <c r="D545" s="237" t="s">
        <v>114</v>
      </c>
      <c r="E545" s="180"/>
      <c r="F545" s="58" t="s">
        <v>1407</v>
      </c>
      <c r="G545" s="237" t="s">
        <v>121</v>
      </c>
      <c r="H545" s="59" t="s">
        <v>126</v>
      </c>
      <c r="I545" s="65"/>
      <c r="J545" s="237" t="s">
        <v>132</v>
      </c>
      <c r="K545" s="237" t="s">
        <v>3</v>
      </c>
      <c r="L545" s="59" t="s">
        <v>6</v>
      </c>
      <c r="M545" s="58" t="s">
        <v>202</v>
      </c>
      <c r="N545" s="130"/>
      <c r="O545" s="172"/>
      <c r="P545" s="172"/>
      <c r="Q545" s="237" t="s">
        <v>139</v>
      </c>
      <c r="R545" s="78"/>
      <c r="S545" s="78"/>
      <c r="T545" s="58" t="s">
        <v>1408</v>
      </c>
      <c r="U545" s="237">
        <v>2026</v>
      </c>
      <c r="V545" s="39">
        <v>46082</v>
      </c>
      <c r="W545" s="78"/>
      <c r="X545" s="88"/>
      <c r="Y545" s="131">
        <v>70000</v>
      </c>
      <c r="Z545" s="131">
        <v>0</v>
      </c>
      <c r="AA545" s="131">
        <f>Y545</f>
        <v>70000</v>
      </c>
      <c r="AB545" s="131">
        <v>0</v>
      </c>
      <c r="AC545" s="131">
        <f t="shared" si="45"/>
        <v>70000</v>
      </c>
      <c r="AD545" s="131">
        <f>Y545</f>
        <v>70000</v>
      </c>
      <c r="AE545" s="173" t="s">
        <v>102</v>
      </c>
      <c r="AF545" s="173"/>
      <c r="AG545" s="173"/>
      <c r="AH545" s="174"/>
      <c r="AI545" s="175"/>
      <c r="AJ545" s="174"/>
      <c r="AK545" s="176"/>
      <c r="AL545" s="174"/>
      <c r="AM545" s="177" t="s">
        <v>204</v>
      </c>
      <c r="AN545" s="243" t="s">
        <v>178</v>
      </c>
      <c r="AO545" s="178"/>
      <c r="AP545" s="179"/>
      <c r="AQ545" s="179"/>
      <c r="AR545" s="24"/>
      <c r="AS545" s="179"/>
    </row>
    <row r="546" spans="1:45" ht="30" customHeight="1" x14ac:dyDescent="0.35">
      <c r="A546" s="40">
        <v>2026</v>
      </c>
      <c r="B546" s="59" t="s">
        <v>72</v>
      </c>
      <c r="C546" s="58" t="s">
        <v>1402</v>
      </c>
      <c r="D546" s="237" t="s">
        <v>114</v>
      </c>
      <c r="E546" s="105"/>
      <c r="F546" s="58" t="s">
        <v>1409</v>
      </c>
      <c r="G546" s="237" t="s">
        <v>121</v>
      </c>
      <c r="H546" s="59" t="s">
        <v>126</v>
      </c>
      <c r="I546" s="65"/>
      <c r="J546" s="237" t="s">
        <v>132</v>
      </c>
      <c r="K546" s="237" t="s">
        <v>3</v>
      </c>
      <c r="L546" s="59" t="s">
        <v>6</v>
      </c>
      <c r="M546" s="58" t="s">
        <v>202</v>
      </c>
      <c r="N546" s="130"/>
      <c r="O546" s="172"/>
      <c r="P546" s="172"/>
      <c r="Q546" s="237" t="s">
        <v>139</v>
      </c>
      <c r="R546" s="78"/>
      <c r="S546" s="78"/>
      <c r="T546" s="58" t="s">
        <v>1410</v>
      </c>
      <c r="U546" s="237">
        <v>2026</v>
      </c>
      <c r="V546" s="39">
        <v>46082</v>
      </c>
      <c r="W546" s="78"/>
      <c r="X546" s="88"/>
      <c r="Y546" s="131">
        <v>70000</v>
      </c>
      <c r="Z546" s="131">
        <v>0</v>
      </c>
      <c r="AA546" s="131">
        <f>Y546</f>
        <v>70000</v>
      </c>
      <c r="AB546" s="131">
        <v>0</v>
      </c>
      <c r="AC546" s="131">
        <f t="shared" si="45"/>
        <v>70000</v>
      </c>
      <c r="AD546" s="131">
        <f>Y546</f>
        <v>70000</v>
      </c>
      <c r="AE546" s="173" t="s">
        <v>102</v>
      </c>
      <c r="AF546" s="173"/>
      <c r="AG546" s="173"/>
      <c r="AH546" s="174"/>
      <c r="AI546" s="175"/>
      <c r="AJ546" s="174"/>
      <c r="AK546" s="176"/>
      <c r="AL546" s="174"/>
      <c r="AM546" s="177" t="s">
        <v>204</v>
      </c>
      <c r="AN546" s="244" t="s">
        <v>347</v>
      </c>
      <c r="AO546" s="178"/>
      <c r="AP546" s="179"/>
      <c r="AQ546" s="179"/>
      <c r="AR546" s="24"/>
      <c r="AS546" s="179"/>
    </row>
    <row r="547" spans="1:45" ht="30" hidden="1" customHeight="1" x14ac:dyDescent="0.35">
      <c r="A547" s="52">
        <v>2026</v>
      </c>
      <c r="B547" s="59" t="s">
        <v>60</v>
      </c>
      <c r="C547" s="65" t="s">
        <v>1411</v>
      </c>
      <c r="D547" s="237" t="s">
        <v>106</v>
      </c>
      <c r="E547" s="180"/>
      <c r="F547" s="58" t="s">
        <v>1412</v>
      </c>
      <c r="G547" s="237" t="s">
        <v>120</v>
      </c>
      <c r="H547" s="59" t="s">
        <v>120</v>
      </c>
      <c r="I547" s="65"/>
      <c r="J547" s="237" t="s">
        <v>130</v>
      </c>
      <c r="K547" s="237" t="s">
        <v>3</v>
      </c>
      <c r="L547" s="59" t="s">
        <v>6</v>
      </c>
      <c r="M547" s="60" t="s">
        <v>23</v>
      </c>
      <c r="N547" s="132">
        <f>O547*1.2</f>
        <v>600696</v>
      </c>
      <c r="O547" s="187">
        <v>500580</v>
      </c>
      <c r="P547" s="187">
        <f>O547/1.2</f>
        <v>417150</v>
      </c>
      <c r="Q547" s="237" t="s">
        <v>139</v>
      </c>
      <c r="R547" s="78"/>
      <c r="S547" s="78"/>
      <c r="T547" s="58"/>
      <c r="U547" s="237"/>
      <c r="V547" s="39">
        <v>46213</v>
      </c>
      <c r="W547" s="78"/>
      <c r="X547" s="88"/>
      <c r="Y547" s="131"/>
      <c r="Z547" s="131"/>
      <c r="AA547" s="131"/>
      <c r="AB547" s="131"/>
      <c r="AC547" s="131"/>
      <c r="AD547" s="131"/>
      <c r="AE547" s="173" t="s">
        <v>99</v>
      </c>
      <c r="AF547" s="173"/>
      <c r="AG547" s="173"/>
      <c r="AH547" s="174"/>
      <c r="AI547" s="175"/>
      <c r="AJ547" s="174"/>
      <c r="AK547" s="176"/>
      <c r="AL547" s="174"/>
      <c r="AM547" s="177" t="s">
        <v>1413</v>
      </c>
      <c r="AN547" s="202"/>
      <c r="AO547" s="178"/>
      <c r="AP547" s="179"/>
      <c r="AQ547" s="179"/>
      <c r="AR547" s="24"/>
      <c r="AS547" s="179"/>
    </row>
    <row r="548" spans="1:45" ht="30" hidden="1" customHeight="1" x14ac:dyDescent="0.35">
      <c r="A548" s="38">
        <v>2026</v>
      </c>
      <c r="B548" s="59" t="s">
        <v>55</v>
      </c>
      <c r="C548" s="58" t="s">
        <v>1414</v>
      </c>
      <c r="D548" s="237" t="s">
        <v>106</v>
      </c>
      <c r="E548" s="180"/>
      <c r="F548" s="58" t="s">
        <v>1415</v>
      </c>
      <c r="G548" s="237" t="s">
        <v>121</v>
      </c>
      <c r="H548" s="59" t="s">
        <v>128</v>
      </c>
      <c r="I548" s="70"/>
      <c r="J548" s="237" t="s">
        <v>131</v>
      </c>
      <c r="K548" s="237" t="s">
        <v>1</v>
      </c>
      <c r="L548" s="59" t="s">
        <v>7</v>
      </c>
      <c r="M548" s="60" t="s">
        <v>961</v>
      </c>
      <c r="N548" s="132">
        <f>O548*1.2</f>
        <v>2142000</v>
      </c>
      <c r="O548" s="187">
        <v>1785000</v>
      </c>
      <c r="P548" s="187">
        <f>O548/1.2</f>
        <v>1487500</v>
      </c>
      <c r="Q548" s="237" t="s">
        <v>138</v>
      </c>
      <c r="R548" s="78"/>
      <c r="S548" s="78"/>
      <c r="T548" s="58"/>
      <c r="U548" s="237"/>
      <c r="V548" s="39">
        <v>46136</v>
      </c>
      <c r="W548" s="88">
        <v>46142</v>
      </c>
      <c r="X548" s="88"/>
      <c r="Y548" s="131"/>
      <c r="Z548" s="131">
        <v>0</v>
      </c>
      <c r="AA548" s="131"/>
      <c r="AB548" s="131">
        <v>0</v>
      </c>
      <c r="AC548" s="131"/>
      <c r="AD548" s="131"/>
      <c r="AE548" s="173" t="s">
        <v>100</v>
      </c>
      <c r="AF548" s="173"/>
      <c r="AG548" s="173"/>
      <c r="AH548" s="174"/>
      <c r="AI548" s="175"/>
      <c r="AJ548" s="174"/>
      <c r="AK548" s="176"/>
      <c r="AL548" s="174"/>
      <c r="AM548" s="177"/>
      <c r="AN548" s="202"/>
      <c r="AO548" s="178"/>
      <c r="AP548" s="179"/>
      <c r="AQ548" s="179"/>
      <c r="AR548" s="24"/>
      <c r="AS548" s="179"/>
    </row>
    <row r="549" spans="1:45" ht="30" customHeight="1" x14ac:dyDescent="0.35">
      <c r="A549" s="38">
        <v>2026</v>
      </c>
      <c r="B549" s="59" t="s">
        <v>74</v>
      </c>
      <c r="C549" s="58" t="s">
        <v>1416</v>
      </c>
      <c r="D549" s="237" t="s">
        <v>114</v>
      </c>
      <c r="E549" s="180"/>
      <c r="F549" s="58" t="s">
        <v>1417</v>
      </c>
      <c r="G549" s="237" t="s">
        <v>121</v>
      </c>
      <c r="H549" s="59" t="s">
        <v>126</v>
      </c>
      <c r="I549" s="70" t="s">
        <v>1418</v>
      </c>
      <c r="J549" s="237" t="s">
        <v>132</v>
      </c>
      <c r="K549" s="237" t="s">
        <v>3</v>
      </c>
      <c r="L549" s="59" t="s">
        <v>6</v>
      </c>
      <c r="M549" s="60" t="s">
        <v>27</v>
      </c>
      <c r="N549" s="130"/>
      <c r="O549" s="172"/>
      <c r="P549" s="172"/>
      <c r="Q549" s="237" t="s">
        <v>139</v>
      </c>
      <c r="R549" s="78"/>
      <c r="S549" s="78"/>
      <c r="T549" s="58" t="s">
        <v>1419</v>
      </c>
      <c r="U549" s="237"/>
      <c r="V549" s="39">
        <v>46135</v>
      </c>
      <c r="W549" s="78"/>
      <c r="X549" s="39">
        <v>46135</v>
      </c>
      <c r="Y549" s="131">
        <v>265200</v>
      </c>
      <c r="Z549" s="131">
        <v>0</v>
      </c>
      <c r="AA549" s="131">
        <v>318240</v>
      </c>
      <c r="AB549" s="131">
        <v>0</v>
      </c>
      <c r="AC549" s="131">
        <f>Y549</f>
        <v>265200</v>
      </c>
      <c r="AD549" s="131">
        <f>AA549</f>
        <v>318240</v>
      </c>
      <c r="AE549" s="173" t="s">
        <v>102</v>
      </c>
      <c r="AF549" s="173"/>
      <c r="AG549" s="173"/>
      <c r="AH549" s="174"/>
      <c r="AI549" s="175"/>
      <c r="AJ549" s="174"/>
      <c r="AK549" s="176"/>
      <c r="AL549" s="174"/>
      <c r="AM549" s="181" t="s">
        <v>1030</v>
      </c>
      <c r="AN549" s="243" t="s">
        <v>178</v>
      </c>
      <c r="AO549" s="178"/>
      <c r="AP549" s="179"/>
      <c r="AQ549" s="179"/>
      <c r="AR549" s="24"/>
      <c r="AS549" s="179"/>
    </row>
    <row r="550" spans="1:45" ht="30" hidden="1" customHeight="1" x14ac:dyDescent="0.35">
      <c r="A550" s="43">
        <v>2026</v>
      </c>
      <c r="B550" s="59" t="s">
        <v>56</v>
      </c>
      <c r="C550" s="58" t="s">
        <v>1420</v>
      </c>
      <c r="D550" s="237" t="s">
        <v>106</v>
      </c>
      <c r="E550" s="237">
        <v>1</v>
      </c>
      <c r="F550" s="58" t="s">
        <v>1032</v>
      </c>
      <c r="G550" s="237" t="s">
        <v>118</v>
      </c>
      <c r="H550" s="59" t="s">
        <v>118</v>
      </c>
      <c r="I550" s="171"/>
      <c r="J550" s="237" t="s">
        <v>131</v>
      </c>
      <c r="K550" s="237" t="s">
        <v>1</v>
      </c>
      <c r="L550" s="59" t="s">
        <v>7</v>
      </c>
      <c r="M550" s="60" t="s">
        <v>961</v>
      </c>
      <c r="N550" s="132">
        <f>O550*1.2</f>
        <v>648000</v>
      </c>
      <c r="O550" s="187">
        <v>540000</v>
      </c>
      <c r="P550" s="187">
        <f>O550/1.2</f>
        <v>450000</v>
      </c>
      <c r="Q550" s="237" t="s">
        <v>138</v>
      </c>
      <c r="R550" s="79"/>
      <c r="S550" s="79"/>
      <c r="T550" s="74"/>
      <c r="U550" s="50"/>
      <c r="V550" s="88">
        <v>46080</v>
      </c>
      <c r="W550" s="88">
        <v>46084</v>
      </c>
      <c r="X550" s="78" t="s">
        <v>358</v>
      </c>
      <c r="Y550" s="140">
        <v>0</v>
      </c>
      <c r="Z550" s="140">
        <v>0</v>
      </c>
      <c r="AA550" s="140">
        <v>0</v>
      </c>
      <c r="AB550" s="140">
        <v>0</v>
      </c>
      <c r="AC550" s="140">
        <v>0</v>
      </c>
      <c r="AD550" s="140">
        <v>0</v>
      </c>
      <c r="AE550" s="173" t="s">
        <v>103</v>
      </c>
      <c r="AF550" s="173"/>
      <c r="AG550" s="173"/>
      <c r="AH550" s="174"/>
      <c r="AI550" s="175"/>
      <c r="AJ550" s="174"/>
      <c r="AK550" s="176"/>
      <c r="AL550" s="174"/>
      <c r="AM550" s="181" t="s">
        <v>1421</v>
      </c>
      <c r="AO550" s="184"/>
    </row>
    <row r="551" spans="1:45" ht="30" hidden="1" customHeight="1" x14ac:dyDescent="0.35">
      <c r="A551" s="43">
        <v>2026</v>
      </c>
      <c r="B551" s="59" t="s">
        <v>711</v>
      </c>
      <c r="C551" s="58" t="s">
        <v>1422</v>
      </c>
      <c r="D551" s="237" t="s">
        <v>106</v>
      </c>
      <c r="E551" s="237">
        <v>1</v>
      </c>
      <c r="F551" s="58" t="s">
        <v>1014</v>
      </c>
      <c r="G551" s="237" t="s">
        <v>118</v>
      </c>
      <c r="H551" s="59" t="s">
        <v>118</v>
      </c>
      <c r="I551" s="171"/>
      <c r="J551" s="237" t="s">
        <v>131</v>
      </c>
      <c r="K551" s="237" t="s">
        <v>3</v>
      </c>
      <c r="L551" s="59" t="s">
        <v>7</v>
      </c>
      <c r="M551" s="60" t="s">
        <v>1015</v>
      </c>
      <c r="N551" s="132">
        <f>O551*1.2</f>
        <v>2288044.7999999998</v>
      </c>
      <c r="O551" s="187">
        <v>1906704</v>
      </c>
      <c r="P551" s="187">
        <f>O551/1.2</f>
        <v>1588920</v>
      </c>
      <c r="Q551" s="237" t="s">
        <v>138</v>
      </c>
      <c r="R551" s="79"/>
      <c r="S551" s="79"/>
      <c r="T551" s="74"/>
      <c r="U551" s="50"/>
      <c r="V551" s="88">
        <v>46140</v>
      </c>
      <c r="W551" s="88">
        <v>46142</v>
      </c>
      <c r="X551" s="78" t="s">
        <v>358</v>
      </c>
      <c r="Y551" s="140">
        <v>0</v>
      </c>
      <c r="Z551" s="140">
        <v>0</v>
      </c>
      <c r="AA551" s="140">
        <v>0</v>
      </c>
      <c r="AB551" s="140">
        <v>0</v>
      </c>
      <c r="AC551" s="140">
        <v>0</v>
      </c>
      <c r="AD551" s="140">
        <v>0</v>
      </c>
      <c r="AE551" s="173" t="s">
        <v>103</v>
      </c>
      <c r="AF551" s="173"/>
      <c r="AG551" s="173"/>
      <c r="AH551" s="174"/>
      <c r="AI551" s="175"/>
      <c r="AJ551" s="174"/>
      <c r="AK551" s="176"/>
      <c r="AL551" s="174"/>
      <c r="AM551" s="181" t="s">
        <v>1423</v>
      </c>
      <c r="AO551" s="184"/>
    </row>
    <row r="552" spans="1:45" ht="30" hidden="1" customHeight="1" x14ac:dyDescent="0.35">
      <c r="A552" s="38">
        <v>2026</v>
      </c>
      <c r="B552" s="59" t="s">
        <v>711</v>
      </c>
      <c r="C552" s="58" t="s">
        <v>1424</v>
      </c>
      <c r="D552" s="237" t="s">
        <v>106</v>
      </c>
      <c r="E552" s="237">
        <v>1</v>
      </c>
      <c r="F552" s="58" t="s">
        <v>1425</v>
      </c>
      <c r="G552" s="237" t="s">
        <v>121</v>
      </c>
      <c r="H552" s="59" t="s">
        <v>127</v>
      </c>
      <c r="I552" s="70"/>
      <c r="J552" s="237" t="s">
        <v>130</v>
      </c>
      <c r="K552" s="237" t="s">
        <v>3</v>
      </c>
      <c r="L552" s="59" t="s">
        <v>6</v>
      </c>
      <c r="M552" s="60" t="s">
        <v>25</v>
      </c>
      <c r="N552" s="132">
        <f>O552*1.2</f>
        <v>120744</v>
      </c>
      <c r="O552" s="187">
        <v>100620</v>
      </c>
      <c r="P552" s="187">
        <f>O552/1.2</f>
        <v>83850</v>
      </c>
      <c r="Q552" s="237" t="s">
        <v>139</v>
      </c>
      <c r="R552" s="79"/>
      <c r="S552" s="79"/>
      <c r="T552" s="58"/>
      <c r="U552" s="237"/>
      <c r="V552" s="88">
        <v>46140</v>
      </c>
      <c r="W552" s="88">
        <v>46141</v>
      </c>
      <c r="X552" s="88"/>
      <c r="Y552" s="131"/>
      <c r="Z552" s="131"/>
      <c r="AA552" s="131">
        <v>119737.08</v>
      </c>
      <c r="AB552" s="131"/>
      <c r="AC552" s="131">
        <f>Engagements2026Juillet[[#This Row],[TOTAL MARCHE TTC TOTAL ENGAGE TTC]]/1.2</f>
        <v>99780.900000000009</v>
      </c>
      <c r="AD552" s="131">
        <v>119737.08</v>
      </c>
      <c r="AE552" s="173" t="s">
        <v>101</v>
      </c>
      <c r="AF552" s="173"/>
      <c r="AG552" s="173"/>
      <c r="AH552" s="174"/>
      <c r="AI552" s="175"/>
      <c r="AJ552" s="174"/>
      <c r="AK552" s="176"/>
      <c r="AL552" s="174"/>
      <c r="AM552" s="181" t="s">
        <v>1030</v>
      </c>
      <c r="AO552" s="184"/>
    </row>
    <row r="553" spans="1:45" ht="30" customHeight="1" x14ac:dyDescent="0.35">
      <c r="A553" s="38">
        <v>2026</v>
      </c>
      <c r="B553" s="59" t="s">
        <v>63</v>
      </c>
      <c r="C553" s="58" t="s">
        <v>1426</v>
      </c>
      <c r="D553" s="237" t="s">
        <v>114</v>
      </c>
      <c r="E553" s="237">
        <v>94</v>
      </c>
      <c r="F553" s="58" t="s">
        <v>1427</v>
      </c>
      <c r="G553" s="237" t="s">
        <v>121</v>
      </c>
      <c r="H553" s="59" t="s">
        <v>126</v>
      </c>
      <c r="I553" s="65"/>
      <c r="J553" s="237" t="s">
        <v>132</v>
      </c>
      <c r="K553" s="237" t="s">
        <v>3</v>
      </c>
      <c r="L553" s="59" t="s">
        <v>6</v>
      </c>
      <c r="M553" s="58" t="s">
        <v>202</v>
      </c>
      <c r="N553" s="130"/>
      <c r="O553" s="172"/>
      <c r="P553" s="172"/>
      <c r="Q553" s="237" t="s">
        <v>138</v>
      </c>
      <c r="R553" s="79"/>
      <c r="S553" s="79"/>
      <c r="T553" s="58" t="s">
        <v>1428</v>
      </c>
      <c r="U553" s="237">
        <v>2026</v>
      </c>
      <c r="V553" s="88">
        <v>46087</v>
      </c>
      <c r="W553" s="78"/>
      <c r="X553" s="88">
        <v>46087</v>
      </c>
      <c r="Y553" s="131">
        <v>150000</v>
      </c>
      <c r="Z553" s="131">
        <v>0</v>
      </c>
      <c r="AA553" s="131">
        <v>150000</v>
      </c>
      <c r="AB553" s="131">
        <v>0</v>
      </c>
      <c r="AC553" s="131">
        <v>150000</v>
      </c>
      <c r="AD553" s="131">
        <v>150000</v>
      </c>
      <c r="AE553" s="173" t="s">
        <v>102</v>
      </c>
      <c r="AF553" s="173"/>
      <c r="AG553" s="173"/>
      <c r="AH553" s="174"/>
      <c r="AI553" s="175"/>
      <c r="AJ553" s="174"/>
      <c r="AK553" s="176"/>
      <c r="AL553" s="174"/>
      <c r="AM553" s="181" t="s">
        <v>1030</v>
      </c>
      <c r="AN553" s="245" t="s">
        <v>178</v>
      </c>
      <c r="AO553" s="184"/>
    </row>
    <row r="554" spans="1:45" ht="30" customHeight="1" x14ac:dyDescent="0.35">
      <c r="A554" s="38">
        <v>2026</v>
      </c>
      <c r="B554" s="59" t="s">
        <v>67</v>
      </c>
      <c r="C554" s="65" t="s">
        <v>1429</v>
      </c>
      <c r="D554" s="237" t="s">
        <v>114</v>
      </c>
      <c r="E554" s="237"/>
      <c r="F554" s="58" t="s">
        <v>1430</v>
      </c>
      <c r="G554" s="237" t="s">
        <v>121</v>
      </c>
      <c r="H554" s="59" t="s">
        <v>126</v>
      </c>
      <c r="I554" s="58"/>
      <c r="J554" s="237" t="s">
        <v>132</v>
      </c>
      <c r="K554" s="237" t="s">
        <v>3</v>
      </c>
      <c r="L554" s="59" t="s">
        <v>6</v>
      </c>
      <c r="M554" s="58" t="s">
        <v>202</v>
      </c>
      <c r="N554" s="130"/>
      <c r="O554" s="172"/>
      <c r="P554" s="172"/>
      <c r="Q554" s="180"/>
      <c r="R554" s="79"/>
      <c r="S554" s="79"/>
      <c r="T554" s="58" t="s">
        <v>1431</v>
      </c>
      <c r="U554" s="237"/>
      <c r="V554" s="88">
        <v>46146</v>
      </c>
      <c r="W554" s="88">
        <v>46142</v>
      </c>
      <c r="X554" s="88"/>
      <c r="Y554" s="131"/>
      <c r="Z554" s="131"/>
      <c r="AA554" s="131"/>
      <c r="AB554" s="131"/>
      <c r="AC554" s="131"/>
      <c r="AD554" s="131">
        <v>64000</v>
      </c>
      <c r="AE554" s="173" t="s">
        <v>102</v>
      </c>
      <c r="AF554" s="173"/>
      <c r="AG554" s="173"/>
      <c r="AH554" s="174"/>
      <c r="AI554" s="175"/>
      <c r="AJ554" s="174"/>
      <c r="AK554" s="176"/>
      <c r="AL554" s="174"/>
      <c r="AM554" s="181" t="s">
        <v>1030</v>
      </c>
      <c r="AN554" s="246" t="s">
        <v>347</v>
      </c>
      <c r="AO554" s="184"/>
    </row>
    <row r="555" spans="1:45" ht="30" customHeight="1" x14ac:dyDescent="0.35">
      <c r="A555" s="38">
        <v>2026</v>
      </c>
      <c r="B555" s="59" t="s">
        <v>77</v>
      </c>
      <c r="C555" s="171" t="s">
        <v>173</v>
      </c>
      <c r="D555" s="237" t="s">
        <v>114</v>
      </c>
      <c r="E555" s="237">
        <v>1</v>
      </c>
      <c r="F555" s="58" t="s">
        <v>1432</v>
      </c>
      <c r="G555" s="237" t="s">
        <v>121</v>
      </c>
      <c r="H555" s="59" t="s">
        <v>126</v>
      </c>
      <c r="I555" s="58" t="s">
        <v>1433</v>
      </c>
      <c r="J555" s="237" t="s">
        <v>132</v>
      </c>
      <c r="K555" s="237" t="s">
        <v>3</v>
      </c>
      <c r="L555" s="59" t="s">
        <v>6</v>
      </c>
      <c r="M555" s="58" t="s">
        <v>1165</v>
      </c>
      <c r="N555" s="130"/>
      <c r="O555" s="172"/>
      <c r="P555" s="172"/>
      <c r="Q555" s="237" t="s">
        <v>138</v>
      </c>
      <c r="R555" s="79"/>
      <c r="S555" s="79"/>
      <c r="T555" s="58" t="s">
        <v>1434</v>
      </c>
      <c r="U555" s="237">
        <v>2026</v>
      </c>
      <c r="V555" s="88">
        <v>46146</v>
      </c>
      <c r="W555" s="78"/>
      <c r="X555" s="88">
        <v>46153</v>
      </c>
      <c r="Y555" s="131">
        <f>AA555</f>
        <v>200000</v>
      </c>
      <c r="Z555" s="131">
        <v>0</v>
      </c>
      <c r="AA555" s="131">
        <f>AC555</f>
        <v>200000</v>
      </c>
      <c r="AB555" s="131">
        <v>0</v>
      </c>
      <c r="AC555" s="131">
        <f>AD555</f>
        <v>200000</v>
      </c>
      <c r="AD555" s="131">
        <v>200000</v>
      </c>
      <c r="AE555" s="173" t="s">
        <v>102</v>
      </c>
      <c r="AF555" s="173"/>
      <c r="AG555" s="173"/>
      <c r="AH555" s="174"/>
      <c r="AI555" s="175"/>
      <c r="AJ555" s="174"/>
      <c r="AK555" s="176"/>
      <c r="AL555" s="174"/>
      <c r="AM555" s="181" t="s">
        <v>1030</v>
      </c>
      <c r="AN555" s="245" t="s">
        <v>178</v>
      </c>
      <c r="AO555" s="184"/>
    </row>
    <row r="556" spans="1:45" ht="30" hidden="1" customHeight="1" x14ac:dyDescent="0.35">
      <c r="A556" s="38">
        <v>2026</v>
      </c>
      <c r="B556" s="59" t="s">
        <v>711</v>
      </c>
      <c r="C556" s="58" t="s">
        <v>1435</v>
      </c>
      <c r="D556" s="237" t="s">
        <v>109</v>
      </c>
      <c r="E556" s="237">
        <v>1</v>
      </c>
      <c r="F556" s="58" t="s">
        <v>1436</v>
      </c>
      <c r="G556" s="237" t="s">
        <v>121</v>
      </c>
      <c r="H556" s="59" t="s">
        <v>126</v>
      </c>
      <c r="I556" s="58" t="s">
        <v>1435</v>
      </c>
      <c r="J556" s="237"/>
      <c r="K556" s="237" t="s">
        <v>3</v>
      </c>
      <c r="L556" s="59" t="s">
        <v>7</v>
      </c>
      <c r="M556" s="60" t="s">
        <v>971</v>
      </c>
      <c r="N556" s="130"/>
      <c r="O556" s="172"/>
      <c r="P556" s="172"/>
      <c r="Q556" s="237" t="s">
        <v>138</v>
      </c>
      <c r="R556" s="79"/>
      <c r="S556" s="79"/>
      <c r="T556" s="58" t="s">
        <v>1191</v>
      </c>
      <c r="U556" s="237">
        <v>2026</v>
      </c>
      <c r="V556" s="88">
        <v>46133</v>
      </c>
      <c r="W556" s="78"/>
      <c r="X556" s="88">
        <v>46133</v>
      </c>
      <c r="Y556" s="131">
        <f>AC556</f>
        <v>69707.65833333334</v>
      </c>
      <c r="Z556" s="131">
        <v>0</v>
      </c>
      <c r="AA556" s="131">
        <f>AD556</f>
        <v>83649.19</v>
      </c>
      <c r="AB556" s="131">
        <v>0</v>
      </c>
      <c r="AC556" s="131">
        <f>AD556/1.2</f>
        <v>69707.65833333334</v>
      </c>
      <c r="AD556" s="131">
        <v>83649.19</v>
      </c>
      <c r="AE556" s="173" t="s">
        <v>102</v>
      </c>
      <c r="AF556" s="173"/>
      <c r="AG556" s="173"/>
      <c r="AH556" s="174"/>
      <c r="AI556" s="175"/>
      <c r="AJ556" s="174"/>
      <c r="AK556" s="176"/>
      <c r="AL556" s="174"/>
      <c r="AM556" s="181" t="s">
        <v>1030</v>
      </c>
      <c r="AO556" s="184"/>
    </row>
    <row r="557" spans="1:45" ht="30" hidden="1" customHeight="1" x14ac:dyDescent="0.35">
      <c r="A557" s="38">
        <v>2026</v>
      </c>
      <c r="B557" s="59" t="s">
        <v>711</v>
      </c>
      <c r="C557" s="58" t="s">
        <v>1437</v>
      </c>
      <c r="D557" s="237" t="s">
        <v>106</v>
      </c>
      <c r="E557" s="237">
        <v>1</v>
      </c>
      <c r="F557" s="77" t="s">
        <v>1438</v>
      </c>
      <c r="G557" s="237" t="s">
        <v>121</v>
      </c>
      <c r="H557" s="59" t="s">
        <v>127</v>
      </c>
      <c r="I557" s="58"/>
      <c r="J557" s="237" t="s">
        <v>131</v>
      </c>
      <c r="K557" s="237" t="s">
        <v>3</v>
      </c>
      <c r="L557" s="59" t="s">
        <v>7</v>
      </c>
      <c r="M557" s="60" t="s">
        <v>1015</v>
      </c>
      <c r="N557" s="132">
        <f>O557*1.2</f>
        <v>1008000</v>
      </c>
      <c r="O557" s="187">
        <v>840000</v>
      </c>
      <c r="P557" s="187">
        <f>O557/1.2</f>
        <v>700000</v>
      </c>
      <c r="Q557" s="180"/>
      <c r="R557" s="79"/>
      <c r="S557" s="79"/>
      <c r="T557" s="58"/>
      <c r="U557" s="237"/>
      <c r="V557" s="88">
        <v>46147</v>
      </c>
      <c r="W557" s="88">
        <v>46148</v>
      </c>
      <c r="X557" s="88"/>
      <c r="Y557" s="131">
        <f>Engagements2026Juillet[[#This Row],[TOTAL MARCHE HT TOTAL ENGAGE HT]]</f>
        <v>588250</v>
      </c>
      <c r="Z557" s="131"/>
      <c r="AA557" s="131">
        <f>Engagements2026Juillet[[#This Row],[TOTAL MARCHE TTC TOTAL ENGAGE TTC]]</f>
        <v>705900</v>
      </c>
      <c r="AB557" s="131">
        <f>Engagements2026Juillet[[#This Row],[TOTAL MARCHE TTC TOTAL ENGAGE TTC]]</f>
        <v>705900</v>
      </c>
      <c r="AC557" s="131">
        <f>Engagements2026Juillet[[#This Row],[TOTAL MARCHE TTC TOTAL ENGAGE TTC]]/1.2</f>
        <v>588250</v>
      </c>
      <c r="AD557" s="131">
        <v>705900</v>
      </c>
      <c r="AE557" s="173" t="s">
        <v>100</v>
      </c>
      <c r="AF557" s="173"/>
      <c r="AG557" s="173"/>
      <c r="AH557" s="174"/>
      <c r="AI557" s="175"/>
      <c r="AJ557" s="174"/>
      <c r="AK557" s="176"/>
      <c r="AL557" s="174"/>
      <c r="AM557" s="181" t="s">
        <v>1030</v>
      </c>
      <c r="AO557" s="184"/>
    </row>
    <row r="558" spans="1:45" ht="30" hidden="1" customHeight="1" x14ac:dyDescent="0.35">
      <c r="A558" s="38">
        <v>2026</v>
      </c>
      <c r="B558" s="59" t="s">
        <v>711</v>
      </c>
      <c r="C558" s="58" t="s">
        <v>1439</v>
      </c>
      <c r="D558" s="237" t="s">
        <v>106</v>
      </c>
      <c r="E558" s="237">
        <v>1</v>
      </c>
      <c r="F558" s="58" t="s">
        <v>1440</v>
      </c>
      <c r="G558" s="237" t="s">
        <v>118</v>
      </c>
      <c r="H558" s="59" t="s">
        <v>118</v>
      </c>
      <c r="I558" s="74"/>
      <c r="J558" s="237" t="s">
        <v>131</v>
      </c>
      <c r="K558" s="237" t="s">
        <v>3</v>
      </c>
      <c r="L558" s="59" t="s">
        <v>7</v>
      </c>
      <c r="M558" s="60" t="s">
        <v>971</v>
      </c>
      <c r="N558" s="132">
        <f>O558*1.2</f>
        <v>440755.20000000001</v>
      </c>
      <c r="O558" s="187">
        <v>367296</v>
      </c>
      <c r="P558" s="187">
        <f>O558/1.2</f>
        <v>306080</v>
      </c>
      <c r="Q558" s="180"/>
      <c r="R558" s="79"/>
      <c r="S558" s="79"/>
      <c r="T558" s="74"/>
      <c r="U558" s="50"/>
      <c r="V558" s="88">
        <v>46147</v>
      </c>
      <c r="W558" s="88">
        <v>46148</v>
      </c>
      <c r="X558" s="78" t="s">
        <v>358</v>
      </c>
      <c r="Y558" s="140">
        <v>0</v>
      </c>
      <c r="Z558" s="140">
        <v>0</v>
      </c>
      <c r="AA558" s="140">
        <v>0</v>
      </c>
      <c r="AB558" s="140">
        <v>0</v>
      </c>
      <c r="AC558" s="140">
        <v>0</v>
      </c>
      <c r="AD558" s="140">
        <v>0</v>
      </c>
      <c r="AE558" s="173" t="s">
        <v>103</v>
      </c>
      <c r="AF558" s="173"/>
      <c r="AG558" s="173"/>
      <c r="AH558" s="174"/>
      <c r="AI558" s="175"/>
      <c r="AJ558" s="174"/>
      <c r="AK558" s="176"/>
      <c r="AL558" s="174"/>
      <c r="AM558" s="181"/>
      <c r="AO558" s="184"/>
    </row>
    <row r="559" spans="1:45" ht="30" hidden="1" customHeight="1" x14ac:dyDescent="0.35">
      <c r="A559" s="38">
        <v>2026</v>
      </c>
      <c r="B559" s="59" t="s">
        <v>55</v>
      </c>
      <c r="C559" s="58" t="s">
        <v>1441</v>
      </c>
      <c r="D559" s="237" t="s">
        <v>106</v>
      </c>
      <c r="E559" s="237">
        <v>1</v>
      </c>
      <c r="F559" s="58" t="s">
        <v>1442</v>
      </c>
      <c r="G559" s="237" t="s">
        <v>120</v>
      </c>
      <c r="H559" s="59" t="s">
        <v>120</v>
      </c>
      <c r="I559" s="58"/>
      <c r="J559" s="51"/>
      <c r="K559" s="237" t="s">
        <v>3</v>
      </c>
      <c r="L559" s="59" t="s">
        <v>6</v>
      </c>
      <c r="M559" s="60" t="s">
        <v>23</v>
      </c>
      <c r="N559" s="132">
        <f>O559*1.2</f>
        <v>952473.59999999998</v>
      </c>
      <c r="O559" s="187">
        <v>793728</v>
      </c>
      <c r="P559" s="187">
        <f>O559/1.2</f>
        <v>661440</v>
      </c>
      <c r="Q559" s="180"/>
      <c r="R559" s="79"/>
      <c r="S559" s="79"/>
      <c r="T559" s="58"/>
      <c r="U559" s="237"/>
      <c r="V559" s="82"/>
      <c r="W559" s="82"/>
      <c r="X559" s="88"/>
      <c r="Y559" s="131"/>
      <c r="Z559" s="131"/>
      <c r="AA559" s="131"/>
      <c r="AB559" s="131"/>
      <c r="AC559" s="131"/>
      <c r="AD559" s="131"/>
      <c r="AE559" s="173" t="s">
        <v>99</v>
      </c>
      <c r="AF559" s="173"/>
      <c r="AG559" s="173"/>
      <c r="AH559" s="174"/>
      <c r="AI559" s="175"/>
      <c r="AJ559" s="174"/>
      <c r="AK559" s="176"/>
      <c r="AL559" s="174"/>
      <c r="AM559" s="181"/>
      <c r="AO559" s="184"/>
    </row>
    <row r="560" spans="1:45" ht="30" hidden="1" customHeight="1" x14ac:dyDescent="0.35">
      <c r="A560" s="38">
        <v>2026</v>
      </c>
      <c r="B560" s="59" t="s">
        <v>55</v>
      </c>
      <c r="C560" s="67" t="s">
        <v>1443</v>
      </c>
      <c r="D560" s="237" t="s">
        <v>106</v>
      </c>
      <c r="E560" s="237">
        <v>1</v>
      </c>
      <c r="F560" s="58" t="s">
        <v>1444</v>
      </c>
      <c r="G560" s="237" t="s">
        <v>120</v>
      </c>
      <c r="H560" s="59" t="s">
        <v>120</v>
      </c>
      <c r="I560" s="58"/>
      <c r="J560" s="53" t="s">
        <v>131</v>
      </c>
      <c r="K560" s="237" t="s">
        <v>3</v>
      </c>
      <c r="L560" s="59" t="s">
        <v>7</v>
      </c>
      <c r="M560" s="60" t="s">
        <v>33</v>
      </c>
      <c r="N560" s="132">
        <f>O560*1.2</f>
        <v>86400</v>
      </c>
      <c r="O560" s="187">
        <v>72000</v>
      </c>
      <c r="P560" s="187">
        <f>O560/1.2</f>
        <v>60000</v>
      </c>
      <c r="Q560" s="237" t="s">
        <v>138</v>
      </c>
      <c r="R560" s="79"/>
      <c r="S560" s="79"/>
      <c r="T560" s="58"/>
      <c r="U560" s="237"/>
      <c r="V560" s="85">
        <v>46198</v>
      </c>
      <c r="W560" s="82"/>
      <c r="X560" s="88"/>
      <c r="Y560" s="131"/>
      <c r="Z560" s="131"/>
      <c r="AA560" s="131"/>
      <c r="AB560" s="131"/>
      <c r="AC560" s="131"/>
      <c r="AD560" s="131"/>
      <c r="AE560" s="173" t="s">
        <v>99</v>
      </c>
      <c r="AF560" s="173"/>
      <c r="AG560" s="173"/>
      <c r="AH560" s="174"/>
      <c r="AI560" s="175"/>
      <c r="AJ560" s="174"/>
      <c r="AK560" s="176"/>
      <c r="AL560" s="174"/>
      <c r="AM560" s="181"/>
      <c r="AO560" s="184"/>
    </row>
    <row r="561" spans="1:41" ht="30" customHeight="1" x14ac:dyDescent="0.35">
      <c r="A561" s="38">
        <v>2026</v>
      </c>
      <c r="B561" s="59" t="s">
        <v>77</v>
      </c>
      <c r="C561" s="58" t="s">
        <v>1445</v>
      </c>
      <c r="D561" s="237" t="s">
        <v>114</v>
      </c>
      <c r="E561" s="237">
        <v>267</v>
      </c>
      <c r="F561" s="58" t="s">
        <v>1446</v>
      </c>
      <c r="G561" s="237" t="s">
        <v>121</v>
      </c>
      <c r="H561" s="59" t="s">
        <v>126</v>
      </c>
      <c r="I561" s="58"/>
      <c r="J561" s="237" t="s">
        <v>132</v>
      </c>
      <c r="K561" s="237" t="s">
        <v>3</v>
      </c>
      <c r="L561" s="59" t="s">
        <v>6</v>
      </c>
      <c r="M561" s="58" t="s">
        <v>182</v>
      </c>
      <c r="N561" s="130"/>
      <c r="O561" s="172"/>
      <c r="P561" s="172"/>
      <c r="Q561" s="180"/>
      <c r="R561" s="79"/>
      <c r="S561" s="79"/>
      <c r="T561" s="58" t="s">
        <v>1447</v>
      </c>
      <c r="U561" s="237"/>
      <c r="V561" s="88"/>
      <c r="W561" s="88"/>
      <c r="X561" s="88"/>
      <c r="Y561" s="131">
        <v>50071.4</v>
      </c>
      <c r="Z561" s="131">
        <v>0</v>
      </c>
      <c r="AA561" s="131">
        <v>50071.4</v>
      </c>
      <c r="AB561" s="131"/>
      <c r="AC561" s="131">
        <f>Y561</f>
        <v>50071.4</v>
      </c>
      <c r="AD561" s="131">
        <f>AA561</f>
        <v>50071.4</v>
      </c>
      <c r="AE561" s="173" t="s">
        <v>102</v>
      </c>
      <c r="AF561" s="173"/>
      <c r="AG561" s="173"/>
      <c r="AH561" s="174"/>
      <c r="AI561" s="175"/>
      <c r="AJ561" s="174"/>
      <c r="AK561" s="176"/>
      <c r="AL561" s="174"/>
      <c r="AM561" s="181"/>
      <c r="AN561" s="245" t="s">
        <v>178</v>
      </c>
      <c r="AO561" s="184"/>
    </row>
    <row r="562" spans="1:41" ht="30" hidden="1" customHeight="1" x14ac:dyDescent="0.35">
      <c r="A562" s="38">
        <v>2026</v>
      </c>
      <c r="B562" s="59" t="s">
        <v>60</v>
      </c>
      <c r="C562" s="58" t="s">
        <v>1448</v>
      </c>
      <c r="D562" s="237" t="s">
        <v>106</v>
      </c>
      <c r="E562" s="237">
        <v>1</v>
      </c>
      <c r="F562" s="58" t="s">
        <v>1449</v>
      </c>
      <c r="G562" s="237" t="s">
        <v>121</v>
      </c>
      <c r="H562" s="59" t="s">
        <v>126</v>
      </c>
      <c r="I562" s="58"/>
      <c r="J562" s="237" t="s">
        <v>131</v>
      </c>
      <c r="K562" s="237" t="s">
        <v>3</v>
      </c>
      <c r="L562" s="59" t="s">
        <v>6</v>
      </c>
      <c r="M562" s="60" t="s">
        <v>31</v>
      </c>
      <c r="N562" s="132">
        <f>O562*1.2</f>
        <v>689587.19999999995</v>
      </c>
      <c r="O562" s="187">
        <v>574656</v>
      </c>
      <c r="P562" s="187">
        <f>O562/1.2</f>
        <v>478880</v>
      </c>
      <c r="Q562" s="180"/>
      <c r="R562" s="79"/>
      <c r="S562" s="79"/>
      <c r="T562" s="58"/>
      <c r="U562" s="237"/>
      <c r="V562" s="88">
        <v>46150</v>
      </c>
      <c r="W562" s="88">
        <v>46153</v>
      </c>
      <c r="X562" s="88">
        <v>46216</v>
      </c>
      <c r="Y562" s="131"/>
      <c r="Z562" s="131">
        <f>AA562/1.2</f>
        <v>562100</v>
      </c>
      <c r="AA562" s="131">
        <v>674520</v>
      </c>
      <c r="AB562" s="131"/>
      <c r="AC562" s="131">
        <f>Z562</f>
        <v>562100</v>
      </c>
      <c r="AD562" s="131">
        <f>AA562</f>
        <v>674520</v>
      </c>
      <c r="AE562" s="173" t="s">
        <v>102</v>
      </c>
      <c r="AF562" s="173"/>
      <c r="AG562" s="173"/>
      <c r="AH562" s="174"/>
      <c r="AI562" s="175"/>
      <c r="AJ562" s="174"/>
      <c r="AK562" s="176"/>
      <c r="AL562" s="174"/>
      <c r="AM562" s="181"/>
      <c r="AO562" s="184"/>
    </row>
    <row r="563" spans="1:41" ht="30" hidden="1" customHeight="1" x14ac:dyDescent="0.35">
      <c r="A563" s="38">
        <v>2026</v>
      </c>
      <c r="B563" s="59" t="s">
        <v>78</v>
      </c>
      <c r="C563" s="68" t="s">
        <v>1450</v>
      </c>
      <c r="D563" s="237" t="s">
        <v>106</v>
      </c>
      <c r="E563" s="237">
        <v>1</v>
      </c>
      <c r="F563" s="58" t="s">
        <v>1451</v>
      </c>
      <c r="G563" s="237" t="s">
        <v>120</v>
      </c>
      <c r="H563" s="59" t="s">
        <v>120</v>
      </c>
      <c r="I563" s="58"/>
      <c r="J563" s="41"/>
      <c r="K563" s="237" t="s">
        <v>3</v>
      </c>
      <c r="L563" s="59" t="s">
        <v>6</v>
      </c>
      <c r="M563" s="60" t="s">
        <v>24</v>
      </c>
      <c r="N563" s="132">
        <f>O563*1.2</f>
        <v>144000</v>
      </c>
      <c r="O563" s="187">
        <v>120000</v>
      </c>
      <c r="P563" s="187">
        <f>O563/1.2</f>
        <v>100000</v>
      </c>
      <c r="Q563" s="180"/>
      <c r="R563" s="79"/>
      <c r="S563" s="79"/>
      <c r="T563" s="58"/>
      <c r="U563" s="237"/>
      <c r="V563" s="82">
        <v>46192</v>
      </c>
      <c r="W563" s="82"/>
      <c r="X563" s="88"/>
      <c r="Y563" s="131"/>
      <c r="Z563" s="131"/>
      <c r="AA563" s="131"/>
      <c r="AB563" s="131"/>
      <c r="AC563" s="131"/>
      <c r="AD563" s="131"/>
      <c r="AE563" s="173" t="s">
        <v>99</v>
      </c>
      <c r="AF563" s="173"/>
      <c r="AG563" s="173"/>
      <c r="AH563" s="174"/>
      <c r="AI563" s="175"/>
      <c r="AJ563" s="174"/>
      <c r="AK563" s="176"/>
      <c r="AL563" s="174"/>
      <c r="AM563" s="181"/>
      <c r="AO563" s="184"/>
    </row>
    <row r="564" spans="1:41" ht="30" hidden="1" customHeight="1" x14ac:dyDescent="0.35">
      <c r="A564" s="38">
        <v>2026</v>
      </c>
      <c r="B564" s="59" t="s">
        <v>66</v>
      </c>
      <c r="C564" s="68" t="s">
        <v>1452</v>
      </c>
      <c r="D564" s="237" t="s">
        <v>106</v>
      </c>
      <c r="E564" s="237">
        <v>1</v>
      </c>
      <c r="F564" s="58" t="s">
        <v>1453</v>
      </c>
      <c r="G564" s="237" t="s">
        <v>121</v>
      </c>
      <c r="H564" s="59" t="s">
        <v>128</v>
      </c>
      <c r="I564" s="58"/>
      <c r="J564" s="41"/>
      <c r="K564" s="237" t="s">
        <v>3</v>
      </c>
      <c r="L564" s="59" t="s">
        <v>6</v>
      </c>
      <c r="M564" s="60" t="s">
        <v>27</v>
      </c>
      <c r="N564" s="132">
        <f>O564*1.2</f>
        <v>14848560</v>
      </c>
      <c r="O564" s="132">
        <v>12373800</v>
      </c>
      <c r="P564" s="132">
        <f>O564/1.2</f>
        <v>10311500</v>
      </c>
      <c r="Q564" s="237" t="s">
        <v>139</v>
      </c>
      <c r="R564" s="79"/>
      <c r="S564" s="79"/>
      <c r="T564" s="58"/>
      <c r="U564" s="237"/>
      <c r="V564" s="82"/>
      <c r="W564" s="82"/>
      <c r="X564" s="88"/>
      <c r="Y564" s="131"/>
      <c r="Z564" s="131"/>
      <c r="AA564" s="131"/>
      <c r="AB564" s="131"/>
      <c r="AC564" s="131"/>
      <c r="AD564" s="131"/>
      <c r="AE564" s="173" t="s">
        <v>100</v>
      </c>
      <c r="AF564" s="173"/>
      <c r="AG564" s="173"/>
      <c r="AH564" s="174"/>
      <c r="AI564" s="175"/>
      <c r="AJ564" s="174"/>
      <c r="AK564" s="176"/>
      <c r="AL564" s="174"/>
      <c r="AM564" s="181"/>
      <c r="AO564" s="184"/>
    </row>
    <row r="565" spans="1:41" ht="30" hidden="1" customHeight="1" x14ac:dyDescent="0.35">
      <c r="A565" s="38">
        <v>2026</v>
      </c>
      <c r="B565" s="59" t="s">
        <v>66</v>
      </c>
      <c r="C565" s="58" t="s">
        <v>1454</v>
      </c>
      <c r="D565" s="237" t="s">
        <v>110</v>
      </c>
      <c r="E565" s="237">
        <v>1</v>
      </c>
      <c r="F565" s="58" t="s">
        <v>1455</v>
      </c>
      <c r="G565" s="237" t="s">
        <v>121</v>
      </c>
      <c r="H565" s="59" t="s">
        <v>126</v>
      </c>
      <c r="I565" s="58" t="s">
        <v>1454</v>
      </c>
      <c r="J565" s="237" t="s">
        <v>132</v>
      </c>
      <c r="K565" s="237" t="s">
        <v>3</v>
      </c>
      <c r="L565" s="59" t="s">
        <v>7</v>
      </c>
      <c r="M565" s="60" t="s">
        <v>37</v>
      </c>
      <c r="N565" s="130"/>
      <c r="O565" s="172"/>
      <c r="P565" s="172"/>
      <c r="Q565" s="180"/>
      <c r="R565" s="79"/>
      <c r="S565" s="79"/>
      <c r="T565" s="58" t="s">
        <v>1456</v>
      </c>
      <c r="U565" s="237"/>
      <c r="V565" s="88"/>
      <c r="W565" s="78"/>
      <c r="X565" s="88">
        <v>46148</v>
      </c>
      <c r="Y565" s="131">
        <f>AD565</f>
        <v>198971.91</v>
      </c>
      <c r="Z565" s="131">
        <f>AB565</f>
        <v>18440.400000000001</v>
      </c>
      <c r="AA565" s="131">
        <f>AC565</f>
        <v>198971.91</v>
      </c>
      <c r="AB565" s="131">
        <v>18440.400000000001</v>
      </c>
      <c r="AC565" s="131">
        <f>AD565</f>
        <v>198971.91</v>
      </c>
      <c r="AD565" s="131">
        <v>198971.91</v>
      </c>
      <c r="AE565" s="173" t="s">
        <v>102</v>
      </c>
      <c r="AF565" s="173"/>
      <c r="AG565" s="173"/>
      <c r="AH565" s="174"/>
      <c r="AI565" s="175"/>
      <c r="AJ565" s="174"/>
      <c r="AK565" s="176"/>
      <c r="AL565" s="174"/>
      <c r="AM565" s="181"/>
      <c r="AO565" s="184"/>
    </row>
    <row r="566" spans="1:41" ht="30" customHeight="1" x14ac:dyDescent="0.35">
      <c r="A566" s="38">
        <v>2026</v>
      </c>
      <c r="B566" s="59" t="s">
        <v>63</v>
      </c>
      <c r="C566" s="58" t="s">
        <v>1457</v>
      </c>
      <c r="D566" s="237" t="s">
        <v>114</v>
      </c>
      <c r="E566" s="237">
        <v>94</v>
      </c>
      <c r="F566" s="58" t="s">
        <v>1458</v>
      </c>
      <c r="G566" s="237" t="s">
        <v>121</v>
      </c>
      <c r="H566" s="59" t="s">
        <v>126</v>
      </c>
      <c r="I566" s="58"/>
      <c r="J566" s="237" t="s">
        <v>132</v>
      </c>
      <c r="K566" s="237" t="s">
        <v>3</v>
      </c>
      <c r="L566" s="59" t="s">
        <v>6</v>
      </c>
      <c r="M566" s="58" t="s">
        <v>202</v>
      </c>
      <c r="N566" s="130"/>
      <c r="O566" s="172"/>
      <c r="P566" s="172"/>
      <c r="Q566" s="237" t="s">
        <v>138</v>
      </c>
      <c r="R566" s="79"/>
      <c r="S566" s="79"/>
      <c r="T566" s="58" t="s">
        <v>1459</v>
      </c>
      <c r="U566" s="237"/>
      <c r="V566" s="88">
        <v>46156</v>
      </c>
      <c r="W566" s="88"/>
      <c r="X566" s="88">
        <v>46157</v>
      </c>
      <c r="Y566" s="131">
        <v>12857.14</v>
      </c>
      <c r="Z566" s="131"/>
      <c r="AA566" s="131">
        <v>12857.14</v>
      </c>
      <c r="AB566" s="131"/>
      <c r="AC566" s="131">
        <v>12857.14</v>
      </c>
      <c r="AD566" s="131">
        <v>12857.14</v>
      </c>
      <c r="AE566" s="173" t="s">
        <v>102</v>
      </c>
      <c r="AF566" s="173"/>
      <c r="AG566" s="173"/>
      <c r="AH566" s="174"/>
      <c r="AI566" s="175"/>
      <c r="AJ566" s="174"/>
      <c r="AK566" s="176"/>
      <c r="AL566" s="174"/>
      <c r="AM566" s="181" t="s">
        <v>1030</v>
      </c>
      <c r="AN566" s="245" t="s">
        <v>178</v>
      </c>
      <c r="AO566" s="184"/>
    </row>
    <row r="567" spans="1:41" ht="30" hidden="1" customHeight="1" x14ac:dyDescent="0.35">
      <c r="A567" s="52">
        <v>2026</v>
      </c>
      <c r="B567" s="59" t="s">
        <v>56</v>
      </c>
      <c r="C567" s="68" t="s">
        <v>1460</v>
      </c>
      <c r="D567" s="237" t="s">
        <v>106</v>
      </c>
      <c r="E567" s="237">
        <v>1</v>
      </c>
      <c r="F567" s="58" t="s">
        <v>1461</v>
      </c>
      <c r="G567" s="237" t="s">
        <v>120</v>
      </c>
      <c r="H567" s="59" t="s">
        <v>120</v>
      </c>
      <c r="I567" s="58"/>
      <c r="J567" s="41"/>
      <c r="K567" s="237" t="s">
        <v>3</v>
      </c>
      <c r="L567" s="59" t="s">
        <v>6</v>
      </c>
      <c r="M567" s="60" t="s">
        <v>23</v>
      </c>
      <c r="N567" s="132">
        <f>O567*1.2</f>
        <v>1980000</v>
      </c>
      <c r="O567" s="187">
        <v>1650000</v>
      </c>
      <c r="P567" s="187">
        <f>O567/1.2</f>
        <v>1375000</v>
      </c>
      <c r="Q567" s="180"/>
      <c r="R567" s="79"/>
      <c r="S567" s="79"/>
      <c r="T567" s="58"/>
      <c r="U567" s="237"/>
      <c r="V567" s="82"/>
      <c r="W567" s="82"/>
      <c r="X567" s="88"/>
      <c r="Y567" s="131"/>
      <c r="Z567" s="131"/>
      <c r="AA567" s="131"/>
      <c r="AB567" s="131"/>
      <c r="AC567" s="131"/>
      <c r="AD567" s="131"/>
      <c r="AE567" s="173" t="s">
        <v>99</v>
      </c>
      <c r="AF567" s="173"/>
      <c r="AG567" s="173"/>
      <c r="AH567" s="174"/>
      <c r="AI567" s="175"/>
      <c r="AJ567" s="174"/>
      <c r="AK567" s="176"/>
      <c r="AL567" s="174"/>
      <c r="AM567" s="181"/>
      <c r="AO567" s="184"/>
    </row>
    <row r="568" spans="1:41" ht="30" customHeight="1" x14ac:dyDescent="0.35">
      <c r="A568" s="38">
        <v>2026</v>
      </c>
      <c r="B568" s="59" t="s">
        <v>60</v>
      </c>
      <c r="C568" s="171"/>
      <c r="D568" s="237" t="s">
        <v>114</v>
      </c>
      <c r="E568" s="237">
        <v>513</v>
      </c>
      <c r="F568" s="58" t="s">
        <v>1462</v>
      </c>
      <c r="G568" s="237" t="s">
        <v>121</v>
      </c>
      <c r="H568" s="59" t="s">
        <v>126</v>
      </c>
      <c r="I568" s="58" t="s">
        <v>1463</v>
      </c>
      <c r="J568" s="237" t="s">
        <v>132</v>
      </c>
      <c r="K568" s="237" t="s">
        <v>3</v>
      </c>
      <c r="L568" s="59" t="s">
        <v>6</v>
      </c>
      <c r="M568" s="60" t="s">
        <v>23</v>
      </c>
      <c r="N568" s="130"/>
      <c r="O568" s="172"/>
      <c r="P568" s="172"/>
      <c r="Q568" s="237" t="s">
        <v>140</v>
      </c>
      <c r="R568" s="79"/>
      <c r="S568" s="79"/>
      <c r="T568" s="58" t="s">
        <v>1464</v>
      </c>
      <c r="U568" s="237"/>
      <c r="V568" s="88">
        <v>46161</v>
      </c>
      <c r="W568" s="78"/>
      <c r="X568" s="88">
        <v>46168</v>
      </c>
      <c r="Y568" s="131">
        <v>500000</v>
      </c>
      <c r="Z568" s="131">
        <v>0</v>
      </c>
      <c r="AA568" s="131">
        <v>500000</v>
      </c>
      <c r="AB568" s="131">
        <v>0</v>
      </c>
      <c r="AC568" s="131">
        <f>+AA568</f>
        <v>500000</v>
      </c>
      <c r="AD568" s="131">
        <f>+AA568</f>
        <v>500000</v>
      </c>
      <c r="AE568" s="173" t="s">
        <v>102</v>
      </c>
      <c r="AF568" s="173"/>
      <c r="AG568" s="173"/>
      <c r="AH568" s="174"/>
      <c r="AI568" s="175"/>
      <c r="AJ568" s="174"/>
      <c r="AK568" s="176"/>
      <c r="AL568" s="174"/>
      <c r="AM568" s="181"/>
      <c r="AN568" s="245" t="s">
        <v>178</v>
      </c>
      <c r="AO568" s="184"/>
    </row>
    <row r="569" spans="1:41" ht="30" customHeight="1" x14ac:dyDescent="0.35">
      <c r="A569" s="38">
        <v>2026</v>
      </c>
      <c r="B569" s="59" t="s">
        <v>66</v>
      </c>
      <c r="C569" s="171" t="s">
        <v>173</v>
      </c>
      <c r="D569" s="237" t="s">
        <v>114</v>
      </c>
      <c r="E569" s="237">
        <v>1</v>
      </c>
      <c r="F569" s="58" t="s">
        <v>1465</v>
      </c>
      <c r="G569" s="237" t="s">
        <v>121</v>
      </c>
      <c r="H569" s="59" t="s">
        <v>126</v>
      </c>
      <c r="I569" s="58" t="s">
        <v>1466</v>
      </c>
      <c r="J569" s="237" t="s">
        <v>132</v>
      </c>
      <c r="K569" s="237" t="s">
        <v>3</v>
      </c>
      <c r="L569" s="59" t="s">
        <v>6</v>
      </c>
      <c r="M569" s="60" t="s">
        <v>27</v>
      </c>
      <c r="N569" s="130"/>
      <c r="O569" s="172"/>
      <c r="P569" s="172"/>
      <c r="Q569" s="237" t="s">
        <v>139</v>
      </c>
      <c r="R569" s="79"/>
      <c r="S569" s="79"/>
      <c r="T569" s="58" t="s">
        <v>1467</v>
      </c>
      <c r="U569" s="237"/>
      <c r="V569" s="88">
        <v>46161</v>
      </c>
      <c r="W569" s="78"/>
      <c r="X569" s="88">
        <v>46174</v>
      </c>
      <c r="Y569" s="131">
        <v>50000</v>
      </c>
      <c r="Z569" s="131">
        <v>0</v>
      </c>
      <c r="AA569" s="131">
        <v>60000</v>
      </c>
      <c r="AB569" s="131">
        <v>0</v>
      </c>
      <c r="AC569" s="131">
        <f>+Y569</f>
        <v>50000</v>
      </c>
      <c r="AD569" s="131">
        <f>+AA569</f>
        <v>60000</v>
      </c>
      <c r="AE569" s="173" t="s">
        <v>102</v>
      </c>
      <c r="AF569" s="173"/>
      <c r="AG569" s="173"/>
      <c r="AH569" s="174"/>
      <c r="AI569" s="175"/>
      <c r="AJ569" s="174"/>
      <c r="AK569" s="176"/>
      <c r="AL569" s="174"/>
      <c r="AM569" s="181"/>
      <c r="AN569" s="245" t="s">
        <v>178</v>
      </c>
      <c r="AO569" s="184"/>
    </row>
    <row r="570" spans="1:41" ht="30" customHeight="1" x14ac:dyDescent="0.35">
      <c r="A570" s="40">
        <v>2026</v>
      </c>
      <c r="B570" s="59" t="s">
        <v>62</v>
      </c>
      <c r="C570" s="65"/>
      <c r="D570" s="237" t="s">
        <v>114</v>
      </c>
      <c r="E570" s="237"/>
      <c r="F570" s="58" t="s">
        <v>1468</v>
      </c>
      <c r="G570" s="237" t="s">
        <v>121</v>
      </c>
      <c r="H570" s="59" t="s">
        <v>126</v>
      </c>
      <c r="I570" s="65"/>
      <c r="J570" s="237" t="s">
        <v>132</v>
      </c>
      <c r="K570" s="237" t="s">
        <v>3</v>
      </c>
      <c r="L570" s="59" t="s">
        <v>6</v>
      </c>
      <c r="M570" s="58" t="s">
        <v>202</v>
      </c>
      <c r="N570" s="130"/>
      <c r="O570" s="172"/>
      <c r="P570" s="172"/>
      <c r="Q570" s="237"/>
      <c r="R570" s="79"/>
      <c r="S570" s="79"/>
      <c r="T570" s="58" t="s">
        <v>1469</v>
      </c>
      <c r="U570" s="237">
        <v>2026</v>
      </c>
      <c r="V570" s="88"/>
      <c r="W570" s="88"/>
      <c r="X570" s="88">
        <v>46146</v>
      </c>
      <c r="Y570" s="131">
        <v>88000</v>
      </c>
      <c r="Z570" s="131"/>
      <c r="AA570" s="131">
        <v>88000</v>
      </c>
      <c r="AB570" s="131"/>
      <c r="AC570" s="131">
        <v>88000</v>
      </c>
      <c r="AD570" s="131">
        <v>88000</v>
      </c>
      <c r="AE570" s="173" t="s">
        <v>102</v>
      </c>
      <c r="AF570" s="173"/>
      <c r="AG570" s="173"/>
      <c r="AH570" s="174"/>
      <c r="AI570" s="175"/>
      <c r="AJ570" s="174"/>
      <c r="AK570" s="176"/>
      <c r="AL570" s="174"/>
      <c r="AM570" s="181"/>
      <c r="AN570" s="246" t="s">
        <v>347</v>
      </c>
      <c r="AO570" s="184"/>
    </row>
    <row r="571" spans="1:41" ht="30" customHeight="1" x14ac:dyDescent="0.35">
      <c r="A571" s="38">
        <v>2026</v>
      </c>
      <c r="B571" s="59" t="s">
        <v>63</v>
      </c>
      <c r="C571" s="171" t="s">
        <v>173</v>
      </c>
      <c r="D571" s="237" t="s">
        <v>114</v>
      </c>
      <c r="E571" s="237">
        <v>2</v>
      </c>
      <c r="F571" s="58" t="s">
        <v>1470</v>
      </c>
      <c r="G571" s="237" t="s">
        <v>121</v>
      </c>
      <c r="H571" s="59" t="s">
        <v>126</v>
      </c>
      <c r="I571" s="58"/>
      <c r="J571" s="237" t="s">
        <v>132</v>
      </c>
      <c r="K571" s="237" t="s">
        <v>3</v>
      </c>
      <c r="L571" s="59" t="s">
        <v>6</v>
      </c>
      <c r="M571" s="60" t="s">
        <v>953</v>
      </c>
      <c r="N571" s="130"/>
      <c r="O571" s="172"/>
      <c r="P571" s="172"/>
      <c r="Q571" s="237" t="s">
        <v>139</v>
      </c>
      <c r="R571" s="79"/>
      <c r="S571" s="79"/>
      <c r="T571" s="58" t="s">
        <v>1471</v>
      </c>
      <c r="U571" s="237">
        <v>2026</v>
      </c>
      <c r="V571" s="88">
        <v>46163</v>
      </c>
      <c r="W571" s="78"/>
      <c r="X571" s="88">
        <v>46174</v>
      </c>
      <c r="Y571" s="131">
        <v>803722.5</v>
      </c>
      <c r="Z571" s="131">
        <v>75000</v>
      </c>
      <c r="AA571" s="131">
        <v>803722.5</v>
      </c>
      <c r="AB571" s="131">
        <v>75000</v>
      </c>
      <c r="AC571" s="131">
        <f>+AA571</f>
        <v>803722.5</v>
      </c>
      <c r="AD571" s="131">
        <f>+AC571</f>
        <v>803722.5</v>
      </c>
      <c r="AE571" s="173" t="s">
        <v>102</v>
      </c>
      <c r="AF571" s="173"/>
      <c r="AG571" s="173"/>
      <c r="AH571" s="174"/>
      <c r="AI571" s="175"/>
      <c r="AJ571" s="174"/>
      <c r="AK571" s="176"/>
      <c r="AL571" s="174"/>
      <c r="AM571" s="181" t="s">
        <v>1030</v>
      </c>
      <c r="AN571" s="245" t="s">
        <v>178</v>
      </c>
      <c r="AO571" s="184"/>
    </row>
    <row r="572" spans="1:41" ht="30" hidden="1" customHeight="1" x14ac:dyDescent="0.35">
      <c r="A572" s="52">
        <v>2026</v>
      </c>
      <c r="B572" s="59" t="s">
        <v>60</v>
      </c>
      <c r="C572" s="65" t="s">
        <v>1472</v>
      </c>
      <c r="D572" s="237" t="s">
        <v>106</v>
      </c>
      <c r="E572" s="237"/>
      <c r="F572" s="58" t="s">
        <v>1473</v>
      </c>
      <c r="G572" s="237" t="s">
        <v>121</v>
      </c>
      <c r="H572" s="59" t="s">
        <v>128</v>
      </c>
      <c r="I572" s="58"/>
      <c r="J572" s="41" t="s">
        <v>130</v>
      </c>
      <c r="K572" s="237" t="s">
        <v>3</v>
      </c>
      <c r="L572" s="59" t="s">
        <v>7</v>
      </c>
      <c r="M572" s="60" t="s">
        <v>36</v>
      </c>
      <c r="N572" s="132">
        <f>O572*1.2</f>
        <v>551520</v>
      </c>
      <c r="O572" s="187">
        <v>459600</v>
      </c>
      <c r="P572" s="187">
        <f>O572/1.2</f>
        <v>383000</v>
      </c>
      <c r="Q572" s="237" t="s">
        <v>138</v>
      </c>
      <c r="R572" s="79"/>
      <c r="S572" s="79"/>
      <c r="T572" s="58"/>
      <c r="U572" s="237"/>
      <c r="V572" s="88">
        <v>46195</v>
      </c>
      <c r="W572" s="88"/>
      <c r="X572" s="88"/>
      <c r="Y572" s="131"/>
      <c r="Z572" s="131"/>
      <c r="AA572" s="131"/>
      <c r="AB572" s="131"/>
      <c r="AC572" s="131"/>
      <c r="AD572" s="131"/>
      <c r="AE572" s="173" t="s">
        <v>100</v>
      </c>
      <c r="AF572" s="173"/>
      <c r="AG572" s="173"/>
      <c r="AH572" s="174"/>
      <c r="AI572" s="175"/>
      <c r="AJ572" s="174"/>
      <c r="AK572" s="176"/>
      <c r="AL572" s="174"/>
      <c r="AM572" s="181"/>
      <c r="AO572" s="184"/>
    </row>
    <row r="573" spans="1:41" ht="30" hidden="1" customHeight="1" x14ac:dyDescent="0.35">
      <c r="A573" s="38">
        <v>2026</v>
      </c>
      <c r="B573" s="59" t="s">
        <v>60</v>
      </c>
      <c r="C573" s="58" t="s">
        <v>1474</v>
      </c>
      <c r="D573" s="237" t="s">
        <v>106</v>
      </c>
      <c r="E573" s="237">
        <v>1</v>
      </c>
      <c r="F573" s="58" t="s">
        <v>894</v>
      </c>
      <c r="G573" s="237" t="s">
        <v>121</v>
      </c>
      <c r="H573" s="59" t="s">
        <v>128</v>
      </c>
      <c r="I573" s="58"/>
      <c r="J573" s="237" t="s">
        <v>131</v>
      </c>
      <c r="K573" s="237" t="s">
        <v>1</v>
      </c>
      <c r="L573" s="59" t="s">
        <v>7</v>
      </c>
      <c r="M573" s="60" t="s">
        <v>41</v>
      </c>
      <c r="N573" s="132">
        <f>O573*1.2</f>
        <v>938592</v>
      </c>
      <c r="O573" s="187">
        <v>782160</v>
      </c>
      <c r="P573" s="187">
        <f>O573/1.2</f>
        <v>651800</v>
      </c>
      <c r="Q573" s="237" t="s">
        <v>139</v>
      </c>
      <c r="R573" s="79"/>
      <c r="S573" s="79"/>
      <c r="T573" s="58"/>
      <c r="U573" s="237"/>
      <c r="V573" s="88">
        <v>46175</v>
      </c>
      <c r="W573" s="88">
        <v>46176</v>
      </c>
      <c r="X573" s="88"/>
      <c r="Y573" s="131"/>
      <c r="Z573" s="131"/>
      <c r="AA573" s="131"/>
      <c r="AB573" s="131"/>
      <c r="AC573" s="131"/>
      <c r="AD573" s="131"/>
      <c r="AE573" s="173" t="s">
        <v>100</v>
      </c>
      <c r="AF573" s="173"/>
      <c r="AG573" s="173"/>
      <c r="AH573" s="174"/>
      <c r="AI573" s="175"/>
      <c r="AJ573" s="174"/>
      <c r="AK573" s="176"/>
      <c r="AL573" s="174"/>
      <c r="AM573" s="181"/>
      <c r="AO573" s="184"/>
    </row>
    <row r="574" spans="1:41" ht="30" hidden="1" customHeight="1" x14ac:dyDescent="0.35">
      <c r="A574" s="38">
        <v>2026</v>
      </c>
      <c r="B574" s="59" t="s">
        <v>60</v>
      </c>
      <c r="C574" s="58" t="s">
        <v>1474</v>
      </c>
      <c r="D574" s="237" t="s">
        <v>106</v>
      </c>
      <c r="E574" s="237">
        <v>2</v>
      </c>
      <c r="F574" s="58" t="s">
        <v>895</v>
      </c>
      <c r="G574" s="237" t="s">
        <v>121</v>
      </c>
      <c r="H574" s="59" t="s">
        <v>128</v>
      </c>
      <c r="I574" s="58"/>
      <c r="J574" s="237" t="s">
        <v>131</v>
      </c>
      <c r="K574" s="237" t="s">
        <v>3</v>
      </c>
      <c r="L574" s="59" t="s">
        <v>6</v>
      </c>
      <c r="M574" s="60" t="s">
        <v>15</v>
      </c>
      <c r="N574" s="132">
        <f>O574*1.2</f>
        <v>241200</v>
      </c>
      <c r="O574" s="187">
        <v>201000</v>
      </c>
      <c r="P574" s="187">
        <f>O574/1.2</f>
        <v>167500</v>
      </c>
      <c r="Q574" s="237" t="s">
        <v>139</v>
      </c>
      <c r="R574" s="79"/>
      <c r="S574" s="79"/>
      <c r="T574" s="58"/>
      <c r="U574" s="237"/>
      <c r="V574" s="88">
        <v>46175</v>
      </c>
      <c r="W574" s="88">
        <v>46176</v>
      </c>
      <c r="X574" s="88"/>
      <c r="Y574" s="131"/>
      <c r="Z574" s="131"/>
      <c r="AA574" s="131"/>
      <c r="AB574" s="131"/>
      <c r="AC574" s="131"/>
      <c r="AD574" s="131"/>
      <c r="AE574" s="173" t="s">
        <v>100</v>
      </c>
      <c r="AF574" s="173"/>
      <c r="AG574" s="173"/>
      <c r="AH574" s="174"/>
      <c r="AI574" s="175"/>
      <c r="AJ574" s="174"/>
      <c r="AK574" s="176"/>
      <c r="AL574" s="174"/>
      <c r="AM574" s="181"/>
      <c r="AO574" s="184"/>
    </row>
    <row r="575" spans="1:41" ht="30" customHeight="1" x14ac:dyDescent="0.35">
      <c r="A575" s="52">
        <v>2026</v>
      </c>
      <c r="B575" s="59" t="s">
        <v>68</v>
      </c>
      <c r="C575" s="70" t="s">
        <v>1475</v>
      </c>
      <c r="D575" s="237" t="s">
        <v>114</v>
      </c>
      <c r="E575" s="237">
        <v>1</v>
      </c>
      <c r="F575" s="58" t="s">
        <v>1476</v>
      </c>
      <c r="G575" s="237" t="s">
        <v>121</v>
      </c>
      <c r="H575" s="59" t="s">
        <v>126</v>
      </c>
      <c r="I575" s="182"/>
      <c r="J575" s="237" t="s">
        <v>132</v>
      </c>
      <c r="K575" s="237" t="s">
        <v>3</v>
      </c>
      <c r="L575" s="59" t="s">
        <v>6</v>
      </c>
      <c r="M575" s="58" t="s">
        <v>372</v>
      </c>
      <c r="N575" s="130"/>
      <c r="O575" s="172"/>
      <c r="P575" s="172"/>
      <c r="Q575" s="237" t="s">
        <v>139</v>
      </c>
      <c r="R575" s="79"/>
      <c r="S575" s="79"/>
      <c r="T575" s="58" t="s">
        <v>1477</v>
      </c>
      <c r="U575" s="237"/>
      <c r="V575" s="88">
        <v>46084</v>
      </c>
      <c r="W575" s="88"/>
      <c r="X575" s="88"/>
      <c r="Y575" s="131">
        <v>800000</v>
      </c>
      <c r="Z575" s="131"/>
      <c r="AA575" s="131">
        <v>960000</v>
      </c>
      <c r="AB575" s="131"/>
      <c r="AC575" s="131">
        <f>+Y575</f>
        <v>800000</v>
      </c>
      <c r="AD575" s="131">
        <f>+AA575</f>
        <v>960000</v>
      </c>
      <c r="AE575" s="173" t="s">
        <v>102</v>
      </c>
      <c r="AF575" s="173"/>
      <c r="AG575" s="173"/>
      <c r="AH575" s="174"/>
      <c r="AI575" s="175"/>
      <c r="AJ575" s="174"/>
      <c r="AK575" s="176"/>
      <c r="AL575" s="174"/>
      <c r="AM575" s="181"/>
      <c r="AN575" s="245" t="s">
        <v>178</v>
      </c>
      <c r="AO575" s="184"/>
    </row>
    <row r="576" spans="1:41" ht="30" hidden="1" customHeight="1" x14ac:dyDescent="0.35">
      <c r="A576" s="38">
        <v>2026</v>
      </c>
      <c r="B576" s="59" t="s">
        <v>711</v>
      </c>
      <c r="C576" s="58" t="s">
        <v>1478</v>
      </c>
      <c r="D576" s="237" t="s">
        <v>106</v>
      </c>
      <c r="E576" s="237">
        <v>1</v>
      </c>
      <c r="F576" s="58" t="s">
        <v>1479</v>
      </c>
      <c r="G576" s="237" t="s">
        <v>118</v>
      </c>
      <c r="H576" s="59" t="s">
        <v>118</v>
      </c>
      <c r="I576" s="182"/>
      <c r="J576" s="41"/>
      <c r="K576" s="237" t="s">
        <v>4</v>
      </c>
      <c r="L576" s="59" t="s">
        <v>7</v>
      </c>
      <c r="M576" s="60" t="s">
        <v>971</v>
      </c>
      <c r="N576" s="132">
        <f>O576*1.2</f>
        <v>2465640</v>
      </c>
      <c r="O576" s="187">
        <v>2054700</v>
      </c>
      <c r="P576" s="187">
        <f>O576/1.2</f>
        <v>1712250</v>
      </c>
      <c r="Q576" s="237" t="s">
        <v>138</v>
      </c>
      <c r="R576" s="79"/>
      <c r="S576" s="79"/>
      <c r="T576" s="58"/>
      <c r="U576" s="237"/>
      <c r="V576" s="88">
        <v>46175</v>
      </c>
      <c r="W576" s="88">
        <v>46176</v>
      </c>
      <c r="X576" s="88"/>
      <c r="Y576" s="131"/>
      <c r="Z576" s="131"/>
      <c r="AA576" s="131"/>
      <c r="AB576" s="131"/>
      <c r="AC576" s="131"/>
      <c r="AD576" s="131">
        <v>0</v>
      </c>
      <c r="AE576" s="173" t="s">
        <v>103</v>
      </c>
      <c r="AF576" s="173"/>
      <c r="AG576" s="173"/>
      <c r="AH576" s="174"/>
      <c r="AI576" s="175"/>
      <c r="AJ576" s="174"/>
      <c r="AK576" s="176"/>
      <c r="AL576" s="174"/>
      <c r="AM576" s="181"/>
      <c r="AO576" s="184"/>
    </row>
    <row r="577" spans="1:41" ht="30" hidden="1" customHeight="1" x14ac:dyDescent="0.35">
      <c r="A577" s="38">
        <v>2026</v>
      </c>
      <c r="B577" s="59" t="s">
        <v>711</v>
      </c>
      <c r="C577" s="58" t="s">
        <v>1480</v>
      </c>
      <c r="D577" s="237" t="s">
        <v>106</v>
      </c>
      <c r="E577" s="237">
        <v>1</v>
      </c>
      <c r="F577" s="58" t="s">
        <v>1481</v>
      </c>
      <c r="G577" s="237" t="s">
        <v>121</v>
      </c>
      <c r="H577" s="59" t="s">
        <v>128</v>
      </c>
      <c r="I577" s="182"/>
      <c r="J577" s="237" t="s">
        <v>130</v>
      </c>
      <c r="K577" s="237" t="s">
        <v>3</v>
      </c>
      <c r="L577" s="59" t="s">
        <v>6</v>
      </c>
      <c r="M577" s="60" t="s">
        <v>25</v>
      </c>
      <c r="N577" s="132">
        <f>O577*1.2</f>
        <v>135388.79999999999</v>
      </c>
      <c r="O577" s="187">
        <v>112824</v>
      </c>
      <c r="P577" s="187">
        <f>O577/1.2</f>
        <v>94020</v>
      </c>
      <c r="Q577" s="237" t="s">
        <v>139</v>
      </c>
      <c r="R577" s="79"/>
      <c r="S577" s="79"/>
      <c r="T577" s="58"/>
      <c r="U577" s="237"/>
      <c r="V577" s="88">
        <v>46175</v>
      </c>
      <c r="W577" s="88">
        <v>46176</v>
      </c>
      <c r="X577" s="88"/>
      <c r="Y577" s="131"/>
      <c r="Z577" s="131"/>
      <c r="AA577" s="131"/>
      <c r="AB577" s="131"/>
      <c r="AC577" s="131"/>
      <c r="AD577" s="131"/>
      <c r="AE577" s="173" t="s">
        <v>100</v>
      </c>
      <c r="AF577" s="173"/>
      <c r="AG577" s="173"/>
      <c r="AH577" s="174"/>
      <c r="AI577" s="175"/>
      <c r="AJ577" s="174"/>
      <c r="AK577" s="176"/>
      <c r="AL577" s="174"/>
      <c r="AM577" s="181"/>
      <c r="AO577" s="184"/>
    </row>
    <row r="578" spans="1:41" ht="41.25" hidden="1" customHeight="1" x14ac:dyDescent="0.35">
      <c r="A578" s="38">
        <v>2026</v>
      </c>
      <c r="B578" s="59" t="s">
        <v>711</v>
      </c>
      <c r="C578" s="58" t="s">
        <v>1482</v>
      </c>
      <c r="D578" s="237" t="s">
        <v>106</v>
      </c>
      <c r="E578" s="237">
        <v>1</v>
      </c>
      <c r="F578" s="58" t="s">
        <v>1483</v>
      </c>
      <c r="G578" s="237" t="s">
        <v>121</v>
      </c>
      <c r="H578" s="59" t="s">
        <v>128</v>
      </c>
      <c r="I578" s="182"/>
      <c r="J578" s="41"/>
      <c r="K578" s="237" t="s">
        <v>3</v>
      </c>
      <c r="L578" s="59" t="s">
        <v>6</v>
      </c>
      <c r="M578" s="60" t="s">
        <v>980</v>
      </c>
      <c r="N578" s="132">
        <f>O578*1.2</f>
        <v>1223424</v>
      </c>
      <c r="O578" s="187">
        <v>1019520</v>
      </c>
      <c r="P578" s="187">
        <f>O578/1.2</f>
        <v>849600</v>
      </c>
      <c r="Q578" s="237" t="s">
        <v>138</v>
      </c>
      <c r="R578" s="79"/>
      <c r="S578" s="79"/>
      <c r="T578" s="58"/>
      <c r="U578" s="237"/>
      <c r="V578" s="88">
        <v>46175</v>
      </c>
      <c r="W578" s="88">
        <v>46176</v>
      </c>
      <c r="X578" s="88"/>
      <c r="Y578" s="131"/>
      <c r="Z578" s="131"/>
      <c r="AA578" s="131"/>
      <c r="AB578" s="131"/>
      <c r="AC578" s="131"/>
      <c r="AD578" s="131"/>
      <c r="AE578" s="173" t="s">
        <v>100</v>
      </c>
      <c r="AF578" s="173"/>
      <c r="AG578" s="173"/>
      <c r="AH578" s="174"/>
      <c r="AI578" s="175"/>
      <c r="AJ578" s="174"/>
      <c r="AK578" s="176"/>
      <c r="AL578" s="174"/>
      <c r="AM578" s="181"/>
      <c r="AO578" s="184"/>
    </row>
    <row r="579" spans="1:41" ht="30" hidden="1" customHeight="1" x14ac:dyDescent="0.35">
      <c r="A579" s="38">
        <v>2026</v>
      </c>
      <c r="B579" s="59" t="s">
        <v>56</v>
      </c>
      <c r="C579" s="58" t="s">
        <v>1484</v>
      </c>
      <c r="D579" s="237" t="s">
        <v>106</v>
      </c>
      <c r="E579" s="237">
        <v>1</v>
      </c>
      <c r="F579" s="58" t="s">
        <v>1485</v>
      </c>
      <c r="G579" s="237" t="s">
        <v>121</v>
      </c>
      <c r="H579" s="59" t="s">
        <v>128</v>
      </c>
      <c r="I579" s="182"/>
      <c r="J579" s="41"/>
      <c r="K579" s="237" t="s">
        <v>3</v>
      </c>
      <c r="L579" s="59" t="s">
        <v>6</v>
      </c>
      <c r="M579" s="60" t="s">
        <v>15</v>
      </c>
      <c r="N579" s="132">
        <f>O579*1.2</f>
        <v>2704896</v>
      </c>
      <c r="O579" s="187">
        <v>2254080</v>
      </c>
      <c r="P579" s="187">
        <f>O579/1.2</f>
        <v>1878400</v>
      </c>
      <c r="Q579" s="237" t="s">
        <v>139</v>
      </c>
      <c r="R579" s="79"/>
      <c r="S579" s="79"/>
      <c r="T579" s="58"/>
      <c r="U579" s="237"/>
      <c r="V579" s="88">
        <v>46175</v>
      </c>
      <c r="W579" s="88">
        <v>46176</v>
      </c>
      <c r="X579" s="88"/>
      <c r="Y579" s="131"/>
      <c r="Z579" s="131"/>
      <c r="AA579" s="131"/>
      <c r="AB579" s="131"/>
      <c r="AC579" s="131"/>
      <c r="AD579" s="131"/>
      <c r="AE579" s="173" t="s">
        <v>100</v>
      </c>
      <c r="AF579" s="173"/>
      <c r="AG579" s="173"/>
      <c r="AH579" s="174"/>
      <c r="AI579" s="175"/>
      <c r="AJ579" s="174"/>
      <c r="AK579" s="176"/>
      <c r="AL579" s="174"/>
      <c r="AM579" s="181"/>
      <c r="AO579" s="184"/>
    </row>
    <row r="580" spans="1:41" ht="30" hidden="1" customHeight="1" x14ac:dyDescent="0.35">
      <c r="A580" s="38">
        <v>2026</v>
      </c>
      <c r="B580" s="59" t="s">
        <v>56</v>
      </c>
      <c r="C580" s="58" t="s">
        <v>1484</v>
      </c>
      <c r="D580" s="237" t="s">
        <v>106</v>
      </c>
      <c r="E580" s="237">
        <v>2</v>
      </c>
      <c r="F580" s="58" t="s">
        <v>1486</v>
      </c>
      <c r="G580" s="237" t="s">
        <v>121</v>
      </c>
      <c r="H580" s="59" t="s">
        <v>128</v>
      </c>
      <c r="I580" s="182"/>
      <c r="J580" s="41"/>
      <c r="K580" s="237" t="s">
        <v>3</v>
      </c>
      <c r="L580" s="59" t="s">
        <v>6</v>
      </c>
      <c r="M580" s="60" t="s">
        <v>15</v>
      </c>
      <c r="N580" s="132">
        <f>O580*1.2</f>
        <v>3535056</v>
      </c>
      <c r="O580" s="187">
        <v>2945880</v>
      </c>
      <c r="P580" s="187">
        <f>O580/1.2</f>
        <v>2454900</v>
      </c>
      <c r="Q580" s="237" t="s">
        <v>139</v>
      </c>
      <c r="R580" s="79"/>
      <c r="S580" s="79"/>
      <c r="T580" s="58"/>
      <c r="U580" s="237"/>
      <c r="V580" s="88">
        <v>46175</v>
      </c>
      <c r="W580" s="88">
        <v>46176</v>
      </c>
      <c r="X580" s="88"/>
      <c r="Y580" s="131"/>
      <c r="Z580" s="131"/>
      <c r="AA580" s="131"/>
      <c r="AB580" s="131"/>
      <c r="AC580" s="131"/>
      <c r="AD580" s="131"/>
      <c r="AE580" s="173" t="s">
        <v>100</v>
      </c>
      <c r="AF580" s="173"/>
      <c r="AG580" s="173"/>
      <c r="AH580" s="174"/>
      <c r="AI580" s="175"/>
      <c r="AJ580" s="174"/>
      <c r="AK580" s="176"/>
      <c r="AL580" s="174"/>
      <c r="AM580" s="181"/>
      <c r="AO580" s="184"/>
    </row>
    <row r="581" spans="1:41" s="34" customFormat="1" ht="30" customHeight="1" x14ac:dyDescent="0.35">
      <c r="A581" s="52">
        <v>2026</v>
      </c>
      <c r="B581" s="59" t="s">
        <v>77</v>
      </c>
      <c r="C581" s="70" t="s">
        <v>173</v>
      </c>
      <c r="D581" s="237" t="s">
        <v>114</v>
      </c>
      <c r="E581" s="237">
        <v>1</v>
      </c>
      <c r="F581" s="58" t="s">
        <v>1487</v>
      </c>
      <c r="G581" s="237" t="s">
        <v>121</v>
      </c>
      <c r="H581" s="59" t="s">
        <v>126</v>
      </c>
      <c r="I581" s="182"/>
      <c r="J581" s="237" t="s">
        <v>132</v>
      </c>
      <c r="K581" s="237" t="s">
        <v>3</v>
      </c>
      <c r="L581" s="59" t="s">
        <v>6</v>
      </c>
      <c r="M581" s="58" t="s">
        <v>1165</v>
      </c>
      <c r="N581" s="130"/>
      <c r="O581" s="172"/>
      <c r="P581" s="172"/>
      <c r="Q581" s="237" t="s">
        <v>139</v>
      </c>
      <c r="R581" s="79"/>
      <c r="S581" s="79"/>
      <c r="T581" s="58" t="s">
        <v>1488</v>
      </c>
      <c r="U581" s="237">
        <v>2026</v>
      </c>
      <c r="V581" s="88">
        <v>46185</v>
      </c>
      <c r="W581" s="88"/>
      <c r="X581" s="88">
        <v>46191</v>
      </c>
      <c r="Y581" s="131">
        <f>AC581</f>
        <v>333333.33333333337</v>
      </c>
      <c r="Z581" s="131">
        <v>0</v>
      </c>
      <c r="AA581" s="131">
        <f>AD581</f>
        <v>400000</v>
      </c>
      <c r="AB581" s="131">
        <v>0</v>
      </c>
      <c r="AC581" s="131">
        <f>AD581/1.2</f>
        <v>333333.33333333337</v>
      </c>
      <c r="AD581" s="131">
        <v>400000</v>
      </c>
      <c r="AE581" s="173" t="s">
        <v>102</v>
      </c>
      <c r="AF581" s="203"/>
      <c r="AG581" s="204"/>
      <c r="AH581" s="175"/>
      <c r="AI581" s="175"/>
      <c r="AJ581" s="175"/>
      <c r="AK581" s="174"/>
      <c r="AL581" s="175"/>
      <c r="AM581" s="76"/>
      <c r="AN581" s="245" t="s">
        <v>178</v>
      </c>
      <c r="AO581" s="103"/>
    </row>
    <row r="582" spans="1:41" ht="30" hidden="1" customHeight="1" x14ac:dyDescent="0.35">
      <c r="A582" s="52">
        <v>2026</v>
      </c>
      <c r="B582" s="59" t="s">
        <v>56</v>
      </c>
      <c r="C582" s="58" t="s">
        <v>1489</v>
      </c>
      <c r="D582" s="237" t="s">
        <v>106</v>
      </c>
      <c r="E582" s="237">
        <v>1</v>
      </c>
      <c r="F582" s="58" t="s">
        <v>1490</v>
      </c>
      <c r="G582" s="237" t="s">
        <v>120</v>
      </c>
      <c r="H582" s="59" t="s">
        <v>128</v>
      </c>
      <c r="I582" s="182"/>
      <c r="J582" s="237" t="s">
        <v>131</v>
      </c>
      <c r="K582" s="237" t="s">
        <v>3</v>
      </c>
      <c r="L582" s="59" t="s">
        <v>6</v>
      </c>
      <c r="M582" s="60" t="s">
        <v>15</v>
      </c>
      <c r="N582" s="132">
        <f t="shared" ref="N582:N589" si="46">O582*1.2</f>
        <v>2209226.4</v>
      </c>
      <c r="O582" s="187">
        <v>1841022</v>
      </c>
      <c r="P582" s="187">
        <f>O582/1.2</f>
        <v>1534185</v>
      </c>
      <c r="Q582" s="237" t="s">
        <v>139</v>
      </c>
      <c r="R582" s="79"/>
      <c r="S582" s="79"/>
      <c r="T582" s="58"/>
      <c r="U582" s="237"/>
      <c r="V582" s="88">
        <v>46185</v>
      </c>
      <c r="W582" s="88"/>
      <c r="X582" s="88"/>
      <c r="Y582" s="131"/>
      <c r="Z582" s="131"/>
      <c r="AA582" s="131"/>
      <c r="AB582" s="131"/>
      <c r="AC582" s="131"/>
      <c r="AD582" s="131"/>
      <c r="AE582" s="173" t="s">
        <v>100</v>
      </c>
      <c r="AF582" s="173"/>
      <c r="AG582" s="173"/>
      <c r="AH582" s="174"/>
      <c r="AI582" s="175"/>
      <c r="AJ582" s="174"/>
      <c r="AK582" s="176"/>
      <c r="AL582" s="174"/>
      <c r="AM582" s="181"/>
      <c r="AO582" s="184"/>
    </row>
    <row r="583" spans="1:41" ht="30" hidden="1" customHeight="1" x14ac:dyDescent="0.35">
      <c r="A583" s="52">
        <v>2026</v>
      </c>
      <c r="B583" s="59" t="s">
        <v>56</v>
      </c>
      <c r="C583" s="58" t="s">
        <v>1489</v>
      </c>
      <c r="D583" s="237" t="s">
        <v>106</v>
      </c>
      <c r="E583" s="237">
        <v>2</v>
      </c>
      <c r="F583" s="58" t="s">
        <v>1491</v>
      </c>
      <c r="G583" s="237" t="s">
        <v>120</v>
      </c>
      <c r="H583" s="59" t="s">
        <v>128</v>
      </c>
      <c r="I583" s="182"/>
      <c r="J583" s="237" t="s">
        <v>131</v>
      </c>
      <c r="K583" s="237" t="s">
        <v>3</v>
      </c>
      <c r="L583" s="59" t="s">
        <v>6</v>
      </c>
      <c r="M583" s="60" t="s">
        <v>15</v>
      </c>
      <c r="N583" s="132">
        <f t="shared" si="46"/>
        <v>2226960</v>
      </c>
      <c r="O583" s="187">
        <v>1855800</v>
      </c>
      <c r="P583" s="187">
        <f>O583/1.2</f>
        <v>1546500</v>
      </c>
      <c r="Q583" s="237" t="s">
        <v>139</v>
      </c>
      <c r="R583" s="79"/>
      <c r="S583" s="79"/>
      <c r="T583" s="58"/>
      <c r="U583" s="237"/>
      <c r="V583" s="88">
        <v>46185</v>
      </c>
      <c r="W583" s="88"/>
      <c r="X583" s="88"/>
      <c r="Y583" s="131"/>
      <c r="Z583" s="131"/>
      <c r="AA583" s="131"/>
      <c r="AB583" s="131"/>
      <c r="AC583" s="131"/>
      <c r="AD583" s="131"/>
      <c r="AE583" s="173" t="s">
        <v>100</v>
      </c>
      <c r="AF583" s="173"/>
      <c r="AG583" s="173"/>
      <c r="AH583" s="174"/>
      <c r="AI583" s="175"/>
      <c r="AJ583" s="174"/>
      <c r="AK583" s="176"/>
      <c r="AL583" s="174"/>
      <c r="AM583" s="181"/>
      <c r="AO583" s="184"/>
    </row>
    <row r="584" spans="1:41" ht="30" hidden="1" customHeight="1" x14ac:dyDescent="0.35">
      <c r="A584" s="52">
        <v>2026</v>
      </c>
      <c r="B584" s="59" t="s">
        <v>56</v>
      </c>
      <c r="C584" s="58" t="s">
        <v>1489</v>
      </c>
      <c r="D584" s="237" t="s">
        <v>106</v>
      </c>
      <c r="E584" s="237">
        <v>3</v>
      </c>
      <c r="F584" s="58" t="s">
        <v>1492</v>
      </c>
      <c r="G584" s="237" t="s">
        <v>120</v>
      </c>
      <c r="H584" s="59" t="s">
        <v>128</v>
      </c>
      <c r="I584" s="182"/>
      <c r="J584" s="237" t="s">
        <v>131</v>
      </c>
      <c r="K584" s="237" t="s">
        <v>3</v>
      </c>
      <c r="L584" s="59" t="s">
        <v>6</v>
      </c>
      <c r="M584" s="60" t="s">
        <v>15</v>
      </c>
      <c r="N584" s="132">
        <f t="shared" si="46"/>
        <v>1803772.8</v>
      </c>
      <c r="O584" s="187">
        <v>1503144</v>
      </c>
      <c r="P584" s="187">
        <f>O584/1.2</f>
        <v>1252620</v>
      </c>
      <c r="Q584" s="237" t="s">
        <v>139</v>
      </c>
      <c r="R584" s="79"/>
      <c r="S584" s="79"/>
      <c r="T584" s="58"/>
      <c r="U584" s="237"/>
      <c r="V584" s="88">
        <v>46185</v>
      </c>
      <c r="W584" s="88"/>
      <c r="X584" s="88"/>
      <c r="Y584" s="131"/>
      <c r="Z584" s="131"/>
      <c r="AA584" s="131"/>
      <c r="AB584" s="131"/>
      <c r="AC584" s="131"/>
      <c r="AD584" s="131"/>
      <c r="AE584" s="173" t="s">
        <v>100</v>
      </c>
      <c r="AF584" s="173"/>
      <c r="AG584" s="173"/>
      <c r="AH584" s="174"/>
      <c r="AI584" s="175"/>
      <c r="AJ584" s="174"/>
      <c r="AK584" s="176"/>
      <c r="AL584" s="174"/>
      <c r="AM584" s="181"/>
      <c r="AO584" s="184"/>
    </row>
    <row r="585" spans="1:41" ht="30" hidden="1" customHeight="1" x14ac:dyDescent="0.35">
      <c r="A585" s="40">
        <v>2026</v>
      </c>
      <c r="B585" s="59" t="s">
        <v>711</v>
      </c>
      <c r="C585" s="58" t="s">
        <v>1493</v>
      </c>
      <c r="D585" s="237" t="s">
        <v>106</v>
      </c>
      <c r="E585" s="237">
        <v>1</v>
      </c>
      <c r="F585" s="58" t="s">
        <v>1494</v>
      </c>
      <c r="G585" s="237" t="s">
        <v>121</v>
      </c>
      <c r="H585" s="59" t="s">
        <v>128</v>
      </c>
      <c r="I585" s="182"/>
      <c r="J585" s="237" t="s">
        <v>131</v>
      </c>
      <c r="K585" s="237" t="s">
        <v>3</v>
      </c>
      <c r="L585" s="59" t="s">
        <v>7</v>
      </c>
      <c r="M585" s="60" t="s">
        <v>39</v>
      </c>
      <c r="N585" s="132">
        <f t="shared" si="46"/>
        <v>3487996.8</v>
      </c>
      <c r="O585" s="187">
        <v>2906664</v>
      </c>
      <c r="P585" s="187">
        <f>O585/1.2</f>
        <v>2422220</v>
      </c>
      <c r="Q585" s="237"/>
      <c r="R585" s="79"/>
      <c r="S585" s="79"/>
      <c r="T585" s="58"/>
      <c r="U585" s="237"/>
      <c r="V585" s="88">
        <v>46185</v>
      </c>
      <c r="W585" s="88">
        <v>46075</v>
      </c>
      <c r="X585" s="88"/>
      <c r="Y585" s="131"/>
      <c r="Z585" s="131"/>
      <c r="AA585" s="131"/>
      <c r="AB585" s="131"/>
      <c r="AC585" s="131"/>
      <c r="AD585" s="131"/>
      <c r="AE585" s="173" t="s">
        <v>100</v>
      </c>
      <c r="AF585" s="173"/>
      <c r="AG585" s="205"/>
      <c r="AH585" s="174"/>
      <c r="AI585" s="175"/>
      <c r="AJ585" s="174"/>
      <c r="AK585" s="176"/>
      <c r="AL585" s="174"/>
      <c r="AM585" s="206"/>
      <c r="AO585" s="184"/>
    </row>
    <row r="586" spans="1:41" ht="30" hidden="1" customHeight="1" x14ac:dyDescent="0.35">
      <c r="A586" s="40">
        <v>2026</v>
      </c>
      <c r="B586" s="59" t="s">
        <v>711</v>
      </c>
      <c r="C586" s="58" t="s">
        <v>1495</v>
      </c>
      <c r="D586" s="237" t="s">
        <v>106</v>
      </c>
      <c r="E586" s="237">
        <v>1</v>
      </c>
      <c r="F586" s="58" t="s">
        <v>1440</v>
      </c>
      <c r="G586" s="237" t="s">
        <v>121</v>
      </c>
      <c r="H586" s="59" t="s">
        <v>128</v>
      </c>
      <c r="I586" s="182"/>
      <c r="J586" s="237" t="s">
        <v>131</v>
      </c>
      <c r="K586" s="237" t="s">
        <v>3</v>
      </c>
      <c r="L586" s="59" t="s">
        <v>7</v>
      </c>
      <c r="M586" s="60" t="s">
        <v>39</v>
      </c>
      <c r="N586" s="132">
        <f t="shared" si="46"/>
        <v>506707.19999999995</v>
      </c>
      <c r="O586" s="187">
        <v>422256</v>
      </c>
      <c r="P586" s="187">
        <f>O586/1.2</f>
        <v>351880</v>
      </c>
      <c r="Q586" s="237"/>
      <c r="R586" s="79"/>
      <c r="S586" s="79"/>
      <c r="T586" s="58"/>
      <c r="U586" s="237"/>
      <c r="V586" s="88">
        <v>46185</v>
      </c>
      <c r="W586" s="88">
        <v>46195</v>
      </c>
      <c r="X586" s="88"/>
      <c r="Y586" s="131"/>
      <c r="Z586" s="131"/>
      <c r="AA586" s="131"/>
      <c r="AB586" s="131"/>
      <c r="AC586" s="131"/>
      <c r="AD586" s="131"/>
      <c r="AE586" s="173" t="s">
        <v>100</v>
      </c>
      <c r="AF586" s="173"/>
      <c r="AG586" s="205"/>
      <c r="AH586" s="174"/>
      <c r="AI586" s="175"/>
      <c r="AJ586" s="174"/>
      <c r="AK586" s="176"/>
      <c r="AL586" s="174"/>
      <c r="AM586" s="206"/>
      <c r="AO586" s="184"/>
    </row>
    <row r="587" spans="1:41" ht="39" hidden="1" customHeight="1" x14ac:dyDescent="0.35">
      <c r="A587" s="54">
        <v>2026</v>
      </c>
      <c r="B587" s="56" t="s">
        <v>711</v>
      </c>
      <c r="C587" s="55" t="s">
        <v>1496</v>
      </c>
      <c r="D587" s="240" t="s">
        <v>106</v>
      </c>
      <c r="E587" s="240">
        <v>1</v>
      </c>
      <c r="F587" s="55" t="s">
        <v>1014</v>
      </c>
      <c r="G587" s="240" t="s">
        <v>121</v>
      </c>
      <c r="H587" s="56" t="s">
        <v>128</v>
      </c>
      <c r="I587" s="55"/>
      <c r="J587" s="240" t="s">
        <v>131</v>
      </c>
      <c r="K587" s="240" t="s">
        <v>3</v>
      </c>
      <c r="L587" s="56" t="s">
        <v>7</v>
      </c>
      <c r="M587" s="60" t="s">
        <v>1015</v>
      </c>
      <c r="N587" s="141">
        <f t="shared" si="46"/>
        <v>3600000</v>
      </c>
      <c r="O587" s="207">
        <v>3000000</v>
      </c>
      <c r="P587" s="207">
        <f>+O587/1.2</f>
        <v>2500000</v>
      </c>
      <c r="Q587" s="240" t="s">
        <v>138</v>
      </c>
      <c r="R587" s="81"/>
      <c r="S587" s="81"/>
      <c r="T587" s="55"/>
      <c r="U587" s="240"/>
      <c r="V587" s="87">
        <v>46185</v>
      </c>
      <c r="W587" s="87"/>
      <c r="X587" s="87"/>
      <c r="Y587" s="139"/>
      <c r="Z587" s="139"/>
      <c r="AA587" s="139"/>
      <c r="AB587" s="139"/>
      <c r="AC587" s="139"/>
      <c r="AD587" s="139"/>
      <c r="AE587" s="201" t="s">
        <v>100</v>
      </c>
      <c r="AF587" s="208" t="s">
        <v>1423</v>
      </c>
      <c r="AG587" s="204"/>
      <c r="AH587" s="175"/>
      <c r="AI587" s="175"/>
      <c r="AJ587" s="175"/>
      <c r="AK587" s="174"/>
      <c r="AL587" s="175"/>
      <c r="AM587" s="206"/>
      <c r="AO587" s="184"/>
    </row>
    <row r="588" spans="1:41" ht="30" hidden="1" customHeight="1" x14ac:dyDescent="0.35">
      <c r="A588" s="52">
        <v>2026</v>
      </c>
      <c r="B588" s="59" t="s">
        <v>61</v>
      </c>
      <c r="C588" s="58" t="s">
        <v>1497</v>
      </c>
      <c r="D588" s="237" t="s">
        <v>106</v>
      </c>
      <c r="E588" s="237">
        <v>1</v>
      </c>
      <c r="F588" s="58" t="s">
        <v>1498</v>
      </c>
      <c r="G588" s="237" t="s">
        <v>120</v>
      </c>
      <c r="H588" s="59" t="s">
        <v>120</v>
      </c>
      <c r="I588" s="58"/>
      <c r="J588" s="237"/>
      <c r="K588" s="237" t="s">
        <v>3</v>
      </c>
      <c r="L588" s="59" t="s">
        <v>6</v>
      </c>
      <c r="M588" s="60" t="s">
        <v>23</v>
      </c>
      <c r="N588" s="132">
        <f t="shared" si="46"/>
        <v>61200</v>
      </c>
      <c r="O588" s="187">
        <v>51000</v>
      </c>
      <c r="P588" s="187">
        <f>+O588/1.2</f>
        <v>42500</v>
      </c>
      <c r="Q588" s="237" t="s">
        <v>139</v>
      </c>
      <c r="R588" s="79"/>
      <c r="S588" s="79"/>
      <c r="T588" s="58"/>
      <c r="U588" s="237"/>
      <c r="V588" s="88">
        <v>46191</v>
      </c>
      <c r="W588" s="88"/>
      <c r="X588" s="88"/>
      <c r="Y588" s="131"/>
      <c r="Z588" s="131"/>
      <c r="AA588" s="131"/>
      <c r="AB588" s="131"/>
      <c r="AC588" s="131"/>
      <c r="AD588" s="131"/>
      <c r="AE588" s="173" t="s">
        <v>99</v>
      </c>
      <c r="AF588" s="203"/>
      <c r="AG588" s="209"/>
      <c r="AH588" s="210"/>
      <c r="AI588" s="210"/>
      <c r="AJ588" s="210"/>
      <c r="AK588" s="187"/>
      <c r="AL588" s="210"/>
      <c r="AM588" s="206"/>
      <c r="AO588" s="184"/>
    </row>
    <row r="589" spans="1:41" ht="30" hidden="1" customHeight="1" x14ac:dyDescent="0.35">
      <c r="A589" s="52">
        <v>2026</v>
      </c>
      <c r="B589" s="59" t="s">
        <v>61</v>
      </c>
      <c r="C589" s="58" t="s">
        <v>1499</v>
      </c>
      <c r="D589" s="237" t="s">
        <v>106</v>
      </c>
      <c r="E589" s="237">
        <v>1</v>
      </c>
      <c r="F589" s="58" t="s">
        <v>1500</v>
      </c>
      <c r="G589" s="237" t="s">
        <v>120</v>
      </c>
      <c r="H589" s="59" t="s">
        <v>120</v>
      </c>
      <c r="I589" s="58"/>
      <c r="J589" s="237"/>
      <c r="K589" s="237" t="s">
        <v>3</v>
      </c>
      <c r="L589" s="59" t="s">
        <v>6</v>
      </c>
      <c r="M589" s="60" t="s">
        <v>23</v>
      </c>
      <c r="N589" s="132">
        <f t="shared" si="46"/>
        <v>904728</v>
      </c>
      <c r="O589" s="187">
        <v>753940</v>
      </c>
      <c r="P589" s="187">
        <f>+O589/1.2</f>
        <v>628283.33333333337</v>
      </c>
      <c r="Q589" s="237" t="s">
        <v>139</v>
      </c>
      <c r="R589" s="79"/>
      <c r="S589" s="79"/>
      <c r="T589" s="58"/>
      <c r="U589" s="237"/>
      <c r="V589" s="88">
        <v>46191</v>
      </c>
      <c r="W589" s="88"/>
      <c r="X589" s="88"/>
      <c r="Y589" s="131"/>
      <c r="Z589" s="131"/>
      <c r="AA589" s="131"/>
      <c r="AB589" s="131"/>
      <c r="AC589" s="131"/>
      <c r="AD589" s="131"/>
      <c r="AE589" s="173" t="s">
        <v>99</v>
      </c>
      <c r="AF589" s="203"/>
      <c r="AG589" s="209"/>
      <c r="AH589" s="210"/>
      <c r="AI589" s="210"/>
      <c r="AJ589" s="210"/>
      <c r="AK589" s="187"/>
      <c r="AL589" s="210"/>
      <c r="AM589" s="206"/>
      <c r="AO589" s="184"/>
    </row>
    <row r="590" spans="1:41" ht="39" hidden="1" customHeight="1" x14ac:dyDescent="0.35">
      <c r="A590" s="52">
        <v>2026</v>
      </c>
      <c r="B590" s="59" t="s">
        <v>711</v>
      </c>
      <c r="C590" s="70" t="s">
        <v>1501</v>
      </c>
      <c r="D590" s="237" t="s">
        <v>106</v>
      </c>
      <c r="E590" s="237">
        <v>1</v>
      </c>
      <c r="F590" s="58" t="s">
        <v>1186</v>
      </c>
      <c r="G590" s="237" t="s">
        <v>121</v>
      </c>
      <c r="H590" s="59" t="s">
        <v>128</v>
      </c>
      <c r="I590" s="70"/>
      <c r="J590" s="237" t="s">
        <v>131</v>
      </c>
      <c r="K590" s="237" t="s">
        <v>1</v>
      </c>
      <c r="L590" s="59" t="s">
        <v>7</v>
      </c>
      <c r="M590" s="60" t="s">
        <v>35</v>
      </c>
      <c r="N590" s="132">
        <v>349387.2</v>
      </c>
      <c r="O590" s="132">
        <v>291156</v>
      </c>
      <c r="P590" s="132">
        <v>242630</v>
      </c>
      <c r="Q590" s="237" t="s">
        <v>138</v>
      </c>
      <c r="R590" s="79"/>
      <c r="S590" s="79"/>
      <c r="T590" s="58"/>
      <c r="U590" s="237"/>
      <c r="V590" s="88">
        <v>46191</v>
      </c>
      <c r="W590" s="88"/>
      <c r="X590" s="88"/>
      <c r="Y590" s="131"/>
      <c r="Z590" s="131">
        <v>0</v>
      </c>
      <c r="AA590" s="131"/>
      <c r="AB590" s="131">
        <v>0</v>
      </c>
      <c r="AC590" s="131"/>
      <c r="AD590" s="131"/>
      <c r="AE590" s="173" t="s">
        <v>100</v>
      </c>
      <c r="AF590" s="203" t="s">
        <v>1030</v>
      </c>
      <c r="AG590" s="204"/>
      <c r="AH590" s="175"/>
      <c r="AI590" s="175"/>
      <c r="AJ590" s="175"/>
      <c r="AK590" s="174"/>
      <c r="AL590" s="175"/>
      <c r="AM590" s="206" t="s">
        <v>1502</v>
      </c>
      <c r="AO590" s="184"/>
    </row>
    <row r="591" spans="1:41" ht="30" hidden="1" customHeight="1" x14ac:dyDescent="0.35">
      <c r="A591" s="52">
        <v>2026</v>
      </c>
      <c r="B591" s="59" t="s">
        <v>55</v>
      </c>
      <c r="C591" s="70" t="s">
        <v>1503</v>
      </c>
      <c r="D591" s="237" t="s">
        <v>109</v>
      </c>
      <c r="E591" s="237">
        <v>1</v>
      </c>
      <c r="F591" s="58" t="s">
        <v>1504</v>
      </c>
      <c r="G591" s="237" t="s">
        <v>121</v>
      </c>
      <c r="H591" s="59" t="s">
        <v>126</v>
      </c>
      <c r="I591" s="70" t="s">
        <v>1503</v>
      </c>
      <c r="J591" s="237" t="s">
        <v>132</v>
      </c>
      <c r="K591" s="237" t="s">
        <v>3</v>
      </c>
      <c r="L591" s="59" t="s">
        <v>7</v>
      </c>
      <c r="M591" s="60" t="s">
        <v>961</v>
      </c>
      <c r="N591" s="130"/>
      <c r="O591" s="172"/>
      <c r="P591" s="172"/>
      <c r="Q591" s="237" t="s">
        <v>138</v>
      </c>
      <c r="R591" s="79"/>
      <c r="S591" s="79"/>
      <c r="T591" s="58" t="s">
        <v>1505</v>
      </c>
      <c r="U591" s="237">
        <v>2026</v>
      </c>
      <c r="V591" s="88">
        <v>46184</v>
      </c>
      <c r="W591" s="79"/>
      <c r="X591" s="88">
        <v>46233</v>
      </c>
      <c r="Y591" s="131">
        <f>+AC591</f>
        <v>74980</v>
      </c>
      <c r="Z591" s="131">
        <v>0</v>
      </c>
      <c r="AA591" s="131">
        <f>+AD591</f>
        <v>89976</v>
      </c>
      <c r="AB591" s="131">
        <v>0</v>
      </c>
      <c r="AC591" s="131">
        <f>+AD591/1.2</f>
        <v>74980</v>
      </c>
      <c r="AD591" s="131">
        <v>89976</v>
      </c>
      <c r="AE591" s="173" t="s">
        <v>102</v>
      </c>
      <c r="AF591" s="203"/>
      <c r="AG591" s="204"/>
      <c r="AH591" s="175"/>
      <c r="AI591" s="175"/>
      <c r="AJ591" s="175"/>
      <c r="AK591" s="174"/>
      <c r="AL591" s="175"/>
      <c r="AM591" s="206"/>
      <c r="AO591" s="184"/>
    </row>
    <row r="592" spans="1:41" ht="52" hidden="1" customHeight="1" x14ac:dyDescent="0.35">
      <c r="A592" s="52">
        <v>2026</v>
      </c>
      <c r="B592" s="59" t="s">
        <v>55</v>
      </c>
      <c r="C592" s="70" t="s">
        <v>1506</v>
      </c>
      <c r="D592" s="237" t="s">
        <v>106</v>
      </c>
      <c r="E592" s="237">
        <v>1</v>
      </c>
      <c r="F592" s="58" t="s">
        <v>1507</v>
      </c>
      <c r="G592" s="237" t="s">
        <v>120</v>
      </c>
      <c r="H592" s="59" t="s">
        <v>120</v>
      </c>
      <c r="I592" s="70"/>
      <c r="J592" s="237" t="s">
        <v>130</v>
      </c>
      <c r="K592" s="237" t="s">
        <v>1</v>
      </c>
      <c r="L592" s="59" t="s">
        <v>7</v>
      </c>
      <c r="M592" s="60" t="s">
        <v>961</v>
      </c>
      <c r="N592" s="132">
        <f>O592*1.2</f>
        <v>1512000</v>
      </c>
      <c r="O592" s="187">
        <v>1260000</v>
      </c>
      <c r="P592" s="187">
        <f>O592/1.2</f>
        <v>1050000</v>
      </c>
      <c r="Q592" s="237" t="s">
        <v>138</v>
      </c>
      <c r="R592" s="79"/>
      <c r="S592" s="79"/>
      <c r="T592" s="58"/>
      <c r="U592" s="237"/>
      <c r="V592" s="88">
        <v>46191</v>
      </c>
      <c r="W592" s="88"/>
      <c r="X592" s="88"/>
      <c r="Y592" s="131"/>
      <c r="Z592" s="131"/>
      <c r="AA592" s="131"/>
      <c r="AB592" s="131"/>
      <c r="AC592" s="131"/>
      <c r="AD592" s="131"/>
      <c r="AE592" s="173" t="s">
        <v>99</v>
      </c>
      <c r="AF592" s="203"/>
      <c r="AG592" s="204"/>
      <c r="AH592" s="175"/>
      <c r="AI592" s="175"/>
      <c r="AJ592" s="175"/>
      <c r="AK592" s="174"/>
      <c r="AL592" s="175"/>
      <c r="AM592" s="206"/>
      <c r="AO592" s="184"/>
    </row>
    <row r="593" spans="1:41" ht="30" hidden="1" customHeight="1" x14ac:dyDescent="0.35">
      <c r="A593" s="54">
        <v>2026</v>
      </c>
      <c r="B593" s="56" t="s">
        <v>711</v>
      </c>
      <c r="C593" s="69" t="s">
        <v>1508</v>
      </c>
      <c r="D593" s="240" t="s">
        <v>106</v>
      </c>
      <c r="E593" s="240">
        <v>1</v>
      </c>
      <c r="F593" s="55" t="s">
        <v>1171</v>
      </c>
      <c r="G593" s="240" t="s">
        <v>121</v>
      </c>
      <c r="H593" s="56" t="s">
        <v>128</v>
      </c>
      <c r="I593" s="69"/>
      <c r="J593" s="240" t="s">
        <v>130</v>
      </c>
      <c r="K593" s="240" t="s">
        <v>3</v>
      </c>
      <c r="L593" s="56" t="s">
        <v>7</v>
      </c>
      <c r="M593" s="57" t="s">
        <v>1015</v>
      </c>
      <c r="N593" s="141">
        <f>O593*1.2</f>
        <v>2503800</v>
      </c>
      <c r="O593" s="207">
        <v>2086500</v>
      </c>
      <c r="P593" s="207">
        <f>O593/1.2</f>
        <v>1738750</v>
      </c>
      <c r="Q593" s="240" t="s">
        <v>138</v>
      </c>
      <c r="R593" s="81"/>
      <c r="S593" s="81"/>
      <c r="T593" s="55"/>
      <c r="U593" s="240"/>
      <c r="V593" s="87">
        <v>46191</v>
      </c>
      <c r="W593" s="87"/>
      <c r="X593" s="87"/>
      <c r="Y593" s="139"/>
      <c r="Z593" s="139">
        <v>0</v>
      </c>
      <c r="AA593" s="139"/>
      <c r="AB593" s="139">
        <v>0</v>
      </c>
      <c r="AC593" s="139"/>
      <c r="AD593" s="139"/>
      <c r="AE593" s="201" t="s">
        <v>100</v>
      </c>
      <c r="AF593" s="208" t="s">
        <v>1030</v>
      </c>
      <c r="AG593" s="204"/>
      <c r="AH593" s="175"/>
      <c r="AI593" s="175"/>
      <c r="AJ593" s="175"/>
      <c r="AK593" s="174"/>
      <c r="AL593" s="175"/>
      <c r="AM593" s="206" t="s">
        <v>1502</v>
      </c>
      <c r="AO593" s="184"/>
    </row>
    <row r="594" spans="1:41" s="35" customFormat="1" ht="30" hidden="1" customHeight="1" x14ac:dyDescent="0.35">
      <c r="A594" s="52">
        <v>2026</v>
      </c>
      <c r="B594" s="59" t="s">
        <v>56</v>
      </c>
      <c r="C594" s="70" t="s">
        <v>1509</v>
      </c>
      <c r="D594" s="237" t="s">
        <v>109</v>
      </c>
      <c r="E594" s="237">
        <v>1</v>
      </c>
      <c r="F594" s="58" t="s">
        <v>1510</v>
      </c>
      <c r="G594" s="237" t="s">
        <v>121</v>
      </c>
      <c r="H594" s="59" t="s">
        <v>126</v>
      </c>
      <c r="I594" s="70" t="s">
        <v>1509</v>
      </c>
      <c r="J594" s="237" t="s">
        <v>132</v>
      </c>
      <c r="K594" s="237" t="s">
        <v>3</v>
      </c>
      <c r="L594" s="59" t="s">
        <v>6</v>
      </c>
      <c r="M594" s="60" t="s">
        <v>980</v>
      </c>
      <c r="N594" s="130"/>
      <c r="O594" s="172"/>
      <c r="P594" s="172"/>
      <c r="Q594" s="237" t="s">
        <v>138</v>
      </c>
      <c r="R594" s="79"/>
      <c r="S594" s="79"/>
      <c r="T594" s="58" t="s">
        <v>1511</v>
      </c>
      <c r="U594" s="237">
        <v>2026</v>
      </c>
      <c r="V594" s="88">
        <v>46196</v>
      </c>
      <c r="W594" s="88">
        <v>46203</v>
      </c>
      <c r="X594" s="88"/>
      <c r="Y594" s="131">
        <v>48000</v>
      </c>
      <c r="Z594" s="131">
        <v>0</v>
      </c>
      <c r="AA594" s="131">
        <v>57600</v>
      </c>
      <c r="AB594" s="131">
        <v>0</v>
      </c>
      <c r="AC594" s="131">
        <v>48000</v>
      </c>
      <c r="AD594" s="131">
        <v>57600</v>
      </c>
      <c r="AE594" s="173" t="s">
        <v>102</v>
      </c>
      <c r="AF594" s="203"/>
      <c r="AG594" s="209"/>
      <c r="AH594" s="210"/>
      <c r="AI594" s="210"/>
      <c r="AJ594" s="210"/>
      <c r="AK594" s="187"/>
      <c r="AL594" s="210"/>
      <c r="AM594" s="181"/>
      <c r="AO594" s="104"/>
    </row>
    <row r="595" spans="1:41" s="35" customFormat="1" ht="30" hidden="1" customHeight="1" x14ac:dyDescent="0.35">
      <c r="A595" s="52">
        <v>2026</v>
      </c>
      <c r="B595" s="59" t="s">
        <v>56</v>
      </c>
      <c r="C595" s="70" t="s">
        <v>1512</v>
      </c>
      <c r="D595" s="237" t="s">
        <v>109</v>
      </c>
      <c r="E595" s="237">
        <v>1</v>
      </c>
      <c r="F595" s="58" t="s">
        <v>1513</v>
      </c>
      <c r="G595" s="237" t="s">
        <v>121</v>
      </c>
      <c r="H595" s="59" t="s">
        <v>126</v>
      </c>
      <c r="I595" s="70" t="s">
        <v>1512</v>
      </c>
      <c r="J595" s="237" t="s">
        <v>132</v>
      </c>
      <c r="K595" s="237" t="s">
        <v>3</v>
      </c>
      <c r="L595" s="59" t="s">
        <v>6</v>
      </c>
      <c r="M595" s="60" t="s">
        <v>980</v>
      </c>
      <c r="N595" s="130"/>
      <c r="O595" s="172"/>
      <c r="P595" s="172"/>
      <c r="Q595" s="237" t="s">
        <v>138</v>
      </c>
      <c r="R595" s="79"/>
      <c r="S595" s="79"/>
      <c r="T595" s="58" t="s">
        <v>1511</v>
      </c>
      <c r="U595" s="237">
        <v>2026</v>
      </c>
      <c r="V595" s="88">
        <v>46196</v>
      </c>
      <c r="W595" s="88">
        <v>46202</v>
      </c>
      <c r="X595" s="88"/>
      <c r="Y595" s="131">
        <v>29980</v>
      </c>
      <c r="Z595" s="131">
        <v>0</v>
      </c>
      <c r="AA595" s="131">
        <f>Y595*1.2</f>
        <v>35976</v>
      </c>
      <c r="AB595" s="131">
        <v>0</v>
      </c>
      <c r="AC595" s="131">
        <f>Y595</f>
        <v>29980</v>
      </c>
      <c r="AD595" s="131">
        <f>AA595</f>
        <v>35976</v>
      </c>
      <c r="AE595" s="173" t="s">
        <v>102</v>
      </c>
      <c r="AF595" s="203"/>
      <c r="AG595" s="209"/>
      <c r="AH595" s="210"/>
      <c r="AI595" s="210"/>
      <c r="AJ595" s="210"/>
      <c r="AK595" s="187"/>
      <c r="AL595" s="210"/>
      <c r="AM595" s="181"/>
      <c r="AO595" s="104"/>
    </row>
    <row r="596" spans="1:41" s="35" customFormat="1" ht="30" hidden="1" customHeight="1" x14ac:dyDescent="0.35">
      <c r="A596" s="52">
        <v>2026</v>
      </c>
      <c r="B596" s="59" t="s">
        <v>711</v>
      </c>
      <c r="C596" s="70" t="s">
        <v>1514</v>
      </c>
      <c r="D596" s="237" t="s">
        <v>109</v>
      </c>
      <c r="E596" s="237">
        <v>1</v>
      </c>
      <c r="F596" s="58" t="s">
        <v>1515</v>
      </c>
      <c r="G596" s="237" t="s">
        <v>121</v>
      </c>
      <c r="H596" s="59" t="s">
        <v>126</v>
      </c>
      <c r="I596" s="70" t="s">
        <v>1514</v>
      </c>
      <c r="J596" s="237" t="s">
        <v>132</v>
      </c>
      <c r="K596" s="237" t="s">
        <v>3</v>
      </c>
      <c r="L596" s="59" t="s">
        <v>7</v>
      </c>
      <c r="M596" s="58" t="s">
        <v>1015</v>
      </c>
      <c r="N596" s="130"/>
      <c r="O596" s="172"/>
      <c r="P596" s="172"/>
      <c r="Q596" s="237" t="s">
        <v>138</v>
      </c>
      <c r="R596" s="79"/>
      <c r="S596" s="79"/>
      <c r="T596" s="58" t="s">
        <v>1191</v>
      </c>
      <c r="U596" s="237"/>
      <c r="V596" s="88">
        <v>46197</v>
      </c>
      <c r="W596" s="88"/>
      <c r="X596" s="88"/>
      <c r="Y596" s="131">
        <v>343397.56</v>
      </c>
      <c r="Z596" s="131">
        <v>0</v>
      </c>
      <c r="AA596" s="131">
        <v>412077.77</v>
      </c>
      <c r="AB596" s="131">
        <v>0</v>
      </c>
      <c r="AC596" s="131">
        <v>343397.56</v>
      </c>
      <c r="AD596" s="131">
        <v>412077.77</v>
      </c>
      <c r="AE596" s="173" t="s">
        <v>102</v>
      </c>
      <c r="AF596" s="203"/>
      <c r="AG596" s="209"/>
      <c r="AH596" s="210"/>
      <c r="AI596" s="210"/>
      <c r="AJ596" s="210"/>
      <c r="AK596" s="187"/>
      <c r="AL596" s="210"/>
      <c r="AM596" s="181"/>
      <c r="AO596" s="104"/>
    </row>
    <row r="597" spans="1:41" s="35" customFormat="1" ht="30" hidden="1" customHeight="1" x14ac:dyDescent="0.35">
      <c r="A597" s="52">
        <v>2026</v>
      </c>
      <c r="B597" s="59" t="s">
        <v>55</v>
      </c>
      <c r="C597" s="70" t="s">
        <v>1516</v>
      </c>
      <c r="D597" s="237" t="s">
        <v>109</v>
      </c>
      <c r="E597" s="237">
        <v>1</v>
      </c>
      <c r="F597" s="58" t="s">
        <v>1517</v>
      </c>
      <c r="G597" s="237" t="s">
        <v>120</v>
      </c>
      <c r="H597" s="59" t="s">
        <v>120</v>
      </c>
      <c r="I597" s="70" t="s">
        <v>1516</v>
      </c>
      <c r="J597" s="237" t="s">
        <v>132</v>
      </c>
      <c r="K597" s="237" t="s">
        <v>3</v>
      </c>
      <c r="L597" s="59" t="s">
        <v>6</v>
      </c>
      <c r="M597" s="58" t="s">
        <v>23</v>
      </c>
      <c r="N597" s="130"/>
      <c r="O597" s="172"/>
      <c r="P597" s="172"/>
      <c r="Q597" s="237" t="s">
        <v>138</v>
      </c>
      <c r="R597" s="79"/>
      <c r="S597" s="79"/>
      <c r="T597" s="58" t="s">
        <v>1213</v>
      </c>
      <c r="U597" s="237"/>
      <c r="V597" s="88">
        <v>46197</v>
      </c>
      <c r="W597" s="88"/>
      <c r="X597" s="88"/>
      <c r="Y597" s="131">
        <v>11666.67</v>
      </c>
      <c r="Z597" s="131">
        <v>0</v>
      </c>
      <c r="AA597" s="131">
        <v>14000</v>
      </c>
      <c r="AB597" s="131">
        <v>0</v>
      </c>
      <c r="AC597" s="131">
        <v>11666.67</v>
      </c>
      <c r="AD597" s="131">
        <v>14000</v>
      </c>
      <c r="AE597" s="173" t="s">
        <v>101</v>
      </c>
      <c r="AF597" s="203"/>
      <c r="AG597" s="209"/>
      <c r="AH597" s="210"/>
      <c r="AI597" s="210"/>
      <c r="AJ597" s="210"/>
      <c r="AK597" s="187"/>
      <c r="AL597" s="210"/>
      <c r="AM597" s="181"/>
      <c r="AO597" s="104"/>
    </row>
    <row r="598" spans="1:41" s="35" customFormat="1" ht="30" hidden="1" customHeight="1" x14ac:dyDescent="0.35">
      <c r="A598" s="52">
        <v>2026</v>
      </c>
      <c r="B598" s="59" t="s">
        <v>60</v>
      </c>
      <c r="C598" s="70" t="s">
        <v>1518</v>
      </c>
      <c r="D598" s="237" t="s">
        <v>109</v>
      </c>
      <c r="E598" s="237">
        <v>1</v>
      </c>
      <c r="F598" s="58" t="s">
        <v>1519</v>
      </c>
      <c r="G598" s="237" t="s">
        <v>120</v>
      </c>
      <c r="H598" s="59" t="s">
        <v>120</v>
      </c>
      <c r="I598" s="70" t="s">
        <v>1518</v>
      </c>
      <c r="J598" s="237" t="s">
        <v>132</v>
      </c>
      <c r="K598" s="237" t="s">
        <v>3</v>
      </c>
      <c r="L598" s="59" t="s">
        <v>7</v>
      </c>
      <c r="M598" s="58" t="s">
        <v>33</v>
      </c>
      <c r="N598" s="130"/>
      <c r="O598" s="172"/>
      <c r="P598" s="172"/>
      <c r="Q598" s="237" t="s">
        <v>138</v>
      </c>
      <c r="R598" s="79"/>
      <c r="S598" s="79"/>
      <c r="T598" s="58" t="s">
        <v>1520</v>
      </c>
      <c r="U598" s="237"/>
      <c r="V598" s="88">
        <v>46197</v>
      </c>
      <c r="W598" s="88"/>
      <c r="X598" s="88"/>
      <c r="Y598" s="131">
        <v>37500</v>
      </c>
      <c r="Z598" s="131">
        <v>0</v>
      </c>
      <c r="AA598" s="131">
        <v>45000</v>
      </c>
      <c r="AB598" s="131">
        <v>0</v>
      </c>
      <c r="AC598" s="131">
        <v>37500</v>
      </c>
      <c r="AD598" s="131">
        <v>45000</v>
      </c>
      <c r="AE598" s="173" t="s">
        <v>101</v>
      </c>
      <c r="AF598" s="203"/>
      <c r="AG598" s="209"/>
      <c r="AH598" s="210"/>
      <c r="AI598" s="210"/>
      <c r="AJ598" s="210"/>
      <c r="AK598" s="187"/>
      <c r="AL598" s="210"/>
      <c r="AM598" s="181"/>
      <c r="AO598" s="104"/>
    </row>
    <row r="599" spans="1:41" s="35" customFormat="1" ht="30" hidden="1" customHeight="1" x14ac:dyDescent="0.35">
      <c r="A599" s="52">
        <v>2026</v>
      </c>
      <c r="B599" s="59" t="s">
        <v>56</v>
      </c>
      <c r="C599" s="70" t="s">
        <v>1521</v>
      </c>
      <c r="D599" s="237" t="s">
        <v>109</v>
      </c>
      <c r="E599" s="237">
        <v>1</v>
      </c>
      <c r="F599" s="58" t="s">
        <v>1522</v>
      </c>
      <c r="G599" s="237" t="s">
        <v>121</v>
      </c>
      <c r="H599" s="59" t="s">
        <v>126</v>
      </c>
      <c r="I599" s="70" t="s">
        <v>1521</v>
      </c>
      <c r="J599" s="237" t="s">
        <v>132</v>
      </c>
      <c r="K599" s="237" t="s">
        <v>3</v>
      </c>
      <c r="L599" s="59" t="s">
        <v>6</v>
      </c>
      <c r="M599" s="60" t="s">
        <v>980</v>
      </c>
      <c r="N599" s="130"/>
      <c r="O599" s="172"/>
      <c r="P599" s="172"/>
      <c r="Q599" s="237" t="s">
        <v>138</v>
      </c>
      <c r="R599" s="79"/>
      <c r="S599" s="79"/>
      <c r="T599" s="58" t="s">
        <v>1523</v>
      </c>
      <c r="U599" s="237">
        <v>2026</v>
      </c>
      <c r="V599" s="88">
        <v>46197</v>
      </c>
      <c r="W599" s="88">
        <v>46203</v>
      </c>
      <c r="X599" s="88"/>
      <c r="Y599" s="131">
        <v>26700</v>
      </c>
      <c r="Z599" s="131">
        <v>0</v>
      </c>
      <c r="AA599" s="131">
        <f>Y599*1.2</f>
        <v>32040</v>
      </c>
      <c r="AB599" s="131">
        <v>0</v>
      </c>
      <c r="AC599" s="131">
        <f>Y599</f>
        <v>26700</v>
      </c>
      <c r="AD599" s="131">
        <f>AA599</f>
        <v>32040</v>
      </c>
      <c r="AE599" s="173" t="s">
        <v>102</v>
      </c>
      <c r="AF599" s="203"/>
      <c r="AG599" s="209"/>
      <c r="AH599" s="210"/>
      <c r="AI599" s="210"/>
      <c r="AJ599" s="210"/>
      <c r="AK599" s="187"/>
      <c r="AL599" s="210"/>
      <c r="AM599" s="181"/>
      <c r="AO599" s="104"/>
    </row>
    <row r="600" spans="1:41" s="35" customFormat="1" ht="30" customHeight="1" x14ac:dyDescent="0.35">
      <c r="A600" s="52">
        <v>2026</v>
      </c>
      <c r="B600" s="59" t="s">
        <v>63</v>
      </c>
      <c r="C600" s="70" t="s">
        <v>1524</v>
      </c>
      <c r="D600" s="237" t="s">
        <v>114</v>
      </c>
      <c r="E600" s="237">
        <v>3</v>
      </c>
      <c r="F600" s="58" t="s">
        <v>1525</v>
      </c>
      <c r="G600" s="237" t="s">
        <v>120</v>
      </c>
      <c r="H600" s="59" t="s">
        <v>120</v>
      </c>
      <c r="I600" s="70" t="s">
        <v>1524</v>
      </c>
      <c r="J600" s="237" t="s">
        <v>132</v>
      </c>
      <c r="K600" s="237" t="s">
        <v>3</v>
      </c>
      <c r="L600" s="59" t="s">
        <v>6</v>
      </c>
      <c r="M600" s="60" t="s">
        <v>1526</v>
      </c>
      <c r="N600" s="130"/>
      <c r="O600" s="172"/>
      <c r="P600" s="172"/>
      <c r="Q600" s="237" t="s">
        <v>138</v>
      </c>
      <c r="R600" s="79"/>
      <c r="S600" s="79"/>
      <c r="T600" s="58" t="s">
        <v>1527</v>
      </c>
      <c r="U600" s="237"/>
      <c r="V600" s="88"/>
      <c r="W600" s="88"/>
      <c r="X600" s="88"/>
      <c r="Y600" s="131">
        <v>2776080</v>
      </c>
      <c r="Z600" s="131">
        <v>300000</v>
      </c>
      <c r="AA600" s="131">
        <v>2776080</v>
      </c>
      <c r="AB600" s="131">
        <v>300000</v>
      </c>
      <c r="AC600" s="131">
        <v>2776080</v>
      </c>
      <c r="AD600" s="131">
        <v>2776080</v>
      </c>
      <c r="AE600" s="173" t="s">
        <v>102</v>
      </c>
      <c r="AF600" s="203"/>
      <c r="AG600" s="209"/>
      <c r="AH600" s="210"/>
      <c r="AI600" s="210"/>
      <c r="AJ600" s="210"/>
      <c r="AK600" s="187"/>
      <c r="AL600" s="210"/>
      <c r="AM600" s="181"/>
      <c r="AN600" s="247" t="s">
        <v>178</v>
      </c>
      <c r="AO600" s="104"/>
    </row>
    <row r="601" spans="1:41" s="35" customFormat="1" ht="30" hidden="1" customHeight="1" x14ac:dyDescent="0.35">
      <c r="A601" s="52">
        <v>2026</v>
      </c>
      <c r="B601" s="59" t="s">
        <v>55</v>
      </c>
      <c r="C601" s="70" t="s">
        <v>1528</v>
      </c>
      <c r="D601" s="237" t="s">
        <v>106</v>
      </c>
      <c r="E601" s="237">
        <v>1</v>
      </c>
      <c r="F601" s="58" t="s">
        <v>1529</v>
      </c>
      <c r="G601" s="237" t="s">
        <v>120</v>
      </c>
      <c r="H601" s="59" t="s">
        <v>120</v>
      </c>
      <c r="I601" s="70"/>
      <c r="J601" s="237" t="s">
        <v>131</v>
      </c>
      <c r="K601" s="237" t="s">
        <v>3</v>
      </c>
      <c r="L601" s="59" t="s">
        <v>7</v>
      </c>
      <c r="M601" s="60" t="s">
        <v>33</v>
      </c>
      <c r="N601" s="132">
        <f>O601*1.2</f>
        <v>86400</v>
      </c>
      <c r="O601" s="187">
        <v>72000</v>
      </c>
      <c r="P601" s="211">
        <v>60000</v>
      </c>
      <c r="Q601" s="237" t="s">
        <v>138</v>
      </c>
      <c r="R601" s="79"/>
      <c r="S601" s="79"/>
      <c r="T601" s="58"/>
      <c r="U601" s="237"/>
      <c r="V601" s="85">
        <v>46198</v>
      </c>
      <c r="W601" s="88"/>
      <c r="X601" s="88"/>
      <c r="Y601" s="131"/>
      <c r="Z601" s="131"/>
      <c r="AA601" s="131"/>
      <c r="AB601" s="131"/>
      <c r="AC601" s="131"/>
      <c r="AD601" s="131"/>
      <c r="AE601" s="173" t="s">
        <v>99</v>
      </c>
      <c r="AF601" s="203"/>
      <c r="AG601" s="209"/>
      <c r="AH601" s="210"/>
      <c r="AI601" s="210"/>
      <c r="AJ601" s="210"/>
      <c r="AK601" s="187"/>
      <c r="AL601" s="210"/>
      <c r="AM601" s="181"/>
      <c r="AO601" s="104"/>
    </row>
    <row r="602" spans="1:41" s="35" customFormat="1" ht="46.5" hidden="1" customHeight="1" x14ac:dyDescent="0.35">
      <c r="A602" s="52">
        <v>2026</v>
      </c>
      <c r="B602" s="59" t="s">
        <v>55</v>
      </c>
      <c r="C602" s="70" t="s">
        <v>1528</v>
      </c>
      <c r="D602" s="237" t="s">
        <v>106</v>
      </c>
      <c r="E602" s="237">
        <v>2</v>
      </c>
      <c r="F602" s="58" t="s">
        <v>1530</v>
      </c>
      <c r="G602" s="237" t="s">
        <v>120</v>
      </c>
      <c r="H602" s="59" t="s">
        <v>120</v>
      </c>
      <c r="I602" s="70"/>
      <c r="J602" s="237" t="s">
        <v>131</v>
      </c>
      <c r="K602" s="237" t="s">
        <v>3</v>
      </c>
      <c r="L602" s="59" t="s">
        <v>7</v>
      </c>
      <c r="M602" s="60" t="s">
        <v>33</v>
      </c>
      <c r="N602" s="132">
        <v>86400</v>
      </c>
      <c r="O602" s="187">
        <v>72000</v>
      </c>
      <c r="P602" s="211">
        <v>60000</v>
      </c>
      <c r="Q602" s="237" t="s">
        <v>138</v>
      </c>
      <c r="R602" s="79"/>
      <c r="S602" s="79"/>
      <c r="T602" s="58"/>
      <c r="U602" s="237"/>
      <c r="V602" s="85">
        <v>46198</v>
      </c>
      <c r="W602" s="88"/>
      <c r="X602" s="88"/>
      <c r="Y602" s="131"/>
      <c r="Z602" s="131"/>
      <c r="AA602" s="131"/>
      <c r="AB602" s="131"/>
      <c r="AC602" s="131"/>
      <c r="AD602" s="131"/>
      <c r="AE602" s="173" t="s">
        <v>99</v>
      </c>
      <c r="AF602" s="203"/>
      <c r="AG602" s="209"/>
      <c r="AH602" s="210"/>
      <c r="AI602" s="210"/>
      <c r="AJ602" s="210"/>
      <c r="AK602" s="187"/>
      <c r="AL602" s="210"/>
      <c r="AM602" s="181"/>
      <c r="AO602" s="104"/>
    </row>
    <row r="603" spans="1:41" s="35" customFormat="1" ht="73.5" hidden="1" customHeight="1" x14ac:dyDescent="0.35">
      <c r="A603" s="52">
        <v>2026</v>
      </c>
      <c r="B603" s="59" t="s">
        <v>55</v>
      </c>
      <c r="C603" s="70" t="s">
        <v>1531</v>
      </c>
      <c r="D603" s="237" t="s">
        <v>106</v>
      </c>
      <c r="E603" s="237">
        <v>1</v>
      </c>
      <c r="F603" s="58" t="s">
        <v>1532</v>
      </c>
      <c r="G603" s="237" t="s">
        <v>121</v>
      </c>
      <c r="H603" s="59" t="s">
        <v>128</v>
      </c>
      <c r="I603" s="70"/>
      <c r="J603" s="237" t="s">
        <v>130</v>
      </c>
      <c r="K603" s="237" t="s">
        <v>3</v>
      </c>
      <c r="L603" s="59" t="s">
        <v>7</v>
      </c>
      <c r="M603" s="60" t="s">
        <v>38</v>
      </c>
      <c r="N603" s="132">
        <v>2057660.17</v>
      </c>
      <c r="O603" s="187">
        <v>1714716.81</v>
      </c>
      <c r="P603" s="211">
        <f>O603/1.2</f>
        <v>1428930.675</v>
      </c>
      <c r="Q603" s="237" t="s">
        <v>138</v>
      </c>
      <c r="R603" s="79"/>
      <c r="S603" s="79"/>
      <c r="T603" s="58"/>
      <c r="U603" s="237"/>
      <c r="V603" s="85"/>
      <c r="W603" s="88"/>
      <c r="X603" s="88"/>
      <c r="Y603" s="131"/>
      <c r="Z603" s="131"/>
      <c r="AA603" s="131"/>
      <c r="AB603" s="131"/>
      <c r="AC603" s="131"/>
      <c r="AD603" s="131"/>
      <c r="AE603" s="173" t="s">
        <v>100</v>
      </c>
      <c r="AF603" s="203"/>
      <c r="AG603" s="209"/>
      <c r="AH603" s="210"/>
      <c r="AI603" s="210"/>
      <c r="AJ603" s="210"/>
      <c r="AK603" s="187"/>
      <c r="AL603" s="210"/>
      <c r="AM603" s="181"/>
      <c r="AO603" s="104"/>
    </row>
    <row r="604" spans="1:41" s="35" customFormat="1" ht="49.5" hidden="1" customHeight="1" x14ac:dyDescent="0.35">
      <c r="A604" s="52">
        <v>2026</v>
      </c>
      <c r="B604" s="59" t="s">
        <v>56</v>
      </c>
      <c r="C604" s="70" t="s">
        <v>1533</v>
      </c>
      <c r="D604" s="237" t="s">
        <v>106</v>
      </c>
      <c r="E604" s="237">
        <v>1</v>
      </c>
      <c r="F604" s="58" t="s">
        <v>1144</v>
      </c>
      <c r="G604" s="237" t="s">
        <v>121</v>
      </c>
      <c r="H604" s="59" t="s">
        <v>128</v>
      </c>
      <c r="I604" s="70"/>
      <c r="J604" s="237" t="s">
        <v>130</v>
      </c>
      <c r="K604" s="237" t="s">
        <v>3</v>
      </c>
      <c r="L604" s="59" t="s">
        <v>6</v>
      </c>
      <c r="M604" s="60" t="s">
        <v>23</v>
      </c>
      <c r="N604" s="132">
        <f>O604*1.2</f>
        <v>4320000</v>
      </c>
      <c r="O604" s="187">
        <v>3600000</v>
      </c>
      <c r="P604" s="187">
        <f>O604/1.2</f>
        <v>3000000</v>
      </c>
      <c r="Q604" s="237" t="s">
        <v>139</v>
      </c>
      <c r="R604" s="86"/>
      <c r="S604" s="86"/>
      <c r="T604" s="58"/>
      <c r="U604" s="237"/>
      <c r="V604" s="88"/>
      <c r="W604" s="88"/>
      <c r="X604" s="88"/>
      <c r="Y604" s="131"/>
      <c r="Z604" s="131"/>
      <c r="AA604" s="131"/>
      <c r="AB604" s="131"/>
      <c r="AC604" s="131"/>
      <c r="AD604" s="131"/>
      <c r="AE604" s="173" t="s">
        <v>100</v>
      </c>
      <c r="AF604" s="212"/>
      <c r="AG604" s="209"/>
      <c r="AH604" s="210"/>
      <c r="AI604" s="210"/>
      <c r="AJ604" s="210"/>
      <c r="AK604" s="187"/>
      <c r="AL604" s="210"/>
      <c r="AM604" s="200"/>
      <c r="AO604" s="104"/>
    </row>
    <row r="605" spans="1:41" s="35" customFormat="1" ht="30" hidden="1" customHeight="1" x14ac:dyDescent="0.35">
      <c r="A605" s="52">
        <v>2026</v>
      </c>
      <c r="B605" s="59" t="s">
        <v>56</v>
      </c>
      <c r="C605" s="70" t="s">
        <v>1534</v>
      </c>
      <c r="D605" s="237" t="s">
        <v>109</v>
      </c>
      <c r="E605" s="237">
        <v>1</v>
      </c>
      <c r="F605" s="58" t="s">
        <v>1535</v>
      </c>
      <c r="G605" s="237" t="s">
        <v>121</v>
      </c>
      <c r="H605" s="59" t="s">
        <v>126</v>
      </c>
      <c r="I605" s="70" t="s">
        <v>1534</v>
      </c>
      <c r="J605" s="51" t="s">
        <v>132</v>
      </c>
      <c r="K605" s="237" t="s">
        <v>3</v>
      </c>
      <c r="L605" s="59" t="s">
        <v>6</v>
      </c>
      <c r="M605" s="60" t="s">
        <v>980</v>
      </c>
      <c r="N605" s="130"/>
      <c r="O605" s="172"/>
      <c r="P605" s="172"/>
      <c r="Q605" s="237" t="s">
        <v>138</v>
      </c>
      <c r="R605" s="79"/>
      <c r="S605" s="79"/>
      <c r="T605" s="58" t="s">
        <v>1523</v>
      </c>
      <c r="U605" s="237">
        <v>2026</v>
      </c>
      <c r="V605" s="85">
        <v>46203</v>
      </c>
      <c r="W605" s="88">
        <v>46203</v>
      </c>
      <c r="X605" s="88"/>
      <c r="Y605" s="131">
        <v>21600</v>
      </c>
      <c r="Z605" s="131">
        <v>0</v>
      </c>
      <c r="AA605" s="131">
        <f>Y605*1.2</f>
        <v>25920</v>
      </c>
      <c r="AB605" s="131">
        <v>0</v>
      </c>
      <c r="AC605" s="131">
        <v>21600</v>
      </c>
      <c r="AD605" s="131">
        <f>AC605*1.2</f>
        <v>25920</v>
      </c>
      <c r="AE605" s="173" t="s">
        <v>102</v>
      </c>
      <c r="AF605" s="203"/>
      <c r="AG605" s="209"/>
      <c r="AH605" s="210"/>
      <c r="AI605" s="210"/>
      <c r="AJ605" s="210"/>
      <c r="AK605" s="187"/>
      <c r="AL605" s="210"/>
      <c r="AM605" s="181"/>
      <c r="AO605" s="104"/>
    </row>
    <row r="606" spans="1:41" s="35" customFormat="1" ht="30" hidden="1" customHeight="1" x14ac:dyDescent="0.35">
      <c r="A606" s="52">
        <v>2026</v>
      </c>
      <c r="B606" s="59" t="s">
        <v>77</v>
      </c>
      <c r="C606" s="70" t="s">
        <v>1536</v>
      </c>
      <c r="D606" s="237" t="s">
        <v>109</v>
      </c>
      <c r="E606" s="237">
        <v>1</v>
      </c>
      <c r="F606" s="58" t="s">
        <v>1537</v>
      </c>
      <c r="G606" s="237" t="s">
        <v>121</v>
      </c>
      <c r="H606" s="59" t="s">
        <v>120</v>
      </c>
      <c r="I606" s="70" t="s">
        <v>1536</v>
      </c>
      <c r="J606" s="237" t="s">
        <v>132</v>
      </c>
      <c r="K606" s="237" t="s">
        <v>3</v>
      </c>
      <c r="L606" s="59" t="s">
        <v>6</v>
      </c>
      <c r="M606" s="60" t="s">
        <v>16</v>
      </c>
      <c r="N606" s="130"/>
      <c r="O606" s="172"/>
      <c r="P606" s="172"/>
      <c r="Q606" s="237" t="s">
        <v>138</v>
      </c>
      <c r="R606" s="79"/>
      <c r="S606" s="79"/>
      <c r="T606" s="58" t="s">
        <v>1538</v>
      </c>
      <c r="U606" s="237">
        <v>2026</v>
      </c>
      <c r="V606" s="85">
        <v>46203</v>
      </c>
      <c r="W606" s="79"/>
      <c r="X606" s="88"/>
      <c r="Y606" s="131">
        <v>29000</v>
      </c>
      <c r="Z606" s="131">
        <v>0</v>
      </c>
      <c r="AA606" s="131">
        <f>+Y606*1.2</f>
        <v>34800</v>
      </c>
      <c r="AB606" s="131"/>
      <c r="AC606" s="131">
        <v>29000</v>
      </c>
      <c r="AD606" s="131">
        <f>AC606*1.2</f>
        <v>34800</v>
      </c>
      <c r="AE606" s="173" t="s">
        <v>102</v>
      </c>
      <c r="AF606" s="203"/>
      <c r="AG606" s="209"/>
      <c r="AH606" s="210"/>
      <c r="AI606" s="210"/>
      <c r="AJ606" s="210"/>
      <c r="AK606" s="187"/>
      <c r="AL606" s="210"/>
      <c r="AM606" s="181"/>
      <c r="AO606" s="104"/>
    </row>
    <row r="607" spans="1:41" s="35" customFormat="1" ht="30" hidden="1" customHeight="1" x14ac:dyDescent="0.35">
      <c r="A607" s="52">
        <v>2026</v>
      </c>
      <c r="B607" s="59" t="s">
        <v>64</v>
      </c>
      <c r="C607" s="70" t="s">
        <v>1539</v>
      </c>
      <c r="D607" s="237" t="s">
        <v>106</v>
      </c>
      <c r="E607" s="237">
        <v>1</v>
      </c>
      <c r="F607" s="58" t="s">
        <v>1540</v>
      </c>
      <c r="G607" s="237" t="s">
        <v>120</v>
      </c>
      <c r="H607" s="59" t="s">
        <v>120</v>
      </c>
      <c r="I607" s="70"/>
      <c r="J607" s="237" t="s">
        <v>131</v>
      </c>
      <c r="K607" s="237" t="s">
        <v>3</v>
      </c>
      <c r="L607" s="59" t="s">
        <v>6</v>
      </c>
      <c r="M607" s="60" t="s">
        <v>16</v>
      </c>
      <c r="N607" s="133">
        <v>102000</v>
      </c>
      <c r="O607" s="199">
        <v>85000</v>
      </c>
      <c r="P607" s="187">
        <f>O607/1.2</f>
        <v>70833.333333333343</v>
      </c>
      <c r="Q607" s="237" t="s">
        <v>138</v>
      </c>
      <c r="R607" s="79"/>
      <c r="S607" s="79"/>
      <c r="T607" s="58"/>
      <c r="U607" s="237"/>
      <c r="V607" s="85"/>
      <c r="W607" s="79"/>
      <c r="X607" s="88"/>
      <c r="Y607" s="131"/>
      <c r="Z607" s="131"/>
      <c r="AA607" s="131"/>
      <c r="AB607" s="131"/>
      <c r="AC607" s="131"/>
      <c r="AD607" s="131"/>
      <c r="AE607" s="173" t="s">
        <v>99</v>
      </c>
      <c r="AF607" s="203"/>
      <c r="AG607" s="209"/>
      <c r="AH607" s="210"/>
      <c r="AI607" s="210"/>
      <c r="AJ607" s="210"/>
      <c r="AK607" s="187"/>
      <c r="AL607" s="210"/>
      <c r="AM607" s="181"/>
      <c r="AO607" s="104"/>
    </row>
    <row r="608" spans="1:41" s="35" customFormat="1" ht="42.75" hidden="1" customHeight="1" x14ac:dyDescent="0.35">
      <c r="A608" s="52">
        <v>2026</v>
      </c>
      <c r="B608" s="59" t="s">
        <v>711</v>
      </c>
      <c r="C608" s="70" t="s">
        <v>1541</v>
      </c>
      <c r="D608" s="237" t="s">
        <v>106</v>
      </c>
      <c r="E608" s="237">
        <v>1</v>
      </c>
      <c r="F608" s="58" t="s">
        <v>1389</v>
      </c>
      <c r="G608" s="237" t="s">
        <v>121</v>
      </c>
      <c r="H608" s="59" t="s">
        <v>128</v>
      </c>
      <c r="I608" s="70"/>
      <c r="J608" s="237" t="s">
        <v>131</v>
      </c>
      <c r="K608" s="237" t="s">
        <v>2</v>
      </c>
      <c r="L608" s="59" t="s">
        <v>7</v>
      </c>
      <c r="M608" s="60" t="s">
        <v>971</v>
      </c>
      <c r="N608" s="133">
        <f>O608*1.2</f>
        <v>10984982.4</v>
      </c>
      <c r="O608" s="133">
        <v>9154152</v>
      </c>
      <c r="P608" s="187">
        <f>O608/1.2</f>
        <v>7628460</v>
      </c>
      <c r="Q608" s="237" t="s">
        <v>138</v>
      </c>
      <c r="R608" s="79"/>
      <c r="S608" s="79"/>
      <c r="T608" s="58"/>
      <c r="U608" s="237"/>
      <c r="V608" s="85">
        <v>46206</v>
      </c>
      <c r="W608" s="79"/>
      <c r="X608" s="88"/>
      <c r="Y608" s="131"/>
      <c r="Z608" s="131"/>
      <c r="AA608" s="131"/>
      <c r="AB608" s="131"/>
      <c r="AC608" s="131"/>
      <c r="AD608" s="131"/>
      <c r="AE608" s="173" t="s">
        <v>100</v>
      </c>
      <c r="AF608" s="203"/>
      <c r="AG608" s="209"/>
      <c r="AH608" s="210"/>
      <c r="AI608" s="210"/>
      <c r="AJ608" s="210"/>
      <c r="AK608" s="187"/>
      <c r="AL608" s="210"/>
      <c r="AM608" s="181"/>
      <c r="AO608" s="104"/>
    </row>
    <row r="609" spans="1:45" s="35" customFormat="1" ht="30" hidden="1" customHeight="1" x14ac:dyDescent="0.35">
      <c r="A609" s="52">
        <v>2026</v>
      </c>
      <c r="B609" s="59" t="s">
        <v>77</v>
      </c>
      <c r="C609" s="70"/>
      <c r="D609" s="237" t="s">
        <v>108</v>
      </c>
      <c r="E609" s="237">
        <v>1</v>
      </c>
      <c r="F609" s="58" t="s">
        <v>1542</v>
      </c>
      <c r="G609" s="237" t="s">
        <v>121</v>
      </c>
      <c r="H609" s="59" t="s">
        <v>126</v>
      </c>
      <c r="I609" s="70"/>
      <c r="J609" s="237" t="s">
        <v>132</v>
      </c>
      <c r="K609" s="237" t="s">
        <v>3</v>
      </c>
      <c r="L609" s="59" t="s">
        <v>6</v>
      </c>
      <c r="M609" s="60" t="s">
        <v>1543</v>
      </c>
      <c r="N609" s="130"/>
      <c r="O609" s="172"/>
      <c r="P609" s="172"/>
      <c r="Q609" s="237" t="s">
        <v>138</v>
      </c>
      <c r="R609" s="79"/>
      <c r="S609" s="79"/>
      <c r="T609" s="58" t="s">
        <v>873</v>
      </c>
      <c r="U609" s="237">
        <v>2026</v>
      </c>
      <c r="V609" s="85"/>
      <c r="W609" s="79"/>
      <c r="X609" s="88">
        <v>46217</v>
      </c>
      <c r="Y609" s="131">
        <v>48780</v>
      </c>
      <c r="Z609" s="131"/>
      <c r="AA609" s="131">
        <v>48780</v>
      </c>
      <c r="AB609" s="131"/>
      <c r="AC609" s="131"/>
      <c r="AD609" s="131">
        <v>48780</v>
      </c>
      <c r="AE609" s="173" t="s">
        <v>102</v>
      </c>
      <c r="AF609" s="203"/>
      <c r="AG609" s="209"/>
      <c r="AH609" s="210"/>
      <c r="AI609" s="210"/>
      <c r="AJ609" s="210"/>
      <c r="AK609" s="187"/>
      <c r="AL609" s="210"/>
      <c r="AM609" s="181"/>
      <c r="AO609" s="104"/>
    </row>
    <row r="610" spans="1:45" s="35" customFormat="1" ht="30" hidden="1" customHeight="1" x14ac:dyDescent="0.35">
      <c r="A610" s="52">
        <v>2026</v>
      </c>
      <c r="B610" s="59" t="s">
        <v>77</v>
      </c>
      <c r="C610" s="70"/>
      <c r="D610" s="237" t="s">
        <v>108</v>
      </c>
      <c r="E610" s="237">
        <v>1</v>
      </c>
      <c r="F610" s="58" t="s">
        <v>1544</v>
      </c>
      <c r="G610" s="237" t="s">
        <v>120</v>
      </c>
      <c r="H610" s="59" t="s">
        <v>120</v>
      </c>
      <c r="I610" s="70"/>
      <c r="J610" s="237" t="s">
        <v>132</v>
      </c>
      <c r="K610" s="237" t="s">
        <v>3</v>
      </c>
      <c r="L610" s="59" t="s">
        <v>6</v>
      </c>
      <c r="M610" s="60" t="s">
        <v>1543</v>
      </c>
      <c r="N610" s="130"/>
      <c r="O610" s="172"/>
      <c r="P610" s="172"/>
      <c r="Q610" s="237" t="s">
        <v>138</v>
      </c>
      <c r="R610" s="79"/>
      <c r="S610" s="79"/>
      <c r="T610" s="58" t="s">
        <v>1545</v>
      </c>
      <c r="U610" s="237">
        <v>2026</v>
      </c>
      <c r="V610" s="85"/>
      <c r="W610" s="79"/>
      <c r="X610" s="88"/>
      <c r="Y610" s="131">
        <v>48780</v>
      </c>
      <c r="Z610" s="131"/>
      <c r="AA610" s="131">
        <v>48780</v>
      </c>
      <c r="AB610" s="131"/>
      <c r="AC610" s="131"/>
      <c r="AD610" s="131">
        <v>48780</v>
      </c>
      <c r="AE610" s="173" t="s">
        <v>101</v>
      </c>
      <c r="AF610" s="203"/>
      <c r="AG610" s="209"/>
      <c r="AH610" s="210"/>
      <c r="AI610" s="210"/>
      <c r="AJ610" s="210"/>
      <c r="AK610" s="187"/>
      <c r="AL610" s="210"/>
      <c r="AM610" s="181"/>
      <c r="AO610" s="104"/>
    </row>
    <row r="611" spans="1:45" s="35" customFormat="1" ht="36.75" hidden="1" customHeight="1" x14ac:dyDescent="0.35">
      <c r="A611" s="52">
        <v>2026</v>
      </c>
      <c r="B611" s="59" t="s">
        <v>77</v>
      </c>
      <c r="C611" s="70"/>
      <c r="D611" s="237" t="s">
        <v>108</v>
      </c>
      <c r="E611" s="237">
        <v>1</v>
      </c>
      <c r="F611" s="58" t="s">
        <v>1546</v>
      </c>
      <c r="G611" s="237" t="s">
        <v>121</v>
      </c>
      <c r="H611" s="59" t="s">
        <v>126</v>
      </c>
      <c r="I611" s="70"/>
      <c r="J611" s="237" t="s">
        <v>132</v>
      </c>
      <c r="K611" s="237" t="s">
        <v>3</v>
      </c>
      <c r="L611" s="59" t="s">
        <v>6</v>
      </c>
      <c r="M611" s="60" t="s">
        <v>1543</v>
      </c>
      <c r="N611" s="130"/>
      <c r="O611" s="172"/>
      <c r="P611" s="172"/>
      <c r="Q611" s="237" t="s">
        <v>138</v>
      </c>
      <c r="R611" s="79"/>
      <c r="S611" s="79"/>
      <c r="T611" s="58" t="s">
        <v>1547</v>
      </c>
      <c r="U611" s="237">
        <v>2026</v>
      </c>
      <c r="V611" s="85"/>
      <c r="W611" s="79"/>
      <c r="X611" s="88">
        <v>46217</v>
      </c>
      <c r="Y611" s="131" t="s">
        <v>1548</v>
      </c>
      <c r="Z611" s="131"/>
      <c r="AA611" s="131" t="s">
        <v>1548</v>
      </c>
      <c r="AB611" s="131"/>
      <c r="AC611" s="131"/>
      <c r="AD611" s="131" t="s">
        <v>1548</v>
      </c>
      <c r="AE611" s="173" t="s">
        <v>102</v>
      </c>
      <c r="AF611" s="203"/>
      <c r="AG611" s="209"/>
      <c r="AH611" s="210"/>
      <c r="AI611" s="210"/>
      <c r="AJ611" s="210"/>
      <c r="AK611" s="187"/>
      <c r="AL611" s="210"/>
      <c r="AM611" s="181"/>
      <c r="AO611" s="104"/>
    </row>
    <row r="612" spans="1:45" s="35" customFormat="1" ht="47.25" hidden="1" customHeight="1" x14ac:dyDescent="0.35">
      <c r="A612" s="52">
        <v>2026</v>
      </c>
      <c r="B612" s="59" t="s">
        <v>77</v>
      </c>
      <c r="C612" s="70"/>
      <c r="D612" s="237" t="s">
        <v>108</v>
      </c>
      <c r="E612" s="237">
        <v>1</v>
      </c>
      <c r="F612" s="58" t="s">
        <v>1549</v>
      </c>
      <c r="G612" s="237" t="s">
        <v>121</v>
      </c>
      <c r="H612" s="59" t="s">
        <v>126</v>
      </c>
      <c r="I612" s="70"/>
      <c r="J612" s="237" t="s">
        <v>132</v>
      </c>
      <c r="K612" s="237" t="s">
        <v>3</v>
      </c>
      <c r="L612" s="59" t="s">
        <v>6</v>
      </c>
      <c r="M612" s="60" t="s">
        <v>1543</v>
      </c>
      <c r="N612" s="130"/>
      <c r="O612" s="172"/>
      <c r="P612" s="172"/>
      <c r="Q612" s="237" t="s">
        <v>138</v>
      </c>
      <c r="R612" s="79"/>
      <c r="S612" s="79"/>
      <c r="T612" s="58" t="s">
        <v>1550</v>
      </c>
      <c r="U612" s="237">
        <v>2026</v>
      </c>
      <c r="V612" s="85"/>
      <c r="W612" s="79"/>
      <c r="X612" s="88">
        <v>46217</v>
      </c>
      <c r="Y612" s="131">
        <v>260000</v>
      </c>
      <c r="Z612" s="131"/>
      <c r="AA612" s="131">
        <v>260000</v>
      </c>
      <c r="AB612" s="131"/>
      <c r="AC612" s="131"/>
      <c r="AD612" s="131">
        <v>260000</v>
      </c>
      <c r="AE612" s="173" t="s">
        <v>102</v>
      </c>
      <c r="AF612" s="203"/>
      <c r="AG612" s="209"/>
      <c r="AH612" s="210"/>
      <c r="AI612" s="210"/>
      <c r="AJ612" s="210"/>
      <c r="AK612" s="187"/>
      <c r="AL612" s="210"/>
      <c r="AM612" s="181"/>
      <c r="AO612" s="104"/>
    </row>
    <row r="613" spans="1:45" s="35" customFormat="1" ht="27.75" hidden="1" customHeight="1" x14ac:dyDescent="0.35">
      <c r="A613" s="52">
        <v>2026</v>
      </c>
      <c r="B613" s="59" t="s">
        <v>60</v>
      </c>
      <c r="C613" s="70" t="s">
        <v>1551</v>
      </c>
      <c r="D613" s="237" t="s">
        <v>108</v>
      </c>
      <c r="E613" s="237">
        <v>1</v>
      </c>
      <c r="F613" s="58" t="s">
        <v>1552</v>
      </c>
      <c r="G613" s="237" t="s">
        <v>120</v>
      </c>
      <c r="H613" s="59" t="s">
        <v>120</v>
      </c>
      <c r="I613" s="70"/>
      <c r="J613" s="237" t="s">
        <v>132</v>
      </c>
      <c r="K613" s="237" t="s">
        <v>3</v>
      </c>
      <c r="L613" s="59" t="s">
        <v>6</v>
      </c>
      <c r="M613" s="60" t="s">
        <v>202</v>
      </c>
      <c r="N613" s="130"/>
      <c r="O613" s="172"/>
      <c r="P613" s="172"/>
      <c r="Q613" s="237" t="s">
        <v>138</v>
      </c>
      <c r="R613" s="79"/>
      <c r="S613" s="79"/>
      <c r="T613" s="58" t="s">
        <v>1553</v>
      </c>
      <c r="U613" s="237">
        <v>2026</v>
      </c>
      <c r="V613" s="85"/>
      <c r="W613" s="79"/>
      <c r="X613" s="88"/>
      <c r="Y613" s="131">
        <v>42000</v>
      </c>
      <c r="Z613" s="131"/>
      <c r="AA613" s="131">
        <v>42000</v>
      </c>
      <c r="AB613" s="131"/>
      <c r="AC613" s="131"/>
      <c r="AD613" s="131">
        <v>42000</v>
      </c>
      <c r="AE613" s="173" t="s">
        <v>101</v>
      </c>
      <c r="AF613" s="203"/>
      <c r="AG613" s="209"/>
      <c r="AH613" s="210"/>
      <c r="AI613" s="210"/>
      <c r="AJ613" s="210"/>
      <c r="AK613" s="187"/>
      <c r="AL613" s="210"/>
      <c r="AM613" s="181" t="s">
        <v>1554</v>
      </c>
      <c r="AO613" s="104"/>
    </row>
    <row r="614" spans="1:45" s="35" customFormat="1" ht="47.25" hidden="1" customHeight="1" x14ac:dyDescent="0.35">
      <c r="A614" s="54">
        <v>2026</v>
      </c>
      <c r="B614" s="56" t="s">
        <v>711</v>
      </c>
      <c r="C614" s="69" t="s">
        <v>1555</v>
      </c>
      <c r="D614" s="240" t="s">
        <v>106</v>
      </c>
      <c r="E614" s="240">
        <v>1</v>
      </c>
      <c r="F614" s="55" t="s">
        <v>1556</v>
      </c>
      <c r="G614" s="240" t="s">
        <v>121</v>
      </c>
      <c r="H614" s="56" t="s">
        <v>128</v>
      </c>
      <c r="I614" s="69"/>
      <c r="J614" s="240" t="s">
        <v>131</v>
      </c>
      <c r="K614" s="240" t="s">
        <v>3</v>
      </c>
      <c r="L614" s="56" t="s">
        <v>7</v>
      </c>
      <c r="M614" s="57" t="s">
        <v>1015</v>
      </c>
      <c r="N614" s="142">
        <f>O614*1.2</f>
        <v>1186099.2</v>
      </c>
      <c r="O614" s="142">
        <v>988416</v>
      </c>
      <c r="P614" s="213">
        <f>O614/1.2</f>
        <v>823680</v>
      </c>
      <c r="Q614" s="240" t="s">
        <v>138</v>
      </c>
      <c r="R614" s="81"/>
      <c r="S614" s="81"/>
      <c r="T614" s="55"/>
      <c r="U614" s="240"/>
      <c r="V614" s="89">
        <v>46209</v>
      </c>
      <c r="W614" s="81"/>
      <c r="X614" s="87"/>
      <c r="Y614" s="139"/>
      <c r="Z614" s="139"/>
      <c r="AA614" s="139"/>
      <c r="AB614" s="139"/>
      <c r="AC614" s="139"/>
      <c r="AD614" s="139"/>
      <c r="AE614" s="201" t="s">
        <v>100</v>
      </c>
      <c r="AF614" s="208"/>
      <c r="AG614" s="214"/>
      <c r="AH614" s="215"/>
      <c r="AI614" s="215"/>
      <c r="AJ614" s="215"/>
      <c r="AK614" s="207"/>
      <c r="AL614" s="215"/>
      <c r="AM614" s="216"/>
      <c r="AO614" s="104"/>
    </row>
    <row r="615" spans="1:45" s="35" customFormat="1" ht="30" hidden="1" customHeight="1" x14ac:dyDescent="0.35">
      <c r="A615" s="54">
        <v>2026</v>
      </c>
      <c r="B615" s="56" t="s">
        <v>71</v>
      </c>
      <c r="C615" s="69" t="s">
        <v>1557</v>
      </c>
      <c r="D615" s="240" t="s">
        <v>109</v>
      </c>
      <c r="E615" s="240">
        <v>1</v>
      </c>
      <c r="F615" s="55" t="s">
        <v>1558</v>
      </c>
      <c r="G615" s="240" t="s">
        <v>120</v>
      </c>
      <c r="H615" s="56" t="s">
        <v>120</v>
      </c>
      <c r="I615" s="69" t="s">
        <v>1557</v>
      </c>
      <c r="J615" s="240" t="s">
        <v>132</v>
      </c>
      <c r="K615" s="240" t="s">
        <v>3</v>
      </c>
      <c r="L615" s="56" t="s">
        <v>6</v>
      </c>
      <c r="M615" s="57" t="s">
        <v>25</v>
      </c>
      <c r="N615" s="143"/>
      <c r="O615" s="217"/>
      <c r="P615" s="217"/>
      <c r="Q615" s="240" t="s">
        <v>139</v>
      </c>
      <c r="R615" s="81"/>
      <c r="S615" s="81"/>
      <c r="T615" s="55" t="s">
        <v>1559</v>
      </c>
      <c r="U615" s="240">
        <v>2026</v>
      </c>
      <c r="V615" s="89">
        <v>46212</v>
      </c>
      <c r="W615" s="81"/>
      <c r="X615" s="87"/>
      <c r="Y615" s="139">
        <v>9600</v>
      </c>
      <c r="Z615" s="139"/>
      <c r="AA615" s="139">
        <f>Engagements2026Juillet[[#This Row],[MONTANT MARCHE HT PART EN MAD]]</f>
        <v>9600</v>
      </c>
      <c r="AB615" s="139"/>
      <c r="AC615" s="144"/>
      <c r="AD615" s="139">
        <f>Engagements2026Juillet[[#This Row],[MONTANT MARCHE HT PART EN MAD]]</f>
        <v>9600</v>
      </c>
      <c r="AE615" s="218" t="s">
        <v>101</v>
      </c>
      <c r="AF615" s="208"/>
      <c r="AG615" s="214"/>
      <c r="AH615" s="215"/>
      <c r="AI615" s="215"/>
      <c r="AJ615" s="215"/>
      <c r="AK615" s="207"/>
      <c r="AL615" s="215"/>
      <c r="AM615" s="216"/>
      <c r="AO615" s="104"/>
    </row>
    <row r="616" spans="1:45" s="35" customFormat="1" ht="39" customHeight="1" x14ac:dyDescent="0.35">
      <c r="A616" s="91">
        <v>2026</v>
      </c>
      <c r="B616" s="92" t="s">
        <v>79</v>
      </c>
      <c r="C616" s="93" t="s">
        <v>1560</v>
      </c>
      <c r="D616" s="95" t="s">
        <v>114</v>
      </c>
      <c r="E616" s="95"/>
      <c r="F616" s="94" t="s">
        <v>1561</v>
      </c>
      <c r="G616" s="95" t="s">
        <v>120</v>
      </c>
      <c r="H616" s="92" t="s">
        <v>120</v>
      </c>
      <c r="I616" s="93" t="s">
        <v>1560</v>
      </c>
      <c r="J616" s="95" t="s">
        <v>132</v>
      </c>
      <c r="K616" s="95" t="s">
        <v>3</v>
      </c>
      <c r="L616" s="92" t="s">
        <v>6</v>
      </c>
      <c r="M616" s="96" t="s">
        <v>202</v>
      </c>
      <c r="N616" s="145"/>
      <c r="O616" s="219"/>
      <c r="P616" s="219"/>
      <c r="Q616" s="95" t="s">
        <v>141</v>
      </c>
      <c r="R616" s="97"/>
      <c r="S616" s="97"/>
      <c r="T616" s="94" t="s">
        <v>1562</v>
      </c>
      <c r="U616" s="240">
        <v>2026</v>
      </c>
      <c r="V616" s="99"/>
      <c r="W616" s="97"/>
      <c r="X616" s="100"/>
      <c r="Y616" s="146">
        <v>48000</v>
      </c>
      <c r="Z616" s="147"/>
      <c r="AA616" s="147">
        <v>48000</v>
      </c>
      <c r="AB616" s="148"/>
      <c r="AC616" s="148"/>
      <c r="AD616" s="149">
        <v>48000</v>
      </c>
      <c r="AE616" s="220" t="s">
        <v>101</v>
      </c>
      <c r="AF616" s="221"/>
      <c r="AG616" s="222"/>
      <c r="AH616" s="223"/>
      <c r="AI616" s="223"/>
      <c r="AJ616" s="223"/>
      <c r="AK616" s="224"/>
      <c r="AL616" s="223"/>
      <c r="AM616" s="225"/>
      <c r="AN616" s="248" t="s">
        <v>347</v>
      </c>
      <c r="AO616" s="226"/>
      <c r="AP616" s="227"/>
      <c r="AQ616" s="227"/>
      <c r="AR616" s="238"/>
      <c r="AS616" s="228"/>
    </row>
    <row r="617" spans="1:45" s="35" customFormat="1" ht="39" customHeight="1" x14ac:dyDescent="0.35">
      <c r="A617" s="91">
        <v>2026</v>
      </c>
      <c r="B617" s="92" t="s">
        <v>79</v>
      </c>
      <c r="C617" s="93" t="s">
        <v>1563</v>
      </c>
      <c r="D617" s="95" t="s">
        <v>114</v>
      </c>
      <c r="E617" s="240"/>
      <c r="F617" s="94" t="s">
        <v>1564</v>
      </c>
      <c r="G617" s="95" t="s">
        <v>120</v>
      </c>
      <c r="H617" s="92" t="s">
        <v>120</v>
      </c>
      <c r="I617" s="93" t="s">
        <v>1565</v>
      </c>
      <c r="J617" s="95" t="s">
        <v>132</v>
      </c>
      <c r="K617" s="95" t="s">
        <v>3</v>
      </c>
      <c r="L617" s="92" t="s">
        <v>6</v>
      </c>
      <c r="M617" s="96" t="s">
        <v>202</v>
      </c>
      <c r="N617" s="145"/>
      <c r="O617" s="219"/>
      <c r="P617" s="219"/>
      <c r="Q617" s="95" t="s">
        <v>141</v>
      </c>
      <c r="R617" s="97"/>
      <c r="S617" s="97"/>
      <c r="T617" s="94" t="s">
        <v>1566</v>
      </c>
      <c r="U617" s="240">
        <v>2026</v>
      </c>
      <c r="V617" s="99"/>
      <c r="W617" s="97"/>
      <c r="X617" s="100"/>
      <c r="Y617" s="146">
        <v>48000</v>
      </c>
      <c r="Z617" s="147"/>
      <c r="AA617" s="146">
        <v>48000</v>
      </c>
      <c r="AB617" s="148"/>
      <c r="AC617" s="148"/>
      <c r="AD617" s="146">
        <v>48000</v>
      </c>
      <c r="AE617" s="220" t="s">
        <v>101</v>
      </c>
      <c r="AF617" s="221"/>
      <c r="AG617" s="222"/>
      <c r="AH617" s="223"/>
      <c r="AI617" s="223"/>
      <c r="AJ617" s="223"/>
      <c r="AK617" s="224"/>
      <c r="AL617" s="223"/>
      <c r="AM617" s="225"/>
      <c r="AN617" s="248" t="s">
        <v>347</v>
      </c>
      <c r="AO617" s="226"/>
      <c r="AP617" s="227"/>
      <c r="AQ617" s="227"/>
      <c r="AR617" s="238"/>
      <c r="AS617" s="228"/>
    </row>
    <row r="618" spans="1:45" s="35" customFormat="1" ht="39" customHeight="1" x14ac:dyDescent="0.35">
      <c r="A618" s="91">
        <v>2026</v>
      </c>
      <c r="B618" s="92" t="s">
        <v>79</v>
      </c>
      <c r="C618" s="93" t="s">
        <v>1567</v>
      </c>
      <c r="D618" s="95" t="s">
        <v>114</v>
      </c>
      <c r="E618" s="95"/>
      <c r="F618" s="94" t="s">
        <v>1568</v>
      </c>
      <c r="G618" s="95" t="s">
        <v>120</v>
      </c>
      <c r="H618" s="92" t="s">
        <v>120</v>
      </c>
      <c r="I618" s="93" t="s">
        <v>1567</v>
      </c>
      <c r="J618" s="95" t="s">
        <v>132</v>
      </c>
      <c r="K618" s="95" t="s">
        <v>3</v>
      </c>
      <c r="L618" s="92" t="s">
        <v>6</v>
      </c>
      <c r="M618" s="96" t="s">
        <v>202</v>
      </c>
      <c r="N618" s="145"/>
      <c r="O618" s="219"/>
      <c r="P618" s="219"/>
      <c r="Q618" s="95" t="s">
        <v>141</v>
      </c>
      <c r="R618" s="97"/>
      <c r="S618" s="97"/>
      <c r="T618" s="94" t="s">
        <v>1569</v>
      </c>
      <c r="U618" s="98">
        <v>2026</v>
      </c>
      <c r="V618" s="99"/>
      <c r="W618" s="97"/>
      <c r="X618" s="100"/>
      <c r="Y618" s="146">
        <v>48000</v>
      </c>
      <c r="Z618" s="147"/>
      <c r="AA618" s="147">
        <v>48000</v>
      </c>
      <c r="AB618" s="148"/>
      <c r="AC618" s="148"/>
      <c r="AD618" s="149">
        <v>48000</v>
      </c>
      <c r="AE618" s="220" t="s">
        <v>101</v>
      </c>
      <c r="AF618" s="221"/>
      <c r="AG618" s="222"/>
      <c r="AH618" s="223"/>
      <c r="AI618" s="223"/>
      <c r="AJ618" s="223"/>
      <c r="AK618" s="224"/>
      <c r="AL618" s="223"/>
      <c r="AM618" s="225"/>
      <c r="AN618" s="248" t="s">
        <v>347</v>
      </c>
      <c r="AO618" s="226"/>
      <c r="AP618" s="227"/>
      <c r="AQ618" s="227"/>
      <c r="AR618" s="238"/>
      <c r="AS618" s="228"/>
    </row>
    <row r="619" spans="1:45" s="35" customFormat="1" ht="39" hidden="1" customHeight="1" x14ac:dyDescent="0.35">
      <c r="A619" s="54">
        <v>2026</v>
      </c>
      <c r="B619" s="56" t="s">
        <v>58</v>
      </c>
      <c r="C619" s="69" t="s">
        <v>1570</v>
      </c>
      <c r="D619" s="240" t="s">
        <v>106</v>
      </c>
      <c r="E619" s="240">
        <v>1</v>
      </c>
      <c r="F619" s="55" t="s">
        <v>1571</v>
      </c>
      <c r="G619" s="240" t="s">
        <v>120</v>
      </c>
      <c r="H619" s="56" t="s">
        <v>120</v>
      </c>
      <c r="I619" s="69"/>
      <c r="J619" s="240" t="s">
        <v>131</v>
      </c>
      <c r="K619" s="240" t="s">
        <v>3</v>
      </c>
      <c r="L619" s="56" t="s">
        <v>7</v>
      </c>
      <c r="M619" s="57" t="s">
        <v>94</v>
      </c>
      <c r="N619" s="145">
        <f>Engagements2026Juillet[[#This Row],[ESTIMATION TTC]]*1.2</f>
        <v>388353.6</v>
      </c>
      <c r="O619" s="219">
        <v>323628</v>
      </c>
      <c r="P619" s="219">
        <f>Engagements2026Juillet[[#This Row],[ESTIMATION TTC]]/1.2</f>
        <v>269690</v>
      </c>
      <c r="Q619" s="240" t="s">
        <v>138</v>
      </c>
      <c r="R619" s="81"/>
      <c r="S619" s="81"/>
      <c r="T619" s="55"/>
      <c r="U619" s="101"/>
      <c r="V619" s="89">
        <v>46218</v>
      </c>
      <c r="W619" s="81"/>
      <c r="X619" s="102"/>
      <c r="Y619" s="144"/>
      <c r="Z619" s="150"/>
      <c r="AA619" s="150"/>
      <c r="AB619" s="151"/>
      <c r="AC619" s="151"/>
      <c r="AD619" s="152"/>
      <c r="AE619" s="218" t="s">
        <v>99</v>
      </c>
      <c r="AF619" s="229"/>
      <c r="AG619" s="214"/>
      <c r="AH619" s="215"/>
      <c r="AI619" s="215"/>
      <c r="AJ619" s="215"/>
      <c r="AK619" s="230"/>
      <c r="AL619" s="215"/>
      <c r="AM619" s="216"/>
      <c r="AN619" s="231"/>
      <c r="AO619" s="226"/>
      <c r="AP619" s="227"/>
      <c r="AQ619" s="227"/>
      <c r="AR619" s="238"/>
      <c r="AS619" s="228"/>
    </row>
    <row r="620" spans="1:45" s="35" customFormat="1" ht="26" hidden="1" customHeight="1" x14ac:dyDescent="0.35">
      <c r="A620" s="54">
        <v>2026</v>
      </c>
      <c r="B620" s="56" t="s">
        <v>58</v>
      </c>
      <c r="C620" s="69" t="s">
        <v>1572</v>
      </c>
      <c r="D620" s="240"/>
      <c r="E620" s="240"/>
      <c r="F620" s="55"/>
      <c r="G620" s="240" t="s">
        <v>120</v>
      </c>
      <c r="H620" s="56" t="s">
        <v>120</v>
      </c>
      <c r="I620" s="69"/>
      <c r="J620" s="240" t="s">
        <v>131</v>
      </c>
      <c r="K620" s="240" t="s">
        <v>4</v>
      </c>
      <c r="L620" s="56" t="s">
        <v>7</v>
      </c>
      <c r="M620" s="57" t="s">
        <v>971</v>
      </c>
      <c r="N620" s="143">
        <f>Engagements2026Juillet[[#This Row],[ESTIMATION TTC]]*1.2</f>
        <v>3758731.1999999997</v>
      </c>
      <c r="O620" s="217">
        <v>3132276</v>
      </c>
      <c r="P620" s="217">
        <f>Engagements2026Juillet[[#This Row],[ESTIMATION TTC]]/1.2</f>
        <v>2610230</v>
      </c>
      <c r="Q620" s="240"/>
      <c r="R620" s="81"/>
      <c r="S620" s="81"/>
      <c r="T620" s="55"/>
      <c r="U620" s="101"/>
      <c r="V620" s="89">
        <v>46127</v>
      </c>
      <c r="W620" s="81"/>
      <c r="X620" s="102"/>
      <c r="Y620" s="144"/>
      <c r="Z620" s="150"/>
      <c r="AA620" s="150"/>
      <c r="AB620" s="151"/>
      <c r="AC620" s="151"/>
      <c r="AD620" s="152"/>
      <c r="AE620" s="218" t="s">
        <v>99</v>
      </c>
      <c r="AF620" s="229"/>
      <c r="AG620" s="214"/>
      <c r="AH620" s="215"/>
      <c r="AI620" s="215"/>
      <c r="AJ620" s="215"/>
      <c r="AK620" s="230"/>
      <c r="AL620" s="215"/>
      <c r="AM620" s="216"/>
      <c r="AN620" s="231"/>
      <c r="AO620" s="226"/>
      <c r="AP620" s="227"/>
      <c r="AQ620" s="227"/>
      <c r="AR620" s="238"/>
      <c r="AS620" s="228"/>
    </row>
    <row r="621" spans="1:45" s="35" customFormat="1" ht="14.5" customHeight="1" x14ac:dyDescent="0.35">
      <c r="A621" s="238"/>
      <c r="B621" s="238"/>
      <c r="C621" s="26"/>
      <c r="D621" s="26"/>
      <c r="E621" s="238"/>
      <c r="F621" s="28"/>
      <c r="G621" s="26"/>
      <c r="H621" s="25"/>
      <c r="I621" s="30"/>
      <c r="J621" s="238"/>
      <c r="K621" s="238"/>
      <c r="L621" s="27"/>
      <c r="M621" s="28"/>
      <c r="N621" s="153"/>
      <c r="O621" s="154"/>
      <c r="P621" s="155"/>
      <c r="Q621" s="29"/>
      <c r="R621" s="29"/>
      <c r="S621" s="29"/>
      <c r="T621" s="29"/>
      <c r="U621" s="30"/>
      <c r="V621" s="25"/>
      <c r="W621" s="25"/>
      <c r="X621" s="25"/>
      <c r="Y621" s="156"/>
      <c r="Z621" s="156"/>
      <c r="AA621" s="156"/>
      <c r="AB621" s="157"/>
      <c r="AC621" s="157"/>
      <c r="AD621" s="158"/>
      <c r="AE621" s="232"/>
      <c r="AF621" s="232"/>
      <c r="AG621" s="232"/>
      <c r="AH621" s="29"/>
      <c r="AI621" s="233"/>
      <c r="AJ621" s="238"/>
      <c r="AK621" s="159"/>
      <c r="AL621" s="33"/>
      <c r="AM621" s="33"/>
      <c r="AN621" s="231"/>
      <c r="AO621" s="233"/>
      <c r="AP621" s="227"/>
      <c r="AQ621" s="227"/>
      <c r="AR621" s="238"/>
      <c r="AS621" s="228"/>
    </row>
    <row r="622" spans="1:45" s="35" customFormat="1" ht="14.5" customHeight="1" x14ac:dyDescent="0.35">
      <c r="A622" s="238"/>
      <c r="B622" s="238"/>
      <c r="C622" s="26"/>
      <c r="D622" s="26"/>
      <c r="E622" s="238"/>
      <c r="F622" s="28"/>
      <c r="G622" s="26"/>
      <c r="H622" s="25"/>
      <c r="I622" s="30"/>
      <c r="J622" s="238"/>
      <c r="K622" s="238"/>
      <c r="L622" s="27"/>
      <c r="M622" s="28"/>
      <c r="N622" s="153"/>
      <c r="O622" s="154"/>
      <c r="P622" s="155"/>
      <c r="Q622" s="29"/>
      <c r="R622" s="29"/>
      <c r="S622" s="29"/>
      <c r="T622" s="29"/>
      <c r="U622" s="30"/>
      <c r="V622" s="25"/>
      <c r="W622" s="25"/>
      <c r="X622" s="25"/>
      <c r="Y622" s="156"/>
      <c r="Z622" s="156"/>
      <c r="AA622" s="156"/>
      <c r="AB622" s="157"/>
      <c r="AC622" s="157"/>
      <c r="AD622" s="158"/>
      <c r="AE622" s="232"/>
      <c r="AF622" s="232"/>
      <c r="AG622" s="232"/>
      <c r="AH622" s="29"/>
      <c r="AI622" s="233"/>
      <c r="AJ622" s="238"/>
      <c r="AK622" s="159"/>
      <c r="AL622" s="33"/>
      <c r="AM622" s="33"/>
      <c r="AN622" s="231"/>
      <c r="AO622" s="233"/>
      <c r="AP622" s="227"/>
      <c r="AQ622" s="227"/>
      <c r="AR622" s="238"/>
      <c r="AS622" s="228"/>
    </row>
    <row r="623" spans="1:45" s="35" customFormat="1" ht="14.5" customHeight="1" x14ac:dyDescent="0.35">
      <c r="A623" s="238"/>
      <c r="B623" s="238"/>
      <c r="C623" s="26"/>
      <c r="D623" s="26"/>
      <c r="E623" s="238"/>
      <c r="F623" s="28"/>
      <c r="G623" s="26"/>
      <c r="H623" s="25"/>
      <c r="I623" s="30"/>
      <c r="J623" s="238"/>
      <c r="K623" s="238"/>
      <c r="L623" s="27"/>
      <c r="M623" s="28"/>
      <c r="N623" s="153"/>
      <c r="O623" s="154"/>
      <c r="P623" s="155"/>
      <c r="Q623" s="29"/>
      <c r="R623" s="29"/>
      <c r="S623" s="29"/>
      <c r="T623" s="29"/>
      <c r="U623" s="30"/>
      <c r="V623" s="25"/>
      <c r="W623" s="25"/>
      <c r="X623" s="25"/>
      <c r="Y623" s="156"/>
      <c r="Z623" s="156"/>
      <c r="AA623" s="156"/>
      <c r="AB623" s="157"/>
      <c r="AC623" s="157"/>
      <c r="AD623" s="158"/>
      <c r="AE623" s="232"/>
      <c r="AF623" s="232"/>
      <c r="AG623" s="232"/>
      <c r="AH623" s="29"/>
      <c r="AI623" s="233"/>
      <c r="AJ623" s="238"/>
      <c r="AK623" s="159"/>
      <c r="AL623" s="33"/>
      <c r="AM623" s="33"/>
      <c r="AN623" s="231"/>
      <c r="AO623" s="233"/>
      <c r="AP623" s="227"/>
      <c r="AQ623" s="227"/>
      <c r="AR623" s="238"/>
      <c r="AS623" s="228"/>
    </row>
    <row r="624" spans="1:45" s="35" customFormat="1" ht="14.5" customHeight="1" x14ac:dyDescent="0.35">
      <c r="A624" s="238"/>
      <c r="B624" s="238"/>
      <c r="C624" s="26"/>
      <c r="D624" s="26"/>
      <c r="E624" s="238"/>
      <c r="F624" s="28"/>
      <c r="G624" s="26"/>
      <c r="H624" s="25"/>
      <c r="I624" s="30"/>
      <c r="J624" s="238"/>
      <c r="K624" s="238"/>
      <c r="L624" s="27"/>
      <c r="M624" s="28"/>
      <c r="N624" s="153"/>
      <c r="O624" s="154"/>
      <c r="P624" s="155"/>
      <c r="Q624" s="29"/>
      <c r="R624" s="29"/>
      <c r="S624" s="29"/>
      <c r="T624" s="29"/>
      <c r="U624" s="30"/>
      <c r="V624" s="25"/>
      <c r="W624" s="25"/>
      <c r="X624" s="25"/>
      <c r="Y624" s="156"/>
      <c r="Z624" s="156"/>
      <c r="AA624" s="156"/>
      <c r="AB624" s="157"/>
      <c r="AC624" s="157"/>
      <c r="AD624" s="158"/>
      <c r="AE624" s="232"/>
      <c r="AF624" s="232"/>
      <c r="AG624" s="232"/>
      <c r="AH624" s="29"/>
      <c r="AI624" s="233"/>
      <c r="AJ624" s="238"/>
      <c r="AK624" s="159"/>
      <c r="AL624" s="33"/>
      <c r="AM624" s="33"/>
      <c r="AN624" s="231"/>
      <c r="AO624" s="233"/>
      <c r="AP624" s="227"/>
      <c r="AQ624" s="227"/>
      <c r="AR624" s="238"/>
      <c r="AS624" s="228"/>
    </row>
    <row r="625" spans="1:45" s="35" customFormat="1" ht="14.5" customHeight="1" x14ac:dyDescent="0.35">
      <c r="A625" s="238"/>
      <c r="B625" s="238"/>
      <c r="C625" s="26"/>
      <c r="D625" s="26"/>
      <c r="E625" s="238"/>
      <c r="F625" s="28"/>
      <c r="G625" s="26"/>
      <c r="H625" s="25"/>
      <c r="I625" s="30"/>
      <c r="J625" s="238"/>
      <c r="K625" s="238"/>
      <c r="L625" s="27"/>
      <c r="M625" s="28"/>
      <c r="N625" s="153"/>
      <c r="O625" s="154"/>
      <c r="P625" s="155"/>
      <c r="Q625" s="29"/>
      <c r="R625" s="29"/>
      <c r="S625" s="29"/>
      <c r="T625" s="29"/>
      <c r="U625" s="30"/>
      <c r="V625" s="25"/>
      <c r="W625" s="25"/>
      <c r="X625" s="25"/>
      <c r="Y625" s="156"/>
      <c r="Z625" s="156"/>
      <c r="AA625" s="156"/>
      <c r="AB625" s="157"/>
      <c r="AC625" s="157"/>
      <c r="AD625" s="158"/>
      <c r="AE625" s="232"/>
      <c r="AF625" s="232"/>
      <c r="AG625" s="232"/>
      <c r="AH625" s="29"/>
      <c r="AI625" s="233"/>
      <c r="AJ625" s="238"/>
      <c r="AK625" s="159"/>
      <c r="AL625" s="33"/>
      <c r="AM625" s="33"/>
      <c r="AN625" s="231"/>
      <c r="AO625" s="233"/>
      <c r="AP625" s="227"/>
      <c r="AQ625" s="227"/>
      <c r="AR625" s="238"/>
      <c r="AS625" s="228"/>
    </row>
    <row r="626" spans="1:45" s="35" customFormat="1" ht="14.5" customHeight="1" x14ac:dyDescent="0.35">
      <c r="A626" s="238"/>
      <c r="B626" s="238"/>
      <c r="C626" s="26"/>
      <c r="D626" s="26"/>
      <c r="E626" s="238"/>
      <c r="F626" s="28"/>
      <c r="G626" s="26"/>
      <c r="H626" s="25"/>
      <c r="I626" s="30"/>
      <c r="J626" s="238"/>
      <c r="K626" s="238"/>
      <c r="L626" s="27"/>
      <c r="M626" s="28"/>
      <c r="N626" s="153"/>
      <c r="O626" s="154"/>
      <c r="P626" s="155"/>
      <c r="Q626" s="29"/>
      <c r="R626" s="29"/>
      <c r="S626" s="29"/>
      <c r="T626" s="29"/>
      <c r="U626" s="30"/>
      <c r="V626" s="25"/>
      <c r="W626" s="25"/>
      <c r="X626" s="25"/>
      <c r="Y626" s="156"/>
      <c r="Z626" s="156"/>
      <c r="AA626" s="156"/>
      <c r="AB626" s="157"/>
      <c r="AC626" s="157"/>
      <c r="AD626" s="158"/>
      <c r="AE626" s="232"/>
      <c r="AF626" s="232"/>
      <c r="AG626" s="232"/>
      <c r="AH626" s="29"/>
      <c r="AI626" s="233"/>
      <c r="AJ626" s="238"/>
      <c r="AK626" s="159"/>
      <c r="AL626" s="33"/>
      <c r="AM626" s="33"/>
      <c r="AN626" s="231"/>
      <c r="AO626" s="233"/>
      <c r="AP626" s="227"/>
      <c r="AQ626" s="227"/>
      <c r="AR626" s="238"/>
      <c r="AS626" s="228"/>
    </row>
    <row r="627" spans="1:45" s="35" customFormat="1" ht="14.5" customHeight="1" x14ac:dyDescent="0.35">
      <c r="A627" s="238"/>
      <c r="B627" s="238"/>
      <c r="C627" s="26"/>
      <c r="D627" s="26"/>
      <c r="E627" s="238"/>
      <c r="F627" s="28"/>
      <c r="G627" s="26"/>
      <c r="H627" s="25"/>
      <c r="I627" s="30"/>
      <c r="J627" s="238"/>
      <c r="K627" s="238"/>
      <c r="L627" s="27"/>
      <c r="M627" s="28"/>
      <c r="N627" s="153"/>
      <c r="O627" s="154"/>
      <c r="P627" s="155"/>
      <c r="Q627" s="29"/>
      <c r="R627" s="29"/>
      <c r="S627" s="29"/>
      <c r="T627" s="29"/>
      <c r="U627" s="30"/>
      <c r="V627" s="25"/>
      <c r="W627" s="25"/>
      <c r="X627" s="25"/>
      <c r="Y627" s="156"/>
      <c r="Z627" s="156"/>
      <c r="AA627" s="156"/>
      <c r="AB627" s="157"/>
      <c r="AC627" s="157"/>
      <c r="AD627" s="158"/>
      <c r="AE627" s="232"/>
      <c r="AF627" s="232"/>
      <c r="AG627" s="232"/>
      <c r="AH627" s="29"/>
      <c r="AI627" s="233"/>
      <c r="AJ627" s="238"/>
      <c r="AK627" s="159"/>
      <c r="AL627" s="33"/>
      <c r="AM627" s="33"/>
      <c r="AN627" s="231"/>
      <c r="AO627" s="233"/>
      <c r="AP627" s="227"/>
      <c r="AQ627" s="227"/>
      <c r="AR627" s="238"/>
      <c r="AS627" s="228"/>
    </row>
    <row r="628" spans="1:45" s="35" customFormat="1" ht="14.5" customHeight="1" x14ac:dyDescent="0.35">
      <c r="A628" s="238"/>
      <c r="B628" s="238"/>
      <c r="C628" s="26"/>
      <c r="D628" s="26"/>
      <c r="E628" s="238"/>
      <c r="F628" s="28"/>
      <c r="G628" s="26"/>
      <c r="H628" s="25"/>
      <c r="I628" s="30"/>
      <c r="J628" s="238"/>
      <c r="K628" s="238"/>
      <c r="L628" s="27"/>
      <c r="M628" s="28"/>
      <c r="N628" s="153"/>
      <c r="O628" s="154"/>
      <c r="P628" s="155"/>
      <c r="Q628" s="29"/>
      <c r="R628" s="29"/>
      <c r="S628" s="29"/>
      <c r="T628" s="29"/>
      <c r="U628" s="30"/>
      <c r="V628" s="25"/>
      <c r="W628" s="25"/>
      <c r="X628" s="25"/>
      <c r="Y628" s="156"/>
      <c r="Z628" s="156"/>
      <c r="AA628" s="156"/>
      <c r="AB628" s="157"/>
      <c r="AC628" s="157"/>
      <c r="AD628" s="158"/>
      <c r="AE628" s="232"/>
      <c r="AF628" s="232"/>
      <c r="AG628" s="232"/>
      <c r="AH628" s="29"/>
      <c r="AI628" s="233"/>
      <c r="AJ628" s="238"/>
      <c r="AK628" s="159"/>
      <c r="AL628" s="33"/>
      <c r="AM628" s="33"/>
      <c r="AN628" s="231"/>
      <c r="AO628" s="233"/>
      <c r="AP628" s="227"/>
      <c r="AQ628" s="227"/>
      <c r="AR628" s="238"/>
      <c r="AS628" s="228"/>
    </row>
    <row r="629" spans="1:45" ht="14.5" customHeight="1" x14ac:dyDescent="0.35">
      <c r="N629" s="160"/>
    </row>
    <row r="630" spans="1:45" ht="14.5" customHeight="1" x14ac:dyDescent="0.35">
      <c r="N630" s="160"/>
    </row>
    <row r="631" spans="1:45" ht="14.5" customHeight="1" x14ac:dyDescent="0.35">
      <c r="N631" s="160"/>
    </row>
    <row r="632" spans="1:45" ht="14.5" customHeight="1" x14ac:dyDescent="0.35">
      <c r="N632" s="160"/>
    </row>
    <row r="633" spans="1:45" ht="14.5" customHeight="1" x14ac:dyDescent="0.35">
      <c r="N633" s="160"/>
    </row>
    <row r="634" spans="1:45" ht="14.5" customHeight="1" x14ac:dyDescent="0.35">
      <c r="N634" s="160"/>
    </row>
    <row r="635" spans="1:45" ht="14.5" customHeight="1" x14ac:dyDescent="0.35">
      <c r="N635" s="160"/>
    </row>
    <row r="636" spans="1:45" ht="14.5" customHeight="1" x14ac:dyDescent="0.35">
      <c r="N636" s="160"/>
    </row>
    <row r="637" spans="1:45" ht="14.5" customHeight="1" x14ac:dyDescent="0.35">
      <c r="N637" s="160"/>
    </row>
    <row r="638" spans="1:45" ht="14.5" customHeight="1" x14ac:dyDescent="0.35">
      <c r="N638" s="160"/>
    </row>
    <row r="639" spans="1:45" ht="14.5" customHeight="1" x14ac:dyDescent="0.35">
      <c r="N639" s="160"/>
    </row>
    <row r="640" spans="1:45" ht="14.5" customHeight="1" x14ac:dyDescent="0.35">
      <c r="N640" s="160"/>
    </row>
    <row r="641" spans="14:14" ht="14.5" customHeight="1" x14ac:dyDescent="0.35">
      <c r="N641" s="160"/>
    </row>
    <row r="642" spans="14:14" ht="14.5" customHeight="1" x14ac:dyDescent="0.35">
      <c r="N642" s="160"/>
    </row>
    <row r="643" spans="14:14" ht="14.5" customHeight="1" x14ac:dyDescent="0.35">
      <c r="N643" s="160"/>
    </row>
    <row r="644" spans="14:14" ht="14.5" customHeight="1" x14ac:dyDescent="0.35">
      <c r="N644" s="160"/>
    </row>
    <row r="645" spans="14:14" ht="14.5" customHeight="1" x14ac:dyDescent="0.35">
      <c r="N645" s="160"/>
    </row>
    <row r="646" spans="14:14" ht="14.5" customHeight="1" x14ac:dyDescent="0.35">
      <c r="N646" s="160"/>
    </row>
    <row r="647" spans="14:14" ht="14.5" customHeight="1" x14ac:dyDescent="0.35">
      <c r="N647" s="160"/>
    </row>
    <row r="648" spans="14:14" ht="14.5" customHeight="1" x14ac:dyDescent="0.35">
      <c r="N648" s="160"/>
    </row>
    <row r="649" spans="14:14" ht="14.5" customHeight="1" x14ac:dyDescent="0.35">
      <c r="N649" s="160"/>
    </row>
    <row r="650" spans="14:14" ht="14.5" customHeight="1" x14ac:dyDescent="0.35">
      <c r="N650" s="160"/>
    </row>
    <row r="651" spans="14:14" ht="14.5" customHeight="1" x14ac:dyDescent="0.35">
      <c r="N651" s="160"/>
    </row>
    <row r="652" spans="14:14" ht="14.5" customHeight="1" x14ac:dyDescent="0.35">
      <c r="N652" s="160"/>
    </row>
    <row r="653" spans="14:14" ht="14.5" customHeight="1" x14ac:dyDescent="0.35">
      <c r="N653" s="160"/>
    </row>
    <row r="654" spans="14:14" ht="14.5" customHeight="1" x14ac:dyDescent="0.35">
      <c r="N654" s="160"/>
    </row>
    <row r="655" spans="14:14" ht="14.5" customHeight="1" x14ac:dyDescent="0.35">
      <c r="N655" s="160"/>
    </row>
    <row r="656" spans="14:14" ht="14.5" customHeight="1" x14ac:dyDescent="0.35">
      <c r="N656" s="160"/>
    </row>
    <row r="657" spans="14:14" ht="14.5" customHeight="1" x14ac:dyDescent="0.35">
      <c r="N657" s="160"/>
    </row>
    <row r="658" spans="14:14" ht="14.5" customHeight="1" x14ac:dyDescent="0.35">
      <c r="N658" s="160"/>
    </row>
    <row r="659" spans="14:14" ht="14.5" customHeight="1" x14ac:dyDescent="0.35">
      <c r="N659" s="160"/>
    </row>
    <row r="660" spans="14:14" ht="14.5" customHeight="1" x14ac:dyDescent="0.35">
      <c r="N660" s="160"/>
    </row>
    <row r="661" spans="14:14" ht="14.5" customHeight="1" x14ac:dyDescent="0.35">
      <c r="N661" s="160"/>
    </row>
    <row r="662" spans="14:14" ht="14.5" customHeight="1" x14ac:dyDescent="0.35">
      <c r="N662" s="160"/>
    </row>
    <row r="663" spans="14:14" ht="14.5" customHeight="1" x14ac:dyDescent="0.35">
      <c r="N663" s="160"/>
    </row>
    <row r="664" spans="14:14" ht="14.5" customHeight="1" x14ac:dyDescent="0.35">
      <c r="N664" s="160"/>
    </row>
    <row r="665" spans="14:14" ht="14.5" customHeight="1" x14ac:dyDescent="0.35">
      <c r="N665" s="160"/>
    </row>
    <row r="666" spans="14:14" ht="14.5" customHeight="1" x14ac:dyDescent="0.35">
      <c r="N666" s="160"/>
    </row>
    <row r="667" spans="14:14" ht="14.5" customHeight="1" x14ac:dyDescent="0.35">
      <c r="N667" s="160"/>
    </row>
    <row r="668" spans="14:14" ht="14.5" customHeight="1" x14ac:dyDescent="0.35">
      <c r="N668" s="160"/>
    </row>
    <row r="669" spans="14:14" ht="14.5" customHeight="1" x14ac:dyDescent="0.35">
      <c r="N669" s="160"/>
    </row>
    <row r="670" spans="14:14" ht="14.5" customHeight="1" x14ac:dyDescent="0.35">
      <c r="N670" s="160"/>
    </row>
    <row r="671" spans="14:14" ht="14.5" customHeight="1" x14ac:dyDescent="0.35">
      <c r="N671" s="160"/>
    </row>
    <row r="672" spans="14:14" ht="14.5" customHeight="1" x14ac:dyDescent="0.35">
      <c r="N672" s="160"/>
    </row>
    <row r="673" spans="14:14" ht="14.5" customHeight="1" x14ac:dyDescent="0.35">
      <c r="N673" s="160"/>
    </row>
    <row r="674" spans="14:14" ht="14.5" customHeight="1" x14ac:dyDescent="0.35">
      <c r="N674" s="160"/>
    </row>
    <row r="675" spans="14:14" ht="14.5" customHeight="1" x14ac:dyDescent="0.35">
      <c r="N675" s="160"/>
    </row>
    <row r="676" spans="14:14" ht="14.5" customHeight="1" x14ac:dyDescent="0.35">
      <c r="N676" s="160"/>
    </row>
    <row r="677" spans="14:14" ht="14.5" customHeight="1" x14ac:dyDescent="0.35">
      <c r="N677" s="160"/>
    </row>
    <row r="678" spans="14:14" ht="14.5" customHeight="1" x14ac:dyDescent="0.35">
      <c r="N678" s="160"/>
    </row>
    <row r="679" spans="14:14" ht="14.5" customHeight="1" x14ac:dyDescent="0.35">
      <c r="N679" s="160"/>
    </row>
    <row r="680" spans="14:14" ht="14.5" customHeight="1" x14ac:dyDescent="0.35">
      <c r="N680" s="160"/>
    </row>
    <row r="681" spans="14:14" ht="14.5" customHeight="1" x14ac:dyDescent="0.35">
      <c r="N681" s="160"/>
    </row>
    <row r="682" spans="14:14" ht="14.5" customHeight="1" x14ac:dyDescent="0.35">
      <c r="N682" s="160"/>
    </row>
    <row r="683" spans="14:14" ht="14.5" customHeight="1" x14ac:dyDescent="0.35">
      <c r="N683" s="160"/>
    </row>
    <row r="684" spans="14:14" ht="14.5" customHeight="1" x14ac:dyDescent="0.35">
      <c r="N684" s="160"/>
    </row>
    <row r="685" spans="14:14" ht="14.5" customHeight="1" x14ac:dyDescent="0.35">
      <c r="N685" s="160"/>
    </row>
    <row r="686" spans="14:14" ht="14.5" customHeight="1" x14ac:dyDescent="0.35">
      <c r="N686" s="160"/>
    </row>
    <row r="687" spans="14:14" ht="14.5" customHeight="1" x14ac:dyDescent="0.35">
      <c r="N687" s="160"/>
    </row>
    <row r="688" spans="14:14" ht="14.5" customHeight="1" x14ac:dyDescent="0.35">
      <c r="N688" s="160"/>
    </row>
    <row r="689" spans="14:14" ht="14.5" customHeight="1" x14ac:dyDescent="0.35">
      <c r="N689" s="160"/>
    </row>
    <row r="690" spans="14:14" ht="14.5" customHeight="1" x14ac:dyDescent="0.35">
      <c r="N690" s="160"/>
    </row>
    <row r="691" spans="14:14" ht="14.5" customHeight="1" x14ac:dyDescent="0.35">
      <c r="N691" s="160"/>
    </row>
    <row r="692" spans="14:14" ht="14.5" customHeight="1" x14ac:dyDescent="0.35">
      <c r="N692" s="160"/>
    </row>
    <row r="693" spans="14:14" ht="14.5" customHeight="1" x14ac:dyDescent="0.35">
      <c r="N693" s="160"/>
    </row>
    <row r="694" spans="14:14" ht="14.5" customHeight="1" x14ac:dyDescent="0.35">
      <c r="N694" s="160"/>
    </row>
    <row r="695" spans="14:14" ht="14.5" customHeight="1" x14ac:dyDescent="0.35">
      <c r="N695" s="160"/>
    </row>
    <row r="696" spans="14:14" ht="14.5" customHeight="1" x14ac:dyDescent="0.35">
      <c r="N696" s="160"/>
    </row>
    <row r="697" spans="14:14" ht="14.5" customHeight="1" x14ac:dyDescent="0.35">
      <c r="N697" s="160"/>
    </row>
    <row r="698" spans="14:14" ht="14.5" customHeight="1" x14ac:dyDescent="0.35">
      <c r="N698" s="160"/>
    </row>
    <row r="699" spans="14:14" ht="14.5" customHeight="1" x14ac:dyDescent="0.35">
      <c r="N699" s="160"/>
    </row>
    <row r="700" spans="14:14" ht="14.5" customHeight="1" x14ac:dyDescent="0.35">
      <c r="N700" s="160"/>
    </row>
    <row r="701" spans="14:14" ht="14.5" customHeight="1" x14ac:dyDescent="0.35">
      <c r="N701" s="160"/>
    </row>
    <row r="702" spans="14:14" ht="14.5" customHeight="1" x14ac:dyDescent="0.35">
      <c r="N702" s="160"/>
    </row>
    <row r="703" spans="14:14" ht="14.5" customHeight="1" x14ac:dyDescent="0.35">
      <c r="N703" s="160"/>
    </row>
    <row r="704" spans="14:14" ht="14.5" customHeight="1" x14ac:dyDescent="0.35">
      <c r="N704" s="160"/>
    </row>
    <row r="705" spans="14:14" ht="14.5" customHeight="1" x14ac:dyDescent="0.35">
      <c r="N705" s="160"/>
    </row>
    <row r="706" spans="14:14" ht="14.5" customHeight="1" x14ac:dyDescent="0.35">
      <c r="N706" s="160"/>
    </row>
    <row r="707" spans="14:14" ht="14.5" customHeight="1" x14ac:dyDescent="0.35">
      <c r="N707" s="160"/>
    </row>
    <row r="708" spans="14:14" ht="14.5" customHeight="1" x14ac:dyDescent="0.35">
      <c r="N708" s="160"/>
    </row>
    <row r="709" spans="14:14" ht="14.5" customHeight="1" x14ac:dyDescent="0.35">
      <c r="N709" s="160"/>
    </row>
    <row r="710" spans="14:14" ht="14.5" customHeight="1" x14ac:dyDescent="0.35">
      <c r="N710" s="160"/>
    </row>
    <row r="711" spans="14:14" ht="14.5" customHeight="1" x14ac:dyDescent="0.35">
      <c r="N711" s="160"/>
    </row>
    <row r="712" spans="14:14" ht="14.5" customHeight="1" x14ac:dyDescent="0.35">
      <c r="N712" s="160"/>
    </row>
    <row r="713" spans="14:14" ht="14.5" customHeight="1" x14ac:dyDescent="0.35">
      <c r="N713" s="160"/>
    </row>
    <row r="714" spans="14:14" ht="14.5" customHeight="1" x14ac:dyDescent="0.35">
      <c r="N714" s="160"/>
    </row>
    <row r="715" spans="14:14" ht="14.5" customHeight="1" x14ac:dyDescent="0.35">
      <c r="N715" s="160"/>
    </row>
    <row r="716" spans="14:14" ht="14.5" customHeight="1" x14ac:dyDescent="0.35">
      <c r="N716" s="160"/>
    </row>
    <row r="717" spans="14:14" ht="14.5" customHeight="1" x14ac:dyDescent="0.35">
      <c r="N717" s="160"/>
    </row>
    <row r="718" spans="14:14" ht="14.5" customHeight="1" x14ac:dyDescent="0.35">
      <c r="N718" s="160"/>
    </row>
    <row r="719" spans="14:14" ht="14.5" customHeight="1" x14ac:dyDescent="0.35">
      <c r="N719" s="160"/>
    </row>
    <row r="720" spans="14:14" ht="14.5" customHeight="1" x14ac:dyDescent="0.35">
      <c r="N720" s="160"/>
    </row>
    <row r="721" spans="14:14" ht="14.5" customHeight="1" x14ac:dyDescent="0.35">
      <c r="N721" s="160"/>
    </row>
    <row r="722" spans="14:14" ht="14.5" customHeight="1" x14ac:dyDescent="0.35">
      <c r="N722" s="160"/>
    </row>
    <row r="723" spans="14:14" ht="14.5" customHeight="1" x14ac:dyDescent="0.35">
      <c r="N723" s="160"/>
    </row>
    <row r="724" spans="14:14" ht="14.5" customHeight="1" x14ac:dyDescent="0.35">
      <c r="N724" s="160"/>
    </row>
    <row r="725" spans="14:14" ht="14.5" customHeight="1" x14ac:dyDescent="0.35">
      <c r="N725" s="160"/>
    </row>
    <row r="726" spans="14:14" ht="14.5" customHeight="1" x14ac:dyDescent="0.35">
      <c r="N726" s="160"/>
    </row>
    <row r="727" spans="14:14" ht="14.5" customHeight="1" x14ac:dyDescent="0.35">
      <c r="N727" s="160"/>
    </row>
    <row r="728" spans="14:14" ht="14.5" customHeight="1" x14ac:dyDescent="0.35">
      <c r="N728" s="160"/>
    </row>
    <row r="729" spans="14:14" ht="14.5" customHeight="1" x14ac:dyDescent="0.35">
      <c r="N729" s="160"/>
    </row>
    <row r="730" spans="14:14" ht="14.5" customHeight="1" x14ac:dyDescent="0.35">
      <c r="N730" s="160"/>
    </row>
    <row r="731" spans="14:14" ht="14.5" customHeight="1" x14ac:dyDescent="0.35">
      <c r="N731" s="160"/>
    </row>
    <row r="732" spans="14:14" ht="14.5" customHeight="1" x14ac:dyDescent="0.35">
      <c r="N732" s="160"/>
    </row>
    <row r="733" spans="14:14" ht="14.5" customHeight="1" x14ac:dyDescent="0.35">
      <c r="N733" s="160"/>
    </row>
    <row r="734" spans="14:14" ht="14.5" customHeight="1" x14ac:dyDescent="0.35">
      <c r="N734" s="160"/>
    </row>
    <row r="735" spans="14:14" ht="14.5" customHeight="1" x14ac:dyDescent="0.35">
      <c r="N735" s="160"/>
    </row>
    <row r="736" spans="14:14" ht="14.5" customHeight="1" x14ac:dyDescent="0.35">
      <c r="N736" s="160"/>
    </row>
    <row r="737" spans="14:14" ht="14.5" customHeight="1" x14ac:dyDescent="0.35">
      <c r="N737" s="160"/>
    </row>
    <row r="738" spans="14:14" ht="14.5" customHeight="1" x14ac:dyDescent="0.35">
      <c r="N738" s="160"/>
    </row>
    <row r="739" spans="14:14" ht="14.5" customHeight="1" x14ac:dyDescent="0.35">
      <c r="N739" s="160"/>
    </row>
    <row r="740" spans="14:14" ht="14.5" customHeight="1" x14ac:dyDescent="0.35">
      <c r="N740" s="160"/>
    </row>
    <row r="741" spans="14:14" ht="14.5" customHeight="1" x14ac:dyDescent="0.35">
      <c r="N741" s="160"/>
    </row>
    <row r="742" spans="14:14" ht="14.5" customHeight="1" x14ac:dyDescent="0.35">
      <c r="N742" s="160"/>
    </row>
    <row r="743" spans="14:14" ht="14.5" customHeight="1" x14ac:dyDescent="0.35">
      <c r="N743" s="160"/>
    </row>
    <row r="744" spans="14:14" ht="14.5" customHeight="1" x14ac:dyDescent="0.35">
      <c r="N744" s="160"/>
    </row>
    <row r="745" spans="14:14" ht="14.5" customHeight="1" x14ac:dyDescent="0.35">
      <c r="N745" s="160"/>
    </row>
    <row r="746" spans="14:14" ht="14.5" customHeight="1" x14ac:dyDescent="0.35">
      <c r="N746" s="160"/>
    </row>
    <row r="747" spans="14:14" ht="14.5" customHeight="1" x14ac:dyDescent="0.35">
      <c r="N747" s="160"/>
    </row>
    <row r="748" spans="14:14" ht="14.5" customHeight="1" x14ac:dyDescent="0.35">
      <c r="N748" s="160"/>
    </row>
    <row r="749" spans="14:14" ht="14.5" customHeight="1" x14ac:dyDescent="0.35">
      <c r="N749" s="160"/>
    </row>
    <row r="750" spans="14:14" ht="14.5" customHeight="1" x14ac:dyDescent="0.35">
      <c r="N750" s="160"/>
    </row>
    <row r="751" spans="14:14" ht="14.5" customHeight="1" x14ac:dyDescent="0.35">
      <c r="N751" s="160"/>
    </row>
    <row r="752" spans="14:14" ht="14.5" customHeight="1" x14ac:dyDescent="0.35">
      <c r="N752" s="160"/>
    </row>
    <row r="753" spans="14:14" ht="14.5" customHeight="1" x14ac:dyDescent="0.35">
      <c r="N753" s="160"/>
    </row>
    <row r="754" spans="14:14" ht="14.5" customHeight="1" x14ac:dyDescent="0.35">
      <c r="N754" s="160"/>
    </row>
    <row r="755" spans="14:14" ht="14.5" customHeight="1" x14ac:dyDescent="0.35">
      <c r="N755" s="160"/>
    </row>
    <row r="756" spans="14:14" ht="14.5" customHeight="1" x14ac:dyDescent="0.35">
      <c r="N756" s="160"/>
    </row>
    <row r="757" spans="14:14" ht="14.5" customHeight="1" x14ac:dyDescent="0.35">
      <c r="N757" s="160"/>
    </row>
    <row r="758" spans="14:14" ht="14.5" customHeight="1" x14ac:dyDescent="0.35">
      <c r="N758" s="160"/>
    </row>
    <row r="759" spans="14:14" ht="14.5" customHeight="1" x14ac:dyDescent="0.35">
      <c r="N759" s="160"/>
    </row>
    <row r="760" spans="14:14" ht="14.5" customHeight="1" x14ac:dyDescent="0.35">
      <c r="N760" s="160"/>
    </row>
    <row r="761" spans="14:14" ht="14.5" customHeight="1" x14ac:dyDescent="0.35">
      <c r="N761" s="160"/>
    </row>
    <row r="762" spans="14:14" ht="14.5" customHeight="1" x14ac:dyDescent="0.35">
      <c r="N762" s="160"/>
    </row>
    <row r="763" spans="14:14" ht="14.5" customHeight="1" x14ac:dyDescent="0.35">
      <c r="N763" s="160"/>
    </row>
    <row r="764" spans="14:14" ht="14.5" customHeight="1" x14ac:dyDescent="0.35">
      <c r="N764" s="160"/>
    </row>
    <row r="765" spans="14:14" ht="14.5" customHeight="1" x14ac:dyDescent="0.35">
      <c r="N765" s="160"/>
    </row>
    <row r="766" spans="14:14" ht="14.5" customHeight="1" x14ac:dyDescent="0.35">
      <c r="N766" s="160"/>
    </row>
    <row r="767" spans="14:14" ht="14.5" customHeight="1" x14ac:dyDescent="0.35">
      <c r="N767" s="160"/>
    </row>
    <row r="768" spans="14:14" ht="14.5" customHeight="1" x14ac:dyDescent="0.35">
      <c r="N768" s="160"/>
    </row>
    <row r="769" spans="14:14" ht="14.5" customHeight="1" x14ac:dyDescent="0.35">
      <c r="N769" s="160"/>
    </row>
    <row r="770" spans="14:14" ht="14.5" customHeight="1" x14ac:dyDescent="0.35">
      <c r="N770" s="160"/>
    </row>
    <row r="771" spans="14:14" ht="14.5" customHeight="1" x14ac:dyDescent="0.35">
      <c r="N771" s="160"/>
    </row>
    <row r="772" spans="14:14" ht="14.5" customHeight="1" x14ac:dyDescent="0.35">
      <c r="N772" s="160"/>
    </row>
    <row r="773" spans="14:14" ht="14.5" customHeight="1" x14ac:dyDescent="0.35">
      <c r="N773" s="160"/>
    </row>
    <row r="774" spans="14:14" ht="14.5" customHeight="1" x14ac:dyDescent="0.35">
      <c r="N774" s="160"/>
    </row>
    <row r="775" spans="14:14" ht="14.5" customHeight="1" x14ac:dyDescent="0.35">
      <c r="N775" s="160"/>
    </row>
    <row r="776" spans="14:14" ht="14.5" customHeight="1" x14ac:dyDescent="0.35">
      <c r="N776" s="160"/>
    </row>
    <row r="777" spans="14:14" ht="14.5" customHeight="1" x14ac:dyDescent="0.35">
      <c r="N777" s="160"/>
    </row>
    <row r="778" spans="14:14" ht="14.5" customHeight="1" x14ac:dyDescent="0.35">
      <c r="N778" s="160"/>
    </row>
    <row r="779" spans="14:14" ht="14.5" customHeight="1" x14ac:dyDescent="0.35">
      <c r="N779" s="160"/>
    </row>
    <row r="780" spans="14:14" ht="14.5" customHeight="1" x14ac:dyDescent="0.35">
      <c r="N780" s="160"/>
    </row>
    <row r="781" spans="14:14" ht="14.5" customHeight="1" x14ac:dyDescent="0.35">
      <c r="N781" s="160"/>
    </row>
    <row r="782" spans="14:14" ht="14.5" customHeight="1" x14ac:dyDescent="0.35">
      <c r="N782" s="160"/>
    </row>
    <row r="783" spans="14:14" ht="14.5" customHeight="1" x14ac:dyDescent="0.35">
      <c r="N783" s="160"/>
    </row>
    <row r="784" spans="14:14" ht="14.5" customHeight="1" x14ac:dyDescent="0.35">
      <c r="N784" s="160"/>
    </row>
    <row r="785" spans="14:14" ht="14.5" customHeight="1" x14ac:dyDescent="0.35">
      <c r="N785" s="160"/>
    </row>
    <row r="786" spans="14:14" ht="14.5" customHeight="1" x14ac:dyDescent="0.35">
      <c r="N786" s="160"/>
    </row>
    <row r="787" spans="14:14" ht="14.5" customHeight="1" x14ac:dyDescent="0.35">
      <c r="N787" s="160"/>
    </row>
    <row r="788" spans="14:14" ht="14.5" customHeight="1" x14ac:dyDescent="0.35">
      <c r="N788" s="160"/>
    </row>
    <row r="789" spans="14:14" ht="14.5" customHeight="1" x14ac:dyDescent="0.35">
      <c r="N789" s="160"/>
    </row>
    <row r="790" spans="14:14" ht="14.5" customHeight="1" x14ac:dyDescent="0.35">
      <c r="N790" s="160"/>
    </row>
    <row r="791" spans="14:14" ht="14.5" customHeight="1" x14ac:dyDescent="0.35">
      <c r="N791" s="160"/>
    </row>
    <row r="792" spans="14:14" ht="14.5" customHeight="1" x14ac:dyDescent="0.35">
      <c r="N792" s="160"/>
    </row>
    <row r="793" spans="14:14" ht="14.5" customHeight="1" x14ac:dyDescent="0.35">
      <c r="N793" s="160"/>
    </row>
    <row r="794" spans="14:14" ht="14.5" customHeight="1" x14ac:dyDescent="0.35">
      <c r="N794" s="160"/>
    </row>
    <row r="795" spans="14:14" ht="14.5" customHeight="1" x14ac:dyDescent="0.35">
      <c r="N795" s="160"/>
    </row>
    <row r="796" spans="14:14" ht="14.5" customHeight="1" x14ac:dyDescent="0.35">
      <c r="N796" s="160"/>
    </row>
    <row r="797" spans="14:14" ht="14.5" customHeight="1" x14ac:dyDescent="0.35">
      <c r="N797" s="160"/>
    </row>
    <row r="798" spans="14:14" ht="14.5" customHeight="1" x14ac:dyDescent="0.35">
      <c r="N798" s="160"/>
    </row>
    <row r="799" spans="14:14" ht="14.5" customHeight="1" x14ac:dyDescent="0.35">
      <c r="N799" s="160"/>
    </row>
    <row r="800" spans="14:14" ht="14.5" customHeight="1" x14ac:dyDescent="0.35">
      <c r="N800" s="160"/>
    </row>
    <row r="801" spans="14:14" ht="14.5" customHeight="1" x14ac:dyDescent="0.35">
      <c r="N801" s="160"/>
    </row>
    <row r="802" spans="14:14" ht="14.5" customHeight="1" x14ac:dyDescent="0.35">
      <c r="N802" s="160"/>
    </row>
    <row r="803" spans="14:14" ht="14.5" customHeight="1" x14ac:dyDescent="0.35">
      <c r="N803" s="160"/>
    </row>
    <row r="804" spans="14:14" ht="14.5" customHeight="1" x14ac:dyDescent="0.35">
      <c r="N804" s="160"/>
    </row>
    <row r="805" spans="14:14" ht="14.5" customHeight="1" x14ac:dyDescent="0.35">
      <c r="N805" s="160"/>
    </row>
    <row r="806" spans="14:14" ht="14.5" customHeight="1" x14ac:dyDescent="0.35">
      <c r="N806" s="160"/>
    </row>
    <row r="807" spans="14:14" ht="14.5" customHeight="1" x14ac:dyDescent="0.35">
      <c r="N807" s="160"/>
    </row>
    <row r="808" spans="14:14" ht="14.5" customHeight="1" x14ac:dyDescent="0.35">
      <c r="N808" s="160"/>
    </row>
    <row r="809" spans="14:14" ht="14.5" customHeight="1" x14ac:dyDescent="0.35">
      <c r="N809" s="160"/>
    </row>
    <row r="810" spans="14:14" ht="14.5" customHeight="1" x14ac:dyDescent="0.35">
      <c r="N810" s="160"/>
    </row>
    <row r="811" spans="14:14" ht="14.5" customHeight="1" x14ac:dyDescent="0.35">
      <c r="N811" s="160"/>
    </row>
    <row r="812" spans="14:14" ht="14.5" customHeight="1" x14ac:dyDescent="0.35">
      <c r="N812" s="160"/>
    </row>
    <row r="813" spans="14:14" ht="14.5" customHeight="1" x14ac:dyDescent="0.35">
      <c r="N813" s="160"/>
    </row>
    <row r="814" spans="14:14" ht="14.5" customHeight="1" x14ac:dyDescent="0.35">
      <c r="N814" s="160"/>
    </row>
    <row r="815" spans="14:14" ht="14.5" customHeight="1" x14ac:dyDescent="0.35">
      <c r="N815" s="160"/>
    </row>
    <row r="816" spans="14:14" ht="14.5" customHeight="1" x14ac:dyDescent="0.35">
      <c r="N816" s="160"/>
    </row>
    <row r="817" spans="14:14" ht="14.5" customHeight="1" x14ac:dyDescent="0.35">
      <c r="N817" s="160"/>
    </row>
    <row r="818" spans="14:14" ht="14.5" customHeight="1" x14ac:dyDescent="0.35">
      <c r="N818" s="160"/>
    </row>
    <row r="819" spans="14:14" ht="14.5" customHeight="1" x14ac:dyDescent="0.35">
      <c r="N819" s="160"/>
    </row>
    <row r="820" spans="14:14" ht="14.5" customHeight="1" x14ac:dyDescent="0.35">
      <c r="N820" s="160"/>
    </row>
    <row r="821" spans="14:14" ht="14.5" customHeight="1" x14ac:dyDescent="0.35">
      <c r="N821" s="160"/>
    </row>
    <row r="822" spans="14:14" ht="14.5" customHeight="1" x14ac:dyDescent="0.35">
      <c r="N822" s="160"/>
    </row>
    <row r="823" spans="14:14" ht="14.5" customHeight="1" x14ac:dyDescent="0.35">
      <c r="N823" s="160"/>
    </row>
    <row r="824" spans="14:14" ht="14.5" customHeight="1" x14ac:dyDescent="0.35">
      <c r="N824" s="160"/>
    </row>
    <row r="825" spans="14:14" ht="14.5" customHeight="1" x14ac:dyDescent="0.35">
      <c r="N825" s="160"/>
    </row>
    <row r="826" spans="14:14" ht="14.5" customHeight="1" x14ac:dyDescent="0.35">
      <c r="N826" s="160"/>
    </row>
    <row r="827" spans="14:14" ht="14.5" customHeight="1" x14ac:dyDescent="0.35">
      <c r="N827" s="160"/>
    </row>
    <row r="828" spans="14:14" ht="14.5" customHeight="1" x14ac:dyDescent="0.35">
      <c r="N828" s="160"/>
    </row>
    <row r="829" spans="14:14" ht="14.5" customHeight="1" x14ac:dyDescent="0.35">
      <c r="N829" s="160"/>
    </row>
    <row r="830" spans="14:14" ht="14.5" customHeight="1" x14ac:dyDescent="0.35">
      <c r="N830" s="160"/>
    </row>
    <row r="831" spans="14:14" ht="14.5" customHeight="1" x14ac:dyDescent="0.35">
      <c r="N831" s="160"/>
    </row>
    <row r="832" spans="14:14" ht="14.5" customHeight="1" x14ac:dyDescent="0.35">
      <c r="N832" s="160"/>
    </row>
    <row r="833" spans="14:14" ht="14.5" customHeight="1" x14ac:dyDescent="0.35">
      <c r="N833" s="160"/>
    </row>
    <row r="834" spans="14:14" ht="14.5" customHeight="1" x14ac:dyDescent="0.35">
      <c r="N834" s="160"/>
    </row>
    <row r="835" spans="14:14" ht="14.5" customHeight="1" x14ac:dyDescent="0.35">
      <c r="N835" s="160"/>
    </row>
    <row r="836" spans="14:14" ht="14.5" customHeight="1" x14ac:dyDescent="0.35">
      <c r="N836" s="160"/>
    </row>
    <row r="837" spans="14:14" ht="14.5" customHeight="1" x14ac:dyDescent="0.35">
      <c r="N837" s="160"/>
    </row>
    <row r="838" spans="14:14" ht="14.5" customHeight="1" x14ac:dyDescent="0.35">
      <c r="N838" s="160"/>
    </row>
    <row r="839" spans="14:14" ht="14.5" customHeight="1" x14ac:dyDescent="0.35">
      <c r="N839" s="160"/>
    </row>
    <row r="840" spans="14:14" ht="14.5" customHeight="1" x14ac:dyDescent="0.35">
      <c r="N840" s="160"/>
    </row>
    <row r="841" spans="14:14" ht="14.5" customHeight="1" x14ac:dyDescent="0.35">
      <c r="N841" s="160"/>
    </row>
    <row r="842" spans="14:14" ht="14.5" customHeight="1" x14ac:dyDescent="0.35">
      <c r="N842" s="160"/>
    </row>
    <row r="843" spans="14:14" ht="14.5" customHeight="1" x14ac:dyDescent="0.35">
      <c r="N843" s="160"/>
    </row>
    <row r="844" spans="14:14" ht="14.5" customHeight="1" x14ac:dyDescent="0.35">
      <c r="N844" s="160"/>
    </row>
    <row r="845" spans="14:14" ht="14.5" customHeight="1" x14ac:dyDescent="0.35">
      <c r="N845" s="160"/>
    </row>
    <row r="846" spans="14:14" ht="14.5" customHeight="1" x14ac:dyDescent="0.35">
      <c r="N846" s="160"/>
    </row>
    <row r="847" spans="14:14" ht="14.5" customHeight="1" x14ac:dyDescent="0.35">
      <c r="N847" s="160"/>
    </row>
  </sheetData>
  <conditionalFormatting sqref="A2:F93 A108:F184 A240:F441 A442:A445 A502:J525 A527:J546 A547 A548:I548 A549:D549 A550:AM552 A567:D568 A569:I571 A572:J584 A616:J1048576 B94:F107 B185:F239 B440:F470 B471:H476 B477:J501 B553:J556 B557:E557 B558:J564 B565:D566 B585:J588 E450:E476 E548:F549 E565:F571 G2:J470 G549:J549 G557:J557 G565:J568 J471:J476 K2:L8 K9:S9 K10:L60 K61:S88 K89:L97 K98:AM324 K325:W354 K355:U356 K357:W363 K365:L387 K388:AM393 K394:L394 K395:AM397 K398:L398 K399:AM402 K403:AL425 K426:L428 K429:AL432 K433:L433 K434:AL434 K435:L438 K439:AL445 K446:L476 K477:AM477 K478:L478 K479:AM479 K480:L480 K481:AM509 K511:AL512 K513:AM525 K527:AM542 K543:U546 K548:U549 K553:L553 K554:AM564 K565:L566 K567:AM567 K568:V569 K570:AM570 K571:V571 K572:AM580 K581:AE581 K582:AM584 K585:L587 K588:AE588 K616:M616 K617:AL1048576 M2:U3 M366:W379 N4:U5 N6:S8 N10:S60 N89:S92 N93:AM97 N364:W365 N380:W381 N382:AM387 N394:AM394 N398:AM398 N426:AL428 N433:AL433 N435:AL438 N446:S476 N478:AM478 N480:AM480 N510:AL510 N553:AM553 N565:V565 N566:AM566 N585:AM586 N587:AE587 N592 P592 Q616:AL616 T6:U92 U446:AL446 U447:AM476 V2:AM92 V357:X357 W543:AM546 W548:AM549 X325:AD352 X353:X354 X357:X375 X376:AD381 X565:AM565 X568:AM569 X571:AM571 Y353:AD357 Y358:AE358 Y359:AL360 Y361:AD361 Y362:AE362 Y363:AD375 AE325:AE357 AE359:AE361 AE363:AE381 AF325:AM381 AM403:AM446">
    <cfRule type="expression" dxfId="511" priority="462">
      <formula>IF(OR(#REF!=INF,#REF!=ANN),1,0)</formula>
    </cfRule>
    <cfRule type="expression" dxfId="510" priority="463">
      <formula>IF(#REF!=NA,1,0)</formula>
    </cfRule>
  </conditionalFormatting>
  <conditionalFormatting sqref="B547:L547 N547:U547 W547:AM547">
    <cfRule type="expression" dxfId="509" priority="466">
      <formula>IF(OR(#REF!=INF,#REF!=ANN),1,0)</formula>
    </cfRule>
    <cfRule type="expression" dxfId="508" priority="467">
      <formula>IF(#REF!=NA,1,0)</formula>
    </cfRule>
  </conditionalFormatting>
  <conditionalFormatting sqref="AF587:AF588">
    <cfRule type="expression" dxfId="507" priority="459">
      <formula>IF(OR(#REF!=INF,#REF!=ANN),1,0)</formula>
    </cfRule>
    <cfRule type="expression" dxfId="506" priority="460">
      <formula>IF(#REF!=NA,1,0)</formula>
    </cfRule>
  </conditionalFormatting>
  <conditionalFormatting sqref="M380:M387">
    <cfRule type="expression" dxfId="505" priority="457">
      <formula>IF(OR(#REF!=INF,#REF!=ANN),1,0)</formula>
    </cfRule>
  </conditionalFormatting>
  <conditionalFormatting sqref="A526:AM526 B589:D589 B593:J595 B599:J604 C596:J598 E589:F592 E605:E615 G589:AE589 J590:J592 J605:J615 K590:S590 K591:L591 K593:S593 K594:L604 M380:M387">
    <cfRule type="expression" dxfId="504" priority="458">
      <formula>IF(#REF!=NA,1,0)</formula>
    </cfRule>
  </conditionalFormatting>
  <conditionalFormatting sqref="A526:AM526 B589:D589 B593:J595 B599:J604 C596:J598 E589:F592 E605:E615 G589:AE589 J590:J592 J605:J615 K590:S590 K591:L591 K593:S593 K594:L604 T446:T476">
    <cfRule type="expression" dxfId="503" priority="451">
      <formula>IF(OR(#REF!=INF,#REF!=ANN),1,0)</formula>
    </cfRule>
  </conditionalFormatting>
  <conditionalFormatting sqref="T446:T476 Y606:Y609 Z599:Z605">
    <cfRule type="expression" dxfId="502" priority="452">
      <formula>IF(#REF!=NA,1,0)</formula>
    </cfRule>
  </conditionalFormatting>
  <conditionalFormatting sqref="M398">
    <cfRule type="expression" dxfId="501" priority="453">
      <formula>IF(OR(#REF!=INF,#REF!=ANN),1,0)</formula>
    </cfRule>
    <cfRule type="expression" dxfId="500" priority="454">
      <formula>IF(#REF!=NA,1,0)</formula>
    </cfRule>
  </conditionalFormatting>
  <conditionalFormatting sqref="M547">
    <cfRule type="expression" dxfId="499" priority="449">
      <formula>IF(OR(#REF!=INF,#REF!=ANN),1,0)</formula>
    </cfRule>
    <cfRule type="expression" dxfId="498" priority="450">
      <formula>IF(#REF!=NA,1,0)</formula>
    </cfRule>
  </conditionalFormatting>
  <conditionalFormatting sqref="V543:V549">
    <cfRule type="expression" dxfId="497" priority="447">
      <formula>IF(OR(#REF!=INF,#REF!=ANN),1,0)</formula>
    </cfRule>
    <cfRule type="expression" dxfId="496" priority="448">
      <formula>IF(#REF!=NA,1,0)</formula>
    </cfRule>
  </conditionalFormatting>
  <conditionalFormatting sqref="J548">
    <cfRule type="expression" dxfId="495" priority="445">
      <formula>IF(OR(#REF!=INF,#REF!=ANN),1,0)</formula>
    </cfRule>
    <cfRule type="expression" dxfId="494" priority="446">
      <formula>IF(#REF!=NA,1,0)</formula>
    </cfRule>
  </conditionalFormatting>
  <conditionalFormatting sqref="W565">
    <cfRule type="expression" dxfId="493" priority="443">
      <formula>IF(OR(#REF!=INF,#REF!=ANN),1,0)</formula>
    </cfRule>
    <cfRule type="expression" dxfId="492" priority="444">
      <formula>IF(#REF!=NA,1,0)</formula>
    </cfRule>
  </conditionalFormatting>
  <conditionalFormatting sqref="W568">
    <cfRule type="expression" dxfId="491" priority="441">
      <formula>IF(OR(#REF!=INF,#REF!=ANN),1,0)</formula>
    </cfRule>
    <cfRule type="expression" dxfId="490" priority="442">
      <formula>IF(#REF!=NA,1,0)</formula>
    </cfRule>
  </conditionalFormatting>
  <conditionalFormatting sqref="M426:M428 M433">
    <cfRule type="expression" dxfId="489" priority="439">
      <formula>IF(OR(#REF!=INF,#REF!=ANN),1,0)</formula>
    </cfRule>
    <cfRule type="expression" dxfId="488" priority="440">
      <formula>IF(#REF!=NA,1,0)</formula>
    </cfRule>
  </conditionalFormatting>
  <conditionalFormatting sqref="W569">
    <cfRule type="expression" dxfId="487" priority="437">
      <formula>IF(OR(#REF!=INF,#REF!=ANN),1,0)</formula>
    </cfRule>
    <cfRule type="expression" dxfId="486" priority="438">
      <formula>IF(#REF!=NA,1,0)</formula>
    </cfRule>
  </conditionalFormatting>
  <conditionalFormatting sqref="J569:J571">
    <cfRule type="expression" dxfId="485" priority="435">
      <formula>IF(OR(#REF!=INF,#REF!=ANN),1,0)</formula>
    </cfRule>
    <cfRule type="expression" dxfId="484" priority="436">
      <formula>IF(#REF!=NA,1,0)</formula>
    </cfRule>
  </conditionalFormatting>
  <conditionalFormatting sqref="W571">
    <cfRule type="expression" dxfId="483" priority="433">
      <formula>IF(OR(#REF!=INF,#REF!=ANN),1,0)</formula>
    </cfRule>
    <cfRule type="expression" dxfId="482" priority="434">
      <formula>IF(#REF!=NA,1,0)</formula>
    </cfRule>
  </conditionalFormatting>
  <conditionalFormatting sqref="A585:A588">
    <cfRule type="expression" dxfId="481" priority="431">
      <formula>IF(OR(#REF!=INF,#REF!=ANN),1,0)</formula>
    </cfRule>
    <cfRule type="expression" dxfId="480" priority="432">
      <formula>IF(#REF!=NA,1,0)</formula>
    </cfRule>
  </conditionalFormatting>
  <conditionalFormatting sqref="A446:A476">
    <cfRule type="expression" dxfId="479" priority="429">
      <formula>IF(OR(#REF!=INF,#REF!=ANN),1,0)</formula>
    </cfRule>
    <cfRule type="expression" dxfId="478" priority="430">
      <formula>IF(#REF!=NA,1,0)</formula>
    </cfRule>
  </conditionalFormatting>
  <conditionalFormatting sqref="AM587:AM588">
    <cfRule type="expression" dxfId="477" priority="427">
      <formula>IF(OR(#REF!=INF,#REF!=ANN),1,0)</formula>
    </cfRule>
    <cfRule type="expression" dxfId="476" priority="428">
      <formula>IF(#REF!=NA,1,0)</formula>
    </cfRule>
  </conditionalFormatting>
  <conditionalFormatting sqref="AF589">
    <cfRule type="expression" dxfId="475" priority="423">
      <formula>IF(OR(#REF!=INF,#REF!=ANN),1,0)</formula>
    </cfRule>
    <cfRule type="expression" dxfId="474" priority="424">
      <formula>IF(#REF!=NA,1,0)</formula>
    </cfRule>
  </conditionalFormatting>
  <conditionalFormatting sqref="A589">
    <cfRule type="expression" dxfId="473" priority="421">
      <formula>IF(OR(#REF!=INF,#REF!=ANN),1,0)</formula>
    </cfRule>
    <cfRule type="expression" dxfId="472" priority="422">
      <formula>IF(#REF!=NA,1,0)</formula>
    </cfRule>
  </conditionalFormatting>
  <conditionalFormatting sqref="AM589">
    <cfRule type="expression" dxfId="471" priority="419">
      <formula>IF(OR(#REF!=INF,#REF!=ANN),1,0)</formula>
    </cfRule>
    <cfRule type="expression" dxfId="470" priority="420">
      <formula>IF(#REF!=NA,1,0)</formula>
    </cfRule>
  </conditionalFormatting>
  <conditionalFormatting sqref="B590:H592 O592 Q591:S591 R592:S592 V590:W590 V591 V592:W592 AE590:AF592">
    <cfRule type="expression" dxfId="469" priority="417">
      <formula>IF(OR(#REF!=INF,#REF!=ANN),1,0)</formula>
    </cfRule>
    <cfRule type="expression" dxfId="468" priority="418">
      <formula>IF(#REF!=NA,1,0)</formula>
    </cfRule>
  </conditionalFormatting>
  <conditionalFormatting sqref="A590:A592">
    <cfRule type="expression" dxfId="467" priority="415">
      <formula>IF(OR(#REF!=INF,#REF!=ANN),1,0)</formula>
    </cfRule>
    <cfRule type="expression" dxfId="466" priority="416">
      <formula>IF(#REF!=NA,1,0)</formula>
    </cfRule>
  </conditionalFormatting>
  <conditionalFormatting sqref="T590:T592">
    <cfRule type="expression" dxfId="465" priority="413">
      <formula>IF(OR(#REF!=INF,#REF!=ANN),1,0)</formula>
    </cfRule>
    <cfRule type="expression" dxfId="464" priority="414">
      <formula>IF(#REF!=NA,1,0)</formula>
    </cfRule>
  </conditionalFormatting>
  <conditionalFormatting sqref="U590:U592">
    <cfRule type="expression" dxfId="463" priority="411">
      <formula>IF(OR(#REF!=INF,#REF!=ANN),1,0)</formula>
    </cfRule>
    <cfRule type="expression" dxfId="462" priority="412">
      <formula>IF(#REF!=NA,1,0)</formula>
    </cfRule>
  </conditionalFormatting>
  <conditionalFormatting sqref="X590:X592">
    <cfRule type="expression" dxfId="461" priority="409">
      <formula>IF(OR(#REF!=INF,#REF!=ANN),1,0)</formula>
    </cfRule>
    <cfRule type="expression" dxfId="460" priority="410">
      <formula>IF(#REF!=NA,1,0)</formula>
    </cfRule>
  </conditionalFormatting>
  <conditionalFormatting sqref="Y590:Y592">
    <cfRule type="expression" dxfId="459" priority="407">
      <formula>IF(OR(#REF!=INF,#REF!=ANN),1,0)</formula>
    </cfRule>
    <cfRule type="expression" dxfId="458" priority="408">
      <formula>IF(#REF!=NA,1,0)</formula>
    </cfRule>
  </conditionalFormatting>
  <conditionalFormatting sqref="Z590:Z592">
    <cfRule type="expression" dxfId="457" priority="405">
      <formula>IF(OR(#REF!=INF,#REF!=ANN),1,0)</formula>
    </cfRule>
    <cfRule type="expression" dxfId="456" priority="406">
      <formula>IF(#REF!=NA,1,0)</formula>
    </cfRule>
  </conditionalFormatting>
  <conditionalFormatting sqref="AA590:AA592">
    <cfRule type="expression" dxfId="455" priority="403">
      <formula>IF(OR(#REF!=INF,#REF!=ANN),1,0)</formula>
    </cfRule>
    <cfRule type="expression" dxfId="454" priority="404">
      <formula>IF(#REF!=NA,1,0)</formula>
    </cfRule>
  </conditionalFormatting>
  <conditionalFormatting sqref="AB590:AB592">
    <cfRule type="expression" dxfId="453" priority="401">
      <formula>IF(OR(#REF!=INF,#REF!=ANN),1,0)</formula>
    </cfRule>
    <cfRule type="expression" dxfId="452" priority="402">
      <formula>IF(#REF!=NA,1,0)</formula>
    </cfRule>
  </conditionalFormatting>
  <conditionalFormatting sqref="Y606:Y609 Z599:Z605 AC590:AC592">
    <cfRule type="expression" dxfId="451" priority="399">
      <formula>IF(OR(#REF!=INF,#REF!=ANN),1,0)</formula>
    </cfRule>
  </conditionalFormatting>
  <conditionalFormatting sqref="AC590:AC592">
    <cfRule type="expression" dxfId="450" priority="400">
      <formula>IF(#REF!=NA,1,0)</formula>
    </cfRule>
  </conditionalFormatting>
  <conditionalFormatting sqref="AD590:AD592">
    <cfRule type="expression" dxfId="449" priority="397">
      <formula>IF(OR(#REF!=INF,#REF!=ANN),1,0)</formula>
    </cfRule>
    <cfRule type="expression" dxfId="448" priority="398">
      <formula>IF(#REF!=NA,1,0)</formula>
    </cfRule>
  </conditionalFormatting>
  <conditionalFormatting sqref="AM590:AM592">
    <cfRule type="expression" dxfId="447" priority="395">
      <formula>IF(OR(#REF!=INF,#REF!=ANN),1,0)</formula>
    </cfRule>
    <cfRule type="expression" dxfId="446" priority="396">
      <formula>IF(#REF!=NA,1,0)</formula>
    </cfRule>
  </conditionalFormatting>
  <conditionalFormatting sqref="Q594:S594 AE593:AF594">
    <cfRule type="expression" dxfId="445" priority="393">
      <formula>IF(OR(#REF!=INF,#REF!=ANN),1,0)</formula>
    </cfRule>
    <cfRule type="expression" dxfId="444" priority="394">
      <formula>IF(#REF!=NA,1,0)</formula>
    </cfRule>
  </conditionalFormatting>
  <conditionalFormatting sqref="AM593:AM594">
    <cfRule type="expression" dxfId="443" priority="391">
      <formula>IF(OR(#REF!=INF,#REF!=ANN),1,0)</formula>
    </cfRule>
    <cfRule type="expression" dxfId="442" priority="392">
      <formula>IF(#REF!=NA,1,0)</formula>
    </cfRule>
  </conditionalFormatting>
  <conditionalFormatting sqref="V593:W593 V594">
    <cfRule type="expression" dxfId="441" priority="389">
      <formula>IF(OR(#REF!=INF,#REF!=ANN),1,0)</formula>
    </cfRule>
    <cfRule type="expression" dxfId="440" priority="390">
      <formula>IF(#REF!=NA,1,0)</formula>
    </cfRule>
  </conditionalFormatting>
  <conditionalFormatting sqref="T593:T594">
    <cfRule type="expression" dxfId="439" priority="387">
      <formula>IF(OR(#REF!=INF,#REF!=ANN),1,0)</formula>
    </cfRule>
    <cfRule type="expression" dxfId="438" priority="388">
      <formula>IF(#REF!=NA,1,0)</formula>
    </cfRule>
  </conditionalFormatting>
  <conditionalFormatting sqref="U593:U594">
    <cfRule type="expression" dxfId="437" priority="385">
      <formula>IF(OR(#REF!=INF,#REF!=ANN),1,0)</formula>
    </cfRule>
    <cfRule type="expression" dxfId="436" priority="386">
      <formula>IF(#REF!=NA,1,0)</formula>
    </cfRule>
  </conditionalFormatting>
  <conditionalFormatting sqref="X593:X594">
    <cfRule type="expression" dxfId="435" priority="383">
      <formula>IF(OR(#REF!=INF,#REF!=ANN),1,0)</formula>
    </cfRule>
    <cfRule type="expression" dxfId="434" priority="384">
      <formula>IF(#REF!=NA,1,0)</formula>
    </cfRule>
  </conditionalFormatting>
  <conditionalFormatting sqref="Y593:Y594">
    <cfRule type="expression" dxfId="433" priority="381">
      <formula>IF(OR(#REF!=INF,#REF!=ANN),1,0)</formula>
    </cfRule>
    <cfRule type="expression" dxfId="432" priority="382">
      <formula>IF(#REF!=NA,1,0)</formula>
    </cfRule>
  </conditionalFormatting>
  <conditionalFormatting sqref="Z593:Z594">
    <cfRule type="expression" dxfId="431" priority="379">
      <formula>IF(OR(#REF!=INF,#REF!=ANN),1,0)</formula>
    </cfRule>
    <cfRule type="expression" dxfId="430" priority="380">
      <formula>IF(#REF!=NA,1,0)</formula>
    </cfRule>
  </conditionalFormatting>
  <conditionalFormatting sqref="AA593:AA594">
    <cfRule type="expression" dxfId="429" priority="377">
      <formula>IF(OR(#REF!=INF,#REF!=ANN),1,0)</formula>
    </cfRule>
    <cfRule type="expression" dxfId="428" priority="378">
      <formula>IF(#REF!=NA,1,0)</formula>
    </cfRule>
  </conditionalFormatting>
  <conditionalFormatting sqref="AB593:AB594">
    <cfRule type="expression" dxfId="427" priority="375">
      <formula>IF(OR(#REF!=INF,#REF!=ANN),1,0)</formula>
    </cfRule>
    <cfRule type="expression" dxfId="426" priority="376">
      <formula>IF(#REF!=NA,1,0)</formula>
    </cfRule>
  </conditionalFormatting>
  <conditionalFormatting sqref="AC593">
    <cfRule type="expression" dxfId="425" priority="373">
      <formula>IF(OR(#REF!=INF,#REF!=ANN),1,0)</formula>
    </cfRule>
    <cfRule type="expression" dxfId="424" priority="374">
      <formula>IF(#REF!=NA,1,0)</formula>
    </cfRule>
  </conditionalFormatting>
  <conditionalFormatting sqref="AD593">
    <cfRule type="expression" dxfId="423" priority="371">
      <formula>IF(OR(#REF!=INF,#REF!=ANN),1,0)</formula>
    </cfRule>
    <cfRule type="expression" dxfId="422" priority="372">
      <formula>IF(#REF!=NA,1,0)</formula>
    </cfRule>
  </conditionalFormatting>
  <conditionalFormatting sqref="A593:A594">
    <cfRule type="expression" dxfId="421" priority="369">
      <formula>IF(OR(#REF!=INF,#REF!=ANN),1,0)</formula>
    </cfRule>
    <cfRule type="expression" dxfId="420" priority="370">
      <formula>IF(#REF!=NA,1,0)</formula>
    </cfRule>
  </conditionalFormatting>
  <conditionalFormatting sqref="M585:M587">
    <cfRule type="expression" dxfId="419" priority="367">
      <formula>IF(OR(#REF!=INF,#REF!=ANN),1,0)</formula>
    </cfRule>
    <cfRule type="expression" dxfId="418" priority="368">
      <formula>IF(#REF!=NA,1,0)</formula>
    </cfRule>
  </conditionalFormatting>
  <conditionalFormatting sqref="I590 I592">
    <cfRule type="expression" dxfId="417" priority="365">
      <formula>IF(OR(#REF!=INF,#REF!=ANN),1,0)</formula>
    </cfRule>
    <cfRule type="expression" dxfId="416" priority="366">
      <formula>IF(#REF!=NA,1,0)</formula>
    </cfRule>
  </conditionalFormatting>
  <conditionalFormatting sqref="K592:M592">
    <cfRule type="expression" dxfId="415" priority="363">
      <formula>IF(OR(#REF!=INF,#REF!=ANN),1,0)</formula>
    </cfRule>
    <cfRule type="expression" dxfId="414" priority="364">
      <formula>IF(#REF!=NA,1,0)</formula>
    </cfRule>
  </conditionalFormatting>
  <conditionalFormatting sqref="Q592">
    <cfRule type="expression" dxfId="413" priority="361">
      <formula>IF(OR(#REF!=INF,#REF!=ANN),1,0)</formula>
    </cfRule>
    <cfRule type="expression" dxfId="412" priority="362">
      <formula>IF(#REF!=NA,1,0)</formula>
    </cfRule>
  </conditionalFormatting>
  <conditionalFormatting sqref="M591">
    <cfRule type="expression" dxfId="411" priority="357">
      <formula>IF(OR(#REF!=INF,#REF!=ANN),1,0)</formula>
    </cfRule>
    <cfRule type="expression" dxfId="410" priority="358">
      <formula>IF(#REF!=NA,1,0)</formula>
    </cfRule>
  </conditionalFormatting>
  <conditionalFormatting sqref="N591:P591">
    <cfRule type="expression" dxfId="409" priority="355">
      <formula>IF(OR(#REF!=INF,#REF!=ANN),1,0)</formula>
    </cfRule>
    <cfRule type="expression" dxfId="408" priority="356">
      <formula>IF(#REF!=NA,1,0)</formula>
    </cfRule>
  </conditionalFormatting>
  <conditionalFormatting sqref="W591">
    <cfRule type="expression" dxfId="407" priority="353">
      <formula>IF(OR(#REF!=INF,#REF!=ANN),1,0)</formula>
    </cfRule>
    <cfRule type="expression" dxfId="406" priority="354">
      <formula>IF(#REF!=NA,1,0)</formula>
    </cfRule>
  </conditionalFormatting>
  <conditionalFormatting sqref="A486">
    <cfRule type="expression" dxfId="405" priority="351">
      <formula>IF(OR(#REF!=INF,#REF!=ANN),1,0)</formula>
    </cfRule>
    <cfRule type="expression" dxfId="404" priority="352">
      <formula>IF(#REF!=NA,1,0)</formula>
    </cfRule>
  </conditionalFormatting>
  <conditionalFormatting sqref="A485">
    <cfRule type="expression" dxfId="403" priority="349">
      <formula>IF(OR(#REF!=INF,#REF!=ANN),1,0)</formula>
    </cfRule>
    <cfRule type="expression" dxfId="402" priority="350">
      <formula>IF(#REF!=NA,1,0)</formula>
    </cfRule>
  </conditionalFormatting>
  <conditionalFormatting sqref="M10:M60">
    <cfRule type="expression" dxfId="401" priority="341">
      <formula>IF(OR(#REF!=INF,#REF!=ANN),1,0)</formula>
    </cfRule>
    <cfRule type="expression" dxfId="400" priority="342">
      <formula>IF(#REF!=NA,1,0)</formula>
    </cfRule>
  </conditionalFormatting>
  <conditionalFormatting sqref="M553 M566">
    <cfRule type="expression" dxfId="399" priority="339">
      <formula>IF(OR(#REF!=INF,#REF!=ANN),1,0)</formula>
    </cfRule>
    <cfRule type="expression" dxfId="398" priority="340">
      <formula>IF(#REF!=NA,1,0)</formula>
    </cfRule>
  </conditionalFormatting>
  <conditionalFormatting sqref="M435:M438">
    <cfRule type="expression" dxfId="397" priority="337">
      <formula>IF(OR(#REF!=INF,#REF!=ANN),1,0)</formula>
    </cfRule>
    <cfRule type="expression" dxfId="396" priority="338">
      <formula>IF(#REF!=NA,1,0)</formula>
    </cfRule>
  </conditionalFormatting>
  <conditionalFormatting sqref="K510:L510">
    <cfRule type="expression" dxfId="395" priority="335">
      <formula>IF(OR(#REF!=INF,#REF!=ANN),1,0)</formula>
    </cfRule>
    <cfRule type="expression" dxfId="394" priority="336">
      <formula>IF(#REF!=NA,1,0)</formula>
    </cfRule>
  </conditionalFormatting>
  <conditionalFormatting sqref="M510">
    <cfRule type="expression" dxfId="393" priority="333">
      <formula>IF(OR(#REF!=INF,#REF!=ANN),1,0)</formula>
    </cfRule>
    <cfRule type="expression" dxfId="392" priority="334">
      <formula>IF(#REF!=NA,1,0)</formula>
    </cfRule>
  </conditionalFormatting>
  <conditionalFormatting sqref="A553:A566">
    <cfRule type="expression" dxfId="391" priority="331">
      <formula>IF(OR(#REF!=INF,#REF!=ANN),1,0)</formula>
    </cfRule>
    <cfRule type="expression" dxfId="390" priority="332">
      <formula>IF(#REF!=NA,1,0)</formula>
    </cfRule>
  </conditionalFormatting>
  <conditionalFormatting sqref="AM510:AM512">
    <cfRule type="expression" dxfId="389" priority="329">
      <formula>IF(OR(#REF!=INF,#REF!=ANN),1,0)</formula>
    </cfRule>
    <cfRule type="expression" dxfId="388" priority="330">
      <formula>IF(#REF!=NA,1,0)</formula>
    </cfRule>
  </conditionalFormatting>
  <conditionalFormatting sqref="M4:M8">
    <cfRule type="expression" dxfId="387" priority="327">
      <formula>IF(OR(#REF!=INF,#REF!=ANN),1,0)</formula>
    </cfRule>
    <cfRule type="expression" dxfId="386" priority="328">
      <formula>IF(#REF!=NA,1,0)</formula>
    </cfRule>
  </conditionalFormatting>
  <conditionalFormatting sqref="M89:M97">
    <cfRule type="expression" dxfId="385" priority="325">
      <formula>IF(OR(#REF!=INF,#REF!=ANN),1,0)</formula>
    </cfRule>
    <cfRule type="expression" dxfId="384" priority="326">
      <formula>IF(#REF!=NA,1,0)</formula>
    </cfRule>
  </conditionalFormatting>
  <conditionalFormatting sqref="K364:L364">
    <cfRule type="expression" dxfId="383" priority="323">
      <formula>IF(OR(#REF!=INF,#REF!=ANN),1,0)</formula>
    </cfRule>
    <cfRule type="expression" dxfId="382" priority="324">
      <formula>IF(#REF!=NA,1,0)</formula>
    </cfRule>
  </conditionalFormatting>
  <conditionalFormatting sqref="M364:M365">
    <cfRule type="expression" dxfId="381" priority="321">
      <formula>IF(OR(#REF!=INF,#REF!=ANN),1,0)</formula>
    </cfRule>
    <cfRule type="expression" dxfId="380" priority="322">
      <formula>IF(#REF!=NA,1,0)</formula>
    </cfRule>
  </conditionalFormatting>
  <conditionalFormatting sqref="M394">
    <cfRule type="expression" dxfId="379" priority="319">
      <formula>IF(OR(#REF!=INF,#REF!=ANN),1,0)</formula>
    </cfRule>
    <cfRule type="expression" dxfId="378" priority="320">
      <formula>IF(#REF!=NA,1,0)</formula>
    </cfRule>
  </conditionalFormatting>
  <conditionalFormatting sqref="M565">
    <cfRule type="expression" dxfId="377" priority="317">
      <formula>IF(OR(#REF!=INF,#REF!=ANN),1,0)</formula>
    </cfRule>
    <cfRule type="expression" dxfId="376" priority="318">
      <formula>IF(#REF!=NA,1,0)</formula>
    </cfRule>
  </conditionalFormatting>
  <conditionalFormatting sqref="V356:X356">
    <cfRule type="expression" dxfId="375" priority="315">
      <formula>IF(OR(#REF!=INF,#REF!=ANN),1,0)</formula>
    </cfRule>
    <cfRule type="expression" dxfId="374" priority="316">
      <formula>IF(#REF!=NA,1,0)</formula>
    </cfRule>
  </conditionalFormatting>
  <conditionalFormatting sqref="V355:X355">
    <cfRule type="expression" dxfId="373" priority="313">
      <formula>IF(OR(#REF!=INF,#REF!=ANN),1,0)</formula>
    </cfRule>
    <cfRule type="expression" dxfId="372" priority="314">
      <formula>IF(#REF!=NA,1,0)</formula>
    </cfRule>
  </conditionalFormatting>
  <conditionalFormatting sqref="A185:A239">
    <cfRule type="expression" dxfId="371" priority="311">
      <formula>IF(OR(#REF!=INF,#REF!=ANN),1,0)</formula>
    </cfRule>
    <cfRule type="expression" dxfId="370" priority="312">
      <formula>IF(#REF!=NA,1,0)</formula>
    </cfRule>
  </conditionalFormatting>
  <conditionalFormatting sqref="A477:A484">
    <cfRule type="expression" dxfId="369" priority="309">
      <formula>IF(OR(#REF!=INF,#REF!=ANN),1,0)</formula>
    </cfRule>
    <cfRule type="expression" dxfId="368" priority="310">
      <formula>IF(#REF!=NA,1,0)</formula>
    </cfRule>
  </conditionalFormatting>
  <conditionalFormatting sqref="A487">
    <cfRule type="expression" dxfId="367" priority="307">
      <formula>IF(OR(#REF!=INF,#REF!=ANN),1,0)</formula>
    </cfRule>
    <cfRule type="expression" dxfId="366" priority="308">
      <formula>IF(#REF!=NA,1,0)</formula>
    </cfRule>
  </conditionalFormatting>
  <conditionalFormatting sqref="A488:A501">
    <cfRule type="expression" dxfId="365" priority="305">
      <formula>IF(OR(#REF!=INF,#REF!=ANN),1,0)</formula>
    </cfRule>
    <cfRule type="expression" dxfId="364" priority="306">
      <formula>IF(#REF!=NA,1,0)</formula>
    </cfRule>
  </conditionalFormatting>
  <conditionalFormatting sqref="M446:M476">
    <cfRule type="expression" dxfId="363" priority="303">
      <formula>IF(OR(#REF!=INF,#REF!=ANN),1,0)</formula>
    </cfRule>
    <cfRule type="expression" dxfId="362" priority="304">
      <formula>IF(#REF!=NA,1,0)</formula>
    </cfRule>
  </conditionalFormatting>
  <conditionalFormatting sqref="M478">
    <cfRule type="expression" dxfId="361" priority="301">
      <formula>IF(OR(#REF!=INF,#REF!=ANN),1,0)</formula>
    </cfRule>
    <cfRule type="expression" dxfId="360" priority="302">
      <formula>IF(#REF!=NA,1,0)</formula>
    </cfRule>
  </conditionalFormatting>
  <conditionalFormatting sqref="M480">
    <cfRule type="expression" dxfId="359" priority="299">
      <formula>IF(OR(#REF!=INF,#REF!=ANN),1,0)</formula>
    </cfRule>
    <cfRule type="expression" dxfId="358" priority="300">
      <formula>IF(#REF!=NA,1,0)</formula>
    </cfRule>
  </conditionalFormatting>
  <conditionalFormatting sqref="A1:AM1">
    <cfRule type="expression" dxfId="357" priority="590">
      <formula>IF(OR($G1=INF,$G1=ANN),1,0)</formula>
    </cfRule>
    <cfRule type="expression" dxfId="356" priority="591">
      <formula>IF($G1046854=NA,1,0)</formula>
    </cfRule>
  </conditionalFormatting>
  <conditionalFormatting sqref="A94:A107">
    <cfRule type="expression" dxfId="355" priority="297">
      <formula>IF(OR(#REF!=INF,#REF!=ANN),1,0)</formula>
    </cfRule>
    <cfRule type="expression" dxfId="354" priority="298">
      <formula>IF(#REF!=NA,1,0)</formula>
    </cfRule>
  </conditionalFormatting>
  <conditionalFormatting sqref="M594">
    <cfRule type="expression" dxfId="353" priority="295">
      <formula>IF(OR(#REF!=INF,#REF!=ANN),1,0)</formula>
    </cfRule>
    <cfRule type="expression" dxfId="352" priority="296">
      <formula>IF(#REF!=NA,1,0)</formula>
    </cfRule>
  </conditionalFormatting>
  <conditionalFormatting sqref="N594:P594">
    <cfRule type="expression" dxfId="351" priority="293">
      <formula>IF(OR(#REF!=INF,#REF!=ANN),1,0)</formula>
    </cfRule>
    <cfRule type="expression" dxfId="350" priority="294">
      <formula>IF(#REF!=NA,1,0)</formula>
    </cfRule>
  </conditionalFormatting>
  <conditionalFormatting sqref="W594">
    <cfRule type="expression" dxfId="349" priority="291">
      <formula>IF(OR(#REF!=INF,#REF!=ANN),1,0)</formula>
    </cfRule>
    <cfRule type="expression" dxfId="348" priority="292">
      <formula>IF(#REF!=NA,1,0)</formula>
    </cfRule>
  </conditionalFormatting>
  <conditionalFormatting sqref="AC594">
    <cfRule type="expression" dxfId="347" priority="289">
      <formula>IF(OR(#REF!=INF,#REF!=ANN),1,0)</formula>
    </cfRule>
    <cfRule type="expression" dxfId="346" priority="290">
      <formula>IF(#REF!=NA,1,0)</formula>
    </cfRule>
  </conditionalFormatting>
  <conditionalFormatting sqref="AD594">
    <cfRule type="expression" dxfId="345" priority="287">
      <formula>IF(OR(#REF!=INF,#REF!=ANN),1,0)</formula>
    </cfRule>
    <cfRule type="expression" dxfId="344" priority="288">
      <formula>IF(#REF!=NA,1,0)</formula>
    </cfRule>
  </conditionalFormatting>
  <conditionalFormatting sqref="Q595:S598 AE595:AF598">
    <cfRule type="expression" dxfId="343" priority="285">
      <formula>IF(OR(#REF!=INF,#REF!=ANN),1,0)</formula>
    </cfRule>
    <cfRule type="expression" dxfId="342" priority="286">
      <formula>IF(#REF!=NA,1,0)</formula>
    </cfRule>
  </conditionalFormatting>
  <conditionalFormatting sqref="AM595:AM598">
    <cfRule type="expression" dxfId="341" priority="283">
      <formula>IF(OR(#REF!=INF,#REF!=ANN),1,0)</formula>
    </cfRule>
    <cfRule type="expression" dxfId="340" priority="284">
      <formula>IF(#REF!=NA,1,0)</formula>
    </cfRule>
  </conditionalFormatting>
  <conditionalFormatting sqref="V595:V598">
    <cfRule type="expression" dxfId="339" priority="281">
      <formula>IF(OR(#REF!=INF,#REF!=ANN),1,0)</formula>
    </cfRule>
    <cfRule type="expression" dxfId="338" priority="282">
      <formula>IF(#REF!=NA,1,0)</formula>
    </cfRule>
  </conditionalFormatting>
  <conditionalFormatting sqref="T595:T598">
    <cfRule type="expression" dxfId="337" priority="279">
      <formula>IF(OR(#REF!=INF,#REF!=ANN),1,0)</formula>
    </cfRule>
    <cfRule type="expression" dxfId="336" priority="280">
      <formula>IF(#REF!=NA,1,0)</formula>
    </cfRule>
  </conditionalFormatting>
  <conditionalFormatting sqref="U595:U598">
    <cfRule type="expression" dxfId="335" priority="277">
      <formula>IF(OR(#REF!=INF,#REF!=ANN),1,0)</formula>
    </cfRule>
    <cfRule type="expression" dxfId="334" priority="278">
      <formula>IF(#REF!=NA,1,0)</formula>
    </cfRule>
  </conditionalFormatting>
  <conditionalFormatting sqref="X595:X598">
    <cfRule type="expression" dxfId="333" priority="275">
      <formula>IF(OR(#REF!=INF,#REF!=ANN),1,0)</formula>
    </cfRule>
    <cfRule type="expression" dxfId="332" priority="276">
      <formula>IF(#REF!=NA,1,0)</formula>
    </cfRule>
  </conditionalFormatting>
  <conditionalFormatting sqref="Y595:Y598">
    <cfRule type="expression" dxfId="331" priority="273">
      <formula>IF(OR(#REF!=INF,#REF!=ANN),1,0)</formula>
    </cfRule>
    <cfRule type="expression" dxfId="330" priority="274">
      <formula>IF(#REF!=NA,1,0)</formula>
    </cfRule>
  </conditionalFormatting>
  <conditionalFormatting sqref="Z595:Z598">
    <cfRule type="expression" dxfId="329" priority="271">
      <formula>IF(OR(#REF!=INF,#REF!=ANN),1,0)</formula>
    </cfRule>
    <cfRule type="expression" dxfId="328" priority="272">
      <formula>IF(#REF!=NA,1,0)</formula>
    </cfRule>
  </conditionalFormatting>
  <conditionalFormatting sqref="AB595:AB598">
    <cfRule type="expression" dxfId="327" priority="267">
      <formula>IF(OR(#REF!=INF,#REF!=ANN),1,0)</formula>
    </cfRule>
    <cfRule type="expression" dxfId="326" priority="268">
      <formula>IF(#REF!=NA,1,0)</formula>
    </cfRule>
  </conditionalFormatting>
  <conditionalFormatting sqref="A595:A598">
    <cfRule type="expression" dxfId="325" priority="265">
      <formula>IF(OR(#REF!=INF,#REF!=ANN),1,0)</formula>
    </cfRule>
    <cfRule type="expression" dxfId="324" priority="266">
      <formula>IF(#REF!=NA,1,0)</formula>
    </cfRule>
  </conditionalFormatting>
  <conditionalFormatting sqref="M595:M598">
    <cfRule type="expression" dxfId="323" priority="263">
      <formula>IF(OR(#REF!=INF,#REF!=ANN),1,0)</formula>
    </cfRule>
    <cfRule type="expression" dxfId="322" priority="264">
      <formula>IF(#REF!=NA,1,0)</formula>
    </cfRule>
  </conditionalFormatting>
  <conditionalFormatting sqref="N595:P598">
    <cfRule type="expression" dxfId="321" priority="261">
      <formula>IF(OR(#REF!=INF,#REF!=ANN),1,0)</formula>
    </cfRule>
    <cfRule type="expression" dxfId="320" priority="262">
      <formula>IF(#REF!=NA,1,0)</formula>
    </cfRule>
  </conditionalFormatting>
  <conditionalFormatting sqref="W596:W598">
    <cfRule type="expression" dxfId="319" priority="259">
      <formula>IF(OR(#REF!=INF,#REF!=ANN),1,0)</formula>
    </cfRule>
    <cfRule type="expression" dxfId="318" priority="260">
      <formula>IF(#REF!=NA,1,0)</formula>
    </cfRule>
  </conditionalFormatting>
  <conditionalFormatting sqref="AC595">
    <cfRule type="expression" dxfId="317" priority="253">
      <formula>IF(OR(#REF!=INF,#REF!=ANN),1,0)</formula>
    </cfRule>
    <cfRule type="expression" dxfId="316" priority="254">
      <formula>IF(#REF!=NA,1,0)</formula>
    </cfRule>
  </conditionalFormatting>
  <conditionalFormatting sqref="AA595:AA597">
    <cfRule type="expression" dxfId="315" priority="251">
      <formula>IF(OR(#REF!=INF,#REF!=ANN),1,0)</formula>
    </cfRule>
    <cfRule type="expression" dxfId="314" priority="252">
      <formula>IF(#REF!=NA,1,0)</formula>
    </cfRule>
  </conditionalFormatting>
  <conditionalFormatting sqref="AD595">
    <cfRule type="expression" dxfId="313" priority="249">
      <formula>IF(OR(#REF!=INF,#REF!=ANN),1,0)</formula>
    </cfRule>
    <cfRule type="expression" dxfId="312" priority="250">
      <formula>IF(#REF!=NA,1,0)</formula>
    </cfRule>
  </conditionalFormatting>
  <conditionalFormatting sqref="B596">
    <cfRule type="expression" dxfId="311" priority="247">
      <formula>IF(OR(#REF!=INF,#REF!=ANN),1,0)</formula>
    </cfRule>
    <cfRule type="expression" dxfId="310" priority="248">
      <formula>IF(#REF!=NA,1,0)</formula>
    </cfRule>
  </conditionalFormatting>
  <conditionalFormatting sqref="AC596">
    <cfRule type="expression" dxfId="309" priority="245">
      <formula>IF(OR(#REF!=INF,#REF!=ANN),1,0)</formula>
    </cfRule>
    <cfRule type="expression" dxfId="308" priority="246">
      <formula>IF(#REF!=NA,1,0)</formula>
    </cfRule>
  </conditionalFormatting>
  <conditionalFormatting sqref="AD596">
    <cfRule type="expression" dxfId="307" priority="243">
      <formula>IF(OR(#REF!=INF,#REF!=ANN),1,0)</formula>
    </cfRule>
    <cfRule type="expression" dxfId="306" priority="244">
      <formula>IF(#REF!=NA,1,0)</formula>
    </cfRule>
  </conditionalFormatting>
  <conditionalFormatting sqref="B597:B598">
    <cfRule type="expression" dxfId="305" priority="241">
      <formula>IF(OR(#REF!=INF,#REF!=ANN),1,0)</formula>
    </cfRule>
    <cfRule type="expression" dxfId="304" priority="242">
      <formula>IF(#REF!=NA,1,0)</formula>
    </cfRule>
  </conditionalFormatting>
  <conditionalFormatting sqref="AC597">
    <cfRule type="expression" dxfId="303" priority="239">
      <formula>IF(OR(#REF!=INF,#REF!=ANN),1,0)</formula>
    </cfRule>
    <cfRule type="expression" dxfId="302" priority="240">
      <formula>IF(#REF!=NA,1,0)</formula>
    </cfRule>
  </conditionalFormatting>
  <conditionalFormatting sqref="AD597">
    <cfRule type="expression" dxfId="301" priority="237">
      <formula>IF(OR(#REF!=INF,#REF!=ANN),1,0)</formula>
    </cfRule>
    <cfRule type="expression" dxfId="300" priority="238">
      <formula>IF(#REF!=NA,1,0)</formula>
    </cfRule>
  </conditionalFormatting>
  <conditionalFormatting sqref="AC598">
    <cfRule type="expression" dxfId="299" priority="235">
      <formula>IF(OR(#REF!=INF,#REF!=ANN),1,0)</formula>
    </cfRule>
    <cfRule type="expression" dxfId="298" priority="236">
      <formula>IF(#REF!=NA,1,0)</formula>
    </cfRule>
  </conditionalFormatting>
  <conditionalFormatting sqref="AA598">
    <cfRule type="expression" dxfId="297" priority="233">
      <formula>IF(OR(#REF!=INF,#REF!=ANN),1,0)</formula>
    </cfRule>
    <cfRule type="expression" dxfId="296" priority="234">
      <formula>IF(#REF!=NA,1,0)</formula>
    </cfRule>
  </conditionalFormatting>
  <conditionalFormatting sqref="AD598">
    <cfRule type="expression" dxfId="295" priority="231">
      <formula>IF(OR(#REF!=INF,#REF!=ANN),1,0)</formula>
    </cfRule>
    <cfRule type="expression" dxfId="294" priority="232">
      <formula>IF(#REF!=NA,1,0)</formula>
    </cfRule>
  </conditionalFormatting>
  <conditionalFormatting sqref="B605:H609 K605:L609 Q599:S601 R602:S609 AE599:AF609">
    <cfRule type="expression" dxfId="293" priority="229">
      <formula>IF(OR(#REF!=INF,#REF!=ANN),1,0)</formula>
    </cfRule>
    <cfRule type="expression" dxfId="292" priority="230">
      <formula>IF(#REF!=NA,1,0)</formula>
    </cfRule>
  </conditionalFormatting>
  <conditionalFormatting sqref="AM599:AM609">
    <cfRule type="expression" dxfId="291" priority="227">
      <formula>IF(OR(#REF!=INF,#REF!=ANN),1,0)</formula>
    </cfRule>
    <cfRule type="expression" dxfId="290" priority="228">
      <formula>IF(#REF!=NA,1,0)</formula>
    </cfRule>
  </conditionalFormatting>
  <conditionalFormatting sqref="V599:V600">
    <cfRule type="expression" dxfId="289" priority="225">
      <formula>IF(OR(#REF!=INF,#REF!=ANN),1,0)</formula>
    </cfRule>
    <cfRule type="expression" dxfId="288" priority="226">
      <formula>IF(#REF!=NA,1,0)</formula>
    </cfRule>
  </conditionalFormatting>
  <conditionalFormatting sqref="T599:T609">
    <cfRule type="expression" dxfId="287" priority="223">
      <formula>IF(OR(#REF!=INF,#REF!=ANN),1,0)</formula>
    </cfRule>
    <cfRule type="expression" dxfId="286" priority="224">
      <formula>IF(#REF!=NA,1,0)</formula>
    </cfRule>
  </conditionalFormatting>
  <conditionalFormatting sqref="U599:U609">
    <cfRule type="expression" dxfId="285" priority="221">
      <formula>IF(OR(#REF!=INF,#REF!=ANN),1,0)</formula>
    </cfRule>
    <cfRule type="expression" dxfId="284" priority="222">
      <formula>IF(#REF!=NA,1,0)</formula>
    </cfRule>
  </conditionalFormatting>
  <conditionalFormatting sqref="X599:X609">
    <cfRule type="expression" dxfId="283" priority="219">
      <formula>IF(OR(#REF!=INF,#REF!=ANN),1,0)</formula>
    </cfRule>
    <cfRule type="expression" dxfId="282" priority="220">
      <formula>IF(#REF!=NA,1,0)</formula>
    </cfRule>
  </conditionalFormatting>
  <conditionalFormatting sqref="Y599:Y605">
    <cfRule type="expression" dxfId="281" priority="217">
      <formula>IF(OR(#REF!=INF,#REF!=ANN),1,0)</formula>
    </cfRule>
    <cfRule type="expression" dxfId="280" priority="218">
      <formula>IF(#REF!=NA,1,0)</formula>
    </cfRule>
  </conditionalFormatting>
  <conditionalFormatting sqref="AB599">
    <cfRule type="expression" dxfId="279" priority="213">
      <formula>IF(OR(#REF!=INF,#REF!=ANN),1,0)</formula>
    </cfRule>
    <cfRule type="expression" dxfId="278" priority="214">
      <formula>IF(#REF!=NA,1,0)</formula>
    </cfRule>
  </conditionalFormatting>
  <conditionalFormatting sqref="A599:A609">
    <cfRule type="expression" dxfId="277" priority="211">
      <formula>IF(OR(#REF!=INF,#REF!=ANN),1,0)</formula>
    </cfRule>
    <cfRule type="expression" dxfId="276" priority="212">
      <formula>IF(#REF!=NA,1,0)</formula>
    </cfRule>
  </conditionalFormatting>
  <conditionalFormatting sqref="M599:M600">
    <cfRule type="expression" dxfId="275" priority="209">
      <formula>IF(OR(#REF!=INF,#REF!=ANN),1,0)</formula>
    </cfRule>
    <cfRule type="expression" dxfId="274" priority="210">
      <formula>IF(#REF!=NA,1,0)</formula>
    </cfRule>
  </conditionalFormatting>
  <conditionalFormatting sqref="N599:P600 P601:P603">
    <cfRule type="expression" dxfId="273" priority="207">
      <formula>IF(OR(#REF!=INF,#REF!=ANN),1,0)</formula>
    </cfRule>
    <cfRule type="expression" dxfId="272" priority="208">
      <formula>IF(#REF!=NA,1,0)</formula>
    </cfRule>
  </conditionalFormatting>
  <conditionalFormatting sqref="W599:W609">
    <cfRule type="expression" dxfId="271" priority="205">
      <formula>IF(OR(#REF!=INF,#REF!=ANN),1,0)</formula>
    </cfRule>
    <cfRule type="expression" dxfId="270" priority="206">
      <formula>IF(#REF!=NA,1,0)</formula>
    </cfRule>
  </conditionalFormatting>
  <conditionalFormatting sqref="AC599">
    <cfRule type="expression" dxfId="269" priority="203">
      <formula>IF(OR(#REF!=INF,#REF!=ANN),1,0)</formula>
    </cfRule>
    <cfRule type="expression" dxfId="268" priority="204">
      <formula>IF(#REF!=NA,1,0)</formula>
    </cfRule>
  </conditionalFormatting>
  <conditionalFormatting sqref="AA599">
    <cfRule type="expression" dxfId="267" priority="201">
      <formula>IF(OR(#REF!=INF,#REF!=ANN),1,0)</formula>
    </cfRule>
    <cfRule type="expression" dxfId="266" priority="202">
      <formula>IF(#REF!=NA,1,0)</formula>
    </cfRule>
  </conditionalFormatting>
  <conditionalFormatting sqref="AD599">
    <cfRule type="expression" dxfId="265" priority="199">
      <formula>IF(OR(#REF!=INF,#REF!=ANN),1,0)</formula>
    </cfRule>
    <cfRule type="expression" dxfId="264" priority="200">
      <formula>IF(#REF!=NA,1,0)</formula>
    </cfRule>
  </conditionalFormatting>
  <conditionalFormatting sqref="AA600:AA608">
    <cfRule type="expression" dxfId="263" priority="197">
      <formula>IF(OR(#REF!=INF,#REF!=ANN),1,0)</formula>
    </cfRule>
    <cfRule type="expression" dxfId="262" priority="198">
      <formula>IF(#REF!=NA,1,0)</formula>
    </cfRule>
  </conditionalFormatting>
  <conditionalFormatting sqref="AB600:AB604">
    <cfRule type="expression" dxfId="261" priority="195">
      <formula>IF(OR(#REF!=INF,#REF!=ANN),1,0)</formula>
    </cfRule>
    <cfRule type="expression" dxfId="260" priority="196">
      <formula>IF(#REF!=NA,1,0)</formula>
    </cfRule>
  </conditionalFormatting>
  <conditionalFormatting sqref="AC600:AC604">
    <cfRule type="expression" dxfId="259" priority="193">
      <formula>IF(OR(#REF!=INF,#REF!=ANN),1,0)</formula>
    </cfRule>
    <cfRule type="expression" dxfId="258" priority="194">
      <formula>IF(#REF!=NA,1,0)</formula>
    </cfRule>
  </conditionalFormatting>
  <conditionalFormatting sqref="AD600:AD604">
    <cfRule type="expression" dxfId="257" priority="191">
      <formula>IF(OR(#REF!=INF,#REF!=ANN),1,0)</formula>
    </cfRule>
    <cfRule type="expression" dxfId="256" priority="192">
      <formula>IF(#REF!=NA,1,0)</formula>
    </cfRule>
  </conditionalFormatting>
  <conditionalFormatting sqref="M601">
    <cfRule type="expression" dxfId="255" priority="189">
      <formula>IF(OR(#REF!=INF,#REF!=ANN),1,0)</formula>
    </cfRule>
    <cfRule type="expression" dxfId="254" priority="190">
      <formula>IF(#REF!=NA,1,0)</formula>
    </cfRule>
  </conditionalFormatting>
  <conditionalFormatting sqref="M602:M604">
    <cfRule type="expression" dxfId="253" priority="187">
      <formula>IF(OR(#REF!=INF,#REF!=ANN),1,0)</formula>
    </cfRule>
    <cfRule type="expression" dxfId="252" priority="188">
      <formula>IF(#REF!=NA,1,0)</formula>
    </cfRule>
  </conditionalFormatting>
  <conditionalFormatting sqref="O601">
    <cfRule type="expression" dxfId="251" priority="185">
      <formula>IF(OR(#REF!=INF,#REF!=ANN),1,0)</formula>
    </cfRule>
    <cfRule type="expression" dxfId="250" priority="186">
      <formula>IF(#REF!=NA,1,0)</formula>
    </cfRule>
  </conditionalFormatting>
  <conditionalFormatting sqref="N601">
    <cfRule type="expression" dxfId="249" priority="183">
      <formula>IF(OR(#REF!=INF,#REF!=ANN),1,0)</formula>
    </cfRule>
    <cfRule type="expression" dxfId="248" priority="184">
      <formula>IF(#REF!=NA,1,0)</formula>
    </cfRule>
  </conditionalFormatting>
  <conditionalFormatting sqref="N602:N603">
    <cfRule type="expression" dxfId="247" priority="177">
      <formula>IF(OR(#REF!=INF,#REF!=ANN),1,0)</formula>
    </cfRule>
    <cfRule type="expression" dxfId="246" priority="178">
      <formula>IF(#REF!=NA,1,0)</formula>
    </cfRule>
  </conditionalFormatting>
  <conditionalFormatting sqref="O602:O603">
    <cfRule type="expression" dxfId="245" priority="175">
      <formula>IF(OR(#REF!=INF,#REF!=ANN),1,0)</formula>
    </cfRule>
    <cfRule type="expression" dxfId="244" priority="176">
      <formula>IF(#REF!=NA,1,0)</formula>
    </cfRule>
  </conditionalFormatting>
  <conditionalFormatting sqref="Q602:Q609">
    <cfRule type="expression" dxfId="243" priority="173">
      <formula>IF(OR(#REF!=INF,#REF!=ANN),1,0)</formula>
    </cfRule>
    <cfRule type="expression" dxfId="242" priority="174">
      <formula>IF(#REF!=NA,1,0)</formula>
    </cfRule>
  </conditionalFormatting>
  <conditionalFormatting sqref="V601">
    <cfRule type="expression" dxfId="241" priority="171">
      <formula>IF(OR(#REF!=INF,#REF!=ANN),1,0)</formula>
    </cfRule>
    <cfRule type="expression" dxfId="240" priority="172">
      <formula>IF(#REF!=NA,1,0)</formula>
    </cfRule>
  </conditionalFormatting>
  <conditionalFormatting sqref="V602:V609">
    <cfRule type="expression" dxfId="239" priority="169">
      <formula>IF(OR(#REF!=INF,#REF!=ANN),1,0)</formula>
    </cfRule>
    <cfRule type="expression" dxfId="238" priority="170">
      <formula>IF(#REF!=NA,1,0)</formula>
    </cfRule>
  </conditionalFormatting>
  <conditionalFormatting sqref="O604">
    <cfRule type="expression" dxfId="237" priority="167">
      <formula>IF(OR(#REF!=INF,#REF!=ANN),1,0)</formula>
    </cfRule>
    <cfRule type="expression" dxfId="236" priority="168">
      <formula>IF(#REF!=NA,1,0)</formula>
    </cfRule>
  </conditionalFormatting>
  <conditionalFormatting sqref="N604">
    <cfRule type="expression" dxfId="235" priority="165">
      <formula>IF(OR(#REF!=INF,#REF!=ANN),1,0)</formula>
    </cfRule>
    <cfRule type="expression" dxfId="234" priority="166">
      <formula>IF(#REF!=NA,1,0)</formula>
    </cfRule>
  </conditionalFormatting>
  <conditionalFormatting sqref="P604">
    <cfRule type="expression" dxfId="233" priority="163">
      <formula>IF(OR(#REF!=INF,#REF!=ANN),1,0)</formula>
    </cfRule>
    <cfRule type="expression" dxfId="232" priority="164">
      <formula>IF(#REF!=NA,1,0)</formula>
    </cfRule>
  </conditionalFormatting>
  <conditionalFormatting sqref="I605:I609">
    <cfRule type="expression" dxfId="231" priority="161">
      <formula>IF(OR(#REF!=INF,#REF!=ANN),1,0)</formula>
    </cfRule>
    <cfRule type="expression" dxfId="230" priority="162">
      <formula>IF(#REF!=NA,1,0)</formula>
    </cfRule>
  </conditionalFormatting>
  <conditionalFormatting sqref="F605:F609">
    <cfRule type="expression" dxfId="229" priority="159">
      <formula>IF(OR(#REF!=INF,#REF!=ANN),1,0)</formula>
    </cfRule>
    <cfRule type="expression" dxfId="228" priority="160">
      <formula>IF(#REF!=NA,1,0)</formula>
    </cfRule>
  </conditionalFormatting>
  <conditionalFormatting sqref="M605:M609">
    <cfRule type="expression" dxfId="227" priority="157">
      <formula>IF(OR(#REF!=INF,#REF!=ANN),1,0)</formula>
    </cfRule>
    <cfRule type="expression" dxfId="226" priority="158">
      <formula>IF(#REF!=NA,1,0)</formula>
    </cfRule>
  </conditionalFormatting>
  <conditionalFormatting sqref="N605:P606 N607:O608">
    <cfRule type="expression" dxfId="225" priority="155">
      <formula>IF(OR(#REF!=INF,#REF!=ANN),1,0)</formula>
    </cfRule>
    <cfRule type="expression" dxfId="224" priority="156">
      <formula>IF(#REF!=NA,1,0)</formula>
    </cfRule>
  </conditionalFormatting>
  <conditionalFormatting sqref="AB605:AB609">
    <cfRule type="expression" dxfId="223" priority="153">
      <formula>IF(OR(#REF!=INF,#REF!=ANN),1,0)</formula>
    </cfRule>
    <cfRule type="expression" dxfId="222" priority="154">
      <formula>IF(#REF!=NA,1,0)</formula>
    </cfRule>
  </conditionalFormatting>
  <conditionalFormatting sqref="AC605">
    <cfRule type="expression" dxfId="221" priority="151">
      <formula>IF(OR(#REF!=INF,#REF!=ANN),1,0)</formula>
    </cfRule>
    <cfRule type="expression" dxfId="220" priority="152">
      <formula>IF(#REF!=NA,1,0)</formula>
    </cfRule>
  </conditionalFormatting>
  <conditionalFormatting sqref="AD605">
    <cfRule type="expression" dxfId="219" priority="149">
      <formula>IF(OR(#REF!=INF,#REF!=ANN),1,0)</formula>
    </cfRule>
    <cfRule type="expression" dxfId="218" priority="150">
      <formula>IF(#REF!=NA,1,0)</formula>
    </cfRule>
  </conditionalFormatting>
  <conditionalFormatting sqref="W594:W605">
    <cfRule type="expression" dxfId="217" priority="147">
      <formula>IF(OR(#REF!=INF,#REF!=ANN),1,0)</formula>
    </cfRule>
    <cfRule type="expression" dxfId="216" priority="148">
      <formula>IF(#REF!=NA,1,0)</formula>
    </cfRule>
  </conditionalFormatting>
  <conditionalFormatting sqref="AF581">
    <cfRule type="expression" dxfId="215" priority="145">
      <formula>IF(OR(#REF!=INF,#REF!=ANN),1,0)</formula>
    </cfRule>
    <cfRule type="expression" dxfId="214" priority="146">
      <formula>IF(#REF!=NA,1,0)</formula>
    </cfRule>
  </conditionalFormatting>
  <conditionalFormatting sqref="Z606:Z609">
    <cfRule type="expression" dxfId="213" priority="143">
      <formula>IF(OR(#REF!=INF,#REF!=ANN),1,0)</formula>
    </cfRule>
    <cfRule type="expression" dxfId="212" priority="144">
      <formula>IF(#REF!=NA,1,0)</formula>
    </cfRule>
  </conditionalFormatting>
  <conditionalFormatting sqref="AD606:AD608">
    <cfRule type="expression" dxfId="211" priority="141">
      <formula>IF(OR(#REF!=INF,#REF!=ANN),1,0)</formula>
    </cfRule>
    <cfRule type="expression" dxfId="210" priority="142">
      <formula>IF(#REF!=NA,1,0)</formula>
    </cfRule>
  </conditionalFormatting>
  <conditionalFormatting sqref="AC606:AC609">
    <cfRule type="expression" dxfId="209" priority="140">
      <formula>IF(#REF!=NA,1,0)</formula>
    </cfRule>
    <cfRule type="expression" dxfId="208" priority="139">
      <formula>IF(OR(#REF!=INF,#REF!=ANN),1,0)</formula>
    </cfRule>
  </conditionalFormatting>
  <conditionalFormatting sqref="I591">
    <cfRule type="expression" dxfId="207" priority="137">
      <formula>IF(OR(#REF!=INF,#REF!=ANN),1,0)</formula>
    </cfRule>
    <cfRule type="expression" dxfId="206" priority="138">
      <formula>IF(#REF!=NA,1,0)</formula>
    </cfRule>
  </conditionalFormatting>
  <conditionalFormatting sqref="P607:P608">
    <cfRule type="expression" dxfId="205" priority="135">
      <formula>IF(OR(#REF!=INF,#REF!=ANN),1,0)</formula>
    </cfRule>
    <cfRule type="expression" dxfId="204" priority="136">
      <formula>IF(#REF!=NA,1,0)</formula>
    </cfRule>
  </conditionalFormatting>
  <conditionalFormatting sqref="N609:P609 N616:P616">
    <cfRule type="expression" dxfId="203" priority="133">
      <formula>IF(OR(#REF!=INF,#REF!=ANN),1,0)</formula>
    </cfRule>
    <cfRule type="expression" dxfId="202" priority="134">
      <formula>IF(#REF!=NA,1,0)</formula>
    </cfRule>
  </conditionalFormatting>
  <conditionalFormatting sqref="AA609">
    <cfRule type="expression" dxfId="201" priority="132">
      <formula>IF(#REF!=NA,1,0)</formula>
    </cfRule>
    <cfRule type="expression" dxfId="200" priority="131">
      <formula>IF(OR(#REF!=INF,#REF!=ANN),1,0)</formula>
    </cfRule>
  </conditionalFormatting>
  <conditionalFormatting sqref="AD609">
    <cfRule type="expression" dxfId="199" priority="130">
      <formula>IF(#REF!=NA,1,0)</formula>
    </cfRule>
    <cfRule type="expression" dxfId="198" priority="129">
      <formula>IF(OR(#REF!=INF,#REF!=ANN),1,0)</formula>
    </cfRule>
  </conditionalFormatting>
  <conditionalFormatting sqref="Y610">
    <cfRule type="expression" dxfId="197" priority="128">
      <formula>IF(#REF!=NA,1,0)</formula>
    </cfRule>
    <cfRule type="expression" dxfId="196" priority="127">
      <formula>IF(OR(#REF!=INF,#REF!=ANN),1,0)</formula>
    </cfRule>
  </conditionalFormatting>
  <conditionalFormatting sqref="B610:H610 K610:L610 R610:S610 AE610:AF610">
    <cfRule type="expression" dxfId="195" priority="125">
      <formula>IF(OR(#REF!=INF,#REF!=ANN),1,0)</formula>
    </cfRule>
    <cfRule type="expression" dxfId="194" priority="126">
      <formula>IF(#REF!=NA,1,0)</formula>
    </cfRule>
  </conditionalFormatting>
  <conditionalFormatting sqref="AM610">
    <cfRule type="expression" dxfId="193" priority="123">
      <formula>IF(OR(#REF!=INF,#REF!=ANN),1,0)</formula>
    </cfRule>
    <cfRule type="expression" dxfId="192" priority="124">
      <formula>IF(#REF!=NA,1,0)</formula>
    </cfRule>
  </conditionalFormatting>
  <conditionalFormatting sqref="T610">
    <cfRule type="expression" dxfId="191" priority="121">
      <formula>IF(OR(#REF!=INF,#REF!=ANN),1,0)</formula>
    </cfRule>
    <cfRule type="expression" dxfId="190" priority="122">
      <formula>IF(#REF!=NA,1,0)</formula>
    </cfRule>
  </conditionalFormatting>
  <conditionalFormatting sqref="U610">
    <cfRule type="expression" dxfId="189" priority="119">
      <formula>IF(OR(#REF!=INF,#REF!=ANN),1,0)</formula>
    </cfRule>
    <cfRule type="expression" dxfId="188" priority="120">
      <formula>IF(#REF!=NA,1,0)</formula>
    </cfRule>
  </conditionalFormatting>
  <conditionalFormatting sqref="X610">
    <cfRule type="expression" dxfId="187" priority="117">
      <formula>IF(OR(#REF!=INF,#REF!=ANN),1,0)</formula>
    </cfRule>
    <cfRule type="expression" dxfId="186" priority="118">
      <formula>IF(#REF!=NA,1,0)</formula>
    </cfRule>
  </conditionalFormatting>
  <conditionalFormatting sqref="A610">
    <cfRule type="expression" dxfId="185" priority="115">
      <formula>IF(OR(#REF!=INF,#REF!=ANN),1,0)</formula>
    </cfRule>
    <cfRule type="expression" dxfId="184" priority="116">
      <formula>IF(#REF!=NA,1,0)</formula>
    </cfRule>
  </conditionalFormatting>
  <conditionalFormatting sqref="W610">
    <cfRule type="expression" dxfId="183" priority="113">
      <formula>IF(OR(#REF!=INF,#REF!=ANN),1,0)</formula>
    </cfRule>
    <cfRule type="expression" dxfId="182" priority="114">
      <formula>IF(#REF!=NA,1,0)</formula>
    </cfRule>
  </conditionalFormatting>
  <conditionalFormatting sqref="Q610">
    <cfRule type="expression" dxfId="181" priority="111">
      <formula>IF(OR(#REF!=INF,#REF!=ANN),1,0)</formula>
    </cfRule>
    <cfRule type="expression" dxfId="180" priority="112">
      <formula>IF(#REF!=NA,1,0)</formula>
    </cfRule>
  </conditionalFormatting>
  <conditionalFormatting sqref="V610">
    <cfRule type="expression" dxfId="179" priority="109">
      <formula>IF(OR(#REF!=INF,#REF!=ANN),1,0)</formula>
    </cfRule>
    <cfRule type="expression" dxfId="178" priority="110">
      <formula>IF(#REF!=NA,1,0)</formula>
    </cfRule>
  </conditionalFormatting>
  <conditionalFormatting sqref="I610">
    <cfRule type="expression" dxfId="177" priority="107">
      <formula>IF(OR(#REF!=INF,#REF!=ANN),1,0)</formula>
    </cfRule>
    <cfRule type="expression" dxfId="176" priority="108">
      <formula>IF(#REF!=NA,1,0)</formula>
    </cfRule>
  </conditionalFormatting>
  <conditionalFormatting sqref="F610">
    <cfRule type="expression" dxfId="175" priority="105">
      <formula>IF(OR(#REF!=INF,#REF!=ANN),1,0)</formula>
    </cfRule>
    <cfRule type="expression" dxfId="174" priority="106">
      <formula>IF(#REF!=NA,1,0)</formula>
    </cfRule>
  </conditionalFormatting>
  <conditionalFormatting sqref="M610">
    <cfRule type="expression" dxfId="173" priority="103">
      <formula>IF(OR(#REF!=INF,#REF!=ANN),1,0)</formula>
    </cfRule>
    <cfRule type="expression" dxfId="172" priority="104">
      <formula>IF(#REF!=NA,1,0)</formula>
    </cfRule>
  </conditionalFormatting>
  <conditionalFormatting sqref="AB610">
    <cfRule type="expression" dxfId="171" priority="101">
      <formula>IF(OR(#REF!=INF,#REF!=ANN),1,0)</formula>
    </cfRule>
    <cfRule type="expression" dxfId="170" priority="102">
      <formula>IF(#REF!=NA,1,0)</formula>
    </cfRule>
  </conditionalFormatting>
  <conditionalFormatting sqref="Z610">
    <cfRule type="expression" dxfId="169" priority="99">
      <formula>IF(OR(#REF!=INF,#REF!=ANN),1,0)</formula>
    </cfRule>
    <cfRule type="expression" dxfId="168" priority="100">
      <formula>IF(#REF!=NA,1,0)</formula>
    </cfRule>
  </conditionalFormatting>
  <conditionalFormatting sqref="AC610">
    <cfRule type="expression" dxfId="167" priority="98">
      <formula>IF(#REF!=NA,1,0)</formula>
    </cfRule>
    <cfRule type="expression" dxfId="166" priority="97">
      <formula>IF(OR(#REF!=INF,#REF!=ANN),1,0)</formula>
    </cfRule>
  </conditionalFormatting>
  <conditionalFormatting sqref="N610:P610">
    <cfRule type="expression" dxfId="165" priority="95">
      <formula>IF(OR(#REF!=INF,#REF!=ANN),1,0)</formula>
    </cfRule>
    <cfRule type="expression" dxfId="164" priority="96">
      <formula>IF(#REF!=NA,1,0)</formula>
    </cfRule>
  </conditionalFormatting>
  <conditionalFormatting sqref="AA610">
    <cfRule type="expression" dxfId="163" priority="94">
      <formula>IF(#REF!=NA,1,0)</formula>
    </cfRule>
    <cfRule type="expression" dxfId="162" priority="93">
      <formula>IF(OR(#REF!=INF,#REF!=ANN),1,0)</formula>
    </cfRule>
  </conditionalFormatting>
  <conditionalFormatting sqref="AD610">
    <cfRule type="expression" dxfId="161" priority="92">
      <formula>IF(#REF!=NA,1,0)</formula>
    </cfRule>
    <cfRule type="expression" dxfId="160" priority="91">
      <formula>IF(OR(#REF!=INF,#REF!=ANN),1,0)</formula>
    </cfRule>
  </conditionalFormatting>
  <conditionalFormatting sqref="Y611">
    <cfRule type="expression" dxfId="159" priority="90">
      <formula>IF(#REF!=NA,1,0)</formula>
    </cfRule>
    <cfRule type="expression" dxfId="158" priority="89">
      <formula>IF(OR(#REF!=INF,#REF!=ANN),1,0)</formula>
    </cfRule>
  </conditionalFormatting>
  <conditionalFormatting sqref="B611:H611 K611:L611 R611:S611 AE611:AF611">
    <cfRule type="expression" dxfId="157" priority="87">
      <formula>IF(OR(#REF!=INF,#REF!=ANN),1,0)</formula>
    </cfRule>
    <cfRule type="expression" dxfId="156" priority="88">
      <formula>IF(#REF!=NA,1,0)</formula>
    </cfRule>
  </conditionalFormatting>
  <conditionalFormatting sqref="AM611">
    <cfRule type="expression" dxfId="155" priority="85">
      <formula>IF(OR(#REF!=INF,#REF!=ANN),1,0)</formula>
    </cfRule>
    <cfRule type="expression" dxfId="154" priority="86">
      <formula>IF(#REF!=NA,1,0)</formula>
    </cfRule>
  </conditionalFormatting>
  <conditionalFormatting sqref="T611">
    <cfRule type="expression" dxfId="153" priority="83">
      <formula>IF(OR(#REF!=INF,#REF!=ANN),1,0)</formula>
    </cfRule>
    <cfRule type="expression" dxfId="152" priority="84">
      <formula>IF(#REF!=NA,1,0)</formula>
    </cfRule>
  </conditionalFormatting>
  <conditionalFormatting sqref="U611">
    <cfRule type="expression" dxfId="151" priority="81">
      <formula>IF(OR(#REF!=INF,#REF!=ANN),1,0)</formula>
    </cfRule>
    <cfRule type="expression" dxfId="150" priority="82">
      <formula>IF(#REF!=NA,1,0)</formula>
    </cfRule>
  </conditionalFormatting>
  <conditionalFormatting sqref="X611">
    <cfRule type="expression" dxfId="149" priority="79">
      <formula>IF(OR(#REF!=INF,#REF!=ANN),1,0)</formula>
    </cfRule>
    <cfRule type="expression" dxfId="148" priority="80">
      <formula>IF(#REF!=NA,1,0)</formula>
    </cfRule>
  </conditionalFormatting>
  <conditionalFormatting sqref="A611">
    <cfRule type="expression" dxfId="147" priority="77">
      <formula>IF(OR(#REF!=INF,#REF!=ANN),1,0)</formula>
    </cfRule>
    <cfRule type="expression" dxfId="146" priority="78">
      <formula>IF(#REF!=NA,1,0)</formula>
    </cfRule>
  </conditionalFormatting>
  <conditionalFormatting sqref="W611">
    <cfRule type="expression" dxfId="145" priority="75">
      <formula>IF(OR(#REF!=INF,#REF!=ANN),1,0)</formula>
    </cfRule>
    <cfRule type="expression" dxfId="144" priority="76">
      <formula>IF(#REF!=NA,1,0)</formula>
    </cfRule>
  </conditionalFormatting>
  <conditionalFormatting sqref="Q611">
    <cfRule type="expression" dxfId="143" priority="73">
      <formula>IF(OR(#REF!=INF,#REF!=ANN),1,0)</formula>
    </cfRule>
    <cfRule type="expression" dxfId="142" priority="74">
      <formula>IF(#REF!=NA,1,0)</formula>
    </cfRule>
  </conditionalFormatting>
  <conditionalFormatting sqref="V611">
    <cfRule type="expression" dxfId="141" priority="71">
      <formula>IF(OR(#REF!=INF,#REF!=ANN),1,0)</formula>
    </cfRule>
    <cfRule type="expression" dxfId="140" priority="72">
      <formula>IF(#REF!=NA,1,0)</formula>
    </cfRule>
  </conditionalFormatting>
  <conditionalFormatting sqref="I611">
    <cfRule type="expression" dxfId="139" priority="69">
      <formula>IF(OR(#REF!=INF,#REF!=ANN),1,0)</formula>
    </cfRule>
    <cfRule type="expression" dxfId="138" priority="70">
      <formula>IF(#REF!=NA,1,0)</formula>
    </cfRule>
  </conditionalFormatting>
  <conditionalFormatting sqref="F611">
    <cfRule type="expression" dxfId="137" priority="67">
      <formula>IF(OR(#REF!=INF,#REF!=ANN),1,0)</formula>
    </cfRule>
    <cfRule type="expression" dxfId="136" priority="68">
      <formula>IF(#REF!=NA,1,0)</formula>
    </cfRule>
  </conditionalFormatting>
  <conditionalFormatting sqref="M611">
    <cfRule type="expression" dxfId="135" priority="65">
      <formula>IF(OR(#REF!=INF,#REF!=ANN),1,0)</formula>
    </cfRule>
    <cfRule type="expression" dxfId="134" priority="66">
      <formula>IF(#REF!=NA,1,0)</formula>
    </cfRule>
  </conditionalFormatting>
  <conditionalFormatting sqref="AB611">
    <cfRule type="expression" dxfId="133" priority="63">
      <formula>IF(OR(#REF!=INF,#REF!=ANN),1,0)</formula>
    </cfRule>
    <cfRule type="expression" dxfId="132" priority="64">
      <formula>IF(#REF!=NA,1,0)</formula>
    </cfRule>
  </conditionalFormatting>
  <conditionalFormatting sqref="Z611">
    <cfRule type="expression" dxfId="131" priority="61">
      <formula>IF(OR(#REF!=INF,#REF!=ANN),1,0)</formula>
    </cfRule>
    <cfRule type="expression" dxfId="130" priority="62">
      <formula>IF(#REF!=NA,1,0)</formula>
    </cfRule>
  </conditionalFormatting>
  <conditionalFormatting sqref="AC611">
    <cfRule type="expression" dxfId="129" priority="60">
      <formula>IF(#REF!=NA,1,0)</formula>
    </cfRule>
    <cfRule type="expression" dxfId="128" priority="59">
      <formula>IF(OR(#REF!=INF,#REF!=ANN),1,0)</formula>
    </cfRule>
  </conditionalFormatting>
  <conditionalFormatting sqref="N611:P611">
    <cfRule type="expression" dxfId="127" priority="57">
      <formula>IF(OR(#REF!=INF,#REF!=ANN),1,0)</formula>
    </cfRule>
    <cfRule type="expression" dxfId="126" priority="58">
      <formula>IF(#REF!=NA,1,0)</formula>
    </cfRule>
  </conditionalFormatting>
  <conditionalFormatting sqref="AA611">
    <cfRule type="expression" dxfId="125" priority="52">
      <formula>IF(#REF!=NA,1,0)</formula>
    </cfRule>
    <cfRule type="expression" dxfId="124" priority="51">
      <formula>IF(OR(#REF!=INF,#REF!=ANN),1,0)</formula>
    </cfRule>
  </conditionalFormatting>
  <conditionalFormatting sqref="AD611">
    <cfRule type="expression" dxfId="123" priority="50">
      <formula>IF(#REF!=NA,1,0)</formula>
    </cfRule>
    <cfRule type="expression" dxfId="122" priority="49">
      <formula>IF(OR(#REF!=INF,#REF!=ANN),1,0)</formula>
    </cfRule>
  </conditionalFormatting>
  <conditionalFormatting sqref="Y612:Y615">
    <cfRule type="expression" dxfId="121" priority="48">
      <formula>IF(#REF!=NA,1,0)</formula>
    </cfRule>
    <cfRule type="expression" dxfId="120" priority="47">
      <formula>IF(OR(#REF!=INF,#REF!=ANN),1,0)</formula>
    </cfRule>
  </conditionalFormatting>
  <conditionalFormatting sqref="B612:H615 K612:L615 R612:S615 AE612:AF615">
    <cfRule type="expression" dxfId="119" priority="45">
      <formula>IF(OR(#REF!=INF,#REF!=ANN),1,0)</formula>
    </cfRule>
    <cfRule type="expression" dxfId="118" priority="46">
      <formula>IF(#REF!=NA,1,0)</formula>
    </cfRule>
  </conditionalFormatting>
  <conditionalFormatting sqref="AM612:AM615">
    <cfRule type="expression" dxfId="117" priority="43">
      <formula>IF(OR(#REF!=INF,#REF!=ANN),1,0)</formula>
    </cfRule>
    <cfRule type="expression" dxfId="116" priority="44">
      <formula>IF(#REF!=NA,1,0)</formula>
    </cfRule>
  </conditionalFormatting>
  <conditionalFormatting sqref="T612:T615">
    <cfRule type="expression" dxfId="115" priority="41">
      <formula>IF(OR(#REF!=INF,#REF!=ANN),1,0)</formula>
    </cfRule>
    <cfRule type="expression" dxfId="114" priority="42">
      <formula>IF(#REF!=NA,1,0)</formula>
    </cfRule>
  </conditionalFormatting>
  <conditionalFormatting sqref="U612:U617">
    <cfRule type="expression" dxfId="113" priority="39">
      <formula>IF(OR(#REF!=INF,#REF!=ANN),1,0)</formula>
    </cfRule>
    <cfRule type="expression" dxfId="112" priority="40">
      <formula>IF(#REF!=NA,1,0)</formula>
    </cfRule>
  </conditionalFormatting>
  <conditionalFormatting sqref="X612:X615">
    <cfRule type="expression" dxfId="111" priority="37">
      <formula>IF(OR(#REF!=INF,#REF!=ANN),1,0)</formula>
    </cfRule>
    <cfRule type="expression" dxfId="110" priority="38">
      <formula>IF(#REF!=NA,1,0)</formula>
    </cfRule>
  </conditionalFormatting>
  <conditionalFormatting sqref="A612:A615">
    <cfRule type="expression" dxfId="109" priority="35">
      <formula>IF(OR(#REF!=INF,#REF!=ANN),1,0)</formula>
    </cfRule>
    <cfRule type="expression" dxfId="108" priority="36">
      <formula>IF(#REF!=NA,1,0)</formula>
    </cfRule>
  </conditionalFormatting>
  <conditionalFormatting sqref="W612:W615">
    <cfRule type="expression" dxfId="107" priority="33">
      <formula>IF(OR(#REF!=INF,#REF!=ANN),1,0)</formula>
    </cfRule>
    <cfRule type="expression" dxfId="106" priority="34">
      <formula>IF(#REF!=NA,1,0)</formula>
    </cfRule>
  </conditionalFormatting>
  <conditionalFormatting sqref="Q612:Q615">
    <cfRule type="expression" dxfId="105" priority="31">
      <formula>IF(OR(#REF!=INF,#REF!=ANN),1,0)</formula>
    </cfRule>
    <cfRule type="expression" dxfId="104" priority="32">
      <formula>IF(#REF!=NA,1,0)</formula>
    </cfRule>
  </conditionalFormatting>
  <conditionalFormatting sqref="V612:V615">
    <cfRule type="expression" dxfId="103" priority="29">
      <formula>IF(OR(#REF!=INF,#REF!=ANN),1,0)</formula>
    </cfRule>
    <cfRule type="expression" dxfId="102" priority="30">
      <formula>IF(#REF!=NA,1,0)</formula>
    </cfRule>
  </conditionalFormatting>
  <conditionalFormatting sqref="I612:I615">
    <cfRule type="expression" dxfId="101" priority="27">
      <formula>IF(OR(#REF!=INF,#REF!=ANN),1,0)</formula>
    </cfRule>
    <cfRule type="expression" dxfId="100" priority="28">
      <formula>IF(#REF!=NA,1,0)</formula>
    </cfRule>
  </conditionalFormatting>
  <conditionalFormatting sqref="F612:F615">
    <cfRule type="expression" dxfId="99" priority="25">
      <formula>IF(OR(#REF!=INF,#REF!=ANN),1,0)</formula>
    </cfRule>
    <cfRule type="expression" dxfId="98" priority="26">
      <formula>IF(#REF!=NA,1,0)</formula>
    </cfRule>
  </conditionalFormatting>
  <conditionalFormatting sqref="M612:M615">
    <cfRule type="expression" dxfId="97" priority="23">
      <formula>IF(OR(#REF!=INF,#REF!=ANN),1,0)</formula>
    </cfRule>
    <cfRule type="expression" dxfId="96" priority="24">
      <formula>IF(#REF!=NA,1,0)</formula>
    </cfRule>
  </conditionalFormatting>
  <conditionalFormatting sqref="AB612:AB615">
    <cfRule type="expression" dxfId="95" priority="21">
      <formula>IF(OR(#REF!=INF,#REF!=ANN),1,0)</formula>
    </cfRule>
    <cfRule type="expression" dxfId="94" priority="22">
      <formula>IF(#REF!=NA,1,0)</formula>
    </cfRule>
  </conditionalFormatting>
  <conditionalFormatting sqref="Z612:Z615">
    <cfRule type="expression" dxfId="93" priority="19">
      <formula>IF(OR(#REF!=INF,#REF!=ANN),1,0)</formula>
    </cfRule>
    <cfRule type="expression" dxfId="92" priority="20">
      <formula>IF(#REF!=NA,1,0)</formula>
    </cfRule>
  </conditionalFormatting>
  <conditionalFormatting sqref="AC612:AC615">
    <cfRule type="expression" dxfId="91" priority="18">
      <formula>IF(#REF!=NA,1,0)</formula>
    </cfRule>
    <cfRule type="expression" dxfId="90" priority="17">
      <formula>IF(OR(#REF!=INF,#REF!=ANN),1,0)</formula>
    </cfRule>
  </conditionalFormatting>
  <conditionalFormatting sqref="N612:P615">
    <cfRule type="expression" dxfId="89" priority="15">
      <formula>IF(OR(#REF!=INF,#REF!=ANN),1,0)</formula>
    </cfRule>
    <cfRule type="expression" dxfId="88" priority="16">
      <formula>IF(#REF!=NA,1,0)</formula>
    </cfRule>
  </conditionalFormatting>
  <conditionalFormatting sqref="AA612:AA615">
    <cfRule type="expression" dxfId="87" priority="14">
      <formula>IF(#REF!=NA,1,0)</formula>
    </cfRule>
    <cfRule type="expression" dxfId="86" priority="13">
      <formula>IF(OR(#REF!=INF,#REF!=ANN),1,0)</formula>
    </cfRule>
  </conditionalFormatting>
  <conditionalFormatting sqref="AD612:AD615">
    <cfRule type="expression" dxfId="85" priority="12">
      <formula>IF(#REF!=NA,1,0)</formula>
    </cfRule>
    <cfRule type="expression" dxfId="84" priority="11">
      <formula>IF(OR(#REF!=INF,#REF!=ANN),1,0)</formula>
    </cfRule>
  </conditionalFormatting>
  <conditionalFormatting sqref="A2:AM620">
    <cfRule type="expression" dxfId="83" priority="592">
      <formula>$AE2="ENGAGE"</formula>
    </cfRule>
    <cfRule type="expression" dxfId="82" priority="593">
      <formula>$AE2="PREENGAGE"</formula>
    </cfRule>
    <cfRule type="expression" dxfId="81" priority="594">
      <formula>$AE2="EN COURS D'ENGAGEMENT"</formula>
    </cfRule>
    <cfRule type="expression" dxfId="80" priority="595">
      <formula>$AE2="EN COURS DE PREENGAGEMENT"</formula>
    </cfRule>
    <cfRule type="expression" dxfId="79" priority="596">
      <formula>$AE2="NON ENGAGE"</formula>
    </cfRule>
  </conditionalFormatting>
  <conditionalFormatting sqref="AE2:AE620">
    <cfRule type="cellIs" dxfId="78" priority="597" stopIfTrue="1" operator="equal">
      <formula>"""ENGAGE"""</formula>
    </cfRule>
    <cfRule type="cellIs" dxfId="77" priority="598" stopIfTrue="1" operator="equal">
      <formula>"""PREENGAGE"""</formula>
    </cfRule>
    <cfRule type="cellIs" dxfId="76" priority="599" stopIfTrue="1" operator="equal">
      <formula>"""EN COURS D'ENGAGEMENT"""</formula>
    </cfRule>
    <cfRule type="cellIs" dxfId="75" priority="600" stopIfTrue="1" operator="equal">
      <formula>"""EN COURS DE PREENGAGEMENT"""</formula>
    </cfRule>
    <cfRule type="cellIs" dxfId="74" priority="601" stopIfTrue="1" operator="equal">
      <formula>"""NON ENGAGE"""</formula>
    </cfRule>
  </conditionalFormatting>
  <conditionalFormatting sqref="C591">
    <cfRule type="expression" dxfId="73" priority="9">
      <formula>IF(OR(#REF!=INF,#REF!=ANN),1,0)</formula>
    </cfRule>
    <cfRule type="expression" dxfId="72" priority="10">
      <formula>IF(#REF!=NA,1,0)</formula>
    </cfRule>
  </conditionalFormatting>
  <conditionalFormatting sqref="C605">
    <cfRule type="expression" dxfId="71" priority="7">
      <formula>IF(OR(#REF!=INF,#REF!=ANN),1,0)</formula>
    </cfRule>
    <cfRule type="expression" dxfId="70" priority="8">
      <formula>IF(#REF!=NA,1,0)</formula>
    </cfRule>
  </conditionalFormatting>
  <conditionalFormatting sqref="C606">
    <cfRule type="expression" dxfId="69" priority="5">
      <formula>IF(OR(#REF!=INF,#REF!=ANN),1,0)</formula>
    </cfRule>
    <cfRule type="expression" dxfId="68" priority="6">
      <formula>IF(#REF!=NA,1,0)</formula>
    </cfRule>
  </conditionalFormatting>
  <conditionalFormatting sqref="I615">
    <cfRule type="expression" dxfId="67" priority="3">
      <formula>IF(OR(#REF!=INF,#REF!=ANN),1,0)</formula>
    </cfRule>
    <cfRule type="expression" dxfId="66" priority="4">
      <formula>IF(#REF!=NA,1,0)</formula>
    </cfRule>
  </conditionalFormatting>
  <conditionalFormatting sqref="E527">
    <cfRule type="expression" dxfId="65" priority="2">
      <formula>IF(#REF!=NA,1,0)</formula>
    </cfRule>
    <cfRule type="expression" dxfId="64" priority="1">
      <formula>IF(OR(#REF!=INF,#REF!=ANN),1,0)</formula>
    </cfRule>
  </conditionalFormatting>
  <dataValidations count="24">
    <dataValidation type="list" operator="equal" allowBlank="1" showInputMessage="1" showErrorMessage="1" sqref="Q1:Q553 Q555:Q556 Q560 Q564 Q566 Q568:Q1615" xr:uid="{00000000-0002-0000-0100-000000000000}">
      <formula1>xBesoin</formula1>
      <formula2>0</formula2>
    </dataValidation>
    <dataValidation type="custom" showErrorMessage="1" errorTitle="ALERTE" error="Ce champ est réservé à la Reconduction" sqref="R1:R304 R543:R549 R616:R1615" xr:uid="{00000000-0002-0000-0100-000001000000}">
      <formula1>O1=xRec</formula1>
      <formula2>0</formula2>
    </dataValidation>
    <dataValidation type="custom" showErrorMessage="1" errorTitle="ALERTE" error="Ce champ est réservé à la Reconduction" sqref="S1:S304 S543:S549 S616:S1615 W2:W304 W543:W547 W549 W553" xr:uid="{00000000-0002-0000-0100-000002000000}">
      <formula1>O1=xRec</formula1>
      <formula2>0</formula2>
    </dataValidation>
    <dataValidation type="list" operator="equal" allowBlank="1" showInputMessage="1" showErrorMessage="1" sqref="AE1:AE1615 AF1:AG586 AF616:AG1615" xr:uid="{00000000-0002-0000-0100-000003000000}">
      <formula1>xStEng</formula1>
      <formula2>0</formula2>
    </dataValidation>
    <dataValidation type="list" operator="equal" allowBlank="1" showInputMessage="1" showErrorMessage="1" sqref="AK587:AK615 AR2:AR586 AR616:AR1615" xr:uid="{00000000-0002-0000-0100-000004000000}">
      <formula1>xnatreg</formula1>
      <formula2>0</formula2>
    </dataValidation>
    <dataValidation type="list" operator="equal" allowBlank="1" showInputMessage="1" showErrorMessage="1" sqref="N1142 N1191" xr:uid="{00000000-0002-0000-0100-000005000000}">
      <formula1>INDIRECT(#REF!)</formula1>
      <formula2>0</formula2>
    </dataValidation>
    <dataValidation type="list" operator="equal" allowBlank="1" showInputMessage="1" showErrorMessage="1" sqref="H1:H1615 Z616:Z1615" xr:uid="{00000000-0002-0000-0100-000006000000}">
      <formula1>xSTATUTSUP</formula1>
      <formula2>0</formula2>
    </dataValidation>
    <dataValidation type="list" operator="equal" allowBlank="1" showInputMessage="1" showErrorMessage="1" sqref="B1:B1615" xr:uid="{00000000-0002-0000-0100-000007000000}">
      <formula1>xDIRECTION</formula1>
      <formula2>0</formula2>
    </dataValidation>
    <dataValidation type="list" operator="equal" allowBlank="1" showInputMessage="1" showErrorMessage="1" sqref="D1:D1615 E1609:F1615" xr:uid="{00000000-0002-0000-0100-000008000000}">
      <formula1>xTYPE1</formula1>
      <formula2>0</formula2>
    </dataValidation>
    <dataValidation type="list" operator="equal" allowBlank="1" showInputMessage="1" showErrorMessage="1" sqref="G1:G1615" xr:uid="{00000000-0002-0000-0100-000009000000}">
      <formula1>xStatut1</formula1>
      <formula2>0</formula2>
    </dataValidation>
    <dataValidation type="list" operator="equal" allowBlank="1" showInputMessage="1" showErrorMessage="1" sqref="J1:J1615" xr:uid="{00000000-0002-0000-0100-00000A000000}">
      <formula1>xCATEGORIES</formula1>
      <formula2>0</formula2>
    </dataValidation>
    <dataValidation type="list" operator="equal" allowBlank="1" showInputMessage="1" showErrorMessage="1" sqref="K2:K1615" xr:uid="{00000000-0002-0000-0100-00000B000000}">
      <formula1>TypBudget</formula1>
      <formula2>0</formula2>
    </dataValidation>
    <dataValidation type="list" operator="equal" allowBlank="1" showInputMessage="1" showErrorMessage="1" sqref="L2:L1615" xr:uid="{00000000-0002-0000-0100-00000C000000}">
      <formula1>xBUDGET</formula1>
      <formula2>0</formula2>
    </dataValidation>
    <dataValidation type="list" operator="equal" allowBlank="1" showInputMessage="1" showErrorMessage="1" sqref="N1146:N1190" xr:uid="{00000000-0002-0000-0100-00000D000000}">
      <formula1>INDIRECT($F537)</formula1>
      <formula2>0</formula2>
    </dataValidation>
    <dataValidation type="list" operator="equal" allowBlank="1" showInputMessage="1" showErrorMessage="1" sqref="N1065:N1127 N1143:N1145" xr:uid="{00000000-0002-0000-0100-00000E000000}">
      <formula1>INDIRECT($F422)</formula1>
      <formula2>0</formula2>
    </dataValidation>
    <dataValidation type="list" operator="equal" allowBlank="1" showInputMessage="1" showErrorMessage="1" sqref="N1192" xr:uid="{00000000-0002-0000-0100-00000F000000}">
      <formula1>INDIRECT($F587)</formula1>
      <formula2>0</formula2>
    </dataValidation>
    <dataValidation type="list" operator="equal" allowBlank="1" showInputMessage="1" showErrorMessage="1" sqref="N1422:N1615" xr:uid="{00000000-0002-0000-0100-000010000000}">
      <formula1>INDIRECT($F848)</formula1>
      <formula2>0</formula2>
    </dataValidation>
    <dataValidation type="list" operator="equal" allowBlank="1" showInputMessage="1" showErrorMessage="1" sqref="N1128:N1141" xr:uid="{00000000-0002-0000-0100-000011000000}">
      <formula1>INDIRECT($F486)</formula1>
      <formula2>0</formula2>
    </dataValidation>
    <dataValidation type="list" operator="equal" allowBlank="1" showInputMessage="1" showErrorMessage="1" sqref="N1056:N1064" xr:uid="{00000000-0002-0000-0100-000012000000}">
      <formula1>INDIRECT($F410)</formula1>
      <formula2>0</formula2>
    </dataValidation>
    <dataValidation type="list" operator="equal" allowBlank="1" showInputMessage="1" showErrorMessage="1" sqref="N1016:N1055" xr:uid="{00000000-0002-0000-0100-000013000000}">
      <formula1>INDIRECT($F365)</formula1>
      <formula2>0</formula2>
    </dataValidation>
    <dataValidation type="list" operator="equal" allowBlank="1" showInputMessage="1" showErrorMessage="1" sqref="N848:N1009" xr:uid="{00000000-0002-0000-0100-000014000000}">
      <formula1>INDIRECT($F193)</formula1>
      <formula2>0</formula2>
    </dataValidation>
    <dataValidation type="list" operator="equal" allowBlank="1" showInputMessage="1" showErrorMessage="1" sqref="N1010:N1015" xr:uid="{00000000-0002-0000-0100-000015000000}">
      <formula1>INDIRECT($F358)</formula1>
      <formula2>0</formula2>
    </dataValidation>
    <dataValidation type="list" operator="equal" allowBlank="1" showInputMessage="1" showErrorMessage="1" sqref="N1193:N1195" xr:uid="{00000000-0002-0000-0100-000016000000}">
      <formula1>INDIRECT($F616)</formula1>
      <formula2>0</formula2>
    </dataValidation>
    <dataValidation type="list" operator="equal" allowBlank="1" showInputMessage="1" showErrorMessage="1" sqref="N1196:N1421" xr:uid="{00000000-0002-0000-0100-000017000000}">
      <formula1>INDIRECT($F620)</formula1>
      <formula2>0</formula2>
    </dataValidation>
  </dataValidations>
  <pageMargins left="0.7" right="0.7" top="0.75" bottom="0.75" header="0.511811023622047" footer="0.511811023622047"/>
  <pageSetup paperSize="9" scale="5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8"/>
  <sheetViews>
    <sheetView zoomScaleNormal="100" workbookViewId="0">
      <selection activeCell="I24" sqref="I24"/>
    </sheetView>
  </sheetViews>
  <sheetFormatPr baseColWidth="10" defaultColWidth="11.54296875" defaultRowHeight="12.75" customHeight="1" x14ac:dyDescent="0.35"/>
  <cols>
    <col min="2" max="2" width="88" style="1" customWidth="1"/>
  </cols>
  <sheetData>
    <row r="1" spans="1:2" ht="14.5" customHeight="1" x14ac:dyDescent="0.35">
      <c r="A1" s="31" t="s">
        <v>1573</v>
      </c>
      <c r="B1" s="31" t="s">
        <v>1574</v>
      </c>
    </row>
    <row r="2" spans="1:2" ht="14.5" customHeight="1" x14ac:dyDescent="0.35">
      <c r="A2" s="32" t="s">
        <v>1575</v>
      </c>
      <c r="B2" s="32" t="s">
        <v>33</v>
      </c>
    </row>
    <row r="3" spans="1:2" ht="14.5" customHeight="1" x14ac:dyDescent="0.35">
      <c r="A3" s="32" t="s">
        <v>1576</v>
      </c>
      <c r="B3" s="32" t="s">
        <v>34</v>
      </c>
    </row>
    <row r="4" spans="1:2" ht="14.5" customHeight="1" x14ac:dyDescent="0.35">
      <c r="A4" s="32" t="s">
        <v>1577</v>
      </c>
      <c r="B4" s="32" t="s">
        <v>35</v>
      </c>
    </row>
    <row r="5" spans="1:2" ht="14.5" customHeight="1" x14ac:dyDescent="0.35">
      <c r="A5" s="32" t="s">
        <v>1578</v>
      </c>
      <c r="B5" s="32" t="s">
        <v>1579</v>
      </c>
    </row>
    <row r="6" spans="1:2" ht="14.5" customHeight="1" x14ac:dyDescent="0.35">
      <c r="A6" s="32" t="s">
        <v>1580</v>
      </c>
      <c r="B6" s="32" t="s">
        <v>36</v>
      </c>
    </row>
    <row r="7" spans="1:2" ht="14.5" customHeight="1" x14ac:dyDescent="0.35">
      <c r="A7" s="32" t="s">
        <v>1581</v>
      </c>
      <c r="B7" s="32" t="s">
        <v>37</v>
      </c>
    </row>
    <row r="8" spans="1:2" ht="14.5" customHeight="1" x14ac:dyDescent="0.35">
      <c r="A8" s="32" t="s">
        <v>1582</v>
      </c>
      <c r="B8" s="32" t="s">
        <v>1583</v>
      </c>
    </row>
    <row r="9" spans="1:2" ht="14.5" customHeight="1" x14ac:dyDescent="0.35">
      <c r="A9" s="32" t="s">
        <v>1584</v>
      </c>
      <c r="B9" s="32" t="s">
        <v>38</v>
      </c>
    </row>
    <row r="10" spans="1:2" ht="14.5" customHeight="1" x14ac:dyDescent="0.35">
      <c r="A10" s="32" t="s">
        <v>1585</v>
      </c>
      <c r="B10" s="32" t="s">
        <v>39</v>
      </c>
    </row>
    <row r="11" spans="1:2" ht="14.5" customHeight="1" x14ac:dyDescent="0.35">
      <c r="A11" s="32" t="s">
        <v>1586</v>
      </c>
      <c r="B11" s="32" t="s">
        <v>95</v>
      </c>
    </row>
    <row r="12" spans="1:2" ht="14.5" customHeight="1" x14ac:dyDescent="0.35">
      <c r="A12" s="32" t="s">
        <v>1587</v>
      </c>
      <c r="B12" s="32" t="s">
        <v>41</v>
      </c>
    </row>
    <row r="13" spans="1:2" ht="14.5" customHeight="1" x14ac:dyDescent="0.35">
      <c r="A13" s="32" t="s">
        <v>1588</v>
      </c>
      <c r="B13" s="32" t="s">
        <v>1015</v>
      </c>
    </row>
    <row r="14" spans="1:2" ht="14.5" customHeight="1" x14ac:dyDescent="0.35">
      <c r="A14" s="32" t="s">
        <v>1589</v>
      </c>
      <c r="B14" s="32" t="s">
        <v>1590</v>
      </c>
    </row>
    <row r="15" spans="1:2" ht="14.5" customHeight="1" x14ac:dyDescent="0.35">
      <c r="A15" s="32" t="s">
        <v>1591</v>
      </c>
      <c r="B15" s="32" t="s">
        <v>1592</v>
      </c>
    </row>
    <row r="16" spans="1:2" ht="14.5" customHeight="1" x14ac:dyDescent="0.35">
      <c r="A16" s="32" t="s">
        <v>1593</v>
      </c>
      <c r="B16" s="32" t="s">
        <v>1594</v>
      </c>
    </row>
    <row r="17" spans="1:2" ht="14.5" customHeight="1" x14ac:dyDescent="0.35">
      <c r="A17" s="32" t="s">
        <v>1595</v>
      </c>
      <c r="B17" s="32" t="s">
        <v>1596</v>
      </c>
    </row>
    <row r="18" spans="1:2" ht="14.5" customHeight="1" x14ac:dyDescent="0.35">
      <c r="A18" s="32" t="s">
        <v>1597</v>
      </c>
      <c r="B18" s="32" t="s">
        <v>1598</v>
      </c>
    </row>
    <row r="19" spans="1:2" ht="14.5" customHeight="1" x14ac:dyDescent="0.35">
      <c r="A19" s="32" t="s">
        <v>1599</v>
      </c>
      <c r="B19" s="32" t="s">
        <v>1600</v>
      </c>
    </row>
    <row r="20" spans="1:2" ht="14.5" customHeight="1" x14ac:dyDescent="0.35">
      <c r="A20" s="32" t="s">
        <v>1601</v>
      </c>
      <c r="B20" s="32" t="s">
        <v>1602</v>
      </c>
    </row>
    <row r="21" spans="1:2" ht="14.5" customHeight="1" x14ac:dyDescent="0.35">
      <c r="A21" s="32" t="s">
        <v>1603</v>
      </c>
      <c r="B21" s="32" t="s">
        <v>1604</v>
      </c>
    </row>
    <row r="22" spans="1:2" ht="14.5" customHeight="1" x14ac:dyDescent="0.35">
      <c r="A22" s="32" t="s">
        <v>1605</v>
      </c>
      <c r="B22" s="32" t="s">
        <v>1606</v>
      </c>
    </row>
    <row r="23" spans="1:2" ht="14.5" customHeight="1" x14ac:dyDescent="0.35">
      <c r="A23" s="32" t="s">
        <v>1607</v>
      </c>
      <c r="B23" s="32" t="s">
        <v>1608</v>
      </c>
    </row>
    <row r="24" spans="1:2" ht="14.5" customHeight="1" x14ac:dyDescent="0.35">
      <c r="A24" s="32" t="s">
        <v>1609</v>
      </c>
      <c r="B24" s="32" t="s">
        <v>1610</v>
      </c>
    </row>
    <row r="25" spans="1:2" ht="14.5" customHeight="1" x14ac:dyDescent="0.35">
      <c r="A25" s="32" t="s">
        <v>1611</v>
      </c>
      <c r="B25" s="32" t="s">
        <v>1612</v>
      </c>
    </row>
    <row r="26" spans="1:2" ht="14.5" customHeight="1" x14ac:dyDescent="0.35">
      <c r="A26" s="32" t="s">
        <v>1613</v>
      </c>
      <c r="B26" s="32" t="s">
        <v>1614</v>
      </c>
    </row>
    <row r="27" spans="1:2" ht="14.5" customHeight="1" x14ac:dyDescent="0.35">
      <c r="A27" s="32" t="s">
        <v>1615</v>
      </c>
      <c r="B27" s="32" t="s">
        <v>1616</v>
      </c>
    </row>
    <row r="28" spans="1:2" ht="14.5" customHeight="1" x14ac:dyDescent="0.35">
      <c r="A28" s="32" t="s">
        <v>1617</v>
      </c>
      <c r="B28" s="32" t="s">
        <v>345</v>
      </c>
    </row>
    <row r="29" spans="1:2" ht="14.5" customHeight="1" x14ac:dyDescent="0.35">
      <c r="A29" s="32" t="s">
        <v>1618</v>
      </c>
      <c r="B29" s="32" t="s">
        <v>1619</v>
      </c>
    </row>
    <row r="30" spans="1:2" ht="14.5" customHeight="1" x14ac:dyDescent="0.35">
      <c r="A30" s="32" t="s">
        <v>1620</v>
      </c>
      <c r="B30" s="32" t="s">
        <v>1621</v>
      </c>
    </row>
    <row r="31" spans="1:2" ht="14.5" customHeight="1" x14ac:dyDescent="0.35">
      <c r="A31" s="32" t="s">
        <v>1622</v>
      </c>
      <c r="B31" s="32" t="s">
        <v>1623</v>
      </c>
    </row>
    <row r="32" spans="1:2" ht="14.5" customHeight="1" x14ac:dyDescent="0.35">
      <c r="A32" s="32" t="s">
        <v>1624</v>
      </c>
      <c r="B32" s="32" t="s">
        <v>1625</v>
      </c>
    </row>
    <row r="33" spans="1:2" ht="14.5" customHeight="1" x14ac:dyDescent="0.35">
      <c r="A33" s="32" t="s">
        <v>1626</v>
      </c>
      <c r="B33" s="32" t="s">
        <v>1627</v>
      </c>
    </row>
    <row r="34" spans="1:2" ht="14.5" customHeight="1" x14ac:dyDescent="0.35">
      <c r="A34" s="32" t="s">
        <v>1628</v>
      </c>
      <c r="B34" s="32" t="s">
        <v>1629</v>
      </c>
    </row>
    <row r="35" spans="1:2" ht="14.5" customHeight="1" x14ac:dyDescent="0.35">
      <c r="A35" s="32" t="s">
        <v>1630</v>
      </c>
      <c r="B35" s="32" t="s">
        <v>1631</v>
      </c>
    </row>
    <row r="36" spans="1:2" ht="14.5" customHeight="1" x14ac:dyDescent="0.35">
      <c r="A36" s="32" t="s">
        <v>1632</v>
      </c>
      <c r="B36" s="32" t="s">
        <v>1633</v>
      </c>
    </row>
    <row r="37" spans="1:2" ht="14.5" customHeight="1" x14ac:dyDescent="0.35">
      <c r="A37" s="32" t="s">
        <v>1634</v>
      </c>
      <c r="B37" s="32" t="s">
        <v>1635</v>
      </c>
    </row>
    <row r="38" spans="1:2" ht="14.5" customHeight="1" x14ac:dyDescent="0.35">
      <c r="A38" s="32" t="s">
        <v>1636</v>
      </c>
      <c r="B38" s="32" t="s">
        <v>1637</v>
      </c>
    </row>
    <row r="39" spans="1:2" ht="14.5" customHeight="1" x14ac:dyDescent="0.35">
      <c r="A39" s="32" t="s">
        <v>1638</v>
      </c>
      <c r="B39" s="32" t="s">
        <v>1639</v>
      </c>
    </row>
    <row r="40" spans="1:2" ht="14.5" customHeight="1" x14ac:dyDescent="0.35">
      <c r="A40" s="32" t="s">
        <v>1640</v>
      </c>
      <c r="B40" s="32" t="s">
        <v>1641</v>
      </c>
    </row>
    <row r="41" spans="1:2" ht="14.5" customHeight="1" x14ac:dyDescent="0.35">
      <c r="A41" s="32" t="s">
        <v>1642</v>
      </c>
      <c r="B41" s="32" t="s">
        <v>1643</v>
      </c>
    </row>
    <row r="42" spans="1:2" ht="14.5" customHeight="1" x14ac:dyDescent="0.35">
      <c r="A42" s="32" t="s">
        <v>1644</v>
      </c>
      <c r="B42" s="32" t="s">
        <v>1645</v>
      </c>
    </row>
    <row r="43" spans="1:2" ht="14.5" customHeight="1" x14ac:dyDescent="0.35">
      <c r="A43" s="32" t="s">
        <v>1646</v>
      </c>
      <c r="B43" s="32" t="s">
        <v>1647</v>
      </c>
    </row>
    <row r="44" spans="1:2" ht="14.5" customHeight="1" x14ac:dyDescent="0.35">
      <c r="A44" s="32" t="s">
        <v>1648</v>
      </c>
      <c r="B44" s="32" t="s">
        <v>1649</v>
      </c>
    </row>
    <row r="45" spans="1:2" ht="14.5" customHeight="1" x14ac:dyDescent="0.35">
      <c r="A45" s="32" t="s">
        <v>1650</v>
      </c>
      <c r="B45" s="32" t="s">
        <v>1651</v>
      </c>
    </row>
    <row r="46" spans="1:2" ht="14.5" customHeight="1" x14ac:dyDescent="0.35">
      <c r="A46" s="32" t="s">
        <v>1652</v>
      </c>
      <c r="B46" s="32" t="s">
        <v>1653</v>
      </c>
    </row>
    <row r="47" spans="1:2" ht="14.5" customHeight="1" x14ac:dyDescent="0.35">
      <c r="A47" s="32" t="s">
        <v>1654</v>
      </c>
      <c r="B47" s="32" t="s">
        <v>1655</v>
      </c>
    </row>
    <row r="48" spans="1:2" ht="14.5" customHeight="1" x14ac:dyDescent="0.35">
      <c r="A48" s="32" t="s">
        <v>1656</v>
      </c>
      <c r="B48" s="32" t="s">
        <v>1657</v>
      </c>
    </row>
    <row r="49" spans="1:2" ht="14.5" customHeight="1" x14ac:dyDescent="0.35">
      <c r="A49" s="32" t="s">
        <v>1658</v>
      </c>
      <c r="B49" s="32" t="s">
        <v>1659</v>
      </c>
    </row>
    <row r="50" spans="1:2" ht="14.5" customHeight="1" x14ac:dyDescent="0.35">
      <c r="A50" s="32" t="s">
        <v>1660</v>
      </c>
      <c r="B50" s="32" t="s">
        <v>1661</v>
      </c>
    </row>
    <row r="51" spans="1:2" ht="14.5" customHeight="1" x14ac:dyDescent="0.35">
      <c r="A51" s="32" t="s">
        <v>1662</v>
      </c>
      <c r="B51" s="32" t="s">
        <v>1663</v>
      </c>
    </row>
    <row r="52" spans="1:2" ht="14.5" customHeight="1" x14ac:dyDescent="0.35">
      <c r="A52" s="32" t="s">
        <v>1664</v>
      </c>
      <c r="B52" s="32" t="s">
        <v>1665</v>
      </c>
    </row>
    <row r="53" spans="1:2" ht="14.5" customHeight="1" x14ac:dyDescent="0.35">
      <c r="A53" s="32" t="s">
        <v>1666</v>
      </c>
      <c r="B53" s="32" t="s">
        <v>1667</v>
      </c>
    </row>
    <row r="54" spans="1:2" ht="14.5" customHeight="1" x14ac:dyDescent="0.35">
      <c r="A54" s="32" t="s">
        <v>1668</v>
      </c>
      <c r="B54" s="32" t="s">
        <v>1669</v>
      </c>
    </row>
    <row r="55" spans="1:2" ht="14.5" customHeight="1" x14ac:dyDescent="0.35">
      <c r="A55" s="32" t="s">
        <v>1670</v>
      </c>
      <c r="B55" s="32" t="s">
        <v>1671</v>
      </c>
    </row>
    <row r="56" spans="1:2" ht="14.5" customHeight="1" x14ac:dyDescent="0.35">
      <c r="A56" s="32" t="s">
        <v>1672</v>
      </c>
      <c r="B56" s="32" t="s">
        <v>1673</v>
      </c>
    </row>
    <row r="57" spans="1:2" ht="14.5" customHeight="1" x14ac:dyDescent="0.35">
      <c r="A57" s="32" t="s">
        <v>1674</v>
      </c>
      <c r="B57" s="32" t="s">
        <v>30</v>
      </c>
    </row>
    <row r="58" spans="1:2" ht="14.5" customHeight="1" x14ac:dyDescent="0.35">
      <c r="A58" s="32" t="s">
        <v>1675</v>
      </c>
      <c r="B58" s="32" t="s">
        <v>31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 &amp;Kffffff&amp;A</oddHeader>
    <oddFooter>&amp;C&amp;"Times New Roman,Normal"&amp;12 &amp;KffffffPage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EW26"/>
  <sheetViews>
    <sheetView workbookViewId="0">
      <selection activeCell="E6" sqref="E6"/>
    </sheetView>
  </sheetViews>
  <sheetFormatPr baseColWidth="10" defaultRowHeight="14.5" x14ac:dyDescent="0.35"/>
  <cols>
    <col min="3" max="3" width="19.90625" style="1" customWidth="1"/>
    <col min="6" max="6" width="40.54296875" style="1" bestFit="1" customWidth="1"/>
    <col min="7" max="7" width="13.08984375" style="1" customWidth="1"/>
    <col min="8" max="8" width="13.453125" style="1" customWidth="1"/>
    <col min="11" max="11" width="9.36328125" style="1" customWidth="1"/>
    <col min="12" max="12" width="15.7265625" style="1" customWidth="1"/>
    <col min="13" max="13" width="21.81640625" style="1" customWidth="1"/>
    <col min="17" max="17" width="13.08984375" style="1" customWidth="1"/>
    <col min="20" max="20" width="15.453125" style="1" customWidth="1"/>
    <col min="25" max="25" width="13.08984375" style="1" bestFit="1" customWidth="1"/>
    <col min="27" max="27" width="13.08984375" style="1" bestFit="1" customWidth="1"/>
    <col min="29" max="30" width="13.08984375" style="1" bestFit="1" customWidth="1"/>
    <col min="31" max="31" width="15.08984375" style="1" customWidth="1"/>
    <col min="33" max="33" width="15.7265625" style="1" customWidth="1"/>
  </cols>
  <sheetData>
    <row r="1" spans="1:16377" ht="52" customHeight="1" x14ac:dyDescent="0.35">
      <c r="A1" s="61" t="s">
        <v>142</v>
      </c>
      <c r="B1" s="236" t="s">
        <v>51</v>
      </c>
      <c r="C1" s="236" t="s">
        <v>143</v>
      </c>
      <c r="D1" s="236" t="s">
        <v>110</v>
      </c>
      <c r="E1" s="236" t="s">
        <v>144</v>
      </c>
      <c r="F1" s="236" t="s">
        <v>145</v>
      </c>
      <c r="G1" s="236" t="s">
        <v>115</v>
      </c>
      <c r="H1" s="236" t="s">
        <v>124</v>
      </c>
      <c r="I1" s="236" t="s">
        <v>146</v>
      </c>
      <c r="J1" s="236" t="s">
        <v>129</v>
      </c>
      <c r="K1" s="236" t="s">
        <v>147</v>
      </c>
      <c r="L1" s="236" t="s">
        <v>5</v>
      </c>
      <c r="M1" s="236" t="s">
        <v>82</v>
      </c>
      <c r="N1" s="127" t="s">
        <v>148</v>
      </c>
      <c r="O1" s="127" t="s">
        <v>149</v>
      </c>
      <c r="P1" s="127" t="s">
        <v>150</v>
      </c>
      <c r="Q1" s="62" t="s">
        <v>137</v>
      </c>
      <c r="R1" s="62" t="s">
        <v>151</v>
      </c>
      <c r="S1" s="62" t="s">
        <v>152</v>
      </c>
      <c r="T1" s="236" t="s">
        <v>153</v>
      </c>
      <c r="U1" s="236" t="s">
        <v>154</v>
      </c>
      <c r="V1" s="62" t="s">
        <v>155</v>
      </c>
      <c r="W1" s="62" t="s">
        <v>156</v>
      </c>
      <c r="X1" s="62" t="s">
        <v>157</v>
      </c>
      <c r="Y1" s="127" t="s">
        <v>158</v>
      </c>
      <c r="Z1" s="127" t="s">
        <v>159</v>
      </c>
      <c r="AA1" s="127" t="s">
        <v>160</v>
      </c>
      <c r="AB1" s="127" t="s">
        <v>161</v>
      </c>
      <c r="AC1" s="127" t="s">
        <v>162</v>
      </c>
      <c r="AD1" s="127" t="s">
        <v>163</v>
      </c>
      <c r="AE1" s="63" t="s">
        <v>98</v>
      </c>
      <c r="AF1" s="170" t="s">
        <v>171</v>
      </c>
      <c r="AG1" s="236" t="s">
        <v>172</v>
      </c>
      <c r="AH1" s="129"/>
      <c r="AI1" s="22"/>
      <c r="AJ1" s="22"/>
      <c r="AK1" s="22"/>
      <c r="AL1" s="22"/>
      <c r="AM1" s="23"/>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c r="IW1" s="22"/>
      <c r="IX1" s="22"/>
      <c r="IY1" s="22"/>
      <c r="IZ1" s="22"/>
      <c r="JA1" s="22"/>
      <c r="JB1" s="22"/>
      <c r="JC1" s="22"/>
      <c r="JD1" s="22"/>
      <c r="JE1" s="22"/>
      <c r="JF1" s="22"/>
      <c r="JG1" s="22"/>
      <c r="JH1" s="22"/>
      <c r="JI1" s="22"/>
      <c r="JJ1" s="22"/>
      <c r="JK1" s="22"/>
      <c r="JL1" s="22"/>
      <c r="JM1" s="22"/>
      <c r="JN1" s="22"/>
      <c r="JO1" s="22"/>
      <c r="JP1" s="22"/>
      <c r="JQ1" s="22"/>
      <c r="JR1" s="22"/>
      <c r="JS1" s="22"/>
      <c r="JT1" s="22"/>
      <c r="JU1" s="22"/>
      <c r="JV1" s="22"/>
      <c r="JW1" s="22"/>
      <c r="JX1" s="22"/>
      <c r="JY1" s="22"/>
      <c r="JZ1" s="22"/>
      <c r="KA1" s="22"/>
      <c r="KB1" s="22"/>
      <c r="KC1" s="22"/>
      <c r="KD1" s="22"/>
      <c r="KE1" s="22"/>
      <c r="KF1" s="22"/>
      <c r="KG1" s="22"/>
      <c r="KH1" s="22"/>
      <c r="KI1" s="22"/>
      <c r="KJ1" s="22"/>
      <c r="KK1" s="22"/>
      <c r="KL1" s="22"/>
      <c r="KM1" s="22"/>
      <c r="KN1" s="22"/>
      <c r="KO1" s="22"/>
      <c r="KP1" s="22"/>
      <c r="KQ1" s="22"/>
      <c r="KR1" s="22"/>
      <c r="KS1" s="22"/>
      <c r="KT1" s="22"/>
      <c r="KU1" s="22"/>
      <c r="KV1" s="22"/>
      <c r="KW1" s="22"/>
      <c r="KX1" s="22"/>
      <c r="KY1" s="22"/>
      <c r="KZ1" s="22"/>
      <c r="LA1" s="22"/>
      <c r="LB1" s="22"/>
      <c r="LC1" s="22"/>
      <c r="LD1" s="22"/>
      <c r="LE1" s="22"/>
      <c r="LF1" s="22"/>
      <c r="LG1" s="22"/>
      <c r="LH1" s="22"/>
      <c r="LI1" s="22"/>
      <c r="LJ1" s="22"/>
      <c r="LK1" s="22"/>
      <c r="LL1" s="22"/>
      <c r="LM1" s="22"/>
      <c r="LN1" s="22"/>
      <c r="LO1" s="22"/>
      <c r="LP1" s="22"/>
      <c r="LQ1" s="22"/>
      <c r="LR1" s="22"/>
      <c r="LS1" s="22"/>
      <c r="LT1" s="22"/>
      <c r="LU1" s="22"/>
      <c r="LV1" s="22"/>
      <c r="LW1" s="22"/>
      <c r="LX1" s="22"/>
      <c r="LY1" s="22"/>
      <c r="LZ1" s="22"/>
      <c r="MA1" s="22"/>
      <c r="MB1" s="22"/>
      <c r="MC1" s="22"/>
      <c r="MD1" s="22"/>
      <c r="ME1" s="22"/>
      <c r="MF1" s="22"/>
      <c r="MG1" s="22"/>
      <c r="MH1" s="22"/>
      <c r="MI1" s="22"/>
      <c r="MJ1" s="22"/>
      <c r="MK1" s="22"/>
      <c r="ML1" s="22"/>
      <c r="MM1" s="22"/>
      <c r="MN1" s="22"/>
      <c r="MO1" s="22"/>
      <c r="MP1" s="22"/>
      <c r="MQ1" s="22"/>
      <c r="MR1" s="22"/>
      <c r="MS1" s="22"/>
      <c r="MT1" s="22"/>
      <c r="MU1" s="22"/>
      <c r="MV1" s="22"/>
      <c r="MW1" s="22"/>
      <c r="MX1" s="22"/>
      <c r="MY1" s="22"/>
      <c r="MZ1" s="22"/>
      <c r="NA1" s="22"/>
      <c r="NB1" s="22"/>
      <c r="NC1" s="22"/>
      <c r="ND1" s="22"/>
      <c r="NE1" s="22"/>
      <c r="NF1" s="22"/>
      <c r="NG1" s="22"/>
      <c r="NH1" s="22"/>
      <c r="NI1" s="22"/>
      <c r="NJ1" s="22"/>
      <c r="NK1" s="22"/>
      <c r="NL1" s="22"/>
      <c r="NM1" s="22"/>
      <c r="NN1" s="22"/>
      <c r="NO1" s="22"/>
      <c r="NP1" s="22"/>
      <c r="NQ1" s="22"/>
      <c r="NR1" s="22"/>
      <c r="NS1" s="22"/>
      <c r="NT1" s="22"/>
      <c r="NU1" s="22"/>
      <c r="NV1" s="22"/>
      <c r="NW1" s="22"/>
      <c r="NX1" s="22"/>
      <c r="NY1" s="22"/>
      <c r="NZ1" s="22"/>
      <c r="OA1" s="22"/>
      <c r="OB1" s="22"/>
      <c r="OC1" s="22"/>
      <c r="OD1" s="22"/>
      <c r="OE1" s="22"/>
      <c r="OF1" s="22"/>
      <c r="OG1" s="22"/>
      <c r="OH1" s="22"/>
      <c r="OI1" s="22"/>
      <c r="OJ1" s="22"/>
      <c r="OK1" s="22"/>
      <c r="OL1" s="22"/>
      <c r="OM1" s="22"/>
      <c r="ON1" s="22"/>
      <c r="OO1" s="22"/>
      <c r="OP1" s="22"/>
      <c r="OQ1" s="22"/>
      <c r="OR1" s="22"/>
      <c r="OS1" s="22"/>
      <c r="OT1" s="22"/>
      <c r="OU1" s="22"/>
      <c r="OV1" s="22"/>
      <c r="OW1" s="22"/>
      <c r="OX1" s="22"/>
      <c r="OY1" s="22"/>
      <c r="OZ1" s="22"/>
      <c r="PA1" s="22"/>
      <c r="PB1" s="22"/>
      <c r="PC1" s="22"/>
      <c r="PD1" s="22"/>
      <c r="PE1" s="22"/>
      <c r="PF1" s="22"/>
      <c r="PG1" s="22"/>
      <c r="PH1" s="22"/>
      <c r="PI1" s="22"/>
      <c r="PJ1" s="22"/>
      <c r="PK1" s="22"/>
      <c r="PL1" s="22"/>
      <c r="PM1" s="22"/>
      <c r="PN1" s="22"/>
      <c r="PO1" s="22"/>
      <c r="PP1" s="22"/>
      <c r="PQ1" s="22"/>
      <c r="PR1" s="22"/>
      <c r="PS1" s="22"/>
      <c r="PT1" s="22"/>
      <c r="PU1" s="22"/>
      <c r="PV1" s="22"/>
      <c r="PW1" s="22"/>
      <c r="PX1" s="22"/>
      <c r="PY1" s="22"/>
      <c r="PZ1" s="22"/>
      <c r="QA1" s="22"/>
      <c r="QB1" s="22"/>
      <c r="QC1" s="22"/>
      <c r="QD1" s="22"/>
      <c r="QE1" s="22"/>
      <c r="QF1" s="22"/>
      <c r="QG1" s="22"/>
      <c r="QH1" s="22"/>
      <c r="QI1" s="22"/>
      <c r="QJ1" s="22"/>
      <c r="QK1" s="22"/>
      <c r="QL1" s="22"/>
      <c r="QM1" s="22"/>
      <c r="QN1" s="22"/>
      <c r="QO1" s="22"/>
      <c r="QP1" s="22"/>
      <c r="QQ1" s="22"/>
      <c r="QR1" s="22"/>
      <c r="QS1" s="22"/>
      <c r="QT1" s="22"/>
      <c r="QU1" s="22"/>
      <c r="QV1" s="22"/>
      <c r="QW1" s="22"/>
      <c r="QX1" s="22"/>
      <c r="QY1" s="22"/>
      <c r="QZ1" s="22"/>
      <c r="RA1" s="22"/>
      <c r="RB1" s="22"/>
      <c r="RC1" s="22"/>
      <c r="RD1" s="22"/>
      <c r="RE1" s="22"/>
      <c r="RF1" s="22"/>
      <c r="RG1" s="22"/>
      <c r="RH1" s="22"/>
      <c r="RI1" s="22"/>
      <c r="RJ1" s="22"/>
      <c r="RK1" s="22"/>
      <c r="RL1" s="22"/>
      <c r="RM1" s="22"/>
      <c r="RN1" s="22"/>
      <c r="RO1" s="22"/>
      <c r="RP1" s="22"/>
      <c r="RQ1" s="22"/>
      <c r="RR1" s="22"/>
      <c r="RS1" s="22"/>
      <c r="RT1" s="22"/>
      <c r="RU1" s="22"/>
      <c r="RV1" s="22"/>
      <c r="RW1" s="22"/>
      <c r="RX1" s="22"/>
      <c r="RY1" s="22"/>
      <c r="RZ1" s="22"/>
      <c r="SA1" s="22"/>
      <c r="SB1" s="22"/>
      <c r="SC1" s="22"/>
      <c r="SD1" s="22"/>
      <c r="SE1" s="22"/>
      <c r="SF1" s="22"/>
      <c r="SG1" s="22"/>
      <c r="SH1" s="22"/>
      <c r="SI1" s="22"/>
      <c r="SJ1" s="22"/>
      <c r="SK1" s="22"/>
      <c r="SL1" s="22"/>
      <c r="SM1" s="22"/>
      <c r="SN1" s="22"/>
      <c r="SO1" s="22"/>
      <c r="SP1" s="22"/>
      <c r="SQ1" s="22"/>
      <c r="SR1" s="22"/>
      <c r="SS1" s="22"/>
      <c r="ST1" s="22"/>
      <c r="SU1" s="22"/>
      <c r="SV1" s="22"/>
      <c r="SW1" s="22"/>
      <c r="SX1" s="22"/>
      <c r="SY1" s="22"/>
      <c r="SZ1" s="22"/>
      <c r="TA1" s="22"/>
      <c r="TB1" s="22"/>
      <c r="TC1" s="22"/>
      <c r="TD1" s="22"/>
      <c r="TE1" s="22"/>
      <c r="TF1" s="22"/>
      <c r="TG1" s="22"/>
      <c r="TH1" s="22"/>
      <c r="TI1" s="22"/>
      <c r="TJ1" s="22"/>
      <c r="TK1" s="22"/>
      <c r="TL1" s="22"/>
      <c r="TM1" s="22"/>
      <c r="TN1" s="22"/>
      <c r="TO1" s="22"/>
      <c r="TP1" s="22"/>
      <c r="TQ1" s="22"/>
      <c r="TR1" s="22"/>
      <c r="TS1" s="22"/>
      <c r="TT1" s="22"/>
      <c r="TU1" s="22"/>
      <c r="TV1" s="22"/>
      <c r="TW1" s="22"/>
      <c r="TX1" s="22"/>
      <c r="TY1" s="22"/>
      <c r="TZ1" s="22"/>
      <c r="UA1" s="22"/>
      <c r="UB1" s="22"/>
      <c r="UC1" s="22"/>
      <c r="UD1" s="22"/>
      <c r="UE1" s="22"/>
      <c r="UF1" s="22"/>
      <c r="UG1" s="22"/>
      <c r="UH1" s="22"/>
      <c r="UI1" s="22"/>
      <c r="UJ1" s="22"/>
      <c r="UK1" s="22"/>
      <c r="UL1" s="22"/>
      <c r="UM1" s="22"/>
      <c r="UN1" s="22"/>
      <c r="UO1" s="22"/>
      <c r="UP1" s="22"/>
      <c r="UQ1" s="22"/>
      <c r="UR1" s="22"/>
      <c r="US1" s="22"/>
      <c r="UT1" s="22"/>
      <c r="UU1" s="22"/>
      <c r="UV1" s="22"/>
      <c r="UW1" s="22"/>
      <c r="UX1" s="22"/>
      <c r="UY1" s="22"/>
      <c r="UZ1" s="22"/>
      <c r="VA1" s="22"/>
      <c r="VB1" s="22"/>
      <c r="VC1" s="22"/>
      <c r="VD1" s="22"/>
      <c r="VE1" s="22"/>
      <c r="VF1" s="22"/>
      <c r="VG1" s="22"/>
      <c r="VH1" s="22"/>
      <c r="VI1" s="22"/>
      <c r="VJ1" s="22"/>
      <c r="VK1" s="22"/>
      <c r="VL1" s="22"/>
      <c r="VM1" s="22"/>
      <c r="VN1" s="22"/>
      <c r="VO1" s="22"/>
      <c r="VP1" s="22"/>
      <c r="VQ1" s="22"/>
      <c r="VR1" s="22"/>
      <c r="VS1" s="22"/>
      <c r="VT1" s="22"/>
      <c r="VU1" s="22"/>
      <c r="VV1" s="22"/>
      <c r="VW1" s="22"/>
      <c r="VX1" s="22"/>
      <c r="VY1" s="22"/>
      <c r="VZ1" s="22"/>
      <c r="WA1" s="22"/>
      <c r="WB1" s="22"/>
      <c r="WC1" s="22"/>
      <c r="WD1" s="22"/>
      <c r="WE1" s="22"/>
      <c r="WF1" s="22"/>
      <c r="WG1" s="22"/>
      <c r="WH1" s="22"/>
      <c r="WI1" s="22"/>
      <c r="WJ1" s="22"/>
      <c r="WK1" s="22"/>
      <c r="WL1" s="22"/>
      <c r="WM1" s="22"/>
      <c r="WN1" s="22"/>
      <c r="WO1" s="22"/>
      <c r="WP1" s="22"/>
      <c r="WQ1" s="22"/>
      <c r="WR1" s="22"/>
      <c r="WS1" s="22"/>
      <c r="WT1" s="22"/>
      <c r="WU1" s="22"/>
      <c r="WV1" s="22"/>
      <c r="WW1" s="22"/>
      <c r="WX1" s="22"/>
      <c r="WY1" s="22"/>
      <c r="WZ1" s="22"/>
      <c r="XA1" s="22"/>
      <c r="XB1" s="22"/>
      <c r="XC1" s="22"/>
      <c r="XD1" s="22"/>
      <c r="XE1" s="22"/>
      <c r="XF1" s="22"/>
      <c r="XG1" s="22"/>
      <c r="XH1" s="22"/>
      <c r="XI1" s="22"/>
      <c r="XJ1" s="22"/>
      <c r="XK1" s="22"/>
      <c r="XL1" s="22"/>
      <c r="XM1" s="22"/>
      <c r="XN1" s="22"/>
      <c r="XO1" s="22"/>
      <c r="XP1" s="22"/>
      <c r="XQ1" s="22"/>
      <c r="XR1" s="22"/>
      <c r="XS1" s="22"/>
      <c r="XT1" s="22"/>
      <c r="XU1" s="22"/>
      <c r="XV1" s="22"/>
      <c r="XW1" s="22"/>
      <c r="XX1" s="22"/>
      <c r="XY1" s="22"/>
      <c r="XZ1" s="22"/>
      <c r="YA1" s="22"/>
      <c r="YB1" s="22"/>
      <c r="YC1" s="22"/>
      <c r="YD1" s="22"/>
      <c r="YE1" s="22"/>
      <c r="YF1" s="22"/>
      <c r="YG1" s="22"/>
      <c r="YH1" s="22"/>
      <c r="YI1" s="22"/>
      <c r="YJ1" s="22"/>
      <c r="YK1" s="22"/>
      <c r="YL1" s="22"/>
      <c r="YM1" s="22"/>
      <c r="YN1" s="22"/>
      <c r="YO1" s="22"/>
      <c r="YP1" s="22"/>
      <c r="YQ1" s="22"/>
      <c r="YR1" s="22"/>
      <c r="YS1" s="22"/>
      <c r="YT1" s="22"/>
      <c r="YU1" s="22"/>
      <c r="YV1" s="22"/>
      <c r="YW1" s="22"/>
      <c r="YX1" s="22"/>
      <c r="YY1" s="22"/>
      <c r="YZ1" s="22"/>
      <c r="ZA1" s="22"/>
      <c r="ZB1" s="22"/>
      <c r="ZC1" s="22"/>
      <c r="ZD1" s="22"/>
      <c r="ZE1" s="22"/>
      <c r="ZF1" s="22"/>
      <c r="ZG1" s="22"/>
      <c r="ZH1" s="22"/>
      <c r="ZI1" s="22"/>
      <c r="ZJ1" s="22"/>
      <c r="ZK1" s="22"/>
      <c r="ZL1" s="22"/>
      <c r="ZM1" s="22"/>
      <c r="ZN1" s="22"/>
      <c r="ZO1" s="22"/>
      <c r="ZP1" s="22"/>
      <c r="ZQ1" s="22"/>
      <c r="ZR1" s="22"/>
      <c r="ZS1" s="22"/>
      <c r="ZT1" s="22"/>
      <c r="ZU1" s="22"/>
      <c r="ZV1" s="22"/>
      <c r="ZW1" s="22"/>
      <c r="ZX1" s="22"/>
      <c r="ZY1" s="22"/>
      <c r="ZZ1" s="22"/>
      <c r="AAA1" s="22"/>
      <c r="AAB1" s="22"/>
      <c r="AAC1" s="22"/>
      <c r="AAD1" s="22"/>
      <c r="AAE1" s="22"/>
      <c r="AAF1" s="22"/>
      <c r="AAG1" s="22"/>
      <c r="AAH1" s="22"/>
      <c r="AAI1" s="22"/>
      <c r="AAJ1" s="22"/>
      <c r="AAK1" s="22"/>
      <c r="AAL1" s="22"/>
      <c r="AAM1" s="22"/>
      <c r="AAN1" s="22"/>
      <c r="AAO1" s="22"/>
      <c r="AAP1" s="22"/>
      <c r="AAQ1" s="22"/>
      <c r="AAR1" s="22"/>
      <c r="AAS1" s="22"/>
      <c r="AAT1" s="22"/>
      <c r="AAU1" s="22"/>
      <c r="AAV1" s="22"/>
      <c r="AAW1" s="22"/>
      <c r="AAX1" s="22"/>
      <c r="AAY1" s="22"/>
      <c r="AAZ1" s="22"/>
      <c r="ABA1" s="22"/>
      <c r="ABB1" s="22"/>
      <c r="ABC1" s="22"/>
      <c r="ABD1" s="22"/>
      <c r="ABE1" s="22"/>
      <c r="ABF1" s="22"/>
      <c r="ABG1" s="22"/>
      <c r="ABH1" s="22"/>
      <c r="ABI1" s="22"/>
      <c r="ABJ1" s="22"/>
      <c r="ABK1" s="22"/>
      <c r="ABL1" s="22"/>
      <c r="ABM1" s="22"/>
      <c r="ABN1" s="22"/>
      <c r="ABO1" s="22"/>
      <c r="ABP1" s="22"/>
      <c r="ABQ1" s="22"/>
      <c r="ABR1" s="22"/>
      <c r="ABS1" s="22"/>
      <c r="ABT1" s="22"/>
      <c r="ABU1" s="22"/>
      <c r="ABV1" s="22"/>
      <c r="ABW1" s="22"/>
      <c r="ABX1" s="22"/>
      <c r="ABY1" s="22"/>
      <c r="ABZ1" s="22"/>
      <c r="ACA1" s="22"/>
      <c r="ACB1" s="22"/>
      <c r="ACC1" s="22"/>
      <c r="ACD1" s="22"/>
      <c r="ACE1" s="22"/>
      <c r="ACF1" s="22"/>
      <c r="ACG1" s="22"/>
      <c r="ACH1" s="22"/>
      <c r="ACI1" s="22"/>
      <c r="ACJ1" s="22"/>
      <c r="ACK1" s="22"/>
      <c r="ACL1" s="22"/>
      <c r="ACM1" s="22"/>
      <c r="ACN1" s="22"/>
      <c r="ACO1" s="22"/>
      <c r="ACP1" s="22"/>
      <c r="ACQ1" s="22"/>
      <c r="ACR1" s="22"/>
      <c r="ACS1" s="22"/>
      <c r="ACT1" s="22"/>
      <c r="ACU1" s="22"/>
      <c r="ACV1" s="22"/>
      <c r="ACW1" s="22"/>
      <c r="ACX1" s="22"/>
      <c r="ACY1" s="22"/>
      <c r="ACZ1" s="22"/>
      <c r="ADA1" s="22"/>
      <c r="ADB1" s="22"/>
      <c r="ADC1" s="22"/>
      <c r="ADD1" s="22"/>
      <c r="ADE1" s="22"/>
      <c r="ADF1" s="22"/>
      <c r="ADG1" s="22"/>
      <c r="ADH1" s="22"/>
      <c r="ADI1" s="22"/>
      <c r="ADJ1" s="22"/>
      <c r="ADK1" s="22"/>
      <c r="ADL1" s="22"/>
      <c r="ADM1" s="22"/>
      <c r="ADN1" s="22"/>
      <c r="ADO1" s="22"/>
      <c r="ADP1" s="22"/>
      <c r="ADQ1" s="22"/>
      <c r="ADR1" s="22"/>
      <c r="ADS1" s="22"/>
      <c r="ADT1" s="22"/>
      <c r="ADU1" s="22"/>
      <c r="ADV1" s="22"/>
      <c r="ADW1" s="22"/>
      <c r="ADX1" s="22"/>
      <c r="ADY1" s="22"/>
      <c r="ADZ1" s="22"/>
      <c r="AEA1" s="22"/>
      <c r="AEB1" s="22"/>
      <c r="AEC1" s="22"/>
      <c r="AED1" s="22"/>
      <c r="AEE1" s="22"/>
      <c r="AEF1" s="22"/>
      <c r="AEG1" s="22"/>
      <c r="AEH1" s="22"/>
      <c r="AEI1" s="22"/>
      <c r="AEJ1" s="22"/>
      <c r="AEK1" s="22"/>
      <c r="AEL1" s="22"/>
      <c r="AEM1" s="22"/>
      <c r="AEN1" s="22"/>
      <c r="AEO1" s="22"/>
      <c r="AEP1" s="22"/>
      <c r="AEQ1" s="22"/>
      <c r="AER1" s="22"/>
      <c r="AES1" s="22"/>
      <c r="AET1" s="22"/>
      <c r="AEU1" s="22"/>
      <c r="AEV1" s="22"/>
      <c r="AEW1" s="22"/>
      <c r="AEX1" s="22"/>
      <c r="AEY1" s="22"/>
      <c r="AEZ1" s="22"/>
      <c r="AFA1" s="22"/>
      <c r="AFB1" s="22"/>
      <c r="AFC1" s="22"/>
      <c r="AFD1" s="22"/>
      <c r="AFE1" s="22"/>
      <c r="AFF1" s="22"/>
      <c r="AFG1" s="22"/>
      <c r="AFH1" s="22"/>
      <c r="AFI1" s="22"/>
      <c r="AFJ1" s="22"/>
      <c r="AFK1" s="22"/>
      <c r="AFL1" s="22"/>
      <c r="AFM1" s="22"/>
      <c r="AFN1" s="22"/>
      <c r="AFO1" s="22"/>
      <c r="AFP1" s="22"/>
      <c r="AFQ1" s="22"/>
      <c r="AFR1" s="22"/>
      <c r="AFS1" s="22"/>
      <c r="AFT1" s="22"/>
      <c r="AFU1" s="22"/>
      <c r="AFV1" s="22"/>
      <c r="AFW1" s="22"/>
      <c r="AFX1" s="22"/>
      <c r="AFY1" s="22"/>
      <c r="AFZ1" s="22"/>
      <c r="AGA1" s="22"/>
      <c r="AGB1" s="22"/>
      <c r="AGC1" s="22"/>
      <c r="AGD1" s="22"/>
      <c r="AGE1" s="22"/>
      <c r="AGF1" s="22"/>
      <c r="AGG1" s="22"/>
      <c r="AGH1" s="22"/>
      <c r="AGI1" s="22"/>
      <c r="AGJ1" s="22"/>
      <c r="AGK1" s="22"/>
      <c r="AGL1" s="22"/>
      <c r="AGM1" s="22"/>
      <c r="AGN1" s="22"/>
      <c r="AGO1" s="22"/>
      <c r="AGP1" s="22"/>
      <c r="AGQ1" s="22"/>
      <c r="AGR1" s="22"/>
      <c r="AGS1" s="22"/>
      <c r="AGT1" s="22"/>
      <c r="AGU1" s="22"/>
      <c r="AGV1" s="22"/>
      <c r="AGW1" s="22"/>
      <c r="AGX1" s="22"/>
      <c r="AGY1" s="22"/>
      <c r="AGZ1" s="22"/>
      <c r="AHA1" s="22"/>
      <c r="AHB1" s="22"/>
      <c r="AHC1" s="22"/>
      <c r="AHD1" s="22"/>
      <c r="AHE1" s="22"/>
      <c r="AHF1" s="22"/>
      <c r="AHG1" s="22"/>
      <c r="AHH1" s="22"/>
      <c r="AHI1" s="22"/>
      <c r="AHJ1" s="22"/>
      <c r="AHK1" s="22"/>
      <c r="AHL1" s="22"/>
      <c r="AHM1" s="22"/>
      <c r="AHN1" s="22"/>
      <c r="AHO1" s="22"/>
      <c r="AHP1" s="22"/>
      <c r="AHQ1" s="22"/>
      <c r="AHR1" s="22"/>
      <c r="AHS1" s="22"/>
      <c r="AHT1" s="22"/>
      <c r="AHU1" s="22"/>
      <c r="AHV1" s="22"/>
      <c r="AHW1" s="22"/>
      <c r="AHX1" s="22"/>
      <c r="AHY1" s="22"/>
      <c r="AHZ1" s="22"/>
      <c r="AIA1" s="22"/>
      <c r="AIB1" s="22"/>
      <c r="AIC1" s="22"/>
      <c r="AID1" s="22"/>
      <c r="AIE1" s="22"/>
      <c r="AIF1" s="22"/>
      <c r="AIG1" s="22"/>
      <c r="AIH1" s="22"/>
      <c r="AII1" s="22"/>
      <c r="AIJ1" s="22"/>
      <c r="AIK1" s="22"/>
      <c r="AIL1" s="22"/>
      <c r="AIM1" s="22"/>
      <c r="AIN1" s="22"/>
      <c r="AIO1" s="22"/>
      <c r="AIP1" s="22"/>
      <c r="AIQ1" s="22"/>
      <c r="AIR1" s="22"/>
      <c r="AIS1" s="22"/>
      <c r="AIT1" s="22"/>
      <c r="AIU1" s="22"/>
      <c r="AIV1" s="22"/>
      <c r="AIW1" s="22"/>
      <c r="AIX1" s="22"/>
      <c r="AIY1" s="22"/>
      <c r="AIZ1" s="22"/>
      <c r="AJA1" s="22"/>
      <c r="AJB1" s="22"/>
      <c r="AJC1" s="22"/>
      <c r="AJD1" s="22"/>
      <c r="AJE1" s="22"/>
      <c r="AJF1" s="22"/>
      <c r="AJG1" s="22"/>
      <c r="AJH1" s="22"/>
      <c r="AJI1" s="22"/>
      <c r="AJJ1" s="22"/>
      <c r="AJK1" s="22"/>
      <c r="AJL1" s="22"/>
      <c r="AJM1" s="22"/>
      <c r="AJN1" s="22"/>
      <c r="AJO1" s="22"/>
      <c r="AJP1" s="22"/>
      <c r="AJQ1" s="22"/>
      <c r="AJR1" s="22"/>
      <c r="AJS1" s="22"/>
      <c r="AJT1" s="22"/>
      <c r="AJU1" s="22"/>
      <c r="AJV1" s="22"/>
      <c r="AJW1" s="22"/>
      <c r="AJX1" s="22"/>
      <c r="AJY1" s="22"/>
      <c r="AJZ1" s="22"/>
      <c r="AKA1" s="22"/>
      <c r="AKB1" s="22"/>
      <c r="AKC1" s="22"/>
      <c r="AKD1" s="22"/>
      <c r="AKE1" s="22"/>
      <c r="AKF1" s="22"/>
      <c r="AKG1" s="22"/>
      <c r="AKH1" s="22"/>
      <c r="AKI1" s="22"/>
      <c r="AKJ1" s="22"/>
      <c r="AKK1" s="22"/>
      <c r="AKL1" s="22"/>
      <c r="AKM1" s="22"/>
      <c r="AKN1" s="22"/>
      <c r="AKO1" s="22"/>
      <c r="AKP1" s="22"/>
      <c r="AKQ1" s="22"/>
      <c r="AKR1" s="22"/>
      <c r="AKS1" s="22"/>
      <c r="AKT1" s="22"/>
      <c r="AKU1" s="22"/>
      <c r="AKV1" s="22"/>
      <c r="AKW1" s="22"/>
      <c r="AKX1" s="22"/>
      <c r="AKY1" s="22"/>
      <c r="AKZ1" s="22"/>
      <c r="ALA1" s="22"/>
      <c r="ALB1" s="22"/>
      <c r="ALC1" s="22"/>
      <c r="ALD1" s="22"/>
      <c r="ALE1" s="22"/>
      <c r="ALF1" s="22"/>
      <c r="ALG1" s="22"/>
      <c r="ALH1" s="22"/>
      <c r="ALI1" s="22"/>
      <c r="ALJ1" s="22"/>
      <c r="ALK1" s="22"/>
      <c r="ALL1" s="22"/>
      <c r="ALM1" s="22"/>
      <c r="ALN1" s="22"/>
      <c r="ALO1" s="22"/>
      <c r="ALP1" s="22"/>
      <c r="ALQ1" s="22"/>
      <c r="ALR1" s="22"/>
      <c r="ALS1" s="22"/>
      <c r="ALT1" s="22"/>
      <c r="ALU1" s="22"/>
      <c r="ALV1" s="22"/>
      <c r="ALW1" s="22"/>
      <c r="ALX1" s="22"/>
      <c r="ALY1" s="22"/>
      <c r="ALZ1" s="22"/>
      <c r="AMA1" s="22"/>
      <c r="AMB1" s="22"/>
      <c r="AMC1" s="22"/>
      <c r="AMD1" s="22"/>
      <c r="AME1" s="22"/>
      <c r="AMF1" s="22"/>
      <c r="AMG1" s="22"/>
      <c r="AMH1" s="22"/>
      <c r="AMI1" s="22"/>
      <c r="AMJ1" s="22"/>
      <c r="AMK1" s="22"/>
      <c r="AML1" s="22"/>
      <c r="AMM1" s="22"/>
      <c r="AMN1" s="22"/>
      <c r="AMO1" s="22"/>
      <c r="AMP1" s="22"/>
      <c r="AMQ1" s="22"/>
      <c r="AMR1" s="22"/>
      <c r="AMS1" s="22"/>
      <c r="AMT1" s="22"/>
      <c r="AMU1" s="22"/>
      <c r="AMV1" s="22"/>
      <c r="AMW1" s="22"/>
      <c r="AMX1" s="22"/>
      <c r="AMY1" s="22"/>
      <c r="AMZ1" s="22"/>
      <c r="ANA1" s="22"/>
      <c r="ANB1" s="22"/>
      <c r="ANC1" s="22"/>
      <c r="AND1" s="22"/>
      <c r="ANE1" s="22"/>
      <c r="ANF1" s="22"/>
      <c r="ANG1" s="22"/>
      <c r="ANH1" s="22"/>
      <c r="ANI1" s="22"/>
      <c r="ANJ1" s="22"/>
      <c r="ANK1" s="22"/>
      <c r="ANL1" s="22"/>
      <c r="ANM1" s="22"/>
      <c r="ANN1" s="22"/>
      <c r="ANO1" s="22"/>
      <c r="ANP1" s="22"/>
      <c r="ANQ1" s="22"/>
      <c r="ANR1" s="22"/>
      <c r="ANS1" s="22"/>
      <c r="ANT1" s="22"/>
      <c r="ANU1" s="22"/>
      <c r="ANV1" s="22"/>
      <c r="ANW1" s="22"/>
      <c r="ANX1" s="22"/>
      <c r="ANY1" s="22"/>
      <c r="ANZ1" s="22"/>
      <c r="AOA1" s="22"/>
      <c r="AOB1" s="22"/>
      <c r="AOC1" s="22"/>
      <c r="AOD1" s="22"/>
      <c r="AOE1" s="22"/>
      <c r="AOF1" s="22"/>
      <c r="AOG1" s="22"/>
      <c r="AOH1" s="22"/>
      <c r="AOI1" s="22"/>
      <c r="AOJ1" s="22"/>
      <c r="AOK1" s="22"/>
      <c r="AOL1" s="22"/>
      <c r="AOM1" s="22"/>
      <c r="AON1" s="22"/>
      <c r="AOO1" s="22"/>
      <c r="AOP1" s="22"/>
      <c r="AOQ1" s="22"/>
      <c r="AOR1" s="22"/>
      <c r="AOS1" s="22"/>
      <c r="AOT1" s="22"/>
      <c r="AOU1" s="22"/>
      <c r="AOV1" s="22"/>
      <c r="AOW1" s="22"/>
      <c r="AOX1" s="22"/>
      <c r="AOY1" s="22"/>
      <c r="AOZ1" s="22"/>
      <c r="APA1" s="22"/>
      <c r="APB1" s="22"/>
      <c r="APC1" s="22"/>
      <c r="APD1" s="22"/>
      <c r="APE1" s="22"/>
      <c r="APF1" s="22"/>
      <c r="APG1" s="22"/>
      <c r="APH1" s="22"/>
      <c r="API1" s="22"/>
      <c r="APJ1" s="22"/>
      <c r="APK1" s="22"/>
      <c r="APL1" s="22"/>
      <c r="APM1" s="22"/>
      <c r="APN1" s="22"/>
      <c r="APO1" s="22"/>
      <c r="APP1" s="22"/>
      <c r="APQ1" s="22"/>
      <c r="APR1" s="22"/>
      <c r="APS1" s="22"/>
      <c r="APT1" s="22"/>
      <c r="APU1" s="22"/>
      <c r="APV1" s="22"/>
      <c r="APW1" s="22"/>
      <c r="APX1" s="22"/>
      <c r="APY1" s="22"/>
      <c r="APZ1" s="22"/>
      <c r="AQA1" s="22"/>
      <c r="AQB1" s="22"/>
      <c r="AQC1" s="22"/>
      <c r="AQD1" s="22"/>
      <c r="AQE1" s="22"/>
      <c r="AQF1" s="22"/>
      <c r="AQG1" s="22"/>
      <c r="AQH1" s="22"/>
      <c r="AQI1" s="22"/>
      <c r="AQJ1" s="22"/>
      <c r="AQK1" s="22"/>
      <c r="AQL1" s="22"/>
      <c r="AQM1" s="22"/>
      <c r="AQN1" s="22"/>
      <c r="AQO1" s="22"/>
      <c r="AQP1" s="22"/>
      <c r="AQQ1" s="22"/>
      <c r="AQR1" s="22"/>
      <c r="AQS1" s="22"/>
      <c r="AQT1" s="22"/>
      <c r="AQU1" s="22"/>
      <c r="AQV1" s="22"/>
      <c r="AQW1" s="22"/>
      <c r="AQX1" s="22"/>
      <c r="AQY1" s="22"/>
      <c r="AQZ1" s="22"/>
      <c r="ARA1" s="22"/>
      <c r="ARB1" s="22"/>
      <c r="ARC1" s="22"/>
      <c r="ARD1" s="22"/>
      <c r="ARE1" s="22"/>
      <c r="ARF1" s="22"/>
      <c r="ARG1" s="22"/>
      <c r="ARH1" s="22"/>
      <c r="ARI1" s="22"/>
      <c r="ARJ1" s="22"/>
      <c r="ARK1" s="22"/>
      <c r="ARL1" s="22"/>
      <c r="ARM1" s="22"/>
      <c r="ARN1" s="22"/>
      <c r="ARO1" s="22"/>
      <c r="ARP1" s="22"/>
      <c r="ARQ1" s="22"/>
      <c r="ARR1" s="22"/>
      <c r="ARS1" s="22"/>
      <c r="ART1" s="22"/>
      <c r="ARU1" s="22"/>
      <c r="ARV1" s="22"/>
      <c r="ARW1" s="22"/>
      <c r="ARX1" s="22"/>
      <c r="ARY1" s="22"/>
      <c r="ARZ1" s="22"/>
      <c r="ASA1" s="22"/>
      <c r="ASB1" s="22"/>
      <c r="ASC1" s="22"/>
      <c r="ASD1" s="22"/>
      <c r="ASE1" s="22"/>
      <c r="ASF1" s="22"/>
      <c r="ASG1" s="22"/>
      <c r="ASH1" s="22"/>
      <c r="ASI1" s="22"/>
      <c r="ASJ1" s="22"/>
      <c r="ASK1" s="22"/>
      <c r="ASL1" s="22"/>
      <c r="ASM1" s="22"/>
      <c r="ASN1" s="22"/>
      <c r="ASO1" s="22"/>
      <c r="ASP1" s="22"/>
      <c r="ASQ1" s="22"/>
      <c r="ASR1" s="22"/>
      <c r="ASS1" s="22"/>
      <c r="AST1" s="22"/>
      <c r="ASU1" s="22"/>
      <c r="ASV1" s="22"/>
      <c r="ASW1" s="22"/>
      <c r="ASX1" s="22"/>
      <c r="ASY1" s="22"/>
      <c r="ASZ1" s="22"/>
      <c r="ATA1" s="22"/>
      <c r="ATB1" s="22"/>
      <c r="ATC1" s="22"/>
      <c r="ATD1" s="22"/>
      <c r="ATE1" s="22"/>
      <c r="ATF1" s="22"/>
      <c r="ATG1" s="22"/>
      <c r="ATH1" s="22"/>
      <c r="ATI1" s="22"/>
      <c r="ATJ1" s="22"/>
      <c r="ATK1" s="22"/>
      <c r="ATL1" s="22"/>
      <c r="ATM1" s="22"/>
      <c r="ATN1" s="22"/>
      <c r="ATO1" s="22"/>
      <c r="ATP1" s="22"/>
      <c r="ATQ1" s="22"/>
      <c r="ATR1" s="22"/>
      <c r="ATS1" s="22"/>
      <c r="ATT1" s="22"/>
      <c r="ATU1" s="22"/>
      <c r="ATV1" s="22"/>
      <c r="ATW1" s="22"/>
      <c r="ATX1" s="22"/>
      <c r="ATY1" s="22"/>
      <c r="ATZ1" s="22"/>
      <c r="AUA1" s="22"/>
      <c r="AUB1" s="22"/>
      <c r="AUC1" s="22"/>
      <c r="AUD1" s="22"/>
      <c r="AUE1" s="22"/>
      <c r="AUF1" s="22"/>
      <c r="AUG1" s="22"/>
      <c r="AUH1" s="22"/>
      <c r="AUI1" s="22"/>
      <c r="AUJ1" s="22"/>
      <c r="AUK1" s="22"/>
      <c r="AUL1" s="22"/>
      <c r="AUM1" s="22"/>
      <c r="AUN1" s="22"/>
      <c r="AUO1" s="22"/>
      <c r="AUP1" s="22"/>
      <c r="AUQ1" s="22"/>
      <c r="AUR1" s="22"/>
      <c r="AUS1" s="22"/>
      <c r="AUT1" s="22"/>
      <c r="AUU1" s="22"/>
      <c r="AUV1" s="22"/>
      <c r="AUW1" s="22"/>
      <c r="AUX1" s="22"/>
      <c r="AUY1" s="22"/>
      <c r="AUZ1" s="22"/>
      <c r="AVA1" s="22"/>
      <c r="AVB1" s="22"/>
      <c r="AVC1" s="22"/>
      <c r="AVD1" s="22"/>
      <c r="AVE1" s="22"/>
      <c r="AVF1" s="22"/>
      <c r="AVG1" s="22"/>
      <c r="AVH1" s="22"/>
      <c r="AVI1" s="22"/>
      <c r="AVJ1" s="22"/>
      <c r="AVK1" s="22"/>
      <c r="AVL1" s="22"/>
      <c r="AVM1" s="22"/>
      <c r="AVN1" s="22"/>
      <c r="AVO1" s="22"/>
      <c r="AVP1" s="22"/>
      <c r="AVQ1" s="22"/>
      <c r="AVR1" s="22"/>
      <c r="AVS1" s="22"/>
      <c r="AVT1" s="22"/>
      <c r="AVU1" s="22"/>
      <c r="AVV1" s="22"/>
      <c r="AVW1" s="22"/>
      <c r="AVX1" s="22"/>
      <c r="AVY1" s="22"/>
      <c r="AVZ1" s="22"/>
      <c r="AWA1" s="22"/>
      <c r="AWB1" s="22"/>
      <c r="AWC1" s="22"/>
      <c r="AWD1" s="22"/>
      <c r="AWE1" s="22"/>
      <c r="AWF1" s="22"/>
      <c r="AWG1" s="22"/>
      <c r="AWH1" s="22"/>
      <c r="AWI1" s="22"/>
      <c r="AWJ1" s="22"/>
      <c r="AWK1" s="22"/>
      <c r="AWL1" s="22"/>
      <c r="AWM1" s="22"/>
      <c r="AWN1" s="22"/>
      <c r="AWO1" s="22"/>
      <c r="AWP1" s="22"/>
      <c r="AWQ1" s="22"/>
      <c r="AWR1" s="22"/>
      <c r="AWS1" s="22"/>
      <c r="AWT1" s="22"/>
      <c r="AWU1" s="22"/>
      <c r="AWV1" s="22"/>
      <c r="AWW1" s="22"/>
      <c r="AWX1" s="22"/>
      <c r="AWY1" s="22"/>
      <c r="AWZ1" s="22"/>
      <c r="AXA1" s="22"/>
      <c r="AXB1" s="22"/>
      <c r="AXC1" s="22"/>
      <c r="AXD1" s="22"/>
      <c r="AXE1" s="22"/>
      <c r="AXF1" s="22"/>
      <c r="AXG1" s="22"/>
      <c r="AXH1" s="22"/>
      <c r="AXI1" s="22"/>
      <c r="AXJ1" s="22"/>
      <c r="AXK1" s="22"/>
      <c r="AXL1" s="22"/>
      <c r="AXM1" s="22"/>
      <c r="AXN1" s="22"/>
      <c r="AXO1" s="22"/>
      <c r="AXP1" s="22"/>
      <c r="AXQ1" s="22"/>
      <c r="AXR1" s="22"/>
      <c r="AXS1" s="22"/>
      <c r="AXT1" s="22"/>
      <c r="AXU1" s="22"/>
      <c r="AXV1" s="22"/>
      <c r="AXW1" s="22"/>
      <c r="AXX1" s="22"/>
      <c r="AXY1" s="22"/>
      <c r="AXZ1" s="22"/>
      <c r="AYA1" s="22"/>
      <c r="AYB1" s="22"/>
      <c r="AYC1" s="22"/>
      <c r="AYD1" s="22"/>
      <c r="AYE1" s="22"/>
      <c r="AYF1" s="22"/>
      <c r="AYG1" s="22"/>
      <c r="AYH1" s="22"/>
      <c r="AYI1" s="22"/>
      <c r="AYJ1" s="22"/>
      <c r="AYK1" s="22"/>
      <c r="AYL1" s="22"/>
      <c r="AYM1" s="22"/>
      <c r="AYN1" s="22"/>
      <c r="AYO1" s="22"/>
      <c r="AYP1" s="22"/>
      <c r="AYQ1" s="22"/>
      <c r="AYR1" s="22"/>
      <c r="AYS1" s="22"/>
      <c r="AYT1" s="22"/>
      <c r="AYU1" s="22"/>
      <c r="AYV1" s="22"/>
      <c r="AYW1" s="22"/>
      <c r="AYX1" s="22"/>
      <c r="AYY1" s="22"/>
      <c r="AYZ1" s="22"/>
      <c r="AZA1" s="22"/>
      <c r="AZB1" s="22"/>
      <c r="AZC1" s="22"/>
      <c r="AZD1" s="22"/>
      <c r="AZE1" s="22"/>
      <c r="AZF1" s="22"/>
      <c r="AZG1" s="22"/>
      <c r="AZH1" s="22"/>
      <c r="AZI1" s="22"/>
      <c r="AZJ1" s="22"/>
      <c r="AZK1" s="22"/>
      <c r="AZL1" s="22"/>
      <c r="AZM1" s="22"/>
      <c r="AZN1" s="22"/>
      <c r="AZO1" s="22"/>
      <c r="AZP1" s="22"/>
      <c r="AZQ1" s="22"/>
      <c r="AZR1" s="22"/>
      <c r="AZS1" s="22"/>
      <c r="AZT1" s="22"/>
      <c r="AZU1" s="22"/>
      <c r="AZV1" s="22"/>
      <c r="AZW1" s="22"/>
      <c r="AZX1" s="22"/>
      <c r="AZY1" s="22"/>
      <c r="AZZ1" s="22"/>
      <c r="BAA1" s="22"/>
      <c r="BAB1" s="22"/>
      <c r="BAC1" s="22"/>
      <c r="BAD1" s="22"/>
      <c r="BAE1" s="22"/>
      <c r="BAF1" s="22"/>
      <c r="BAG1" s="22"/>
      <c r="BAH1" s="22"/>
      <c r="BAI1" s="22"/>
      <c r="BAJ1" s="22"/>
      <c r="BAK1" s="22"/>
      <c r="BAL1" s="22"/>
      <c r="BAM1" s="22"/>
      <c r="BAN1" s="22"/>
      <c r="BAO1" s="22"/>
      <c r="BAP1" s="22"/>
      <c r="BAQ1" s="22"/>
      <c r="BAR1" s="22"/>
      <c r="BAS1" s="22"/>
      <c r="BAT1" s="22"/>
      <c r="BAU1" s="22"/>
      <c r="BAV1" s="22"/>
      <c r="BAW1" s="22"/>
      <c r="BAX1" s="22"/>
      <c r="BAY1" s="22"/>
      <c r="BAZ1" s="22"/>
      <c r="BBA1" s="22"/>
      <c r="BBB1" s="22"/>
      <c r="BBC1" s="22"/>
      <c r="BBD1" s="22"/>
      <c r="BBE1" s="22"/>
      <c r="BBF1" s="22"/>
      <c r="BBG1" s="22"/>
      <c r="BBH1" s="22"/>
      <c r="BBI1" s="22"/>
      <c r="BBJ1" s="22"/>
      <c r="BBK1" s="22"/>
      <c r="BBL1" s="22"/>
      <c r="BBM1" s="22"/>
      <c r="BBN1" s="22"/>
      <c r="BBO1" s="22"/>
      <c r="BBP1" s="22"/>
      <c r="BBQ1" s="22"/>
      <c r="BBR1" s="22"/>
      <c r="BBS1" s="22"/>
      <c r="BBT1" s="22"/>
      <c r="BBU1" s="22"/>
      <c r="BBV1" s="22"/>
      <c r="BBW1" s="22"/>
      <c r="BBX1" s="22"/>
      <c r="BBY1" s="22"/>
      <c r="BBZ1" s="22"/>
      <c r="BCA1" s="22"/>
      <c r="BCB1" s="22"/>
      <c r="BCC1" s="22"/>
      <c r="BCD1" s="22"/>
      <c r="BCE1" s="22"/>
      <c r="BCF1" s="22"/>
      <c r="BCG1" s="22"/>
      <c r="BCH1" s="22"/>
      <c r="BCI1" s="22"/>
      <c r="BCJ1" s="22"/>
      <c r="BCK1" s="22"/>
      <c r="BCL1" s="22"/>
      <c r="BCM1" s="22"/>
      <c r="BCN1" s="22"/>
      <c r="BCO1" s="22"/>
      <c r="BCP1" s="22"/>
      <c r="BCQ1" s="22"/>
      <c r="BCR1" s="22"/>
      <c r="BCS1" s="22"/>
      <c r="BCT1" s="22"/>
      <c r="BCU1" s="22"/>
      <c r="BCV1" s="22"/>
      <c r="BCW1" s="22"/>
      <c r="BCX1" s="22"/>
      <c r="BCY1" s="22"/>
      <c r="BCZ1" s="22"/>
      <c r="BDA1" s="22"/>
      <c r="BDB1" s="22"/>
      <c r="BDC1" s="22"/>
      <c r="BDD1" s="22"/>
      <c r="BDE1" s="22"/>
      <c r="BDF1" s="22"/>
      <c r="BDG1" s="22"/>
      <c r="BDH1" s="22"/>
      <c r="BDI1" s="22"/>
      <c r="BDJ1" s="22"/>
      <c r="BDK1" s="22"/>
      <c r="BDL1" s="22"/>
      <c r="BDM1" s="22"/>
      <c r="BDN1" s="22"/>
      <c r="BDO1" s="22"/>
      <c r="BDP1" s="22"/>
      <c r="BDQ1" s="22"/>
      <c r="BDR1" s="22"/>
      <c r="BDS1" s="22"/>
      <c r="BDT1" s="22"/>
      <c r="BDU1" s="22"/>
      <c r="BDV1" s="22"/>
      <c r="BDW1" s="22"/>
      <c r="BDX1" s="22"/>
      <c r="BDY1" s="22"/>
      <c r="BDZ1" s="22"/>
      <c r="BEA1" s="22"/>
      <c r="BEB1" s="22"/>
      <c r="BEC1" s="22"/>
      <c r="BED1" s="22"/>
      <c r="BEE1" s="22"/>
      <c r="BEF1" s="22"/>
      <c r="BEG1" s="22"/>
      <c r="BEH1" s="22"/>
      <c r="BEI1" s="22"/>
      <c r="BEJ1" s="22"/>
      <c r="BEK1" s="22"/>
      <c r="BEL1" s="22"/>
      <c r="BEM1" s="22"/>
      <c r="BEN1" s="22"/>
      <c r="BEO1" s="22"/>
      <c r="BEP1" s="22"/>
      <c r="BEQ1" s="22"/>
      <c r="BER1" s="22"/>
      <c r="BES1" s="22"/>
      <c r="BET1" s="22"/>
      <c r="BEU1" s="22"/>
      <c r="BEV1" s="22"/>
      <c r="BEW1" s="22"/>
      <c r="BEX1" s="22"/>
      <c r="BEY1" s="22"/>
      <c r="BEZ1" s="22"/>
      <c r="BFA1" s="22"/>
      <c r="BFB1" s="22"/>
      <c r="BFC1" s="22"/>
      <c r="BFD1" s="22"/>
      <c r="BFE1" s="22"/>
      <c r="BFF1" s="22"/>
      <c r="BFG1" s="22"/>
      <c r="BFH1" s="22"/>
      <c r="BFI1" s="22"/>
      <c r="BFJ1" s="22"/>
      <c r="BFK1" s="22"/>
      <c r="BFL1" s="22"/>
      <c r="BFM1" s="22"/>
      <c r="BFN1" s="22"/>
      <c r="BFO1" s="22"/>
      <c r="BFP1" s="22"/>
      <c r="BFQ1" s="22"/>
      <c r="BFR1" s="22"/>
      <c r="BFS1" s="22"/>
      <c r="BFT1" s="22"/>
      <c r="BFU1" s="22"/>
      <c r="BFV1" s="22"/>
      <c r="BFW1" s="22"/>
      <c r="BFX1" s="22"/>
      <c r="BFY1" s="22"/>
      <c r="BFZ1" s="22"/>
      <c r="BGA1" s="22"/>
      <c r="BGB1" s="22"/>
      <c r="BGC1" s="22"/>
      <c r="BGD1" s="22"/>
      <c r="BGE1" s="22"/>
      <c r="BGF1" s="22"/>
      <c r="BGG1" s="22"/>
      <c r="BGH1" s="22"/>
      <c r="BGI1" s="22"/>
      <c r="BGJ1" s="22"/>
      <c r="BGK1" s="22"/>
      <c r="BGL1" s="22"/>
      <c r="BGM1" s="22"/>
      <c r="BGN1" s="22"/>
      <c r="BGO1" s="22"/>
      <c r="BGP1" s="22"/>
      <c r="BGQ1" s="22"/>
      <c r="BGR1" s="22"/>
      <c r="BGS1" s="22"/>
      <c r="BGT1" s="22"/>
      <c r="BGU1" s="22"/>
      <c r="BGV1" s="22"/>
      <c r="BGW1" s="22"/>
      <c r="BGX1" s="22"/>
      <c r="BGY1" s="22"/>
      <c r="BGZ1" s="22"/>
      <c r="BHA1" s="22"/>
      <c r="BHB1" s="22"/>
      <c r="BHC1" s="22"/>
      <c r="BHD1" s="22"/>
      <c r="BHE1" s="22"/>
      <c r="BHF1" s="22"/>
      <c r="BHG1" s="22"/>
      <c r="BHH1" s="22"/>
      <c r="BHI1" s="22"/>
      <c r="BHJ1" s="22"/>
      <c r="BHK1" s="22"/>
      <c r="BHL1" s="22"/>
      <c r="BHM1" s="22"/>
      <c r="BHN1" s="22"/>
      <c r="BHO1" s="22"/>
      <c r="BHP1" s="22"/>
      <c r="BHQ1" s="22"/>
      <c r="BHR1" s="22"/>
      <c r="BHS1" s="22"/>
      <c r="BHT1" s="22"/>
      <c r="BHU1" s="22"/>
      <c r="BHV1" s="22"/>
      <c r="BHW1" s="22"/>
      <c r="BHX1" s="22"/>
      <c r="BHY1" s="22"/>
      <c r="BHZ1" s="22"/>
      <c r="BIA1" s="22"/>
      <c r="BIB1" s="22"/>
      <c r="BIC1" s="22"/>
      <c r="BID1" s="22"/>
      <c r="BIE1" s="22"/>
      <c r="BIF1" s="22"/>
      <c r="BIG1" s="22"/>
      <c r="BIH1" s="22"/>
      <c r="BII1" s="22"/>
      <c r="BIJ1" s="22"/>
      <c r="BIK1" s="22"/>
      <c r="BIL1" s="22"/>
      <c r="BIM1" s="22"/>
      <c r="BIN1" s="22"/>
      <c r="BIO1" s="22"/>
      <c r="BIP1" s="22"/>
      <c r="BIQ1" s="22"/>
      <c r="BIR1" s="22"/>
      <c r="BIS1" s="22"/>
      <c r="BIT1" s="22"/>
      <c r="BIU1" s="22"/>
      <c r="BIV1" s="22"/>
      <c r="BIW1" s="22"/>
      <c r="BIX1" s="22"/>
      <c r="BIY1" s="22"/>
      <c r="BIZ1" s="22"/>
      <c r="BJA1" s="22"/>
      <c r="BJB1" s="22"/>
      <c r="BJC1" s="22"/>
      <c r="BJD1" s="22"/>
      <c r="BJE1" s="22"/>
      <c r="BJF1" s="22"/>
      <c r="BJG1" s="22"/>
      <c r="BJH1" s="22"/>
      <c r="BJI1" s="22"/>
      <c r="BJJ1" s="22"/>
      <c r="BJK1" s="22"/>
      <c r="BJL1" s="22"/>
      <c r="BJM1" s="22"/>
      <c r="BJN1" s="22"/>
      <c r="BJO1" s="22"/>
      <c r="BJP1" s="22"/>
      <c r="BJQ1" s="22"/>
      <c r="BJR1" s="22"/>
      <c r="BJS1" s="22"/>
      <c r="BJT1" s="22"/>
      <c r="BJU1" s="22"/>
      <c r="BJV1" s="22"/>
      <c r="BJW1" s="22"/>
      <c r="BJX1" s="22"/>
      <c r="BJY1" s="22"/>
      <c r="BJZ1" s="22"/>
      <c r="BKA1" s="22"/>
      <c r="BKB1" s="22"/>
      <c r="BKC1" s="22"/>
      <c r="BKD1" s="22"/>
      <c r="BKE1" s="22"/>
      <c r="BKF1" s="22"/>
      <c r="BKG1" s="22"/>
      <c r="BKH1" s="22"/>
      <c r="BKI1" s="22"/>
      <c r="BKJ1" s="22"/>
      <c r="BKK1" s="22"/>
      <c r="BKL1" s="22"/>
      <c r="BKM1" s="22"/>
      <c r="BKN1" s="22"/>
      <c r="BKO1" s="22"/>
      <c r="BKP1" s="22"/>
      <c r="BKQ1" s="22"/>
      <c r="BKR1" s="22"/>
      <c r="BKS1" s="22"/>
      <c r="BKT1" s="22"/>
      <c r="BKU1" s="22"/>
      <c r="BKV1" s="22"/>
      <c r="BKW1" s="22"/>
      <c r="BKX1" s="22"/>
      <c r="BKY1" s="22"/>
      <c r="BKZ1" s="22"/>
      <c r="BLA1" s="22"/>
      <c r="BLB1" s="22"/>
      <c r="BLC1" s="22"/>
      <c r="BLD1" s="22"/>
      <c r="BLE1" s="22"/>
      <c r="BLF1" s="22"/>
      <c r="BLG1" s="22"/>
      <c r="BLH1" s="22"/>
      <c r="BLI1" s="22"/>
      <c r="BLJ1" s="22"/>
      <c r="BLK1" s="22"/>
      <c r="BLL1" s="22"/>
      <c r="BLM1" s="22"/>
      <c r="BLN1" s="22"/>
      <c r="BLO1" s="22"/>
      <c r="BLP1" s="22"/>
      <c r="BLQ1" s="22"/>
      <c r="BLR1" s="22"/>
      <c r="BLS1" s="22"/>
      <c r="BLT1" s="22"/>
      <c r="BLU1" s="22"/>
      <c r="BLV1" s="22"/>
      <c r="BLW1" s="22"/>
      <c r="BLX1" s="22"/>
      <c r="BLY1" s="22"/>
      <c r="BLZ1" s="22"/>
      <c r="BMA1" s="22"/>
      <c r="BMB1" s="22"/>
      <c r="BMC1" s="22"/>
      <c r="BMD1" s="22"/>
      <c r="BME1" s="22"/>
      <c r="BMF1" s="22"/>
      <c r="BMG1" s="22"/>
      <c r="BMH1" s="22"/>
      <c r="BMI1" s="22"/>
      <c r="BMJ1" s="22"/>
      <c r="BMK1" s="22"/>
      <c r="BML1" s="22"/>
      <c r="BMM1" s="22"/>
      <c r="BMN1" s="22"/>
      <c r="BMO1" s="22"/>
      <c r="BMP1" s="22"/>
      <c r="BMQ1" s="22"/>
      <c r="BMR1" s="22"/>
      <c r="BMS1" s="22"/>
      <c r="BMT1" s="22"/>
      <c r="BMU1" s="22"/>
      <c r="BMV1" s="22"/>
      <c r="BMW1" s="22"/>
      <c r="BMX1" s="22"/>
      <c r="BMY1" s="22"/>
      <c r="BMZ1" s="22"/>
      <c r="BNA1" s="22"/>
      <c r="BNB1" s="22"/>
      <c r="BNC1" s="22"/>
      <c r="BND1" s="22"/>
      <c r="BNE1" s="22"/>
      <c r="BNF1" s="22"/>
      <c r="BNG1" s="22"/>
      <c r="BNH1" s="22"/>
      <c r="BNI1" s="22"/>
      <c r="BNJ1" s="22"/>
      <c r="BNK1" s="22"/>
      <c r="BNL1" s="22"/>
      <c r="BNM1" s="22"/>
      <c r="BNN1" s="22"/>
      <c r="BNO1" s="22"/>
      <c r="BNP1" s="22"/>
      <c r="BNQ1" s="22"/>
      <c r="BNR1" s="22"/>
      <c r="BNS1" s="22"/>
      <c r="BNT1" s="22"/>
      <c r="BNU1" s="22"/>
      <c r="BNV1" s="22"/>
      <c r="BNW1" s="22"/>
      <c r="BNX1" s="22"/>
      <c r="BNY1" s="22"/>
      <c r="BNZ1" s="22"/>
      <c r="BOA1" s="22"/>
      <c r="BOB1" s="22"/>
      <c r="BOC1" s="22"/>
      <c r="BOD1" s="22"/>
      <c r="BOE1" s="22"/>
      <c r="BOF1" s="22"/>
      <c r="BOG1" s="22"/>
      <c r="BOH1" s="22"/>
      <c r="BOI1" s="22"/>
      <c r="BOJ1" s="22"/>
      <c r="BOK1" s="22"/>
      <c r="BOL1" s="22"/>
      <c r="BOM1" s="22"/>
      <c r="BON1" s="22"/>
      <c r="BOO1" s="22"/>
      <c r="BOP1" s="22"/>
      <c r="BOQ1" s="22"/>
      <c r="BOR1" s="22"/>
      <c r="BOS1" s="22"/>
      <c r="BOT1" s="22"/>
      <c r="BOU1" s="22"/>
      <c r="BOV1" s="22"/>
      <c r="BOW1" s="22"/>
      <c r="BOX1" s="22"/>
      <c r="BOY1" s="22"/>
      <c r="BOZ1" s="22"/>
      <c r="BPA1" s="22"/>
      <c r="BPB1" s="22"/>
      <c r="BPC1" s="22"/>
      <c r="BPD1" s="22"/>
      <c r="BPE1" s="22"/>
      <c r="BPF1" s="22"/>
      <c r="BPG1" s="22"/>
      <c r="BPH1" s="22"/>
      <c r="BPI1" s="22"/>
      <c r="BPJ1" s="22"/>
      <c r="BPK1" s="22"/>
      <c r="BPL1" s="22"/>
      <c r="BPM1" s="22"/>
      <c r="BPN1" s="22"/>
      <c r="BPO1" s="22"/>
      <c r="BPP1" s="22"/>
      <c r="BPQ1" s="22"/>
      <c r="BPR1" s="22"/>
      <c r="BPS1" s="22"/>
      <c r="BPT1" s="22"/>
      <c r="BPU1" s="22"/>
      <c r="BPV1" s="22"/>
      <c r="BPW1" s="22"/>
      <c r="BPX1" s="22"/>
      <c r="BPY1" s="22"/>
      <c r="BPZ1" s="22"/>
      <c r="BQA1" s="22"/>
      <c r="BQB1" s="22"/>
      <c r="BQC1" s="22"/>
      <c r="BQD1" s="22"/>
      <c r="BQE1" s="22"/>
      <c r="BQF1" s="22"/>
      <c r="BQG1" s="22"/>
      <c r="BQH1" s="22"/>
      <c r="BQI1" s="22"/>
      <c r="BQJ1" s="22"/>
      <c r="BQK1" s="22"/>
      <c r="BQL1" s="22"/>
      <c r="BQM1" s="22"/>
      <c r="BQN1" s="22"/>
      <c r="BQO1" s="22"/>
      <c r="BQP1" s="22"/>
      <c r="BQQ1" s="22"/>
      <c r="BQR1" s="22"/>
      <c r="BQS1" s="22"/>
      <c r="BQT1" s="22"/>
      <c r="BQU1" s="22"/>
      <c r="BQV1" s="22"/>
      <c r="BQW1" s="22"/>
      <c r="BQX1" s="22"/>
      <c r="BQY1" s="22"/>
      <c r="BQZ1" s="22"/>
      <c r="BRA1" s="22"/>
      <c r="BRB1" s="22"/>
      <c r="BRC1" s="22"/>
      <c r="BRD1" s="22"/>
      <c r="BRE1" s="22"/>
      <c r="BRF1" s="22"/>
      <c r="BRG1" s="22"/>
      <c r="BRH1" s="22"/>
      <c r="BRI1" s="22"/>
      <c r="BRJ1" s="22"/>
      <c r="BRK1" s="22"/>
      <c r="BRL1" s="22"/>
      <c r="BRM1" s="22"/>
      <c r="BRN1" s="22"/>
      <c r="BRO1" s="22"/>
      <c r="BRP1" s="22"/>
      <c r="BRQ1" s="22"/>
      <c r="BRR1" s="22"/>
      <c r="BRS1" s="22"/>
      <c r="BRT1" s="22"/>
      <c r="BRU1" s="22"/>
      <c r="BRV1" s="22"/>
      <c r="BRW1" s="22"/>
      <c r="BRX1" s="22"/>
      <c r="BRY1" s="22"/>
      <c r="BRZ1" s="22"/>
      <c r="BSA1" s="22"/>
      <c r="BSB1" s="22"/>
      <c r="BSC1" s="22"/>
      <c r="BSD1" s="22"/>
      <c r="BSE1" s="22"/>
      <c r="BSF1" s="22"/>
      <c r="BSG1" s="22"/>
      <c r="BSH1" s="22"/>
      <c r="BSI1" s="22"/>
      <c r="BSJ1" s="22"/>
      <c r="BSK1" s="22"/>
      <c r="BSL1" s="22"/>
      <c r="BSM1" s="22"/>
      <c r="BSN1" s="22"/>
      <c r="BSO1" s="22"/>
      <c r="BSP1" s="22"/>
      <c r="BSQ1" s="22"/>
      <c r="BSR1" s="22"/>
      <c r="BSS1" s="22"/>
      <c r="BST1" s="22"/>
      <c r="BSU1" s="22"/>
      <c r="BSV1" s="22"/>
      <c r="BSW1" s="22"/>
      <c r="BSX1" s="22"/>
      <c r="BSY1" s="22"/>
      <c r="BSZ1" s="22"/>
      <c r="BTA1" s="22"/>
      <c r="BTB1" s="22"/>
      <c r="BTC1" s="22"/>
      <c r="BTD1" s="22"/>
      <c r="BTE1" s="22"/>
      <c r="BTF1" s="22"/>
      <c r="BTG1" s="22"/>
      <c r="BTH1" s="22"/>
      <c r="BTI1" s="22"/>
      <c r="BTJ1" s="22"/>
      <c r="BTK1" s="22"/>
      <c r="BTL1" s="22"/>
      <c r="BTM1" s="22"/>
      <c r="BTN1" s="22"/>
      <c r="BTO1" s="22"/>
      <c r="BTP1" s="22"/>
      <c r="BTQ1" s="22"/>
      <c r="BTR1" s="22"/>
      <c r="BTS1" s="22"/>
      <c r="BTT1" s="22"/>
      <c r="BTU1" s="22"/>
      <c r="BTV1" s="22"/>
      <c r="BTW1" s="22"/>
      <c r="BTX1" s="22"/>
      <c r="BTY1" s="22"/>
      <c r="BTZ1" s="22"/>
      <c r="BUA1" s="22"/>
      <c r="BUB1" s="22"/>
      <c r="BUC1" s="22"/>
      <c r="BUD1" s="22"/>
      <c r="BUE1" s="22"/>
      <c r="BUF1" s="22"/>
      <c r="BUG1" s="22"/>
      <c r="BUH1" s="22"/>
      <c r="BUI1" s="22"/>
      <c r="BUJ1" s="22"/>
      <c r="BUK1" s="22"/>
      <c r="BUL1" s="22"/>
      <c r="BUM1" s="22"/>
      <c r="BUN1" s="22"/>
      <c r="BUO1" s="22"/>
      <c r="BUP1" s="22"/>
      <c r="BUQ1" s="22"/>
      <c r="BUR1" s="22"/>
      <c r="BUS1" s="22"/>
      <c r="BUT1" s="22"/>
      <c r="BUU1" s="22"/>
      <c r="BUV1" s="22"/>
      <c r="BUW1" s="22"/>
      <c r="BUX1" s="22"/>
      <c r="BUY1" s="22"/>
      <c r="BUZ1" s="22"/>
      <c r="BVA1" s="22"/>
      <c r="BVB1" s="22"/>
      <c r="BVC1" s="22"/>
      <c r="BVD1" s="22"/>
      <c r="BVE1" s="22"/>
      <c r="BVF1" s="22"/>
      <c r="BVG1" s="22"/>
      <c r="BVH1" s="22"/>
      <c r="BVI1" s="22"/>
      <c r="BVJ1" s="22"/>
      <c r="BVK1" s="22"/>
      <c r="BVL1" s="22"/>
      <c r="BVM1" s="22"/>
      <c r="BVN1" s="22"/>
      <c r="BVO1" s="22"/>
      <c r="BVP1" s="22"/>
      <c r="BVQ1" s="22"/>
      <c r="BVR1" s="22"/>
      <c r="BVS1" s="22"/>
      <c r="BVT1" s="22"/>
      <c r="BVU1" s="22"/>
      <c r="BVV1" s="22"/>
      <c r="BVW1" s="22"/>
      <c r="BVX1" s="22"/>
      <c r="BVY1" s="22"/>
      <c r="BVZ1" s="22"/>
      <c r="BWA1" s="22"/>
      <c r="BWB1" s="22"/>
      <c r="BWC1" s="22"/>
      <c r="BWD1" s="22"/>
      <c r="BWE1" s="22"/>
      <c r="BWF1" s="22"/>
      <c r="BWG1" s="22"/>
      <c r="BWH1" s="22"/>
      <c r="BWI1" s="22"/>
      <c r="BWJ1" s="22"/>
      <c r="BWK1" s="22"/>
      <c r="BWL1" s="22"/>
      <c r="BWM1" s="22"/>
      <c r="BWN1" s="22"/>
      <c r="BWO1" s="22"/>
      <c r="BWP1" s="22"/>
      <c r="BWQ1" s="22"/>
      <c r="BWR1" s="22"/>
      <c r="BWS1" s="22"/>
      <c r="BWT1" s="22"/>
      <c r="BWU1" s="22"/>
      <c r="BWV1" s="22"/>
      <c r="BWW1" s="22"/>
      <c r="BWX1" s="22"/>
      <c r="BWY1" s="22"/>
      <c r="BWZ1" s="22"/>
      <c r="BXA1" s="22"/>
      <c r="BXB1" s="22"/>
      <c r="BXC1" s="22"/>
      <c r="BXD1" s="22"/>
      <c r="BXE1" s="22"/>
      <c r="BXF1" s="22"/>
      <c r="BXG1" s="22"/>
      <c r="BXH1" s="22"/>
      <c r="BXI1" s="22"/>
      <c r="BXJ1" s="22"/>
      <c r="BXK1" s="22"/>
      <c r="BXL1" s="22"/>
      <c r="BXM1" s="22"/>
      <c r="BXN1" s="22"/>
      <c r="BXO1" s="22"/>
      <c r="BXP1" s="22"/>
      <c r="BXQ1" s="22"/>
      <c r="BXR1" s="22"/>
      <c r="BXS1" s="22"/>
      <c r="BXT1" s="22"/>
      <c r="BXU1" s="22"/>
      <c r="BXV1" s="22"/>
      <c r="BXW1" s="22"/>
      <c r="BXX1" s="22"/>
      <c r="BXY1" s="22"/>
      <c r="BXZ1" s="22"/>
      <c r="BYA1" s="22"/>
      <c r="BYB1" s="22"/>
      <c r="BYC1" s="22"/>
      <c r="BYD1" s="22"/>
      <c r="BYE1" s="22"/>
      <c r="BYF1" s="22"/>
      <c r="BYG1" s="22"/>
      <c r="BYH1" s="22"/>
      <c r="BYI1" s="22"/>
      <c r="BYJ1" s="22"/>
      <c r="BYK1" s="22"/>
      <c r="BYL1" s="22"/>
      <c r="BYM1" s="22"/>
      <c r="BYN1" s="22"/>
      <c r="BYO1" s="22"/>
      <c r="BYP1" s="22"/>
      <c r="BYQ1" s="22"/>
      <c r="BYR1" s="22"/>
      <c r="BYS1" s="22"/>
      <c r="BYT1" s="22"/>
      <c r="BYU1" s="22"/>
      <c r="BYV1" s="22"/>
      <c r="BYW1" s="22"/>
      <c r="BYX1" s="22"/>
      <c r="BYY1" s="22"/>
      <c r="BYZ1" s="22"/>
      <c r="BZA1" s="22"/>
      <c r="BZB1" s="22"/>
      <c r="BZC1" s="22"/>
      <c r="BZD1" s="22"/>
      <c r="BZE1" s="22"/>
      <c r="BZF1" s="22"/>
      <c r="BZG1" s="22"/>
      <c r="BZH1" s="22"/>
      <c r="BZI1" s="22"/>
      <c r="BZJ1" s="22"/>
      <c r="BZK1" s="22"/>
      <c r="BZL1" s="22"/>
      <c r="BZM1" s="22"/>
      <c r="BZN1" s="22"/>
      <c r="BZO1" s="22"/>
      <c r="BZP1" s="22"/>
      <c r="BZQ1" s="22"/>
      <c r="BZR1" s="22"/>
      <c r="BZS1" s="22"/>
      <c r="BZT1" s="22"/>
      <c r="BZU1" s="22"/>
      <c r="BZV1" s="22"/>
      <c r="BZW1" s="22"/>
      <c r="BZX1" s="22"/>
      <c r="BZY1" s="22"/>
      <c r="BZZ1" s="22"/>
      <c r="CAA1" s="22"/>
      <c r="CAB1" s="22"/>
      <c r="CAC1" s="22"/>
      <c r="CAD1" s="22"/>
      <c r="CAE1" s="22"/>
      <c r="CAF1" s="22"/>
      <c r="CAG1" s="22"/>
      <c r="CAH1" s="22"/>
      <c r="CAI1" s="22"/>
      <c r="CAJ1" s="22"/>
      <c r="CAK1" s="22"/>
      <c r="CAL1" s="22"/>
      <c r="CAM1" s="22"/>
      <c r="CAN1" s="22"/>
      <c r="CAO1" s="22"/>
      <c r="CAP1" s="22"/>
      <c r="CAQ1" s="22"/>
      <c r="CAR1" s="22"/>
      <c r="CAS1" s="22"/>
      <c r="CAT1" s="22"/>
      <c r="CAU1" s="22"/>
      <c r="CAV1" s="22"/>
      <c r="CAW1" s="22"/>
      <c r="CAX1" s="22"/>
      <c r="CAY1" s="22"/>
      <c r="CAZ1" s="22"/>
      <c r="CBA1" s="22"/>
      <c r="CBB1" s="22"/>
      <c r="CBC1" s="22"/>
      <c r="CBD1" s="22"/>
      <c r="CBE1" s="22"/>
      <c r="CBF1" s="22"/>
      <c r="CBG1" s="22"/>
      <c r="CBH1" s="22"/>
      <c r="CBI1" s="22"/>
      <c r="CBJ1" s="22"/>
      <c r="CBK1" s="22"/>
      <c r="CBL1" s="22"/>
      <c r="CBM1" s="22"/>
      <c r="CBN1" s="22"/>
      <c r="CBO1" s="22"/>
      <c r="CBP1" s="22"/>
      <c r="CBQ1" s="22"/>
      <c r="CBR1" s="22"/>
      <c r="CBS1" s="22"/>
      <c r="CBT1" s="22"/>
      <c r="CBU1" s="22"/>
      <c r="CBV1" s="22"/>
      <c r="CBW1" s="22"/>
      <c r="CBX1" s="22"/>
      <c r="CBY1" s="22"/>
      <c r="CBZ1" s="22"/>
      <c r="CCA1" s="22"/>
      <c r="CCB1" s="22"/>
      <c r="CCC1" s="22"/>
      <c r="CCD1" s="22"/>
      <c r="CCE1" s="22"/>
      <c r="CCF1" s="22"/>
      <c r="CCG1" s="22"/>
      <c r="CCH1" s="22"/>
      <c r="CCI1" s="22"/>
      <c r="CCJ1" s="22"/>
      <c r="CCK1" s="22"/>
      <c r="CCL1" s="22"/>
      <c r="CCM1" s="22"/>
      <c r="CCN1" s="22"/>
      <c r="CCO1" s="22"/>
      <c r="CCP1" s="22"/>
      <c r="CCQ1" s="22"/>
      <c r="CCR1" s="22"/>
      <c r="CCS1" s="22"/>
      <c r="CCT1" s="22"/>
      <c r="CCU1" s="22"/>
      <c r="CCV1" s="22"/>
      <c r="CCW1" s="22"/>
      <c r="CCX1" s="22"/>
      <c r="CCY1" s="22"/>
      <c r="CCZ1" s="22"/>
      <c r="CDA1" s="22"/>
      <c r="CDB1" s="22"/>
      <c r="CDC1" s="22"/>
      <c r="CDD1" s="22"/>
      <c r="CDE1" s="22"/>
      <c r="CDF1" s="22"/>
      <c r="CDG1" s="22"/>
      <c r="CDH1" s="22"/>
      <c r="CDI1" s="22"/>
      <c r="CDJ1" s="22"/>
      <c r="CDK1" s="22"/>
      <c r="CDL1" s="22"/>
      <c r="CDM1" s="22"/>
      <c r="CDN1" s="22"/>
      <c r="CDO1" s="22"/>
      <c r="CDP1" s="22"/>
      <c r="CDQ1" s="22"/>
      <c r="CDR1" s="22"/>
      <c r="CDS1" s="22"/>
      <c r="CDT1" s="22"/>
      <c r="CDU1" s="22"/>
      <c r="CDV1" s="22"/>
      <c r="CDW1" s="22"/>
      <c r="CDX1" s="22"/>
      <c r="CDY1" s="22"/>
      <c r="CDZ1" s="22"/>
      <c r="CEA1" s="22"/>
      <c r="CEB1" s="22"/>
      <c r="CEC1" s="22"/>
      <c r="CED1" s="22"/>
      <c r="CEE1" s="22"/>
      <c r="CEF1" s="22"/>
      <c r="CEG1" s="22"/>
      <c r="CEH1" s="22"/>
      <c r="CEI1" s="22"/>
      <c r="CEJ1" s="22"/>
      <c r="CEK1" s="22"/>
      <c r="CEL1" s="22"/>
      <c r="CEM1" s="22"/>
      <c r="CEN1" s="22"/>
      <c r="CEO1" s="22"/>
      <c r="CEP1" s="22"/>
      <c r="CEQ1" s="22"/>
      <c r="CER1" s="22"/>
      <c r="CES1" s="22"/>
      <c r="CET1" s="22"/>
      <c r="CEU1" s="22"/>
      <c r="CEV1" s="22"/>
      <c r="CEW1" s="22"/>
      <c r="CEX1" s="22"/>
      <c r="CEY1" s="22"/>
      <c r="CEZ1" s="22"/>
      <c r="CFA1" s="22"/>
      <c r="CFB1" s="22"/>
      <c r="CFC1" s="22"/>
      <c r="CFD1" s="22"/>
      <c r="CFE1" s="22"/>
      <c r="CFF1" s="22"/>
      <c r="CFG1" s="22"/>
      <c r="CFH1" s="22"/>
      <c r="CFI1" s="22"/>
      <c r="CFJ1" s="22"/>
      <c r="CFK1" s="22"/>
      <c r="CFL1" s="22"/>
      <c r="CFM1" s="22"/>
      <c r="CFN1" s="22"/>
      <c r="CFO1" s="22"/>
      <c r="CFP1" s="22"/>
      <c r="CFQ1" s="22"/>
      <c r="CFR1" s="22"/>
      <c r="CFS1" s="22"/>
      <c r="CFT1" s="22"/>
      <c r="CFU1" s="22"/>
      <c r="CFV1" s="22"/>
      <c r="CFW1" s="22"/>
      <c r="CFX1" s="22"/>
      <c r="CFY1" s="22"/>
      <c r="CFZ1" s="22"/>
      <c r="CGA1" s="22"/>
      <c r="CGB1" s="22"/>
      <c r="CGC1" s="22"/>
      <c r="CGD1" s="22"/>
      <c r="CGE1" s="22"/>
      <c r="CGF1" s="22"/>
      <c r="CGG1" s="22"/>
      <c r="CGH1" s="22"/>
      <c r="CGI1" s="22"/>
      <c r="CGJ1" s="22"/>
      <c r="CGK1" s="22"/>
      <c r="CGL1" s="22"/>
      <c r="CGM1" s="22"/>
      <c r="CGN1" s="22"/>
      <c r="CGO1" s="22"/>
      <c r="CGP1" s="22"/>
      <c r="CGQ1" s="22"/>
      <c r="CGR1" s="22"/>
      <c r="CGS1" s="22"/>
      <c r="CGT1" s="22"/>
      <c r="CGU1" s="22"/>
      <c r="CGV1" s="22"/>
      <c r="CGW1" s="22"/>
      <c r="CGX1" s="22"/>
      <c r="CGY1" s="22"/>
      <c r="CGZ1" s="22"/>
      <c r="CHA1" s="22"/>
      <c r="CHB1" s="22"/>
      <c r="CHC1" s="22"/>
      <c r="CHD1" s="22"/>
      <c r="CHE1" s="22"/>
      <c r="CHF1" s="22"/>
      <c r="CHG1" s="22"/>
      <c r="CHH1" s="22"/>
      <c r="CHI1" s="22"/>
      <c r="CHJ1" s="22"/>
      <c r="CHK1" s="22"/>
      <c r="CHL1" s="22"/>
      <c r="CHM1" s="22"/>
      <c r="CHN1" s="22"/>
      <c r="CHO1" s="22"/>
      <c r="CHP1" s="22"/>
      <c r="CHQ1" s="22"/>
      <c r="CHR1" s="22"/>
      <c r="CHS1" s="22"/>
      <c r="CHT1" s="22"/>
      <c r="CHU1" s="22"/>
      <c r="CHV1" s="22"/>
      <c r="CHW1" s="22"/>
      <c r="CHX1" s="22"/>
      <c r="CHY1" s="22"/>
      <c r="CHZ1" s="22"/>
      <c r="CIA1" s="22"/>
      <c r="CIB1" s="22"/>
      <c r="CIC1" s="22"/>
      <c r="CID1" s="22"/>
      <c r="CIE1" s="22"/>
      <c r="CIF1" s="22"/>
      <c r="CIG1" s="22"/>
      <c r="CIH1" s="22"/>
      <c r="CII1" s="22"/>
      <c r="CIJ1" s="22"/>
      <c r="CIK1" s="22"/>
      <c r="CIL1" s="22"/>
      <c r="CIM1" s="22"/>
      <c r="CIN1" s="22"/>
      <c r="CIO1" s="22"/>
      <c r="CIP1" s="22"/>
      <c r="CIQ1" s="22"/>
      <c r="CIR1" s="22"/>
      <c r="CIS1" s="22"/>
      <c r="CIT1" s="22"/>
      <c r="CIU1" s="22"/>
      <c r="CIV1" s="22"/>
      <c r="CIW1" s="22"/>
      <c r="CIX1" s="22"/>
      <c r="CIY1" s="22"/>
      <c r="CIZ1" s="22"/>
      <c r="CJA1" s="22"/>
      <c r="CJB1" s="22"/>
      <c r="CJC1" s="22"/>
      <c r="CJD1" s="22"/>
      <c r="CJE1" s="22"/>
      <c r="CJF1" s="22"/>
      <c r="CJG1" s="22"/>
      <c r="CJH1" s="22"/>
      <c r="CJI1" s="22"/>
      <c r="CJJ1" s="22"/>
      <c r="CJK1" s="22"/>
      <c r="CJL1" s="22"/>
      <c r="CJM1" s="22"/>
      <c r="CJN1" s="22"/>
      <c r="CJO1" s="22"/>
      <c r="CJP1" s="22"/>
      <c r="CJQ1" s="22"/>
      <c r="CJR1" s="22"/>
      <c r="CJS1" s="22"/>
      <c r="CJT1" s="22"/>
      <c r="CJU1" s="22"/>
      <c r="CJV1" s="22"/>
      <c r="CJW1" s="22"/>
      <c r="CJX1" s="22"/>
      <c r="CJY1" s="22"/>
      <c r="CJZ1" s="22"/>
      <c r="CKA1" s="22"/>
      <c r="CKB1" s="22"/>
      <c r="CKC1" s="22"/>
      <c r="CKD1" s="22"/>
      <c r="CKE1" s="22"/>
      <c r="CKF1" s="22"/>
      <c r="CKG1" s="22"/>
      <c r="CKH1" s="22"/>
      <c r="CKI1" s="22"/>
      <c r="CKJ1" s="22"/>
      <c r="CKK1" s="22"/>
      <c r="CKL1" s="22"/>
      <c r="CKM1" s="22"/>
      <c r="CKN1" s="22"/>
      <c r="CKO1" s="22"/>
      <c r="CKP1" s="22"/>
      <c r="CKQ1" s="22"/>
      <c r="CKR1" s="22"/>
      <c r="CKS1" s="22"/>
      <c r="CKT1" s="22"/>
      <c r="CKU1" s="22"/>
      <c r="CKV1" s="22"/>
      <c r="CKW1" s="22"/>
      <c r="CKX1" s="22"/>
      <c r="CKY1" s="22"/>
      <c r="CKZ1" s="22"/>
      <c r="CLA1" s="22"/>
      <c r="CLB1" s="22"/>
      <c r="CLC1" s="22"/>
      <c r="CLD1" s="22"/>
      <c r="CLE1" s="22"/>
      <c r="CLF1" s="22"/>
      <c r="CLG1" s="22"/>
      <c r="CLH1" s="22"/>
      <c r="CLI1" s="22"/>
      <c r="CLJ1" s="22"/>
      <c r="CLK1" s="22"/>
      <c r="CLL1" s="22"/>
      <c r="CLM1" s="22"/>
      <c r="CLN1" s="22"/>
      <c r="CLO1" s="22"/>
      <c r="CLP1" s="22"/>
      <c r="CLQ1" s="22"/>
      <c r="CLR1" s="22"/>
      <c r="CLS1" s="22"/>
      <c r="CLT1" s="22"/>
      <c r="CLU1" s="22"/>
      <c r="CLV1" s="22"/>
      <c r="CLW1" s="22"/>
      <c r="CLX1" s="22"/>
      <c r="CLY1" s="22"/>
      <c r="CLZ1" s="22"/>
      <c r="CMA1" s="22"/>
      <c r="CMB1" s="22"/>
      <c r="CMC1" s="22"/>
      <c r="CMD1" s="22"/>
      <c r="CME1" s="22"/>
      <c r="CMF1" s="22"/>
      <c r="CMG1" s="22"/>
      <c r="CMH1" s="22"/>
      <c r="CMI1" s="22"/>
      <c r="CMJ1" s="22"/>
      <c r="CMK1" s="22"/>
      <c r="CML1" s="22"/>
      <c r="CMM1" s="22"/>
      <c r="CMN1" s="22"/>
      <c r="CMO1" s="22"/>
      <c r="CMP1" s="22"/>
      <c r="CMQ1" s="22"/>
      <c r="CMR1" s="22"/>
      <c r="CMS1" s="22"/>
      <c r="CMT1" s="22"/>
      <c r="CMU1" s="22"/>
      <c r="CMV1" s="22"/>
      <c r="CMW1" s="22"/>
      <c r="CMX1" s="22"/>
      <c r="CMY1" s="22"/>
      <c r="CMZ1" s="22"/>
      <c r="CNA1" s="22"/>
      <c r="CNB1" s="22"/>
      <c r="CNC1" s="22"/>
      <c r="CND1" s="22"/>
      <c r="CNE1" s="22"/>
      <c r="CNF1" s="22"/>
      <c r="CNG1" s="22"/>
      <c r="CNH1" s="22"/>
      <c r="CNI1" s="22"/>
      <c r="CNJ1" s="22"/>
      <c r="CNK1" s="22"/>
      <c r="CNL1" s="22"/>
      <c r="CNM1" s="22"/>
      <c r="CNN1" s="22"/>
      <c r="CNO1" s="22"/>
      <c r="CNP1" s="22"/>
      <c r="CNQ1" s="22"/>
      <c r="CNR1" s="22"/>
      <c r="CNS1" s="22"/>
      <c r="CNT1" s="22"/>
      <c r="CNU1" s="22"/>
      <c r="CNV1" s="22"/>
      <c r="CNW1" s="22"/>
      <c r="CNX1" s="22"/>
      <c r="CNY1" s="22"/>
      <c r="CNZ1" s="22"/>
      <c r="COA1" s="22"/>
      <c r="COB1" s="22"/>
      <c r="COC1" s="22"/>
      <c r="COD1" s="22"/>
      <c r="COE1" s="22"/>
      <c r="COF1" s="22"/>
      <c r="COG1" s="22"/>
      <c r="COH1" s="22"/>
      <c r="COI1" s="22"/>
      <c r="COJ1" s="22"/>
      <c r="COK1" s="22"/>
      <c r="COL1" s="22"/>
      <c r="COM1" s="22"/>
      <c r="CON1" s="22"/>
      <c r="COO1" s="22"/>
      <c r="COP1" s="22"/>
      <c r="COQ1" s="22"/>
      <c r="COR1" s="22"/>
      <c r="COS1" s="22"/>
      <c r="COT1" s="22"/>
      <c r="COU1" s="22"/>
      <c r="COV1" s="22"/>
      <c r="COW1" s="22"/>
      <c r="COX1" s="22"/>
      <c r="COY1" s="22"/>
      <c r="COZ1" s="22"/>
      <c r="CPA1" s="22"/>
      <c r="CPB1" s="22"/>
      <c r="CPC1" s="22"/>
      <c r="CPD1" s="22"/>
      <c r="CPE1" s="22"/>
      <c r="CPF1" s="22"/>
      <c r="CPG1" s="22"/>
      <c r="CPH1" s="22"/>
      <c r="CPI1" s="22"/>
      <c r="CPJ1" s="22"/>
      <c r="CPK1" s="22"/>
      <c r="CPL1" s="22"/>
      <c r="CPM1" s="22"/>
      <c r="CPN1" s="22"/>
      <c r="CPO1" s="22"/>
      <c r="CPP1" s="22"/>
      <c r="CPQ1" s="22"/>
      <c r="CPR1" s="22"/>
      <c r="CPS1" s="22"/>
      <c r="CPT1" s="22"/>
      <c r="CPU1" s="22"/>
      <c r="CPV1" s="22"/>
      <c r="CPW1" s="22"/>
      <c r="CPX1" s="22"/>
      <c r="CPY1" s="22"/>
      <c r="CPZ1" s="22"/>
      <c r="CQA1" s="22"/>
      <c r="CQB1" s="22"/>
      <c r="CQC1" s="22"/>
      <c r="CQD1" s="22"/>
      <c r="CQE1" s="22"/>
      <c r="CQF1" s="22"/>
      <c r="CQG1" s="22"/>
      <c r="CQH1" s="22"/>
      <c r="CQI1" s="22"/>
      <c r="CQJ1" s="22"/>
      <c r="CQK1" s="22"/>
      <c r="CQL1" s="22"/>
      <c r="CQM1" s="22"/>
      <c r="CQN1" s="22"/>
      <c r="CQO1" s="22"/>
      <c r="CQP1" s="22"/>
      <c r="CQQ1" s="22"/>
      <c r="CQR1" s="22"/>
      <c r="CQS1" s="22"/>
      <c r="CQT1" s="22"/>
      <c r="CQU1" s="22"/>
      <c r="CQV1" s="22"/>
      <c r="CQW1" s="22"/>
      <c r="CQX1" s="22"/>
      <c r="CQY1" s="22"/>
      <c r="CQZ1" s="22"/>
      <c r="CRA1" s="22"/>
      <c r="CRB1" s="22"/>
      <c r="CRC1" s="22"/>
      <c r="CRD1" s="22"/>
      <c r="CRE1" s="22"/>
      <c r="CRF1" s="22"/>
      <c r="CRG1" s="22"/>
      <c r="CRH1" s="22"/>
      <c r="CRI1" s="22"/>
      <c r="CRJ1" s="22"/>
      <c r="CRK1" s="22"/>
      <c r="CRL1" s="22"/>
      <c r="CRM1" s="22"/>
      <c r="CRN1" s="22"/>
      <c r="CRO1" s="22"/>
      <c r="CRP1" s="22"/>
      <c r="CRQ1" s="22"/>
      <c r="CRR1" s="22"/>
      <c r="CRS1" s="22"/>
      <c r="CRT1" s="22"/>
      <c r="CRU1" s="22"/>
      <c r="CRV1" s="22"/>
      <c r="CRW1" s="22"/>
      <c r="CRX1" s="22"/>
      <c r="CRY1" s="22"/>
      <c r="CRZ1" s="22"/>
      <c r="CSA1" s="22"/>
      <c r="CSB1" s="22"/>
      <c r="CSC1" s="22"/>
      <c r="CSD1" s="22"/>
      <c r="CSE1" s="22"/>
      <c r="CSF1" s="22"/>
      <c r="CSG1" s="22"/>
      <c r="CSH1" s="22"/>
      <c r="CSI1" s="22"/>
      <c r="CSJ1" s="22"/>
      <c r="CSK1" s="22"/>
      <c r="CSL1" s="22"/>
      <c r="CSM1" s="22"/>
      <c r="CSN1" s="22"/>
      <c r="CSO1" s="22"/>
      <c r="CSP1" s="22"/>
      <c r="CSQ1" s="22"/>
      <c r="CSR1" s="22"/>
      <c r="CSS1" s="22"/>
      <c r="CST1" s="22"/>
      <c r="CSU1" s="22"/>
      <c r="CSV1" s="22"/>
      <c r="CSW1" s="22"/>
      <c r="CSX1" s="22"/>
      <c r="CSY1" s="22"/>
      <c r="CSZ1" s="22"/>
      <c r="CTA1" s="22"/>
      <c r="CTB1" s="22"/>
      <c r="CTC1" s="22"/>
      <c r="CTD1" s="22"/>
      <c r="CTE1" s="22"/>
      <c r="CTF1" s="22"/>
      <c r="CTG1" s="22"/>
      <c r="CTH1" s="22"/>
      <c r="CTI1" s="22"/>
      <c r="CTJ1" s="22"/>
      <c r="CTK1" s="22"/>
      <c r="CTL1" s="22"/>
      <c r="CTM1" s="22"/>
      <c r="CTN1" s="22"/>
      <c r="CTO1" s="22"/>
      <c r="CTP1" s="22"/>
      <c r="CTQ1" s="22"/>
      <c r="CTR1" s="22"/>
      <c r="CTS1" s="22"/>
      <c r="CTT1" s="22"/>
      <c r="CTU1" s="22"/>
      <c r="CTV1" s="22"/>
      <c r="CTW1" s="22"/>
      <c r="CTX1" s="22"/>
      <c r="CTY1" s="22"/>
      <c r="CTZ1" s="22"/>
      <c r="CUA1" s="22"/>
      <c r="CUB1" s="22"/>
      <c r="CUC1" s="22"/>
      <c r="CUD1" s="22"/>
      <c r="CUE1" s="22"/>
      <c r="CUF1" s="22"/>
      <c r="CUG1" s="22"/>
      <c r="CUH1" s="22"/>
      <c r="CUI1" s="22"/>
      <c r="CUJ1" s="22"/>
      <c r="CUK1" s="22"/>
      <c r="CUL1" s="22"/>
      <c r="CUM1" s="22"/>
      <c r="CUN1" s="22"/>
      <c r="CUO1" s="22"/>
      <c r="CUP1" s="22"/>
      <c r="CUQ1" s="22"/>
      <c r="CUR1" s="22"/>
      <c r="CUS1" s="22"/>
      <c r="CUT1" s="22"/>
      <c r="CUU1" s="22"/>
      <c r="CUV1" s="22"/>
      <c r="CUW1" s="22"/>
      <c r="CUX1" s="22"/>
      <c r="CUY1" s="22"/>
      <c r="CUZ1" s="22"/>
      <c r="CVA1" s="22"/>
      <c r="CVB1" s="22"/>
      <c r="CVC1" s="22"/>
      <c r="CVD1" s="22"/>
      <c r="CVE1" s="22"/>
      <c r="CVF1" s="22"/>
      <c r="CVG1" s="22"/>
      <c r="CVH1" s="22"/>
      <c r="CVI1" s="22"/>
      <c r="CVJ1" s="22"/>
      <c r="CVK1" s="22"/>
      <c r="CVL1" s="22"/>
      <c r="CVM1" s="22"/>
      <c r="CVN1" s="22"/>
      <c r="CVO1" s="22"/>
      <c r="CVP1" s="22"/>
      <c r="CVQ1" s="22"/>
      <c r="CVR1" s="22"/>
      <c r="CVS1" s="22"/>
      <c r="CVT1" s="22"/>
      <c r="CVU1" s="22"/>
      <c r="CVV1" s="22"/>
      <c r="CVW1" s="22"/>
      <c r="CVX1" s="22"/>
      <c r="CVY1" s="22"/>
      <c r="CVZ1" s="22"/>
      <c r="CWA1" s="22"/>
      <c r="CWB1" s="22"/>
      <c r="CWC1" s="22"/>
      <c r="CWD1" s="22"/>
      <c r="CWE1" s="22"/>
      <c r="CWF1" s="22"/>
      <c r="CWG1" s="22"/>
      <c r="CWH1" s="22"/>
      <c r="CWI1" s="22"/>
      <c r="CWJ1" s="22"/>
      <c r="CWK1" s="22"/>
      <c r="CWL1" s="22"/>
      <c r="CWM1" s="22"/>
      <c r="CWN1" s="22"/>
      <c r="CWO1" s="22"/>
      <c r="CWP1" s="22"/>
      <c r="CWQ1" s="22"/>
      <c r="CWR1" s="22"/>
      <c r="CWS1" s="22"/>
      <c r="CWT1" s="22"/>
      <c r="CWU1" s="22"/>
      <c r="CWV1" s="22"/>
      <c r="CWW1" s="22"/>
      <c r="CWX1" s="22"/>
      <c r="CWY1" s="22"/>
      <c r="CWZ1" s="22"/>
      <c r="CXA1" s="22"/>
      <c r="CXB1" s="22"/>
      <c r="CXC1" s="22"/>
      <c r="CXD1" s="22"/>
      <c r="CXE1" s="22"/>
      <c r="CXF1" s="22"/>
      <c r="CXG1" s="22"/>
      <c r="CXH1" s="22"/>
      <c r="CXI1" s="22"/>
      <c r="CXJ1" s="22"/>
      <c r="CXK1" s="22"/>
      <c r="CXL1" s="22"/>
      <c r="CXM1" s="22"/>
      <c r="CXN1" s="22"/>
      <c r="CXO1" s="22"/>
      <c r="CXP1" s="22"/>
      <c r="CXQ1" s="22"/>
      <c r="CXR1" s="22"/>
      <c r="CXS1" s="22"/>
      <c r="CXT1" s="22"/>
      <c r="CXU1" s="22"/>
      <c r="CXV1" s="22"/>
      <c r="CXW1" s="22"/>
      <c r="CXX1" s="22"/>
      <c r="CXY1" s="22"/>
      <c r="CXZ1" s="22"/>
      <c r="CYA1" s="22"/>
      <c r="CYB1" s="22"/>
      <c r="CYC1" s="22"/>
      <c r="CYD1" s="22"/>
      <c r="CYE1" s="22"/>
      <c r="CYF1" s="22"/>
      <c r="CYG1" s="22"/>
      <c r="CYH1" s="22"/>
      <c r="CYI1" s="22"/>
      <c r="CYJ1" s="22"/>
      <c r="CYK1" s="22"/>
      <c r="CYL1" s="22"/>
      <c r="CYM1" s="22"/>
      <c r="CYN1" s="22"/>
      <c r="CYO1" s="22"/>
      <c r="CYP1" s="22"/>
      <c r="CYQ1" s="22"/>
      <c r="CYR1" s="22"/>
      <c r="CYS1" s="22"/>
      <c r="CYT1" s="22"/>
      <c r="CYU1" s="22"/>
      <c r="CYV1" s="22"/>
      <c r="CYW1" s="22"/>
      <c r="CYX1" s="22"/>
      <c r="CYY1" s="22"/>
      <c r="CYZ1" s="22"/>
      <c r="CZA1" s="22"/>
      <c r="CZB1" s="22"/>
      <c r="CZC1" s="22"/>
      <c r="CZD1" s="22"/>
      <c r="CZE1" s="22"/>
      <c r="CZF1" s="22"/>
      <c r="CZG1" s="22"/>
      <c r="CZH1" s="22"/>
      <c r="CZI1" s="22"/>
      <c r="CZJ1" s="22"/>
      <c r="CZK1" s="22"/>
      <c r="CZL1" s="22"/>
      <c r="CZM1" s="22"/>
      <c r="CZN1" s="22"/>
      <c r="CZO1" s="22"/>
      <c r="CZP1" s="22"/>
      <c r="CZQ1" s="22"/>
      <c r="CZR1" s="22"/>
      <c r="CZS1" s="22"/>
      <c r="CZT1" s="22"/>
      <c r="CZU1" s="22"/>
      <c r="CZV1" s="22"/>
      <c r="CZW1" s="22"/>
      <c r="CZX1" s="22"/>
      <c r="CZY1" s="22"/>
      <c r="CZZ1" s="22"/>
      <c r="DAA1" s="22"/>
      <c r="DAB1" s="22"/>
      <c r="DAC1" s="22"/>
      <c r="DAD1" s="22"/>
      <c r="DAE1" s="22"/>
      <c r="DAF1" s="22"/>
      <c r="DAG1" s="22"/>
      <c r="DAH1" s="22"/>
      <c r="DAI1" s="22"/>
      <c r="DAJ1" s="22"/>
      <c r="DAK1" s="22"/>
      <c r="DAL1" s="22"/>
      <c r="DAM1" s="22"/>
      <c r="DAN1" s="22"/>
      <c r="DAO1" s="22"/>
      <c r="DAP1" s="22"/>
      <c r="DAQ1" s="22"/>
      <c r="DAR1" s="22"/>
      <c r="DAS1" s="22"/>
      <c r="DAT1" s="22"/>
      <c r="DAU1" s="22"/>
      <c r="DAV1" s="22"/>
      <c r="DAW1" s="22"/>
      <c r="DAX1" s="22"/>
      <c r="DAY1" s="22"/>
      <c r="DAZ1" s="22"/>
      <c r="DBA1" s="22"/>
      <c r="DBB1" s="22"/>
      <c r="DBC1" s="22"/>
      <c r="DBD1" s="22"/>
      <c r="DBE1" s="22"/>
      <c r="DBF1" s="22"/>
      <c r="DBG1" s="22"/>
      <c r="DBH1" s="22"/>
      <c r="DBI1" s="22"/>
      <c r="DBJ1" s="22"/>
      <c r="DBK1" s="22"/>
      <c r="DBL1" s="22"/>
      <c r="DBM1" s="22"/>
      <c r="DBN1" s="22"/>
      <c r="DBO1" s="22"/>
      <c r="DBP1" s="22"/>
      <c r="DBQ1" s="22"/>
      <c r="DBR1" s="22"/>
      <c r="DBS1" s="22"/>
      <c r="DBT1" s="22"/>
      <c r="DBU1" s="22"/>
      <c r="DBV1" s="22"/>
      <c r="DBW1" s="22"/>
      <c r="DBX1" s="22"/>
      <c r="DBY1" s="22"/>
      <c r="DBZ1" s="22"/>
      <c r="DCA1" s="22"/>
      <c r="DCB1" s="22"/>
      <c r="DCC1" s="22"/>
      <c r="DCD1" s="22"/>
      <c r="DCE1" s="22"/>
      <c r="DCF1" s="22"/>
      <c r="DCG1" s="22"/>
      <c r="DCH1" s="22"/>
      <c r="DCI1" s="22"/>
      <c r="DCJ1" s="22"/>
      <c r="DCK1" s="22"/>
      <c r="DCL1" s="22"/>
      <c r="DCM1" s="22"/>
      <c r="DCN1" s="22"/>
      <c r="DCO1" s="22"/>
      <c r="DCP1" s="22"/>
      <c r="DCQ1" s="22"/>
      <c r="DCR1" s="22"/>
      <c r="DCS1" s="22"/>
      <c r="DCT1" s="22"/>
      <c r="DCU1" s="22"/>
      <c r="DCV1" s="22"/>
      <c r="DCW1" s="22"/>
      <c r="DCX1" s="22"/>
      <c r="DCY1" s="22"/>
      <c r="DCZ1" s="22"/>
      <c r="DDA1" s="22"/>
      <c r="DDB1" s="22"/>
      <c r="DDC1" s="22"/>
      <c r="DDD1" s="22"/>
      <c r="DDE1" s="22"/>
      <c r="DDF1" s="22"/>
      <c r="DDG1" s="22"/>
      <c r="DDH1" s="22"/>
      <c r="DDI1" s="22"/>
      <c r="DDJ1" s="22"/>
      <c r="DDK1" s="22"/>
      <c r="DDL1" s="22"/>
      <c r="DDM1" s="22"/>
      <c r="DDN1" s="22"/>
      <c r="DDO1" s="22"/>
      <c r="DDP1" s="22"/>
      <c r="DDQ1" s="22"/>
      <c r="DDR1" s="22"/>
      <c r="DDS1" s="22"/>
      <c r="DDT1" s="22"/>
      <c r="DDU1" s="22"/>
      <c r="DDV1" s="22"/>
      <c r="DDW1" s="22"/>
      <c r="DDX1" s="22"/>
      <c r="DDY1" s="22"/>
      <c r="DDZ1" s="22"/>
      <c r="DEA1" s="22"/>
      <c r="DEB1" s="22"/>
      <c r="DEC1" s="22"/>
      <c r="DED1" s="22"/>
      <c r="DEE1" s="22"/>
      <c r="DEF1" s="22"/>
      <c r="DEG1" s="22"/>
      <c r="DEH1" s="22"/>
      <c r="DEI1" s="22"/>
      <c r="DEJ1" s="22"/>
      <c r="DEK1" s="22"/>
      <c r="DEL1" s="22"/>
      <c r="DEM1" s="22"/>
      <c r="DEN1" s="22"/>
      <c r="DEO1" s="22"/>
      <c r="DEP1" s="22"/>
      <c r="DEQ1" s="22"/>
      <c r="DER1" s="22"/>
      <c r="DES1" s="22"/>
      <c r="DET1" s="22"/>
      <c r="DEU1" s="22"/>
      <c r="DEV1" s="22"/>
      <c r="DEW1" s="22"/>
      <c r="DEX1" s="22"/>
      <c r="DEY1" s="22"/>
      <c r="DEZ1" s="22"/>
      <c r="DFA1" s="22"/>
      <c r="DFB1" s="22"/>
      <c r="DFC1" s="22"/>
      <c r="DFD1" s="22"/>
      <c r="DFE1" s="22"/>
      <c r="DFF1" s="22"/>
      <c r="DFG1" s="22"/>
      <c r="DFH1" s="22"/>
      <c r="DFI1" s="22"/>
      <c r="DFJ1" s="22"/>
      <c r="DFK1" s="22"/>
      <c r="DFL1" s="22"/>
      <c r="DFM1" s="22"/>
      <c r="DFN1" s="22"/>
      <c r="DFO1" s="22"/>
      <c r="DFP1" s="22"/>
      <c r="DFQ1" s="22"/>
      <c r="DFR1" s="22"/>
      <c r="DFS1" s="22"/>
      <c r="DFT1" s="22"/>
      <c r="DFU1" s="22"/>
      <c r="DFV1" s="22"/>
      <c r="DFW1" s="22"/>
      <c r="DFX1" s="22"/>
      <c r="DFY1" s="22"/>
      <c r="DFZ1" s="22"/>
      <c r="DGA1" s="22"/>
      <c r="DGB1" s="22"/>
      <c r="DGC1" s="22"/>
      <c r="DGD1" s="22"/>
      <c r="DGE1" s="22"/>
      <c r="DGF1" s="22"/>
      <c r="DGG1" s="22"/>
      <c r="DGH1" s="22"/>
      <c r="DGI1" s="22"/>
      <c r="DGJ1" s="22"/>
      <c r="DGK1" s="22"/>
      <c r="DGL1" s="22"/>
      <c r="DGM1" s="22"/>
      <c r="DGN1" s="22"/>
      <c r="DGO1" s="22"/>
      <c r="DGP1" s="22"/>
      <c r="DGQ1" s="22"/>
      <c r="DGR1" s="22"/>
      <c r="DGS1" s="22"/>
      <c r="DGT1" s="22"/>
      <c r="DGU1" s="22"/>
      <c r="DGV1" s="22"/>
      <c r="DGW1" s="22"/>
      <c r="DGX1" s="22"/>
      <c r="DGY1" s="22"/>
      <c r="DGZ1" s="22"/>
      <c r="DHA1" s="22"/>
      <c r="DHB1" s="22"/>
      <c r="DHC1" s="22"/>
      <c r="DHD1" s="22"/>
      <c r="DHE1" s="22"/>
      <c r="DHF1" s="22"/>
      <c r="DHG1" s="22"/>
      <c r="DHH1" s="22"/>
      <c r="DHI1" s="22"/>
      <c r="DHJ1" s="22"/>
      <c r="DHK1" s="22"/>
      <c r="DHL1" s="22"/>
      <c r="DHM1" s="22"/>
      <c r="DHN1" s="22"/>
      <c r="DHO1" s="22"/>
      <c r="DHP1" s="22"/>
      <c r="DHQ1" s="22"/>
      <c r="DHR1" s="22"/>
      <c r="DHS1" s="22"/>
      <c r="DHT1" s="22"/>
      <c r="DHU1" s="22"/>
      <c r="DHV1" s="22"/>
      <c r="DHW1" s="22"/>
      <c r="DHX1" s="22"/>
      <c r="DHY1" s="22"/>
      <c r="DHZ1" s="22"/>
      <c r="DIA1" s="22"/>
      <c r="DIB1" s="22"/>
      <c r="DIC1" s="22"/>
      <c r="DID1" s="22"/>
      <c r="DIE1" s="22"/>
      <c r="DIF1" s="22"/>
      <c r="DIG1" s="22"/>
      <c r="DIH1" s="22"/>
      <c r="DII1" s="22"/>
      <c r="DIJ1" s="22"/>
      <c r="DIK1" s="22"/>
      <c r="DIL1" s="22"/>
      <c r="DIM1" s="22"/>
      <c r="DIN1" s="22"/>
      <c r="DIO1" s="22"/>
      <c r="DIP1" s="22"/>
      <c r="DIQ1" s="22"/>
      <c r="DIR1" s="22"/>
      <c r="DIS1" s="22"/>
      <c r="DIT1" s="22"/>
      <c r="DIU1" s="22"/>
      <c r="DIV1" s="22"/>
      <c r="DIW1" s="22"/>
      <c r="DIX1" s="22"/>
      <c r="DIY1" s="22"/>
      <c r="DIZ1" s="22"/>
      <c r="DJA1" s="22"/>
      <c r="DJB1" s="22"/>
      <c r="DJC1" s="22"/>
      <c r="DJD1" s="22"/>
      <c r="DJE1" s="22"/>
      <c r="DJF1" s="22"/>
      <c r="DJG1" s="22"/>
      <c r="DJH1" s="22"/>
      <c r="DJI1" s="22"/>
      <c r="DJJ1" s="22"/>
      <c r="DJK1" s="22"/>
      <c r="DJL1" s="22"/>
      <c r="DJM1" s="22"/>
      <c r="DJN1" s="22"/>
      <c r="DJO1" s="22"/>
      <c r="DJP1" s="22"/>
      <c r="DJQ1" s="22"/>
      <c r="DJR1" s="22"/>
      <c r="DJS1" s="22"/>
      <c r="DJT1" s="22"/>
      <c r="DJU1" s="22"/>
      <c r="DJV1" s="22"/>
      <c r="DJW1" s="22"/>
      <c r="DJX1" s="22"/>
      <c r="DJY1" s="22"/>
      <c r="DJZ1" s="22"/>
      <c r="DKA1" s="22"/>
      <c r="DKB1" s="22"/>
      <c r="DKC1" s="22"/>
      <c r="DKD1" s="22"/>
      <c r="DKE1" s="22"/>
      <c r="DKF1" s="22"/>
      <c r="DKG1" s="22"/>
      <c r="DKH1" s="22"/>
      <c r="DKI1" s="22"/>
      <c r="DKJ1" s="22"/>
      <c r="DKK1" s="22"/>
      <c r="DKL1" s="22"/>
      <c r="DKM1" s="22"/>
      <c r="DKN1" s="22"/>
      <c r="DKO1" s="22"/>
      <c r="DKP1" s="22"/>
      <c r="DKQ1" s="22"/>
      <c r="DKR1" s="22"/>
      <c r="DKS1" s="22"/>
      <c r="DKT1" s="22"/>
      <c r="DKU1" s="22"/>
      <c r="DKV1" s="22"/>
      <c r="DKW1" s="22"/>
      <c r="DKX1" s="22"/>
      <c r="DKY1" s="22"/>
      <c r="DKZ1" s="22"/>
      <c r="DLA1" s="22"/>
      <c r="DLB1" s="22"/>
      <c r="DLC1" s="22"/>
      <c r="DLD1" s="22"/>
      <c r="DLE1" s="22"/>
      <c r="DLF1" s="22"/>
      <c r="DLG1" s="22"/>
      <c r="DLH1" s="22"/>
      <c r="DLI1" s="22"/>
      <c r="DLJ1" s="22"/>
      <c r="DLK1" s="22"/>
      <c r="DLL1" s="22"/>
      <c r="DLM1" s="22"/>
      <c r="DLN1" s="22"/>
      <c r="DLO1" s="22"/>
      <c r="DLP1" s="22"/>
      <c r="DLQ1" s="22"/>
      <c r="DLR1" s="22"/>
      <c r="DLS1" s="22"/>
      <c r="DLT1" s="22"/>
      <c r="DLU1" s="22"/>
      <c r="DLV1" s="22"/>
      <c r="DLW1" s="22"/>
      <c r="DLX1" s="22"/>
      <c r="DLY1" s="22"/>
      <c r="DLZ1" s="22"/>
      <c r="DMA1" s="22"/>
      <c r="DMB1" s="22"/>
      <c r="DMC1" s="22"/>
      <c r="DMD1" s="22"/>
      <c r="DME1" s="22"/>
      <c r="DMF1" s="22"/>
      <c r="DMG1" s="22"/>
      <c r="DMH1" s="22"/>
      <c r="DMI1" s="22"/>
      <c r="DMJ1" s="22"/>
      <c r="DMK1" s="22"/>
      <c r="DML1" s="22"/>
      <c r="DMM1" s="22"/>
      <c r="DMN1" s="22"/>
      <c r="DMO1" s="22"/>
      <c r="DMP1" s="22"/>
      <c r="DMQ1" s="22"/>
      <c r="DMR1" s="22"/>
      <c r="DMS1" s="22"/>
      <c r="DMT1" s="22"/>
      <c r="DMU1" s="22"/>
      <c r="DMV1" s="22"/>
      <c r="DMW1" s="22"/>
      <c r="DMX1" s="22"/>
      <c r="DMY1" s="22"/>
      <c r="DMZ1" s="22"/>
      <c r="DNA1" s="22"/>
      <c r="DNB1" s="22"/>
      <c r="DNC1" s="22"/>
      <c r="DND1" s="22"/>
      <c r="DNE1" s="22"/>
      <c r="DNF1" s="22"/>
      <c r="DNG1" s="22"/>
      <c r="DNH1" s="22"/>
      <c r="DNI1" s="22"/>
      <c r="DNJ1" s="22"/>
      <c r="DNK1" s="22"/>
      <c r="DNL1" s="22"/>
      <c r="DNM1" s="22"/>
      <c r="DNN1" s="22"/>
      <c r="DNO1" s="22"/>
      <c r="DNP1" s="22"/>
      <c r="DNQ1" s="22"/>
      <c r="DNR1" s="22"/>
      <c r="DNS1" s="22"/>
      <c r="DNT1" s="22"/>
      <c r="DNU1" s="22"/>
      <c r="DNV1" s="22"/>
      <c r="DNW1" s="22"/>
      <c r="DNX1" s="22"/>
      <c r="DNY1" s="22"/>
      <c r="DNZ1" s="22"/>
      <c r="DOA1" s="22"/>
      <c r="DOB1" s="22"/>
      <c r="DOC1" s="22"/>
      <c r="DOD1" s="22"/>
      <c r="DOE1" s="22"/>
      <c r="DOF1" s="22"/>
      <c r="DOG1" s="22"/>
      <c r="DOH1" s="22"/>
      <c r="DOI1" s="22"/>
      <c r="DOJ1" s="22"/>
      <c r="DOK1" s="22"/>
      <c r="DOL1" s="22"/>
      <c r="DOM1" s="22"/>
      <c r="DON1" s="22"/>
      <c r="DOO1" s="22"/>
      <c r="DOP1" s="22"/>
      <c r="DOQ1" s="22"/>
      <c r="DOR1" s="22"/>
      <c r="DOS1" s="22"/>
      <c r="DOT1" s="22"/>
      <c r="DOU1" s="22"/>
      <c r="DOV1" s="22"/>
      <c r="DOW1" s="22"/>
      <c r="DOX1" s="22"/>
      <c r="DOY1" s="22"/>
      <c r="DOZ1" s="22"/>
      <c r="DPA1" s="22"/>
      <c r="DPB1" s="22"/>
      <c r="DPC1" s="22"/>
      <c r="DPD1" s="22"/>
      <c r="DPE1" s="22"/>
      <c r="DPF1" s="22"/>
      <c r="DPG1" s="22"/>
      <c r="DPH1" s="22"/>
      <c r="DPI1" s="22"/>
      <c r="DPJ1" s="22"/>
      <c r="DPK1" s="22"/>
      <c r="DPL1" s="22"/>
      <c r="DPM1" s="22"/>
      <c r="DPN1" s="22"/>
      <c r="DPO1" s="22"/>
      <c r="DPP1" s="22"/>
      <c r="DPQ1" s="22"/>
      <c r="DPR1" s="22"/>
      <c r="DPS1" s="22"/>
      <c r="DPT1" s="22"/>
      <c r="DPU1" s="22"/>
      <c r="DPV1" s="22"/>
      <c r="DPW1" s="22"/>
      <c r="DPX1" s="22"/>
      <c r="DPY1" s="22"/>
      <c r="DPZ1" s="22"/>
      <c r="DQA1" s="22"/>
      <c r="DQB1" s="22"/>
      <c r="DQC1" s="22"/>
      <c r="DQD1" s="22"/>
      <c r="DQE1" s="22"/>
      <c r="DQF1" s="22"/>
      <c r="DQG1" s="22"/>
      <c r="DQH1" s="22"/>
      <c r="DQI1" s="22"/>
      <c r="DQJ1" s="22"/>
      <c r="DQK1" s="22"/>
      <c r="DQL1" s="22"/>
      <c r="DQM1" s="22"/>
      <c r="DQN1" s="22"/>
      <c r="DQO1" s="22"/>
      <c r="DQP1" s="22"/>
      <c r="DQQ1" s="22"/>
      <c r="DQR1" s="22"/>
      <c r="DQS1" s="22"/>
      <c r="DQT1" s="22"/>
      <c r="DQU1" s="22"/>
      <c r="DQV1" s="22"/>
      <c r="DQW1" s="22"/>
      <c r="DQX1" s="22"/>
      <c r="DQY1" s="22"/>
      <c r="DQZ1" s="22"/>
      <c r="DRA1" s="22"/>
      <c r="DRB1" s="22"/>
      <c r="DRC1" s="22"/>
      <c r="DRD1" s="22"/>
      <c r="DRE1" s="22"/>
      <c r="DRF1" s="22"/>
      <c r="DRG1" s="22"/>
      <c r="DRH1" s="22"/>
      <c r="DRI1" s="22"/>
      <c r="DRJ1" s="22"/>
      <c r="DRK1" s="22"/>
      <c r="DRL1" s="22"/>
      <c r="DRM1" s="22"/>
      <c r="DRN1" s="22"/>
      <c r="DRO1" s="22"/>
      <c r="DRP1" s="22"/>
      <c r="DRQ1" s="22"/>
      <c r="DRR1" s="22"/>
      <c r="DRS1" s="22"/>
      <c r="DRT1" s="22"/>
      <c r="DRU1" s="22"/>
      <c r="DRV1" s="22"/>
      <c r="DRW1" s="22"/>
      <c r="DRX1" s="22"/>
      <c r="DRY1" s="22"/>
      <c r="DRZ1" s="22"/>
      <c r="DSA1" s="22"/>
      <c r="DSB1" s="22"/>
      <c r="DSC1" s="22"/>
      <c r="DSD1" s="22"/>
      <c r="DSE1" s="22"/>
      <c r="DSF1" s="22"/>
      <c r="DSG1" s="22"/>
      <c r="DSH1" s="22"/>
      <c r="DSI1" s="22"/>
      <c r="DSJ1" s="22"/>
      <c r="DSK1" s="22"/>
      <c r="DSL1" s="22"/>
      <c r="DSM1" s="22"/>
      <c r="DSN1" s="22"/>
      <c r="DSO1" s="22"/>
      <c r="DSP1" s="22"/>
      <c r="DSQ1" s="22"/>
      <c r="DSR1" s="22"/>
      <c r="DSS1" s="22"/>
      <c r="DST1" s="22"/>
      <c r="DSU1" s="22"/>
      <c r="DSV1" s="22"/>
      <c r="DSW1" s="22"/>
      <c r="DSX1" s="22"/>
      <c r="DSY1" s="22"/>
      <c r="DSZ1" s="22"/>
      <c r="DTA1" s="22"/>
      <c r="DTB1" s="22"/>
      <c r="DTC1" s="22"/>
      <c r="DTD1" s="22"/>
      <c r="DTE1" s="22"/>
      <c r="DTF1" s="22"/>
      <c r="DTG1" s="22"/>
      <c r="DTH1" s="22"/>
      <c r="DTI1" s="22"/>
      <c r="DTJ1" s="22"/>
      <c r="DTK1" s="22"/>
      <c r="DTL1" s="22"/>
      <c r="DTM1" s="22"/>
      <c r="DTN1" s="22"/>
      <c r="DTO1" s="22"/>
      <c r="DTP1" s="22"/>
      <c r="DTQ1" s="22"/>
      <c r="DTR1" s="22"/>
      <c r="DTS1" s="22"/>
      <c r="DTT1" s="22"/>
      <c r="DTU1" s="22"/>
      <c r="DTV1" s="22"/>
      <c r="DTW1" s="22"/>
      <c r="DTX1" s="22"/>
      <c r="DTY1" s="22"/>
      <c r="DTZ1" s="22"/>
      <c r="DUA1" s="22"/>
      <c r="DUB1" s="22"/>
      <c r="DUC1" s="22"/>
      <c r="DUD1" s="22"/>
      <c r="DUE1" s="22"/>
      <c r="DUF1" s="22"/>
      <c r="DUG1" s="22"/>
      <c r="DUH1" s="22"/>
      <c r="DUI1" s="22"/>
      <c r="DUJ1" s="22"/>
      <c r="DUK1" s="22"/>
      <c r="DUL1" s="22"/>
      <c r="DUM1" s="22"/>
      <c r="DUN1" s="22"/>
      <c r="DUO1" s="22"/>
      <c r="DUP1" s="22"/>
      <c r="DUQ1" s="22"/>
      <c r="DUR1" s="22"/>
      <c r="DUS1" s="22"/>
      <c r="DUT1" s="22"/>
      <c r="DUU1" s="22"/>
      <c r="DUV1" s="22"/>
      <c r="DUW1" s="22"/>
      <c r="DUX1" s="22"/>
      <c r="DUY1" s="22"/>
      <c r="DUZ1" s="22"/>
      <c r="DVA1" s="22"/>
      <c r="DVB1" s="22"/>
      <c r="DVC1" s="22"/>
      <c r="DVD1" s="22"/>
      <c r="DVE1" s="22"/>
      <c r="DVF1" s="22"/>
      <c r="DVG1" s="22"/>
      <c r="DVH1" s="22"/>
      <c r="DVI1" s="22"/>
      <c r="DVJ1" s="22"/>
      <c r="DVK1" s="22"/>
      <c r="DVL1" s="22"/>
      <c r="DVM1" s="22"/>
      <c r="DVN1" s="22"/>
      <c r="DVO1" s="22"/>
      <c r="DVP1" s="22"/>
      <c r="DVQ1" s="22"/>
      <c r="DVR1" s="22"/>
      <c r="DVS1" s="22"/>
      <c r="DVT1" s="22"/>
      <c r="DVU1" s="22"/>
      <c r="DVV1" s="22"/>
      <c r="DVW1" s="22"/>
      <c r="DVX1" s="22"/>
      <c r="DVY1" s="22"/>
      <c r="DVZ1" s="22"/>
      <c r="DWA1" s="22"/>
      <c r="DWB1" s="22"/>
      <c r="DWC1" s="22"/>
      <c r="DWD1" s="22"/>
      <c r="DWE1" s="22"/>
      <c r="DWF1" s="22"/>
      <c r="DWG1" s="22"/>
      <c r="DWH1" s="22"/>
      <c r="DWI1" s="22"/>
      <c r="DWJ1" s="22"/>
      <c r="DWK1" s="22"/>
      <c r="DWL1" s="22"/>
      <c r="DWM1" s="22"/>
      <c r="DWN1" s="22"/>
      <c r="DWO1" s="22"/>
      <c r="DWP1" s="22"/>
      <c r="DWQ1" s="22"/>
      <c r="DWR1" s="22"/>
      <c r="DWS1" s="22"/>
      <c r="DWT1" s="22"/>
      <c r="DWU1" s="22"/>
      <c r="DWV1" s="22"/>
      <c r="DWW1" s="22"/>
      <c r="DWX1" s="22"/>
      <c r="DWY1" s="22"/>
      <c r="DWZ1" s="22"/>
      <c r="DXA1" s="22"/>
      <c r="DXB1" s="22"/>
      <c r="DXC1" s="22"/>
      <c r="DXD1" s="22"/>
      <c r="DXE1" s="22"/>
      <c r="DXF1" s="22"/>
      <c r="DXG1" s="22"/>
      <c r="DXH1" s="22"/>
      <c r="DXI1" s="22"/>
      <c r="DXJ1" s="22"/>
      <c r="DXK1" s="22"/>
      <c r="DXL1" s="22"/>
      <c r="DXM1" s="22"/>
      <c r="DXN1" s="22"/>
      <c r="DXO1" s="22"/>
      <c r="DXP1" s="22"/>
      <c r="DXQ1" s="22"/>
      <c r="DXR1" s="22"/>
      <c r="DXS1" s="22"/>
      <c r="DXT1" s="22"/>
      <c r="DXU1" s="22"/>
      <c r="DXV1" s="22"/>
      <c r="DXW1" s="22"/>
      <c r="DXX1" s="22"/>
      <c r="DXY1" s="22"/>
      <c r="DXZ1" s="22"/>
      <c r="DYA1" s="22"/>
      <c r="DYB1" s="22"/>
      <c r="DYC1" s="22"/>
      <c r="DYD1" s="22"/>
      <c r="DYE1" s="22"/>
      <c r="DYF1" s="22"/>
      <c r="DYG1" s="22"/>
      <c r="DYH1" s="22"/>
      <c r="DYI1" s="22"/>
      <c r="DYJ1" s="22"/>
      <c r="DYK1" s="22"/>
      <c r="DYL1" s="22"/>
      <c r="DYM1" s="22"/>
      <c r="DYN1" s="22"/>
      <c r="DYO1" s="22"/>
      <c r="DYP1" s="22"/>
      <c r="DYQ1" s="22"/>
      <c r="DYR1" s="22"/>
      <c r="DYS1" s="22"/>
      <c r="DYT1" s="22"/>
      <c r="DYU1" s="22"/>
      <c r="DYV1" s="22"/>
      <c r="DYW1" s="22"/>
      <c r="DYX1" s="22"/>
      <c r="DYY1" s="22"/>
      <c r="DYZ1" s="22"/>
      <c r="DZA1" s="22"/>
      <c r="DZB1" s="22"/>
      <c r="DZC1" s="22"/>
      <c r="DZD1" s="22"/>
      <c r="DZE1" s="22"/>
      <c r="DZF1" s="22"/>
      <c r="DZG1" s="22"/>
      <c r="DZH1" s="22"/>
      <c r="DZI1" s="22"/>
      <c r="DZJ1" s="22"/>
      <c r="DZK1" s="22"/>
      <c r="DZL1" s="22"/>
      <c r="DZM1" s="22"/>
      <c r="DZN1" s="22"/>
      <c r="DZO1" s="22"/>
      <c r="DZP1" s="22"/>
      <c r="DZQ1" s="22"/>
      <c r="DZR1" s="22"/>
      <c r="DZS1" s="22"/>
      <c r="DZT1" s="22"/>
      <c r="DZU1" s="22"/>
      <c r="DZV1" s="22"/>
      <c r="DZW1" s="22"/>
      <c r="DZX1" s="22"/>
      <c r="DZY1" s="22"/>
      <c r="DZZ1" s="22"/>
      <c r="EAA1" s="22"/>
      <c r="EAB1" s="22"/>
      <c r="EAC1" s="22"/>
      <c r="EAD1" s="22"/>
      <c r="EAE1" s="22"/>
      <c r="EAF1" s="22"/>
      <c r="EAG1" s="22"/>
      <c r="EAH1" s="22"/>
      <c r="EAI1" s="22"/>
      <c r="EAJ1" s="22"/>
      <c r="EAK1" s="22"/>
      <c r="EAL1" s="22"/>
      <c r="EAM1" s="22"/>
      <c r="EAN1" s="22"/>
      <c r="EAO1" s="22"/>
      <c r="EAP1" s="22"/>
      <c r="EAQ1" s="22"/>
      <c r="EAR1" s="22"/>
      <c r="EAS1" s="22"/>
      <c r="EAT1" s="22"/>
      <c r="EAU1" s="22"/>
      <c r="EAV1" s="22"/>
      <c r="EAW1" s="22"/>
      <c r="EAX1" s="22"/>
      <c r="EAY1" s="22"/>
      <c r="EAZ1" s="22"/>
      <c r="EBA1" s="22"/>
      <c r="EBB1" s="22"/>
      <c r="EBC1" s="22"/>
      <c r="EBD1" s="22"/>
      <c r="EBE1" s="22"/>
      <c r="EBF1" s="22"/>
      <c r="EBG1" s="22"/>
      <c r="EBH1" s="22"/>
      <c r="EBI1" s="22"/>
      <c r="EBJ1" s="22"/>
      <c r="EBK1" s="22"/>
      <c r="EBL1" s="22"/>
      <c r="EBM1" s="22"/>
      <c r="EBN1" s="22"/>
      <c r="EBO1" s="22"/>
      <c r="EBP1" s="22"/>
      <c r="EBQ1" s="22"/>
      <c r="EBR1" s="22"/>
      <c r="EBS1" s="22"/>
      <c r="EBT1" s="22"/>
      <c r="EBU1" s="22"/>
      <c r="EBV1" s="22"/>
      <c r="EBW1" s="22"/>
      <c r="EBX1" s="22"/>
      <c r="EBY1" s="22"/>
      <c r="EBZ1" s="22"/>
      <c r="ECA1" s="22"/>
      <c r="ECB1" s="22"/>
      <c r="ECC1" s="22"/>
      <c r="ECD1" s="22"/>
      <c r="ECE1" s="22"/>
      <c r="ECF1" s="22"/>
      <c r="ECG1" s="22"/>
      <c r="ECH1" s="22"/>
      <c r="ECI1" s="22"/>
      <c r="ECJ1" s="22"/>
      <c r="ECK1" s="22"/>
      <c r="ECL1" s="22"/>
      <c r="ECM1" s="22"/>
      <c r="ECN1" s="22"/>
      <c r="ECO1" s="22"/>
      <c r="ECP1" s="22"/>
      <c r="ECQ1" s="22"/>
      <c r="ECR1" s="22"/>
      <c r="ECS1" s="22"/>
      <c r="ECT1" s="22"/>
      <c r="ECU1" s="22"/>
      <c r="ECV1" s="22"/>
      <c r="ECW1" s="22"/>
      <c r="ECX1" s="22"/>
      <c r="ECY1" s="22"/>
      <c r="ECZ1" s="22"/>
      <c r="EDA1" s="22"/>
      <c r="EDB1" s="22"/>
      <c r="EDC1" s="22"/>
      <c r="EDD1" s="22"/>
      <c r="EDE1" s="22"/>
      <c r="EDF1" s="22"/>
      <c r="EDG1" s="22"/>
      <c r="EDH1" s="22"/>
      <c r="EDI1" s="22"/>
      <c r="EDJ1" s="22"/>
      <c r="EDK1" s="22"/>
      <c r="EDL1" s="22"/>
      <c r="EDM1" s="22"/>
      <c r="EDN1" s="22"/>
      <c r="EDO1" s="22"/>
      <c r="EDP1" s="22"/>
      <c r="EDQ1" s="22"/>
      <c r="EDR1" s="22"/>
      <c r="EDS1" s="22"/>
      <c r="EDT1" s="22"/>
      <c r="EDU1" s="22"/>
      <c r="EDV1" s="22"/>
      <c r="EDW1" s="22"/>
      <c r="EDX1" s="22"/>
      <c r="EDY1" s="22"/>
      <c r="EDZ1" s="22"/>
      <c r="EEA1" s="22"/>
      <c r="EEB1" s="22"/>
      <c r="EEC1" s="22"/>
      <c r="EED1" s="22"/>
      <c r="EEE1" s="22"/>
      <c r="EEF1" s="22"/>
      <c r="EEG1" s="22"/>
      <c r="EEH1" s="22"/>
      <c r="EEI1" s="22"/>
      <c r="EEJ1" s="22"/>
      <c r="EEK1" s="22"/>
      <c r="EEL1" s="22"/>
      <c r="EEM1" s="22"/>
      <c r="EEN1" s="22"/>
      <c r="EEO1" s="22"/>
      <c r="EEP1" s="22"/>
      <c r="EEQ1" s="22"/>
      <c r="EER1" s="22"/>
      <c r="EES1" s="22"/>
      <c r="EET1" s="22"/>
      <c r="EEU1" s="22"/>
      <c r="EEV1" s="22"/>
      <c r="EEW1" s="22"/>
      <c r="EEX1" s="22"/>
      <c r="EEY1" s="22"/>
      <c r="EEZ1" s="22"/>
      <c r="EFA1" s="22"/>
      <c r="EFB1" s="22"/>
      <c r="EFC1" s="22"/>
      <c r="EFD1" s="22"/>
      <c r="EFE1" s="22"/>
      <c r="EFF1" s="22"/>
      <c r="EFG1" s="22"/>
      <c r="EFH1" s="22"/>
      <c r="EFI1" s="22"/>
      <c r="EFJ1" s="22"/>
      <c r="EFK1" s="22"/>
      <c r="EFL1" s="22"/>
      <c r="EFM1" s="22"/>
      <c r="EFN1" s="22"/>
      <c r="EFO1" s="22"/>
      <c r="EFP1" s="22"/>
      <c r="EFQ1" s="22"/>
      <c r="EFR1" s="22"/>
      <c r="EFS1" s="22"/>
      <c r="EFT1" s="22"/>
      <c r="EFU1" s="22"/>
      <c r="EFV1" s="22"/>
      <c r="EFW1" s="22"/>
      <c r="EFX1" s="22"/>
      <c r="EFY1" s="22"/>
      <c r="EFZ1" s="22"/>
      <c r="EGA1" s="22"/>
      <c r="EGB1" s="22"/>
      <c r="EGC1" s="22"/>
      <c r="EGD1" s="22"/>
      <c r="EGE1" s="22"/>
      <c r="EGF1" s="22"/>
      <c r="EGG1" s="22"/>
      <c r="EGH1" s="22"/>
      <c r="EGI1" s="22"/>
      <c r="EGJ1" s="22"/>
      <c r="EGK1" s="22"/>
      <c r="EGL1" s="22"/>
      <c r="EGM1" s="22"/>
      <c r="EGN1" s="22"/>
      <c r="EGO1" s="22"/>
      <c r="EGP1" s="22"/>
      <c r="EGQ1" s="22"/>
      <c r="EGR1" s="22"/>
      <c r="EGS1" s="22"/>
      <c r="EGT1" s="22"/>
      <c r="EGU1" s="22"/>
      <c r="EGV1" s="22"/>
      <c r="EGW1" s="22"/>
      <c r="EGX1" s="22"/>
      <c r="EGY1" s="22"/>
      <c r="EGZ1" s="22"/>
      <c r="EHA1" s="22"/>
      <c r="EHB1" s="22"/>
      <c r="EHC1" s="22"/>
      <c r="EHD1" s="22"/>
      <c r="EHE1" s="22"/>
      <c r="EHF1" s="22"/>
      <c r="EHG1" s="22"/>
      <c r="EHH1" s="22"/>
      <c r="EHI1" s="22"/>
      <c r="EHJ1" s="22"/>
      <c r="EHK1" s="22"/>
      <c r="EHL1" s="22"/>
      <c r="EHM1" s="22"/>
      <c r="EHN1" s="22"/>
      <c r="EHO1" s="22"/>
      <c r="EHP1" s="22"/>
      <c r="EHQ1" s="22"/>
      <c r="EHR1" s="22"/>
      <c r="EHS1" s="22"/>
      <c r="EHT1" s="22"/>
      <c r="EHU1" s="22"/>
      <c r="EHV1" s="22"/>
      <c r="EHW1" s="22"/>
      <c r="EHX1" s="22"/>
      <c r="EHY1" s="22"/>
      <c r="EHZ1" s="22"/>
      <c r="EIA1" s="22"/>
      <c r="EIB1" s="22"/>
      <c r="EIC1" s="22"/>
      <c r="EID1" s="22"/>
      <c r="EIE1" s="22"/>
      <c r="EIF1" s="22"/>
      <c r="EIG1" s="22"/>
      <c r="EIH1" s="22"/>
      <c r="EII1" s="22"/>
      <c r="EIJ1" s="22"/>
      <c r="EIK1" s="22"/>
      <c r="EIL1" s="22"/>
      <c r="EIM1" s="22"/>
      <c r="EIN1" s="22"/>
      <c r="EIO1" s="22"/>
      <c r="EIP1" s="22"/>
      <c r="EIQ1" s="22"/>
      <c r="EIR1" s="22"/>
      <c r="EIS1" s="22"/>
      <c r="EIT1" s="22"/>
      <c r="EIU1" s="22"/>
      <c r="EIV1" s="22"/>
      <c r="EIW1" s="22"/>
      <c r="EIX1" s="22"/>
      <c r="EIY1" s="22"/>
      <c r="EIZ1" s="22"/>
      <c r="EJA1" s="22"/>
      <c r="EJB1" s="22"/>
      <c r="EJC1" s="22"/>
      <c r="EJD1" s="22"/>
      <c r="EJE1" s="22"/>
      <c r="EJF1" s="22"/>
      <c r="EJG1" s="22"/>
      <c r="EJH1" s="22"/>
      <c r="EJI1" s="22"/>
      <c r="EJJ1" s="22"/>
      <c r="EJK1" s="22"/>
      <c r="EJL1" s="22"/>
      <c r="EJM1" s="22"/>
      <c r="EJN1" s="22"/>
      <c r="EJO1" s="22"/>
      <c r="EJP1" s="22"/>
      <c r="EJQ1" s="22"/>
      <c r="EJR1" s="22"/>
      <c r="EJS1" s="22"/>
      <c r="EJT1" s="22"/>
      <c r="EJU1" s="22"/>
      <c r="EJV1" s="22"/>
      <c r="EJW1" s="22"/>
      <c r="EJX1" s="22"/>
      <c r="EJY1" s="22"/>
      <c r="EJZ1" s="22"/>
      <c r="EKA1" s="22"/>
      <c r="EKB1" s="22"/>
      <c r="EKC1" s="22"/>
      <c r="EKD1" s="22"/>
      <c r="EKE1" s="22"/>
      <c r="EKF1" s="22"/>
      <c r="EKG1" s="22"/>
      <c r="EKH1" s="22"/>
      <c r="EKI1" s="22"/>
      <c r="EKJ1" s="22"/>
      <c r="EKK1" s="22"/>
      <c r="EKL1" s="22"/>
      <c r="EKM1" s="22"/>
      <c r="EKN1" s="22"/>
      <c r="EKO1" s="22"/>
      <c r="EKP1" s="22"/>
      <c r="EKQ1" s="22"/>
      <c r="EKR1" s="22"/>
      <c r="EKS1" s="22"/>
      <c r="EKT1" s="22"/>
      <c r="EKU1" s="22"/>
      <c r="EKV1" s="22"/>
      <c r="EKW1" s="22"/>
      <c r="EKX1" s="22"/>
      <c r="EKY1" s="22"/>
      <c r="EKZ1" s="22"/>
      <c r="ELA1" s="22"/>
      <c r="ELB1" s="22"/>
      <c r="ELC1" s="22"/>
      <c r="ELD1" s="22"/>
      <c r="ELE1" s="22"/>
      <c r="ELF1" s="22"/>
      <c r="ELG1" s="22"/>
      <c r="ELH1" s="22"/>
      <c r="ELI1" s="22"/>
      <c r="ELJ1" s="22"/>
      <c r="ELK1" s="22"/>
      <c r="ELL1" s="22"/>
      <c r="ELM1" s="22"/>
      <c r="ELN1" s="22"/>
      <c r="ELO1" s="22"/>
      <c r="ELP1" s="22"/>
      <c r="ELQ1" s="22"/>
      <c r="ELR1" s="22"/>
      <c r="ELS1" s="22"/>
      <c r="ELT1" s="22"/>
      <c r="ELU1" s="22"/>
      <c r="ELV1" s="22"/>
      <c r="ELW1" s="22"/>
      <c r="ELX1" s="22"/>
      <c r="ELY1" s="22"/>
      <c r="ELZ1" s="22"/>
      <c r="EMA1" s="22"/>
      <c r="EMB1" s="22"/>
      <c r="EMC1" s="22"/>
      <c r="EMD1" s="22"/>
      <c r="EME1" s="22"/>
      <c r="EMF1" s="22"/>
      <c r="EMG1" s="22"/>
      <c r="EMH1" s="22"/>
      <c r="EMI1" s="22"/>
      <c r="EMJ1" s="22"/>
      <c r="EMK1" s="22"/>
      <c r="EML1" s="22"/>
      <c r="EMM1" s="22"/>
      <c r="EMN1" s="22"/>
      <c r="EMO1" s="22"/>
      <c r="EMP1" s="22"/>
      <c r="EMQ1" s="22"/>
      <c r="EMR1" s="22"/>
      <c r="EMS1" s="22"/>
      <c r="EMT1" s="22"/>
      <c r="EMU1" s="22"/>
      <c r="EMV1" s="22"/>
      <c r="EMW1" s="22"/>
      <c r="EMX1" s="22"/>
      <c r="EMY1" s="22"/>
      <c r="EMZ1" s="22"/>
      <c r="ENA1" s="22"/>
      <c r="ENB1" s="22"/>
      <c r="ENC1" s="22"/>
      <c r="END1" s="22"/>
      <c r="ENE1" s="22"/>
      <c r="ENF1" s="22"/>
      <c r="ENG1" s="22"/>
      <c r="ENH1" s="22"/>
      <c r="ENI1" s="22"/>
      <c r="ENJ1" s="22"/>
      <c r="ENK1" s="22"/>
      <c r="ENL1" s="22"/>
      <c r="ENM1" s="22"/>
      <c r="ENN1" s="22"/>
      <c r="ENO1" s="22"/>
      <c r="ENP1" s="22"/>
      <c r="ENQ1" s="22"/>
      <c r="ENR1" s="22"/>
      <c r="ENS1" s="22"/>
      <c r="ENT1" s="22"/>
      <c r="ENU1" s="22"/>
      <c r="ENV1" s="22"/>
      <c r="ENW1" s="22"/>
      <c r="ENX1" s="22"/>
      <c r="ENY1" s="22"/>
      <c r="ENZ1" s="22"/>
      <c r="EOA1" s="22"/>
      <c r="EOB1" s="22"/>
      <c r="EOC1" s="22"/>
      <c r="EOD1" s="22"/>
      <c r="EOE1" s="22"/>
      <c r="EOF1" s="22"/>
      <c r="EOG1" s="22"/>
      <c r="EOH1" s="22"/>
      <c r="EOI1" s="22"/>
      <c r="EOJ1" s="22"/>
      <c r="EOK1" s="22"/>
      <c r="EOL1" s="22"/>
      <c r="EOM1" s="22"/>
      <c r="EON1" s="22"/>
      <c r="EOO1" s="22"/>
      <c r="EOP1" s="22"/>
      <c r="EOQ1" s="22"/>
      <c r="EOR1" s="22"/>
      <c r="EOS1" s="22"/>
      <c r="EOT1" s="22"/>
      <c r="EOU1" s="22"/>
      <c r="EOV1" s="22"/>
      <c r="EOW1" s="22"/>
      <c r="EOX1" s="22"/>
      <c r="EOY1" s="22"/>
      <c r="EOZ1" s="22"/>
      <c r="EPA1" s="22"/>
      <c r="EPB1" s="22"/>
      <c r="EPC1" s="22"/>
      <c r="EPD1" s="22"/>
      <c r="EPE1" s="22"/>
      <c r="EPF1" s="22"/>
      <c r="EPG1" s="22"/>
      <c r="EPH1" s="22"/>
      <c r="EPI1" s="22"/>
      <c r="EPJ1" s="22"/>
      <c r="EPK1" s="22"/>
      <c r="EPL1" s="22"/>
      <c r="EPM1" s="22"/>
      <c r="EPN1" s="22"/>
      <c r="EPO1" s="22"/>
      <c r="EPP1" s="22"/>
      <c r="EPQ1" s="22"/>
      <c r="EPR1" s="22"/>
      <c r="EPS1" s="22"/>
      <c r="EPT1" s="22"/>
      <c r="EPU1" s="22"/>
      <c r="EPV1" s="22"/>
      <c r="EPW1" s="22"/>
      <c r="EPX1" s="22"/>
      <c r="EPY1" s="22"/>
      <c r="EPZ1" s="22"/>
      <c r="EQA1" s="22"/>
      <c r="EQB1" s="22"/>
      <c r="EQC1" s="22"/>
      <c r="EQD1" s="22"/>
      <c r="EQE1" s="22"/>
      <c r="EQF1" s="22"/>
      <c r="EQG1" s="22"/>
      <c r="EQH1" s="22"/>
      <c r="EQI1" s="22"/>
      <c r="EQJ1" s="22"/>
      <c r="EQK1" s="22"/>
      <c r="EQL1" s="22"/>
      <c r="EQM1" s="22"/>
      <c r="EQN1" s="22"/>
      <c r="EQO1" s="22"/>
      <c r="EQP1" s="22"/>
      <c r="EQQ1" s="22"/>
      <c r="EQR1" s="22"/>
      <c r="EQS1" s="22"/>
      <c r="EQT1" s="22"/>
      <c r="EQU1" s="22"/>
      <c r="EQV1" s="22"/>
      <c r="EQW1" s="22"/>
      <c r="EQX1" s="22"/>
      <c r="EQY1" s="22"/>
      <c r="EQZ1" s="22"/>
      <c r="ERA1" s="22"/>
      <c r="ERB1" s="22"/>
      <c r="ERC1" s="22"/>
      <c r="ERD1" s="22"/>
      <c r="ERE1" s="22"/>
      <c r="ERF1" s="22"/>
      <c r="ERG1" s="22"/>
      <c r="ERH1" s="22"/>
      <c r="ERI1" s="22"/>
      <c r="ERJ1" s="22"/>
      <c r="ERK1" s="22"/>
      <c r="ERL1" s="22"/>
      <c r="ERM1" s="22"/>
      <c r="ERN1" s="22"/>
      <c r="ERO1" s="22"/>
      <c r="ERP1" s="22"/>
      <c r="ERQ1" s="22"/>
      <c r="ERR1" s="22"/>
      <c r="ERS1" s="22"/>
      <c r="ERT1" s="22"/>
      <c r="ERU1" s="22"/>
      <c r="ERV1" s="22"/>
      <c r="ERW1" s="22"/>
      <c r="ERX1" s="22"/>
      <c r="ERY1" s="22"/>
      <c r="ERZ1" s="22"/>
      <c r="ESA1" s="22"/>
      <c r="ESB1" s="22"/>
      <c r="ESC1" s="22"/>
      <c r="ESD1" s="22"/>
      <c r="ESE1" s="22"/>
      <c r="ESF1" s="22"/>
      <c r="ESG1" s="22"/>
      <c r="ESH1" s="22"/>
      <c r="ESI1" s="22"/>
      <c r="ESJ1" s="22"/>
      <c r="ESK1" s="22"/>
      <c r="ESL1" s="22"/>
      <c r="ESM1" s="22"/>
      <c r="ESN1" s="22"/>
      <c r="ESO1" s="22"/>
      <c r="ESP1" s="22"/>
      <c r="ESQ1" s="22"/>
      <c r="ESR1" s="22"/>
      <c r="ESS1" s="22"/>
      <c r="EST1" s="22"/>
      <c r="ESU1" s="22"/>
      <c r="ESV1" s="22"/>
      <c r="ESW1" s="22"/>
      <c r="ESX1" s="22"/>
      <c r="ESY1" s="22"/>
      <c r="ESZ1" s="22"/>
      <c r="ETA1" s="22"/>
      <c r="ETB1" s="22"/>
      <c r="ETC1" s="22"/>
      <c r="ETD1" s="22"/>
      <c r="ETE1" s="22"/>
      <c r="ETF1" s="22"/>
      <c r="ETG1" s="22"/>
      <c r="ETH1" s="22"/>
      <c r="ETI1" s="22"/>
      <c r="ETJ1" s="22"/>
      <c r="ETK1" s="22"/>
      <c r="ETL1" s="22"/>
      <c r="ETM1" s="22"/>
      <c r="ETN1" s="22"/>
      <c r="ETO1" s="22"/>
      <c r="ETP1" s="22"/>
      <c r="ETQ1" s="22"/>
      <c r="ETR1" s="22"/>
      <c r="ETS1" s="22"/>
      <c r="ETT1" s="22"/>
      <c r="ETU1" s="22"/>
      <c r="ETV1" s="22"/>
      <c r="ETW1" s="22"/>
      <c r="ETX1" s="22"/>
      <c r="ETY1" s="22"/>
      <c r="ETZ1" s="22"/>
      <c r="EUA1" s="22"/>
      <c r="EUB1" s="22"/>
      <c r="EUC1" s="22"/>
      <c r="EUD1" s="22"/>
      <c r="EUE1" s="22"/>
      <c r="EUF1" s="22"/>
      <c r="EUG1" s="22"/>
      <c r="EUH1" s="22"/>
      <c r="EUI1" s="22"/>
      <c r="EUJ1" s="22"/>
      <c r="EUK1" s="22"/>
      <c r="EUL1" s="22"/>
      <c r="EUM1" s="22"/>
      <c r="EUN1" s="22"/>
      <c r="EUO1" s="22"/>
      <c r="EUP1" s="22"/>
      <c r="EUQ1" s="22"/>
      <c r="EUR1" s="22"/>
      <c r="EUS1" s="22"/>
      <c r="EUT1" s="22"/>
      <c r="EUU1" s="22"/>
      <c r="EUV1" s="22"/>
      <c r="EUW1" s="22"/>
      <c r="EUX1" s="22"/>
      <c r="EUY1" s="22"/>
      <c r="EUZ1" s="22"/>
      <c r="EVA1" s="22"/>
      <c r="EVB1" s="22"/>
      <c r="EVC1" s="22"/>
      <c r="EVD1" s="22"/>
      <c r="EVE1" s="22"/>
      <c r="EVF1" s="22"/>
      <c r="EVG1" s="22"/>
      <c r="EVH1" s="22"/>
      <c r="EVI1" s="22"/>
      <c r="EVJ1" s="22"/>
      <c r="EVK1" s="22"/>
      <c r="EVL1" s="22"/>
      <c r="EVM1" s="22"/>
      <c r="EVN1" s="22"/>
      <c r="EVO1" s="22"/>
      <c r="EVP1" s="22"/>
      <c r="EVQ1" s="22"/>
      <c r="EVR1" s="22"/>
      <c r="EVS1" s="22"/>
      <c r="EVT1" s="22"/>
      <c r="EVU1" s="22"/>
      <c r="EVV1" s="22"/>
      <c r="EVW1" s="22"/>
      <c r="EVX1" s="22"/>
      <c r="EVY1" s="22"/>
      <c r="EVZ1" s="22"/>
      <c r="EWA1" s="22"/>
      <c r="EWB1" s="22"/>
      <c r="EWC1" s="22"/>
      <c r="EWD1" s="22"/>
      <c r="EWE1" s="22"/>
      <c r="EWF1" s="22"/>
      <c r="EWG1" s="22"/>
      <c r="EWH1" s="22"/>
      <c r="EWI1" s="22"/>
      <c r="EWJ1" s="22"/>
      <c r="EWK1" s="22"/>
      <c r="EWL1" s="22"/>
      <c r="EWM1" s="22"/>
      <c r="EWN1" s="22"/>
      <c r="EWO1" s="22"/>
      <c r="EWP1" s="22"/>
      <c r="EWQ1" s="22"/>
      <c r="EWR1" s="22"/>
      <c r="EWS1" s="22"/>
      <c r="EWT1" s="22"/>
      <c r="EWU1" s="22"/>
      <c r="EWV1" s="22"/>
      <c r="EWW1" s="22"/>
      <c r="EWX1" s="22"/>
      <c r="EWY1" s="22"/>
      <c r="EWZ1" s="22"/>
      <c r="EXA1" s="22"/>
      <c r="EXB1" s="22"/>
      <c r="EXC1" s="22"/>
      <c r="EXD1" s="22"/>
      <c r="EXE1" s="22"/>
      <c r="EXF1" s="22"/>
      <c r="EXG1" s="22"/>
      <c r="EXH1" s="22"/>
      <c r="EXI1" s="22"/>
      <c r="EXJ1" s="22"/>
      <c r="EXK1" s="22"/>
      <c r="EXL1" s="22"/>
      <c r="EXM1" s="22"/>
      <c r="EXN1" s="22"/>
      <c r="EXO1" s="22"/>
      <c r="EXP1" s="22"/>
      <c r="EXQ1" s="22"/>
      <c r="EXR1" s="22"/>
      <c r="EXS1" s="22"/>
      <c r="EXT1" s="22"/>
      <c r="EXU1" s="22"/>
      <c r="EXV1" s="22"/>
      <c r="EXW1" s="22"/>
      <c r="EXX1" s="22"/>
      <c r="EXY1" s="22"/>
      <c r="EXZ1" s="22"/>
      <c r="EYA1" s="22"/>
      <c r="EYB1" s="22"/>
      <c r="EYC1" s="22"/>
      <c r="EYD1" s="22"/>
      <c r="EYE1" s="22"/>
      <c r="EYF1" s="22"/>
      <c r="EYG1" s="22"/>
      <c r="EYH1" s="22"/>
      <c r="EYI1" s="22"/>
      <c r="EYJ1" s="22"/>
      <c r="EYK1" s="22"/>
      <c r="EYL1" s="22"/>
      <c r="EYM1" s="22"/>
      <c r="EYN1" s="22"/>
      <c r="EYO1" s="22"/>
      <c r="EYP1" s="22"/>
      <c r="EYQ1" s="22"/>
      <c r="EYR1" s="22"/>
      <c r="EYS1" s="22"/>
      <c r="EYT1" s="22"/>
      <c r="EYU1" s="22"/>
      <c r="EYV1" s="22"/>
      <c r="EYW1" s="22"/>
      <c r="EYX1" s="22"/>
      <c r="EYY1" s="22"/>
      <c r="EYZ1" s="22"/>
      <c r="EZA1" s="22"/>
      <c r="EZB1" s="22"/>
      <c r="EZC1" s="22"/>
      <c r="EZD1" s="22"/>
      <c r="EZE1" s="22"/>
      <c r="EZF1" s="22"/>
      <c r="EZG1" s="22"/>
      <c r="EZH1" s="22"/>
      <c r="EZI1" s="22"/>
      <c r="EZJ1" s="22"/>
      <c r="EZK1" s="22"/>
      <c r="EZL1" s="22"/>
      <c r="EZM1" s="22"/>
      <c r="EZN1" s="22"/>
      <c r="EZO1" s="22"/>
      <c r="EZP1" s="22"/>
      <c r="EZQ1" s="22"/>
      <c r="EZR1" s="22"/>
      <c r="EZS1" s="22"/>
      <c r="EZT1" s="22"/>
      <c r="EZU1" s="22"/>
      <c r="EZV1" s="22"/>
      <c r="EZW1" s="22"/>
      <c r="EZX1" s="22"/>
      <c r="EZY1" s="22"/>
      <c r="EZZ1" s="22"/>
      <c r="FAA1" s="22"/>
      <c r="FAB1" s="22"/>
      <c r="FAC1" s="22"/>
      <c r="FAD1" s="22"/>
      <c r="FAE1" s="22"/>
      <c r="FAF1" s="22"/>
      <c r="FAG1" s="22"/>
      <c r="FAH1" s="22"/>
      <c r="FAI1" s="22"/>
      <c r="FAJ1" s="22"/>
      <c r="FAK1" s="22"/>
      <c r="FAL1" s="22"/>
      <c r="FAM1" s="22"/>
      <c r="FAN1" s="22"/>
      <c r="FAO1" s="22"/>
      <c r="FAP1" s="22"/>
      <c r="FAQ1" s="22"/>
      <c r="FAR1" s="22"/>
      <c r="FAS1" s="22"/>
      <c r="FAT1" s="22"/>
      <c r="FAU1" s="22"/>
      <c r="FAV1" s="22"/>
      <c r="FAW1" s="22"/>
      <c r="FAX1" s="22"/>
      <c r="FAY1" s="22"/>
      <c r="FAZ1" s="22"/>
      <c r="FBA1" s="22"/>
      <c r="FBB1" s="22"/>
      <c r="FBC1" s="22"/>
      <c r="FBD1" s="22"/>
      <c r="FBE1" s="22"/>
      <c r="FBF1" s="22"/>
      <c r="FBG1" s="22"/>
      <c r="FBH1" s="22"/>
      <c r="FBI1" s="22"/>
      <c r="FBJ1" s="22"/>
      <c r="FBK1" s="22"/>
      <c r="FBL1" s="22"/>
      <c r="FBM1" s="22"/>
      <c r="FBN1" s="22"/>
      <c r="FBO1" s="22"/>
      <c r="FBP1" s="22"/>
      <c r="FBQ1" s="22"/>
      <c r="FBR1" s="22"/>
      <c r="FBS1" s="22"/>
      <c r="FBT1" s="22"/>
      <c r="FBU1" s="22"/>
      <c r="FBV1" s="22"/>
      <c r="FBW1" s="22"/>
      <c r="FBX1" s="22"/>
      <c r="FBY1" s="22"/>
      <c r="FBZ1" s="22"/>
      <c r="FCA1" s="22"/>
      <c r="FCB1" s="22"/>
      <c r="FCC1" s="22"/>
      <c r="FCD1" s="22"/>
      <c r="FCE1" s="22"/>
      <c r="FCF1" s="22"/>
      <c r="FCG1" s="22"/>
      <c r="FCH1" s="22"/>
      <c r="FCI1" s="22"/>
      <c r="FCJ1" s="22"/>
      <c r="FCK1" s="22"/>
      <c r="FCL1" s="22"/>
      <c r="FCM1" s="22"/>
      <c r="FCN1" s="22"/>
      <c r="FCO1" s="22"/>
      <c r="FCP1" s="22"/>
      <c r="FCQ1" s="22"/>
      <c r="FCR1" s="22"/>
      <c r="FCS1" s="22"/>
      <c r="FCT1" s="22"/>
      <c r="FCU1" s="22"/>
      <c r="FCV1" s="22"/>
      <c r="FCW1" s="22"/>
      <c r="FCX1" s="22"/>
      <c r="FCY1" s="22"/>
      <c r="FCZ1" s="22"/>
      <c r="FDA1" s="22"/>
      <c r="FDB1" s="22"/>
      <c r="FDC1" s="22"/>
      <c r="FDD1" s="22"/>
      <c r="FDE1" s="22"/>
      <c r="FDF1" s="22"/>
      <c r="FDG1" s="22"/>
      <c r="FDH1" s="22"/>
      <c r="FDI1" s="22"/>
      <c r="FDJ1" s="22"/>
      <c r="FDK1" s="22"/>
      <c r="FDL1" s="22"/>
      <c r="FDM1" s="22"/>
      <c r="FDN1" s="22"/>
      <c r="FDO1" s="22"/>
      <c r="FDP1" s="22"/>
      <c r="FDQ1" s="22"/>
      <c r="FDR1" s="22"/>
      <c r="FDS1" s="22"/>
      <c r="FDT1" s="22"/>
      <c r="FDU1" s="22"/>
      <c r="FDV1" s="22"/>
      <c r="FDW1" s="22"/>
      <c r="FDX1" s="22"/>
      <c r="FDY1" s="22"/>
      <c r="FDZ1" s="22"/>
      <c r="FEA1" s="22"/>
      <c r="FEB1" s="22"/>
      <c r="FEC1" s="22"/>
      <c r="FED1" s="22"/>
      <c r="FEE1" s="22"/>
      <c r="FEF1" s="22"/>
      <c r="FEG1" s="22"/>
      <c r="FEH1" s="22"/>
      <c r="FEI1" s="22"/>
      <c r="FEJ1" s="22"/>
      <c r="FEK1" s="22"/>
      <c r="FEL1" s="22"/>
      <c r="FEM1" s="22"/>
      <c r="FEN1" s="22"/>
      <c r="FEO1" s="22"/>
      <c r="FEP1" s="22"/>
      <c r="FEQ1" s="22"/>
      <c r="FER1" s="22"/>
      <c r="FES1" s="22"/>
      <c r="FET1" s="22"/>
      <c r="FEU1" s="22"/>
      <c r="FEV1" s="22"/>
      <c r="FEW1" s="22"/>
      <c r="FEX1" s="22"/>
      <c r="FEY1" s="22"/>
      <c r="FEZ1" s="22"/>
      <c r="FFA1" s="22"/>
      <c r="FFB1" s="22"/>
      <c r="FFC1" s="22"/>
      <c r="FFD1" s="22"/>
      <c r="FFE1" s="22"/>
      <c r="FFF1" s="22"/>
      <c r="FFG1" s="22"/>
      <c r="FFH1" s="22"/>
      <c r="FFI1" s="22"/>
      <c r="FFJ1" s="22"/>
      <c r="FFK1" s="22"/>
      <c r="FFL1" s="22"/>
      <c r="FFM1" s="22"/>
      <c r="FFN1" s="22"/>
      <c r="FFO1" s="22"/>
      <c r="FFP1" s="22"/>
      <c r="FFQ1" s="22"/>
      <c r="FFR1" s="22"/>
      <c r="FFS1" s="22"/>
      <c r="FFT1" s="22"/>
      <c r="FFU1" s="22"/>
      <c r="FFV1" s="22"/>
      <c r="FFW1" s="22"/>
      <c r="FFX1" s="22"/>
      <c r="FFY1" s="22"/>
      <c r="FFZ1" s="22"/>
      <c r="FGA1" s="22"/>
      <c r="FGB1" s="22"/>
      <c r="FGC1" s="22"/>
      <c r="FGD1" s="22"/>
      <c r="FGE1" s="22"/>
      <c r="FGF1" s="22"/>
      <c r="FGG1" s="22"/>
      <c r="FGH1" s="22"/>
      <c r="FGI1" s="22"/>
      <c r="FGJ1" s="22"/>
      <c r="FGK1" s="22"/>
      <c r="FGL1" s="22"/>
      <c r="FGM1" s="22"/>
      <c r="FGN1" s="22"/>
      <c r="FGO1" s="22"/>
      <c r="FGP1" s="22"/>
      <c r="FGQ1" s="22"/>
      <c r="FGR1" s="22"/>
      <c r="FGS1" s="22"/>
      <c r="FGT1" s="22"/>
      <c r="FGU1" s="22"/>
      <c r="FGV1" s="22"/>
      <c r="FGW1" s="22"/>
      <c r="FGX1" s="22"/>
      <c r="FGY1" s="22"/>
      <c r="FGZ1" s="22"/>
      <c r="FHA1" s="22"/>
      <c r="FHB1" s="22"/>
      <c r="FHC1" s="22"/>
      <c r="FHD1" s="22"/>
      <c r="FHE1" s="22"/>
      <c r="FHF1" s="22"/>
      <c r="FHG1" s="22"/>
      <c r="FHH1" s="22"/>
      <c r="FHI1" s="22"/>
      <c r="FHJ1" s="22"/>
      <c r="FHK1" s="22"/>
      <c r="FHL1" s="22"/>
      <c r="FHM1" s="22"/>
      <c r="FHN1" s="22"/>
      <c r="FHO1" s="22"/>
      <c r="FHP1" s="22"/>
      <c r="FHQ1" s="22"/>
      <c r="FHR1" s="22"/>
      <c r="FHS1" s="22"/>
      <c r="FHT1" s="22"/>
      <c r="FHU1" s="22"/>
      <c r="FHV1" s="22"/>
      <c r="FHW1" s="22"/>
      <c r="FHX1" s="22"/>
      <c r="FHY1" s="22"/>
      <c r="FHZ1" s="22"/>
      <c r="FIA1" s="22"/>
      <c r="FIB1" s="22"/>
      <c r="FIC1" s="22"/>
      <c r="FID1" s="22"/>
      <c r="FIE1" s="22"/>
      <c r="FIF1" s="22"/>
      <c r="FIG1" s="22"/>
      <c r="FIH1" s="22"/>
      <c r="FII1" s="22"/>
      <c r="FIJ1" s="22"/>
      <c r="FIK1" s="22"/>
      <c r="FIL1" s="22"/>
      <c r="FIM1" s="22"/>
      <c r="FIN1" s="22"/>
      <c r="FIO1" s="22"/>
      <c r="FIP1" s="22"/>
      <c r="FIQ1" s="22"/>
      <c r="FIR1" s="22"/>
      <c r="FIS1" s="22"/>
      <c r="FIT1" s="22"/>
      <c r="FIU1" s="22"/>
      <c r="FIV1" s="22"/>
      <c r="FIW1" s="22"/>
      <c r="FIX1" s="22"/>
      <c r="FIY1" s="22"/>
      <c r="FIZ1" s="22"/>
      <c r="FJA1" s="22"/>
      <c r="FJB1" s="22"/>
      <c r="FJC1" s="22"/>
      <c r="FJD1" s="22"/>
      <c r="FJE1" s="22"/>
      <c r="FJF1" s="22"/>
      <c r="FJG1" s="22"/>
      <c r="FJH1" s="22"/>
      <c r="FJI1" s="22"/>
      <c r="FJJ1" s="22"/>
      <c r="FJK1" s="22"/>
      <c r="FJL1" s="22"/>
      <c r="FJM1" s="22"/>
      <c r="FJN1" s="22"/>
      <c r="FJO1" s="22"/>
      <c r="FJP1" s="22"/>
      <c r="FJQ1" s="22"/>
      <c r="FJR1" s="22"/>
      <c r="FJS1" s="22"/>
      <c r="FJT1" s="22"/>
      <c r="FJU1" s="22"/>
      <c r="FJV1" s="22"/>
      <c r="FJW1" s="22"/>
      <c r="FJX1" s="22"/>
      <c r="FJY1" s="22"/>
      <c r="FJZ1" s="22"/>
      <c r="FKA1" s="22"/>
      <c r="FKB1" s="22"/>
      <c r="FKC1" s="22"/>
      <c r="FKD1" s="22"/>
      <c r="FKE1" s="22"/>
      <c r="FKF1" s="22"/>
      <c r="FKG1" s="22"/>
      <c r="FKH1" s="22"/>
      <c r="FKI1" s="22"/>
      <c r="FKJ1" s="22"/>
      <c r="FKK1" s="22"/>
      <c r="FKL1" s="22"/>
      <c r="FKM1" s="22"/>
      <c r="FKN1" s="22"/>
      <c r="FKO1" s="22"/>
      <c r="FKP1" s="22"/>
      <c r="FKQ1" s="22"/>
      <c r="FKR1" s="22"/>
      <c r="FKS1" s="22"/>
      <c r="FKT1" s="22"/>
      <c r="FKU1" s="22"/>
      <c r="FKV1" s="22"/>
      <c r="FKW1" s="22"/>
      <c r="FKX1" s="22"/>
      <c r="FKY1" s="22"/>
      <c r="FKZ1" s="22"/>
      <c r="FLA1" s="22"/>
      <c r="FLB1" s="22"/>
      <c r="FLC1" s="22"/>
      <c r="FLD1" s="22"/>
      <c r="FLE1" s="22"/>
      <c r="FLF1" s="22"/>
      <c r="FLG1" s="22"/>
      <c r="FLH1" s="22"/>
      <c r="FLI1" s="22"/>
      <c r="FLJ1" s="22"/>
      <c r="FLK1" s="22"/>
      <c r="FLL1" s="22"/>
      <c r="FLM1" s="22"/>
      <c r="FLN1" s="22"/>
      <c r="FLO1" s="22"/>
      <c r="FLP1" s="22"/>
      <c r="FLQ1" s="22"/>
      <c r="FLR1" s="22"/>
      <c r="FLS1" s="22"/>
      <c r="FLT1" s="22"/>
      <c r="FLU1" s="22"/>
      <c r="FLV1" s="22"/>
      <c r="FLW1" s="22"/>
      <c r="FLX1" s="22"/>
      <c r="FLY1" s="22"/>
      <c r="FLZ1" s="22"/>
      <c r="FMA1" s="22"/>
      <c r="FMB1" s="22"/>
      <c r="FMC1" s="22"/>
      <c r="FMD1" s="22"/>
      <c r="FME1" s="22"/>
      <c r="FMF1" s="22"/>
      <c r="FMG1" s="22"/>
      <c r="FMH1" s="22"/>
      <c r="FMI1" s="22"/>
      <c r="FMJ1" s="22"/>
      <c r="FMK1" s="22"/>
      <c r="FML1" s="22"/>
      <c r="FMM1" s="22"/>
      <c r="FMN1" s="22"/>
      <c r="FMO1" s="22"/>
      <c r="FMP1" s="22"/>
      <c r="FMQ1" s="22"/>
      <c r="FMR1" s="22"/>
      <c r="FMS1" s="22"/>
      <c r="FMT1" s="22"/>
      <c r="FMU1" s="22"/>
      <c r="FMV1" s="22"/>
      <c r="FMW1" s="22"/>
      <c r="FMX1" s="22"/>
      <c r="FMY1" s="22"/>
      <c r="FMZ1" s="22"/>
      <c r="FNA1" s="22"/>
      <c r="FNB1" s="22"/>
      <c r="FNC1" s="22"/>
      <c r="FND1" s="22"/>
      <c r="FNE1" s="22"/>
      <c r="FNF1" s="22"/>
      <c r="FNG1" s="22"/>
      <c r="FNH1" s="22"/>
      <c r="FNI1" s="22"/>
      <c r="FNJ1" s="22"/>
      <c r="FNK1" s="22"/>
      <c r="FNL1" s="22"/>
      <c r="FNM1" s="22"/>
      <c r="FNN1" s="22"/>
      <c r="FNO1" s="22"/>
      <c r="FNP1" s="22"/>
      <c r="FNQ1" s="22"/>
      <c r="FNR1" s="22"/>
      <c r="FNS1" s="22"/>
      <c r="FNT1" s="22"/>
      <c r="FNU1" s="22"/>
      <c r="FNV1" s="22"/>
      <c r="FNW1" s="22"/>
      <c r="FNX1" s="22"/>
      <c r="FNY1" s="22"/>
      <c r="FNZ1" s="22"/>
      <c r="FOA1" s="22"/>
      <c r="FOB1" s="22"/>
      <c r="FOC1" s="22"/>
      <c r="FOD1" s="22"/>
      <c r="FOE1" s="22"/>
      <c r="FOF1" s="22"/>
      <c r="FOG1" s="22"/>
      <c r="FOH1" s="22"/>
      <c r="FOI1" s="22"/>
      <c r="FOJ1" s="22"/>
      <c r="FOK1" s="22"/>
      <c r="FOL1" s="22"/>
      <c r="FOM1" s="22"/>
      <c r="FON1" s="22"/>
      <c r="FOO1" s="22"/>
      <c r="FOP1" s="22"/>
      <c r="FOQ1" s="22"/>
      <c r="FOR1" s="22"/>
      <c r="FOS1" s="22"/>
      <c r="FOT1" s="22"/>
      <c r="FOU1" s="22"/>
      <c r="FOV1" s="22"/>
      <c r="FOW1" s="22"/>
      <c r="FOX1" s="22"/>
      <c r="FOY1" s="22"/>
      <c r="FOZ1" s="22"/>
      <c r="FPA1" s="22"/>
      <c r="FPB1" s="22"/>
      <c r="FPC1" s="22"/>
      <c r="FPD1" s="22"/>
      <c r="FPE1" s="22"/>
      <c r="FPF1" s="22"/>
      <c r="FPG1" s="22"/>
      <c r="FPH1" s="22"/>
      <c r="FPI1" s="22"/>
      <c r="FPJ1" s="22"/>
      <c r="FPK1" s="22"/>
      <c r="FPL1" s="22"/>
      <c r="FPM1" s="22"/>
      <c r="FPN1" s="22"/>
      <c r="FPO1" s="22"/>
      <c r="FPP1" s="22"/>
      <c r="FPQ1" s="22"/>
      <c r="FPR1" s="22"/>
      <c r="FPS1" s="22"/>
      <c r="FPT1" s="22"/>
      <c r="FPU1" s="22"/>
      <c r="FPV1" s="22"/>
      <c r="FPW1" s="22"/>
      <c r="FPX1" s="22"/>
      <c r="FPY1" s="22"/>
      <c r="FPZ1" s="22"/>
      <c r="FQA1" s="22"/>
      <c r="FQB1" s="22"/>
      <c r="FQC1" s="22"/>
      <c r="FQD1" s="22"/>
      <c r="FQE1" s="22"/>
      <c r="FQF1" s="22"/>
      <c r="FQG1" s="22"/>
      <c r="FQH1" s="22"/>
      <c r="FQI1" s="22"/>
      <c r="FQJ1" s="22"/>
      <c r="FQK1" s="22"/>
      <c r="FQL1" s="22"/>
      <c r="FQM1" s="22"/>
      <c r="FQN1" s="22"/>
      <c r="FQO1" s="22"/>
      <c r="FQP1" s="22"/>
      <c r="FQQ1" s="22"/>
      <c r="FQR1" s="22"/>
      <c r="FQS1" s="22"/>
      <c r="FQT1" s="22"/>
      <c r="FQU1" s="22"/>
      <c r="FQV1" s="22"/>
      <c r="FQW1" s="22"/>
      <c r="FQX1" s="22"/>
      <c r="FQY1" s="22"/>
      <c r="FQZ1" s="22"/>
      <c r="FRA1" s="22"/>
      <c r="FRB1" s="22"/>
      <c r="FRC1" s="22"/>
      <c r="FRD1" s="22"/>
      <c r="FRE1" s="22"/>
      <c r="FRF1" s="22"/>
      <c r="FRG1" s="22"/>
      <c r="FRH1" s="22"/>
      <c r="FRI1" s="22"/>
      <c r="FRJ1" s="22"/>
      <c r="FRK1" s="22"/>
      <c r="FRL1" s="22"/>
      <c r="FRM1" s="22"/>
      <c r="FRN1" s="22"/>
      <c r="FRO1" s="22"/>
      <c r="FRP1" s="22"/>
      <c r="FRQ1" s="22"/>
      <c r="FRR1" s="22"/>
      <c r="FRS1" s="22"/>
      <c r="FRT1" s="22"/>
      <c r="FRU1" s="22"/>
      <c r="FRV1" s="22"/>
      <c r="FRW1" s="22"/>
      <c r="FRX1" s="22"/>
      <c r="FRY1" s="22"/>
      <c r="FRZ1" s="22"/>
      <c r="FSA1" s="22"/>
      <c r="FSB1" s="22"/>
      <c r="FSC1" s="22"/>
      <c r="FSD1" s="22"/>
      <c r="FSE1" s="22"/>
      <c r="FSF1" s="22"/>
      <c r="FSG1" s="22"/>
      <c r="FSH1" s="22"/>
      <c r="FSI1" s="22"/>
      <c r="FSJ1" s="22"/>
      <c r="FSK1" s="22"/>
      <c r="FSL1" s="22"/>
      <c r="FSM1" s="22"/>
      <c r="FSN1" s="22"/>
      <c r="FSO1" s="22"/>
      <c r="FSP1" s="22"/>
      <c r="FSQ1" s="22"/>
      <c r="FSR1" s="22"/>
      <c r="FSS1" s="22"/>
      <c r="FST1" s="22"/>
      <c r="FSU1" s="22"/>
      <c r="FSV1" s="22"/>
      <c r="FSW1" s="22"/>
      <c r="FSX1" s="22"/>
      <c r="FSY1" s="22"/>
      <c r="FSZ1" s="22"/>
      <c r="FTA1" s="22"/>
      <c r="FTB1" s="22"/>
      <c r="FTC1" s="22"/>
      <c r="FTD1" s="22"/>
      <c r="FTE1" s="22"/>
      <c r="FTF1" s="22"/>
      <c r="FTG1" s="22"/>
      <c r="FTH1" s="22"/>
      <c r="FTI1" s="22"/>
      <c r="FTJ1" s="22"/>
      <c r="FTK1" s="22"/>
      <c r="FTL1" s="22"/>
      <c r="FTM1" s="22"/>
      <c r="FTN1" s="22"/>
      <c r="FTO1" s="22"/>
      <c r="FTP1" s="22"/>
      <c r="FTQ1" s="22"/>
      <c r="FTR1" s="22"/>
      <c r="FTS1" s="22"/>
      <c r="FTT1" s="22"/>
      <c r="FTU1" s="22"/>
      <c r="FTV1" s="22"/>
      <c r="FTW1" s="22"/>
      <c r="FTX1" s="22"/>
      <c r="FTY1" s="22"/>
      <c r="FTZ1" s="22"/>
      <c r="FUA1" s="22"/>
      <c r="FUB1" s="22"/>
      <c r="FUC1" s="22"/>
      <c r="FUD1" s="22"/>
      <c r="FUE1" s="22"/>
      <c r="FUF1" s="22"/>
      <c r="FUG1" s="22"/>
      <c r="FUH1" s="22"/>
      <c r="FUI1" s="22"/>
      <c r="FUJ1" s="22"/>
      <c r="FUK1" s="22"/>
      <c r="FUL1" s="22"/>
      <c r="FUM1" s="22"/>
      <c r="FUN1" s="22"/>
      <c r="FUO1" s="22"/>
      <c r="FUP1" s="22"/>
      <c r="FUQ1" s="22"/>
      <c r="FUR1" s="22"/>
      <c r="FUS1" s="22"/>
      <c r="FUT1" s="22"/>
      <c r="FUU1" s="22"/>
      <c r="FUV1" s="22"/>
      <c r="FUW1" s="22"/>
      <c r="FUX1" s="22"/>
      <c r="FUY1" s="22"/>
      <c r="FUZ1" s="22"/>
      <c r="FVA1" s="22"/>
      <c r="FVB1" s="22"/>
      <c r="FVC1" s="22"/>
      <c r="FVD1" s="22"/>
      <c r="FVE1" s="22"/>
      <c r="FVF1" s="22"/>
      <c r="FVG1" s="22"/>
      <c r="FVH1" s="22"/>
      <c r="FVI1" s="22"/>
      <c r="FVJ1" s="22"/>
      <c r="FVK1" s="22"/>
      <c r="FVL1" s="22"/>
      <c r="FVM1" s="22"/>
      <c r="FVN1" s="22"/>
      <c r="FVO1" s="22"/>
      <c r="FVP1" s="22"/>
      <c r="FVQ1" s="22"/>
      <c r="FVR1" s="22"/>
      <c r="FVS1" s="22"/>
      <c r="FVT1" s="22"/>
      <c r="FVU1" s="22"/>
      <c r="FVV1" s="22"/>
      <c r="FVW1" s="22"/>
      <c r="FVX1" s="22"/>
      <c r="FVY1" s="22"/>
      <c r="FVZ1" s="22"/>
      <c r="FWA1" s="22"/>
      <c r="FWB1" s="22"/>
      <c r="FWC1" s="22"/>
      <c r="FWD1" s="22"/>
      <c r="FWE1" s="22"/>
      <c r="FWF1" s="22"/>
      <c r="FWG1" s="22"/>
      <c r="FWH1" s="22"/>
      <c r="FWI1" s="22"/>
      <c r="FWJ1" s="22"/>
      <c r="FWK1" s="22"/>
      <c r="FWL1" s="22"/>
      <c r="FWM1" s="22"/>
      <c r="FWN1" s="22"/>
      <c r="FWO1" s="22"/>
      <c r="FWP1" s="22"/>
      <c r="FWQ1" s="22"/>
      <c r="FWR1" s="22"/>
      <c r="FWS1" s="22"/>
      <c r="FWT1" s="22"/>
      <c r="FWU1" s="22"/>
      <c r="FWV1" s="22"/>
      <c r="FWW1" s="22"/>
      <c r="FWX1" s="22"/>
      <c r="FWY1" s="22"/>
      <c r="FWZ1" s="22"/>
      <c r="FXA1" s="22"/>
      <c r="FXB1" s="22"/>
      <c r="FXC1" s="22"/>
      <c r="FXD1" s="22"/>
      <c r="FXE1" s="22"/>
      <c r="FXF1" s="22"/>
      <c r="FXG1" s="22"/>
      <c r="FXH1" s="22"/>
      <c r="FXI1" s="22"/>
      <c r="FXJ1" s="22"/>
      <c r="FXK1" s="22"/>
      <c r="FXL1" s="22"/>
      <c r="FXM1" s="22"/>
      <c r="FXN1" s="22"/>
      <c r="FXO1" s="22"/>
      <c r="FXP1" s="22"/>
      <c r="FXQ1" s="22"/>
      <c r="FXR1" s="22"/>
      <c r="FXS1" s="22"/>
      <c r="FXT1" s="22"/>
      <c r="FXU1" s="22"/>
      <c r="FXV1" s="22"/>
      <c r="FXW1" s="22"/>
      <c r="FXX1" s="22"/>
      <c r="FXY1" s="22"/>
      <c r="FXZ1" s="22"/>
      <c r="FYA1" s="22"/>
      <c r="FYB1" s="22"/>
      <c r="FYC1" s="22"/>
      <c r="FYD1" s="22"/>
      <c r="FYE1" s="22"/>
      <c r="FYF1" s="22"/>
      <c r="FYG1" s="22"/>
      <c r="FYH1" s="22"/>
      <c r="FYI1" s="22"/>
      <c r="FYJ1" s="22"/>
      <c r="FYK1" s="22"/>
      <c r="FYL1" s="22"/>
      <c r="FYM1" s="22"/>
      <c r="FYN1" s="22"/>
      <c r="FYO1" s="22"/>
      <c r="FYP1" s="22"/>
      <c r="FYQ1" s="22"/>
      <c r="FYR1" s="22"/>
      <c r="FYS1" s="22"/>
      <c r="FYT1" s="22"/>
      <c r="FYU1" s="22"/>
      <c r="FYV1" s="22"/>
      <c r="FYW1" s="22"/>
      <c r="FYX1" s="22"/>
      <c r="FYY1" s="22"/>
      <c r="FYZ1" s="22"/>
      <c r="FZA1" s="22"/>
      <c r="FZB1" s="22"/>
      <c r="FZC1" s="22"/>
      <c r="FZD1" s="22"/>
      <c r="FZE1" s="22"/>
      <c r="FZF1" s="22"/>
      <c r="FZG1" s="22"/>
      <c r="FZH1" s="22"/>
      <c r="FZI1" s="22"/>
      <c r="FZJ1" s="22"/>
      <c r="FZK1" s="22"/>
      <c r="FZL1" s="22"/>
      <c r="FZM1" s="22"/>
      <c r="FZN1" s="22"/>
      <c r="FZO1" s="22"/>
      <c r="FZP1" s="22"/>
      <c r="FZQ1" s="22"/>
      <c r="FZR1" s="22"/>
      <c r="FZS1" s="22"/>
      <c r="FZT1" s="22"/>
      <c r="FZU1" s="22"/>
      <c r="FZV1" s="22"/>
      <c r="FZW1" s="22"/>
      <c r="FZX1" s="22"/>
      <c r="FZY1" s="22"/>
      <c r="FZZ1" s="22"/>
      <c r="GAA1" s="22"/>
      <c r="GAB1" s="22"/>
      <c r="GAC1" s="22"/>
      <c r="GAD1" s="22"/>
      <c r="GAE1" s="22"/>
      <c r="GAF1" s="22"/>
      <c r="GAG1" s="22"/>
      <c r="GAH1" s="22"/>
      <c r="GAI1" s="22"/>
      <c r="GAJ1" s="22"/>
      <c r="GAK1" s="22"/>
      <c r="GAL1" s="22"/>
      <c r="GAM1" s="22"/>
      <c r="GAN1" s="22"/>
      <c r="GAO1" s="22"/>
      <c r="GAP1" s="22"/>
      <c r="GAQ1" s="22"/>
      <c r="GAR1" s="22"/>
      <c r="GAS1" s="22"/>
      <c r="GAT1" s="22"/>
      <c r="GAU1" s="22"/>
      <c r="GAV1" s="22"/>
      <c r="GAW1" s="22"/>
      <c r="GAX1" s="22"/>
      <c r="GAY1" s="22"/>
      <c r="GAZ1" s="22"/>
      <c r="GBA1" s="22"/>
      <c r="GBB1" s="22"/>
      <c r="GBC1" s="22"/>
      <c r="GBD1" s="22"/>
      <c r="GBE1" s="22"/>
      <c r="GBF1" s="22"/>
      <c r="GBG1" s="22"/>
      <c r="GBH1" s="22"/>
      <c r="GBI1" s="22"/>
      <c r="GBJ1" s="22"/>
      <c r="GBK1" s="22"/>
      <c r="GBL1" s="22"/>
      <c r="GBM1" s="22"/>
      <c r="GBN1" s="22"/>
      <c r="GBO1" s="22"/>
      <c r="GBP1" s="22"/>
      <c r="GBQ1" s="22"/>
      <c r="GBR1" s="22"/>
      <c r="GBS1" s="22"/>
      <c r="GBT1" s="22"/>
      <c r="GBU1" s="22"/>
      <c r="GBV1" s="22"/>
      <c r="GBW1" s="22"/>
      <c r="GBX1" s="22"/>
      <c r="GBY1" s="22"/>
      <c r="GBZ1" s="22"/>
      <c r="GCA1" s="22"/>
      <c r="GCB1" s="22"/>
      <c r="GCC1" s="22"/>
      <c r="GCD1" s="22"/>
      <c r="GCE1" s="22"/>
      <c r="GCF1" s="22"/>
      <c r="GCG1" s="22"/>
      <c r="GCH1" s="22"/>
      <c r="GCI1" s="22"/>
      <c r="GCJ1" s="22"/>
      <c r="GCK1" s="22"/>
      <c r="GCL1" s="22"/>
      <c r="GCM1" s="22"/>
      <c r="GCN1" s="22"/>
      <c r="GCO1" s="22"/>
      <c r="GCP1" s="22"/>
      <c r="GCQ1" s="22"/>
      <c r="GCR1" s="22"/>
      <c r="GCS1" s="22"/>
      <c r="GCT1" s="22"/>
      <c r="GCU1" s="22"/>
      <c r="GCV1" s="22"/>
      <c r="GCW1" s="22"/>
      <c r="GCX1" s="22"/>
      <c r="GCY1" s="22"/>
      <c r="GCZ1" s="22"/>
      <c r="GDA1" s="22"/>
      <c r="GDB1" s="22"/>
      <c r="GDC1" s="22"/>
      <c r="GDD1" s="22"/>
      <c r="GDE1" s="22"/>
      <c r="GDF1" s="22"/>
      <c r="GDG1" s="22"/>
      <c r="GDH1" s="22"/>
      <c r="GDI1" s="22"/>
      <c r="GDJ1" s="22"/>
      <c r="GDK1" s="22"/>
      <c r="GDL1" s="22"/>
      <c r="GDM1" s="22"/>
      <c r="GDN1" s="22"/>
      <c r="GDO1" s="22"/>
      <c r="GDP1" s="22"/>
      <c r="GDQ1" s="22"/>
      <c r="GDR1" s="22"/>
      <c r="GDS1" s="22"/>
      <c r="GDT1" s="22"/>
      <c r="GDU1" s="22"/>
      <c r="GDV1" s="22"/>
      <c r="GDW1" s="22"/>
      <c r="GDX1" s="22"/>
      <c r="GDY1" s="22"/>
      <c r="GDZ1" s="22"/>
      <c r="GEA1" s="22"/>
      <c r="GEB1" s="22"/>
      <c r="GEC1" s="22"/>
      <c r="GED1" s="22"/>
      <c r="GEE1" s="22"/>
      <c r="GEF1" s="22"/>
      <c r="GEG1" s="22"/>
      <c r="GEH1" s="22"/>
      <c r="GEI1" s="22"/>
      <c r="GEJ1" s="22"/>
      <c r="GEK1" s="22"/>
      <c r="GEL1" s="22"/>
      <c r="GEM1" s="22"/>
      <c r="GEN1" s="22"/>
      <c r="GEO1" s="22"/>
      <c r="GEP1" s="22"/>
      <c r="GEQ1" s="22"/>
      <c r="GER1" s="22"/>
      <c r="GES1" s="22"/>
      <c r="GET1" s="22"/>
      <c r="GEU1" s="22"/>
      <c r="GEV1" s="22"/>
      <c r="GEW1" s="22"/>
      <c r="GEX1" s="22"/>
      <c r="GEY1" s="22"/>
      <c r="GEZ1" s="22"/>
      <c r="GFA1" s="22"/>
      <c r="GFB1" s="22"/>
      <c r="GFC1" s="22"/>
      <c r="GFD1" s="22"/>
      <c r="GFE1" s="22"/>
      <c r="GFF1" s="22"/>
      <c r="GFG1" s="22"/>
      <c r="GFH1" s="22"/>
      <c r="GFI1" s="22"/>
      <c r="GFJ1" s="22"/>
      <c r="GFK1" s="22"/>
      <c r="GFL1" s="22"/>
      <c r="GFM1" s="22"/>
      <c r="GFN1" s="22"/>
      <c r="GFO1" s="22"/>
      <c r="GFP1" s="22"/>
      <c r="GFQ1" s="22"/>
      <c r="GFR1" s="22"/>
      <c r="GFS1" s="22"/>
      <c r="GFT1" s="22"/>
      <c r="GFU1" s="22"/>
      <c r="GFV1" s="22"/>
      <c r="GFW1" s="22"/>
      <c r="GFX1" s="22"/>
      <c r="GFY1" s="22"/>
      <c r="GFZ1" s="22"/>
      <c r="GGA1" s="22"/>
      <c r="GGB1" s="22"/>
      <c r="GGC1" s="22"/>
      <c r="GGD1" s="22"/>
      <c r="GGE1" s="22"/>
      <c r="GGF1" s="22"/>
      <c r="GGG1" s="22"/>
      <c r="GGH1" s="22"/>
      <c r="GGI1" s="22"/>
      <c r="GGJ1" s="22"/>
      <c r="GGK1" s="22"/>
      <c r="GGL1" s="22"/>
      <c r="GGM1" s="22"/>
      <c r="GGN1" s="22"/>
      <c r="GGO1" s="22"/>
      <c r="GGP1" s="22"/>
      <c r="GGQ1" s="22"/>
      <c r="GGR1" s="22"/>
      <c r="GGS1" s="22"/>
      <c r="GGT1" s="22"/>
      <c r="GGU1" s="22"/>
      <c r="GGV1" s="22"/>
      <c r="GGW1" s="22"/>
      <c r="GGX1" s="22"/>
      <c r="GGY1" s="22"/>
      <c r="GGZ1" s="22"/>
      <c r="GHA1" s="22"/>
      <c r="GHB1" s="22"/>
      <c r="GHC1" s="22"/>
      <c r="GHD1" s="22"/>
      <c r="GHE1" s="22"/>
      <c r="GHF1" s="22"/>
      <c r="GHG1" s="22"/>
      <c r="GHH1" s="22"/>
      <c r="GHI1" s="22"/>
      <c r="GHJ1" s="22"/>
      <c r="GHK1" s="22"/>
      <c r="GHL1" s="22"/>
      <c r="GHM1" s="22"/>
      <c r="GHN1" s="22"/>
      <c r="GHO1" s="22"/>
      <c r="GHP1" s="22"/>
      <c r="GHQ1" s="22"/>
      <c r="GHR1" s="22"/>
      <c r="GHS1" s="22"/>
      <c r="GHT1" s="22"/>
      <c r="GHU1" s="22"/>
      <c r="GHV1" s="22"/>
      <c r="GHW1" s="22"/>
      <c r="GHX1" s="22"/>
      <c r="GHY1" s="22"/>
      <c r="GHZ1" s="22"/>
      <c r="GIA1" s="22"/>
      <c r="GIB1" s="22"/>
      <c r="GIC1" s="22"/>
      <c r="GID1" s="22"/>
      <c r="GIE1" s="22"/>
      <c r="GIF1" s="22"/>
      <c r="GIG1" s="22"/>
      <c r="GIH1" s="22"/>
      <c r="GII1" s="22"/>
      <c r="GIJ1" s="22"/>
      <c r="GIK1" s="22"/>
      <c r="GIL1" s="22"/>
      <c r="GIM1" s="22"/>
      <c r="GIN1" s="22"/>
      <c r="GIO1" s="22"/>
      <c r="GIP1" s="22"/>
      <c r="GIQ1" s="22"/>
      <c r="GIR1" s="22"/>
      <c r="GIS1" s="22"/>
      <c r="GIT1" s="22"/>
      <c r="GIU1" s="22"/>
      <c r="GIV1" s="22"/>
      <c r="GIW1" s="22"/>
      <c r="GIX1" s="22"/>
      <c r="GIY1" s="22"/>
      <c r="GIZ1" s="22"/>
      <c r="GJA1" s="22"/>
      <c r="GJB1" s="22"/>
      <c r="GJC1" s="22"/>
      <c r="GJD1" s="22"/>
      <c r="GJE1" s="22"/>
      <c r="GJF1" s="22"/>
      <c r="GJG1" s="22"/>
      <c r="GJH1" s="22"/>
      <c r="GJI1" s="22"/>
      <c r="GJJ1" s="22"/>
      <c r="GJK1" s="22"/>
      <c r="GJL1" s="22"/>
      <c r="GJM1" s="22"/>
      <c r="GJN1" s="22"/>
      <c r="GJO1" s="22"/>
      <c r="GJP1" s="22"/>
      <c r="GJQ1" s="22"/>
      <c r="GJR1" s="22"/>
      <c r="GJS1" s="22"/>
      <c r="GJT1" s="22"/>
      <c r="GJU1" s="22"/>
      <c r="GJV1" s="22"/>
      <c r="GJW1" s="22"/>
      <c r="GJX1" s="22"/>
      <c r="GJY1" s="22"/>
      <c r="GJZ1" s="22"/>
      <c r="GKA1" s="22"/>
      <c r="GKB1" s="22"/>
      <c r="GKC1" s="22"/>
      <c r="GKD1" s="22"/>
      <c r="GKE1" s="22"/>
      <c r="GKF1" s="22"/>
      <c r="GKG1" s="22"/>
      <c r="GKH1" s="22"/>
      <c r="GKI1" s="22"/>
      <c r="GKJ1" s="22"/>
      <c r="GKK1" s="22"/>
      <c r="GKL1" s="22"/>
      <c r="GKM1" s="22"/>
      <c r="GKN1" s="22"/>
      <c r="GKO1" s="22"/>
      <c r="GKP1" s="22"/>
      <c r="GKQ1" s="22"/>
      <c r="GKR1" s="22"/>
      <c r="GKS1" s="22"/>
      <c r="GKT1" s="22"/>
      <c r="GKU1" s="22"/>
      <c r="GKV1" s="22"/>
      <c r="GKW1" s="22"/>
      <c r="GKX1" s="22"/>
      <c r="GKY1" s="22"/>
      <c r="GKZ1" s="22"/>
      <c r="GLA1" s="22"/>
      <c r="GLB1" s="22"/>
      <c r="GLC1" s="22"/>
      <c r="GLD1" s="22"/>
      <c r="GLE1" s="22"/>
      <c r="GLF1" s="22"/>
      <c r="GLG1" s="22"/>
      <c r="GLH1" s="22"/>
      <c r="GLI1" s="22"/>
      <c r="GLJ1" s="22"/>
      <c r="GLK1" s="22"/>
      <c r="GLL1" s="22"/>
      <c r="GLM1" s="22"/>
      <c r="GLN1" s="22"/>
      <c r="GLO1" s="22"/>
      <c r="GLP1" s="22"/>
      <c r="GLQ1" s="22"/>
      <c r="GLR1" s="22"/>
      <c r="GLS1" s="22"/>
      <c r="GLT1" s="22"/>
      <c r="GLU1" s="22"/>
      <c r="GLV1" s="22"/>
      <c r="GLW1" s="22"/>
      <c r="GLX1" s="22"/>
      <c r="GLY1" s="22"/>
      <c r="GLZ1" s="22"/>
      <c r="GMA1" s="22"/>
      <c r="GMB1" s="22"/>
      <c r="GMC1" s="22"/>
      <c r="GMD1" s="22"/>
      <c r="GME1" s="22"/>
      <c r="GMF1" s="22"/>
      <c r="GMG1" s="22"/>
      <c r="GMH1" s="22"/>
      <c r="GMI1" s="22"/>
      <c r="GMJ1" s="22"/>
      <c r="GMK1" s="22"/>
      <c r="GML1" s="22"/>
      <c r="GMM1" s="22"/>
      <c r="GMN1" s="22"/>
      <c r="GMO1" s="22"/>
      <c r="GMP1" s="22"/>
      <c r="GMQ1" s="22"/>
      <c r="GMR1" s="22"/>
      <c r="GMS1" s="22"/>
      <c r="GMT1" s="22"/>
      <c r="GMU1" s="22"/>
      <c r="GMV1" s="22"/>
      <c r="GMW1" s="22"/>
      <c r="GMX1" s="22"/>
      <c r="GMY1" s="22"/>
      <c r="GMZ1" s="22"/>
      <c r="GNA1" s="22"/>
      <c r="GNB1" s="22"/>
      <c r="GNC1" s="22"/>
      <c r="GND1" s="22"/>
      <c r="GNE1" s="22"/>
      <c r="GNF1" s="22"/>
      <c r="GNG1" s="22"/>
      <c r="GNH1" s="22"/>
      <c r="GNI1" s="22"/>
      <c r="GNJ1" s="22"/>
      <c r="GNK1" s="22"/>
      <c r="GNL1" s="22"/>
      <c r="GNM1" s="22"/>
      <c r="GNN1" s="22"/>
      <c r="GNO1" s="22"/>
      <c r="GNP1" s="22"/>
      <c r="GNQ1" s="22"/>
      <c r="GNR1" s="22"/>
      <c r="GNS1" s="22"/>
      <c r="GNT1" s="22"/>
      <c r="GNU1" s="22"/>
      <c r="GNV1" s="22"/>
      <c r="GNW1" s="22"/>
      <c r="GNX1" s="22"/>
      <c r="GNY1" s="22"/>
      <c r="GNZ1" s="22"/>
      <c r="GOA1" s="22"/>
      <c r="GOB1" s="22"/>
      <c r="GOC1" s="22"/>
      <c r="GOD1" s="22"/>
      <c r="GOE1" s="22"/>
      <c r="GOF1" s="22"/>
      <c r="GOG1" s="22"/>
      <c r="GOH1" s="22"/>
      <c r="GOI1" s="22"/>
      <c r="GOJ1" s="22"/>
      <c r="GOK1" s="22"/>
      <c r="GOL1" s="22"/>
      <c r="GOM1" s="22"/>
      <c r="GON1" s="22"/>
      <c r="GOO1" s="22"/>
      <c r="GOP1" s="22"/>
      <c r="GOQ1" s="22"/>
      <c r="GOR1" s="22"/>
      <c r="GOS1" s="22"/>
      <c r="GOT1" s="22"/>
      <c r="GOU1" s="22"/>
      <c r="GOV1" s="22"/>
      <c r="GOW1" s="22"/>
      <c r="GOX1" s="22"/>
      <c r="GOY1" s="22"/>
      <c r="GOZ1" s="22"/>
      <c r="GPA1" s="22"/>
      <c r="GPB1" s="22"/>
      <c r="GPC1" s="22"/>
      <c r="GPD1" s="22"/>
      <c r="GPE1" s="22"/>
      <c r="GPF1" s="22"/>
      <c r="GPG1" s="22"/>
      <c r="GPH1" s="22"/>
      <c r="GPI1" s="22"/>
      <c r="GPJ1" s="22"/>
      <c r="GPK1" s="22"/>
      <c r="GPL1" s="22"/>
      <c r="GPM1" s="22"/>
      <c r="GPN1" s="22"/>
      <c r="GPO1" s="22"/>
      <c r="GPP1" s="22"/>
      <c r="GPQ1" s="22"/>
      <c r="GPR1" s="22"/>
      <c r="GPS1" s="22"/>
      <c r="GPT1" s="22"/>
      <c r="GPU1" s="22"/>
      <c r="GPV1" s="22"/>
      <c r="GPW1" s="22"/>
      <c r="GPX1" s="22"/>
      <c r="GPY1" s="22"/>
      <c r="GPZ1" s="22"/>
      <c r="GQA1" s="22"/>
      <c r="GQB1" s="22"/>
      <c r="GQC1" s="22"/>
      <c r="GQD1" s="22"/>
      <c r="GQE1" s="22"/>
      <c r="GQF1" s="22"/>
      <c r="GQG1" s="22"/>
      <c r="GQH1" s="22"/>
      <c r="GQI1" s="22"/>
      <c r="GQJ1" s="22"/>
      <c r="GQK1" s="22"/>
      <c r="GQL1" s="22"/>
      <c r="GQM1" s="22"/>
      <c r="GQN1" s="22"/>
      <c r="GQO1" s="22"/>
      <c r="GQP1" s="22"/>
      <c r="GQQ1" s="22"/>
      <c r="GQR1" s="22"/>
      <c r="GQS1" s="22"/>
      <c r="GQT1" s="22"/>
      <c r="GQU1" s="22"/>
      <c r="GQV1" s="22"/>
      <c r="GQW1" s="22"/>
      <c r="GQX1" s="22"/>
      <c r="GQY1" s="22"/>
      <c r="GQZ1" s="22"/>
      <c r="GRA1" s="22"/>
      <c r="GRB1" s="22"/>
      <c r="GRC1" s="22"/>
      <c r="GRD1" s="22"/>
      <c r="GRE1" s="22"/>
      <c r="GRF1" s="22"/>
      <c r="GRG1" s="22"/>
      <c r="GRH1" s="22"/>
      <c r="GRI1" s="22"/>
      <c r="GRJ1" s="22"/>
      <c r="GRK1" s="22"/>
      <c r="GRL1" s="22"/>
      <c r="GRM1" s="22"/>
      <c r="GRN1" s="22"/>
      <c r="GRO1" s="22"/>
      <c r="GRP1" s="22"/>
      <c r="GRQ1" s="22"/>
      <c r="GRR1" s="22"/>
      <c r="GRS1" s="22"/>
      <c r="GRT1" s="22"/>
      <c r="GRU1" s="22"/>
      <c r="GRV1" s="22"/>
      <c r="GRW1" s="22"/>
      <c r="GRX1" s="22"/>
      <c r="GRY1" s="22"/>
      <c r="GRZ1" s="22"/>
      <c r="GSA1" s="22"/>
      <c r="GSB1" s="22"/>
      <c r="GSC1" s="22"/>
      <c r="GSD1" s="22"/>
      <c r="GSE1" s="22"/>
      <c r="GSF1" s="22"/>
      <c r="GSG1" s="22"/>
      <c r="GSH1" s="22"/>
      <c r="GSI1" s="22"/>
      <c r="GSJ1" s="22"/>
      <c r="GSK1" s="22"/>
      <c r="GSL1" s="22"/>
      <c r="GSM1" s="22"/>
      <c r="GSN1" s="22"/>
      <c r="GSO1" s="22"/>
      <c r="GSP1" s="22"/>
      <c r="GSQ1" s="22"/>
      <c r="GSR1" s="22"/>
      <c r="GSS1" s="22"/>
      <c r="GST1" s="22"/>
      <c r="GSU1" s="22"/>
      <c r="GSV1" s="22"/>
      <c r="GSW1" s="22"/>
      <c r="GSX1" s="22"/>
      <c r="GSY1" s="22"/>
      <c r="GSZ1" s="22"/>
      <c r="GTA1" s="22"/>
      <c r="GTB1" s="22"/>
      <c r="GTC1" s="22"/>
      <c r="GTD1" s="22"/>
      <c r="GTE1" s="22"/>
      <c r="GTF1" s="22"/>
      <c r="GTG1" s="22"/>
      <c r="GTH1" s="22"/>
      <c r="GTI1" s="22"/>
      <c r="GTJ1" s="22"/>
      <c r="GTK1" s="22"/>
      <c r="GTL1" s="22"/>
      <c r="GTM1" s="22"/>
      <c r="GTN1" s="22"/>
      <c r="GTO1" s="22"/>
      <c r="GTP1" s="22"/>
      <c r="GTQ1" s="22"/>
      <c r="GTR1" s="22"/>
      <c r="GTS1" s="22"/>
      <c r="GTT1" s="22"/>
      <c r="GTU1" s="22"/>
      <c r="GTV1" s="22"/>
      <c r="GTW1" s="22"/>
      <c r="GTX1" s="22"/>
      <c r="GTY1" s="22"/>
      <c r="GTZ1" s="22"/>
      <c r="GUA1" s="22"/>
      <c r="GUB1" s="22"/>
      <c r="GUC1" s="22"/>
      <c r="GUD1" s="22"/>
      <c r="GUE1" s="22"/>
      <c r="GUF1" s="22"/>
      <c r="GUG1" s="22"/>
      <c r="GUH1" s="22"/>
      <c r="GUI1" s="22"/>
      <c r="GUJ1" s="22"/>
      <c r="GUK1" s="22"/>
      <c r="GUL1" s="22"/>
      <c r="GUM1" s="22"/>
      <c r="GUN1" s="22"/>
      <c r="GUO1" s="22"/>
      <c r="GUP1" s="22"/>
      <c r="GUQ1" s="22"/>
      <c r="GUR1" s="22"/>
      <c r="GUS1" s="22"/>
      <c r="GUT1" s="22"/>
      <c r="GUU1" s="22"/>
      <c r="GUV1" s="22"/>
      <c r="GUW1" s="22"/>
      <c r="GUX1" s="22"/>
      <c r="GUY1" s="22"/>
      <c r="GUZ1" s="22"/>
      <c r="GVA1" s="22"/>
      <c r="GVB1" s="22"/>
      <c r="GVC1" s="22"/>
      <c r="GVD1" s="22"/>
      <c r="GVE1" s="22"/>
      <c r="GVF1" s="22"/>
      <c r="GVG1" s="22"/>
      <c r="GVH1" s="22"/>
      <c r="GVI1" s="22"/>
      <c r="GVJ1" s="22"/>
      <c r="GVK1" s="22"/>
      <c r="GVL1" s="22"/>
      <c r="GVM1" s="22"/>
      <c r="GVN1" s="22"/>
      <c r="GVO1" s="22"/>
      <c r="GVP1" s="22"/>
      <c r="GVQ1" s="22"/>
      <c r="GVR1" s="22"/>
      <c r="GVS1" s="22"/>
      <c r="GVT1" s="22"/>
      <c r="GVU1" s="22"/>
      <c r="GVV1" s="22"/>
      <c r="GVW1" s="22"/>
      <c r="GVX1" s="22"/>
      <c r="GVY1" s="22"/>
      <c r="GVZ1" s="22"/>
      <c r="GWA1" s="22"/>
      <c r="GWB1" s="22"/>
      <c r="GWC1" s="22"/>
      <c r="GWD1" s="22"/>
      <c r="GWE1" s="22"/>
      <c r="GWF1" s="22"/>
      <c r="GWG1" s="22"/>
      <c r="GWH1" s="22"/>
      <c r="GWI1" s="22"/>
      <c r="GWJ1" s="22"/>
      <c r="GWK1" s="22"/>
      <c r="GWL1" s="22"/>
      <c r="GWM1" s="22"/>
      <c r="GWN1" s="22"/>
      <c r="GWO1" s="22"/>
      <c r="GWP1" s="22"/>
      <c r="GWQ1" s="22"/>
      <c r="GWR1" s="22"/>
      <c r="GWS1" s="22"/>
      <c r="GWT1" s="22"/>
      <c r="GWU1" s="22"/>
      <c r="GWV1" s="22"/>
      <c r="GWW1" s="22"/>
      <c r="GWX1" s="22"/>
      <c r="GWY1" s="22"/>
      <c r="GWZ1" s="22"/>
      <c r="GXA1" s="22"/>
      <c r="GXB1" s="22"/>
      <c r="GXC1" s="22"/>
      <c r="GXD1" s="22"/>
      <c r="GXE1" s="22"/>
      <c r="GXF1" s="22"/>
      <c r="GXG1" s="22"/>
      <c r="GXH1" s="22"/>
      <c r="GXI1" s="22"/>
      <c r="GXJ1" s="22"/>
      <c r="GXK1" s="22"/>
      <c r="GXL1" s="22"/>
      <c r="GXM1" s="22"/>
      <c r="GXN1" s="22"/>
      <c r="GXO1" s="22"/>
      <c r="GXP1" s="22"/>
      <c r="GXQ1" s="22"/>
      <c r="GXR1" s="22"/>
      <c r="GXS1" s="22"/>
      <c r="GXT1" s="22"/>
      <c r="GXU1" s="22"/>
      <c r="GXV1" s="22"/>
      <c r="GXW1" s="22"/>
      <c r="GXX1" s="22"/>
      <c r="GXY1" s="22"/>
      <c r="GXZ1" s="22"/>
      <c r="GYA1" s="22"/>
      <c r="GYB1" s="22"/>
      <c r="GYC1" s="22"/>
      <c r="GYD1" s="22"/>
      <c r="GYE1" s="22"/>
      <c r="GYF1" s="22"/>
      <c r="GYG1" s="22"/>
      <c r="GYH1" s="22"/>
      <c r="GYI1" s="22"/>
      <c r="GYJ1" s="22"/>
      <c r="GYK1" s="22"/>
      <c r="GYL1" s="22"/>
      <c r="GYM1" s="22"/>
      <c r="GYN1" s="22"/>
      <c r="GYO1" s="22"/>
      <c r="GYP1" s="22"/>
      <c r="GYQ1" s="22"/>
      <c r="GYR1" s="22"/>
      <c r="GYS1" s="22"/>
      <c r="GYT1" s="22"/>
      <c r="GYU1" s="22"/>
      <c r="GYV1" s="22"/>
      <c r="GYW1" s="22"/>
      <c r="GYX1" s="22"/>
      <c r="GYY1" s="22"/>
      <c r="GYZ1" s="22"/>
      <c r="GZA1" s="22"/>
      <c r="GZB1" s="22"/>
      <c r="GZC1" s="22"/>
      <c r="GZD1" s="22"/>
      <c r="GZE1" s="22"/>
      <c r="GZF1" s="22"/>
      <c r="GZG1" s="22"/>
      <c r="GZH1" s="22"/>
      <c r="GZI1" s="22"/>
      <c r="GZJ1" s="22"/>
      <c r="GZK1" s="22"/>
      <c r="GZL1" s="22"/>
      <c r="GZM1" s="22"/>
      <c r="GZN1" s="22"/>
      <c r="GZO1" s="22"/>
      <c r="GZP1" s="22"/>
      <c r="GZQ1" s="22"/>
      <c r="GZR1" s="22"/>
      <c r="GZS1" s="22"/>
      <c r="GZT1" s="22"/>
      <c r="GZU1" s="22"/>
      <c r="GZV1" s="22"/>
      <c r="GZW1" s="22"/>
      <c r="GZX1" s="22"/>
      <c r="GZY1" s="22"/>
      <c r="GZZ1" s="22"/>
      <c r="HAA1" s="22"/>
      <c r="HAB1" s="22"/>
      <c r="HAC1" s="22"/>
      <c r="HAD1" s="22"/>
      <c r="HAE1" s="22"/>
      <c r="HAF1" s="22"/>
      <c r="HAG1" s="22"/>
      <c r="HAH1" s="22"/>
      <c r="HAI1" s="22"/>
      <c r="HAJ1" s="22"/>
      <c r="HAK1" s="22"/>
      <c r="HAL1" s="22"/>
      <c r="HAM1" s="22"/>
      <c r="HAN1" s="22"/>
      <c r="HAO1" s="22"/>
      <c r="HAP1" s="22"/>
      <c r="HAQ1" s="22"/>
      <c r="HAR1" s="22"/>
      <c r="HAS1" s="22"/>
      <c r="HAT1" s="22"/>
      <c r="HAU1" s="22"/>
      <c r="HAV1" s="22"/>
      <c r="HAW1" s="22"/>
      <c r="HAX1" s="22"/>
      <c r="HAY1" s="22"/>
      <c r="HAZ1" s="22"/>
      <c r="HBA1" s="22"/>
      <c r="HBB1" s="22"/>
      <c r="HBC1" s="22"/>
      <c r="HBD1" s="22"/>
      <c r="HBE1" s="22"/>
      <c r="HBF1" s="22"/>
      <c r="HBG1" s="22"/>
      <c r="HBH1" s="22"/>
      <c r="HBI1" s="22"/>
      <c r="HBJ1" s="22"/>
      <c r="HBK1" s="22"/>
      <c r="HBL1" s="22"/>
      <c r="HBM1" s="22"/>
      <c r="HBN1" s="22"/>
      <c r="HBO1" s="22"/>
      <c r="HBP1" s="22"/>
      <c r="HBQ1" s="22"/>
      <c r="HBR1" s="22"/>
      <c r="HBS1" s="22"/>
      <c r="HBT1" s="22"/>
      <c r="HBU1" s="22"/>
      <c r="HBV1" s="22"/>
      <c r="HBW1" s="22"/>
      <c r="HBX1" s="22"/>
      <c r="HBY1" s="22"/>
      <c r="HBZ1" s="22"/>
      <c r="HCA1" s="22"/>
      <c r="HCB1" s="22"/>
      <c r="HCC1" s="22"/>
      <c r="HCD1" s="22"/>
      <c r="HCE1" s="22"/>
      <c r="HCF1" s="22"/>
      <c r="HCG1" s="22"/>
      <c r="HCH1" s="22"/>
      <c r="HCI1" s="22"/>
      <c r="HCJ1" s="22"/>
      <c r="HCK1" s="22"/>
      <c r="HCL1" s="22"/>
      <c r="HCM1" s="22"/>
      <c r="HCN1" s="22"/>
      <c r="HCO1" s="22"/>
      <c r="HCP1" s="22"/>
      <c r="HCQ1" s="22"/>
      <c r="HCR1" s="22"/>
      <c r="HCS1" s="22"/>
      <c r="HCT1" s="22"/>
      <c r="HCU1" s="22"/>
      <c r="HCV1" s="22"/>
      <c r="HCW1" s="22"/>
      <c r="HCX1" s="22"/>
      <c r="HCY1" s="22"/>
      <c r="HCZ1" s="22"/>
      <c r="HDA1" s="22"/>
      <c r="HDB1" s="22"/>
      <c r="HDC1" s="22"/>
      <c r="HDD1" s="22"/>
      <c r="HDE1" s="22"/>
      <c r="HDF1" s="22"/>
      <c r="HDG1" s="22"/>
      <c r="HDH1" s="22"/>
      <c r="HDI1" s="22"/>
      <c r="HDJ1" s="22"/>
      <c r="HDK1" s="22"/>
      <c r="HDL1" s="22"/>
      <c r="HDM1" s="22"/>
      <c r="HDN1" s="22"/>
      <c r="HDO1" s="22"/>
      <c r="HDP1" s="22"/>
      <c r="HDQ1" s="22"/>
      <c r="HDR1" s="22"/>
      <c r="HDS1" s="22"/>
      <c r="HDT1" s="22"/>
      <c r="HDU1" s="22"/>
      <c r="HDV1" s="22"/>
      <c r="HDW1" s="22"/>
      <c r="HDX1" s="22"/>
      <c r="HDY1" s="22"/>
      <c r="HDZ1" s="22"/>
      <c r="HEA1" s="22"/>
      <c r="HEB1" s="22"/>
      <c r="HEC1" s="22"/>
      <c r="HED1" s="22"/>
      <c r="HEE1" s="22"/>
      <c r="HEF1" s="22"/>
      <c r="HEG1" s="22"/>
      <c r="HEH1" s="22"/>
      <c r="HEI1" s="22"/>
      <c r="HEJ1" s="22"/>
      <c r="HEK1" s="22"/>
      <c r="HEL1" s="22"/>
      <c r="HEM1" s="22"/>
      <c r="HEN1" s="22"/>
      <c r="HEO1" s="22"/>
      <c r="HEP1" s="22"/>
      <c r="HEQ1" s="22"/>
      <c r="HER1" s="22"/>
      <c r="HES1" s="22"/>
      <c r="HET1" s="22"/>
      <c r="HEU1" s="22"/>
      <c r="HEV1" s="22"/>
      <c r="HEW1" s="22"/>
      <c r="HEX1" s="22"/>
      <c r="HEY1" s="22"/>
      <c r="HEZ1" s="22"/>
      <c r="HFA1" s="22"/>
      <c r="HFB1" s="22"/>
      <c r="HFC1" s="22"/>
      <c r="HFD1" s="22"/>
      <c r="HFE1" s="22"/>
      <c r="HFF1" s="22"/>
      <c r="HFG1" s="22"/>
      <c r="HFH1" s="22"/>
      <c r="HFI1" s="22"/>
      <c r="HFJ1" s="22"/>
      <c r="HFK1" s="22"/>
      <c r="HFL1" s="22"/>
      <c r="HFM1" s="22"/>
      <c r="HFN1" s="22"/>
      <c r="HFO1" s="22"/>
      <c r="HFP1" s="22"/>
      <c r="HFQ1" s="22"/>
      <c r="HFR1" s="22"/>
      <c r="HFS1" s="22"/>
      <c r="HFT1" s="22"/>
      <c r="HFU1" s="22"/>
      <c r="HFV1" s="22"/>
      <c r="HFW1" s="22"/>
      <c r="HFX1" s="22"/>
      <c r="HFY1" s="22"/>
      <c r="HFZ1" s="22"/>
      <c r="HGA1" s="22"/>
      <c r="HGB1" s="22"/>
      <c r="HGC1" s="22"/>
      <c r="HGD1" s="22"/>
      <c r="HGE1" s="22"/>
      <c r="HGF1" s="22"/>
      <c r="HGG1" s="22"/>
      <c r="HGH1" s="22"/>
      <c r="HGI1" s="22"/>
      <c r="HGJ1" s="22"/>
      <c r="HGK1" s="22"/>
      <c r="HGL1" s="22"/>
      <c r="HGM1" s="22"/>
      <c r="HGN1" s="22"/>
      <c r="HGO1" s="22"/>
      <c r="HGP1" s="22"/>
      <c r="HGQ1" s="22"/>
      <c r="HGR1" s="22"/>
      <c r="HGS1" s="22"/>
      <c r="HGT1" s="22"/>
      <c r="HGU1" s="22"/>
      <c r="HGV1" s="22"/>
      <c r="HGW1" s="22"/>
      <c r="HGX1" s="22"/>
      <c r="HGY1" s="22"/>
      <c r="HGZ1" s="22"/>
      <c r="HHA1" s="22"/>
      <c r="HHB1" s="22"/>
      <c r="HHC1" s="22"/>
      <c r="HHD1" s="22"/>
      <c r="HHE1" s="22"/>
      <c r="HHF1" s="22"/>
      <c r="HHG1" s="22"/>
      <c r="HHH1" s="22"/>
      <c r="HHI1" s="22"/>
      <c r="HHJ1" s="22"/>
      <c r="HHK1" s="22"/>
      <c r="HHL1" s="22"/>
      <c r="HHM1" s="22"/>
      <c r="HHN1" s="22"/>
      <c r="HHO1" s="22"/>
      <c r="HHP1" s="22"/>
      <c r="HHQ1" s="22"/>
      <c r="HHR1" s="22"/>
      <c r="HHS1" s="22"/>
      <c r="HHT1" s="22"/>
      <c r="HHU1" s="22"/>
      <c r="HHV1" s="22"/>
      <c r="HHW1" s="22"/>
      <c r="HHX1" s="22"/>
      <c r="HHY1" s="22"/>
      <c r="HHZ1" s="22"/>
      <c r="HIA1" s="22"/>
      <c r="HIB1" s="22"/>
      <c r="HIC1" s="22"/>
      <c r="HID1" s="22"/>
      <c r="HIE1" s="22"/>
      <c r="HIF1" s="22"/>
      <c r="HIG1" s="22"/>
      <c r="HIH1" s="22"/>
      <c r="HII1" s="22"/>
      <c r="HIJ1" s="22"/>
      <c r="HIK1" s="22"/>
      <c r="HIL1" s="22"/>
      <c r="HIM1" s="22"/>
      <c r="HIN1" s="22"/>
      <c r="HIO1" s="22"/>
      <c r="HIP1" s="22"/>
      <c r="HIQ1" s="22"/>
      <c r="HIR1" s="22"/>
      <c r="HIS1" s="22"/>
      <c r="HIT1" s="22"/>
      <c r="HIU1" s="22"/>
      <c r="HIV1" s="22"/>
      <c r="HIW1" s="22"/>
      <c r="HIX1" s="22"/>
      <c r="HIY1" s="22"/>
      <c r="HIZ1" s="22"/>
      <c r="HJA1" s="22"/>
      <c r="HJB1" s="22"/>
      <c r="HJC1" s="22"/>
      <c r="HJD1" s="22"/>
      <c r="HJE1" s="22"/>
      <c r="HJF1" s="22"/>
      <c r="HJG1" s="22"/>
      <c r="HJH1" s="22"/>
      <c r="HJI1" s="22"/>
      <c r="HJJ1" s="22"/>
      <c r="HJK1" s="22"/>
      <c r="HJL1" s="22"/>
      <c r="HJM1" s="22"/>
      <c r="HJN1" s="22"/>
      <c r="HJO1" s="22"/>
      <c r="HJP1" s="22"/>
      <c r="HJQ1" s="22"/>
      <c r="HJR1" s="22"/>
      <c r="HJS1" s="22"/>
      <c r="HJT1" s="22"/>
      <c r="HJU1" s="22"/>
      <c r="HJV1" s="22"/>
      <c r="HJW1" s="22"/>
      <c r="HJX1" s="22"/>
      <c r="HJY1" s="22"/>
      <c r="HJZ1" s="22"/>
      <c r="HKA1" s="22"/>
      <c r="HKB1" s="22"/>
      <c r="HKC1" s="22"/>
      <c r="HKD1" s="22"/>
      <c r="HKE1" s="22"/>
      <c r="HKF1" s="22"/>
      <c r="HKG1" s="22"/>
      <c r="HKH1" s="22"/>
      <c r="HKI1" s="22"/>
      <c r="HKJ1" s="22"/>
      <c r="HKK1" s="22"/>
      <c r="HKL1" s="22"/>
      <c r="HKM1" s="22"/>
      <c r="HKN1" s="22"/>
      <c r="HKO1" s="22"/>
      <c r="HKP1" s="22"/>
      <c r="HKQ1" s="22"/>
      <c r="HKR1" s="22"/>
      <c r="HKS1" s="22"/>
      <c r="HKT1" s="22"/>
      <c r="HKU1" s="22"/>
      <c r="HKV1" s="22"/>
      <c r="HKW1" s="22"/>
      <c r="HKX1" s="22"/>
      <c r="HKY1" s="22"/>
      <c r="HKZ1" s="22"/>
      <c r="HLA1" s="22"/>
      <c r="HLB1" s="22"/>
      <c r="HLC1" s="22"/>
      <c r="HLD1" s="22"/>
      <c r="HLE1" s="22"/>
      <c r="HLF1" s="22"/>
      <c r="HLG1" s="22"/>
      <c r="HLH1" s="22"/>
      <c r="HLI1" s="22"/>
      <c r="HLJ1" s="22"/>
      <c r="HLK1" s="22"/>
      <c r="HLL1" s="22"/>
      <c r="HLM1" s="22"/>
      <c r="HLN1" s="22"/>
      <c r="HLO1" s="22"/>
      <c r="HLP1" s="22"/>
      <c r="HLQ1" s="22"/>
      <c r="HLR1" s="22"/>
      <c r="HLS1" s="22"/>
      <c r="HLT1" s="22"/>
      <c r="HLU1" s="22"/>
      <c r="HLV1" s="22"/>
      <c r="HLW1" s="22"/>
      <c r="HLX1" s="22"/>
      <c r="HLY1" s="22"/>
      <c r="HLZ1" s="22"/>
      <c r="HMA1" s="22"/>
      <c r="HMB1" s="22"/>
      <c r="HMC1" s="22"/>
      <c r="HMD1" s="22"/>
      <c r="HME1" s="22"/>
      <c r="HMF1" s="22"/>
      <c r="HMG1" s="22"/>
      <c r="HMH1" s="22"/>
      <c r="HMI1" s="22"/>
      <c r="HMJ1" s="22"/>
      <c r="HMK1" s="22"/>
      <c r="HML1" s="22"/>
      <c r="HMM1" s="22"/>
      <c r="HMN1" s="22"/>
      <c r="HMO1" s="22"/>
      <c r="HMP1" s="22"/>
      <c r="HMQ1" s="22"/>
      <c r="HMR1" s="22"/>
      <c r="HMS1" s="22"/>
      <c r="HMT1" s="22"/>
      <c r="HMU1" s="22"/>
      <c r="HMV1" s="22"/>
      <c r="HMW1" s="22"/>
      <c r="HMX1" s="22"/>
      <c r="HMY1" s="22"/>
      <c r="HMZ1" s="22"/>
      <c r="HNA1" s="22"/>
      <c r="HNB1" s="22"/>
      <c r="HNC1" s="22"/>
      <c r="HND1" s="22"/>
      <c r="HNE1" s="22"/>
      <c r="HNF1" s="22"/>
      <c r="HNG1" s="22"/>
      <c r="HNH1" s="22"/>
      <c r="HNI1" s="22"/>
      <c r="HNJ1" s="22"/>
      <c r="HNK1" s="22"/>
      <c r="HNL1" s="22"/>
      <c r="HNM1" s="22"/>
      <c r="HNN1" s="22"/>
      <c r="HNO1" s="22"/>
      <c r="HNP1" s="22"/>
      <c r="HNQ1" s="22"/>
      <c r="HNR1" s="22"/>
      <c r="HNS1" s="22"/>
      <c r="HNT1" s="22"/>
      <c r="HNU1" s="22"/>
      <c r="HNV1" s="22"/>
      <c r="HNW1" s="22"/>
      <c r="HNX1" s="22"/>
      <c r="HNY1" s="22"/>
      <c r="HNZ1" s="22"/>
      <c r="HOA1" s="22"/>
      <c r="HOB1" s="22"/>
      <c r="HOC1" s="22"/>
      <c r="HOD1" s="22"/>
      <c r="HOE1" s="22"/>
      <c r="HOF1" s="22"/>
      <c r="HOG1" s="22"/>
      <c r="HOH1" s="22"/>
      <c r="HOI1" s="22"/>
      <c r="HOJ1" s="22"/>
      <c r="HOK1" s="22"/>
      <c r="HOL1" s="22"/>
      <c r="HOM1" s="22"/>
      <c r="HON1" s="22"/>
      <c r="HOO1" s="22"/>
      <c r="HOP1" s="22"/>
      <c r="HOQ1" s="22"/>
      <c r="HOR1" s="22"/>
      <c r="HOS1" s="22"/>
      <c r="HOT1" s="22"/>
      <c r="HOU1" s="22"/>
      <c r="HOV1" s="22"/>
      <c r="HOW1" s="22"/>
      <c r="HOX1" s="22"/>
      <c r="HOY1" s="22"/>
      <c r="HOZ1" s="22"/>
      <c r="HPA1" s="22"/>
      <c r="HPB1" s="22"/>
      <c r="HPC1" s="22"/>
      <c r="HPD1" s="22"/>
      <c r="HPE1" s="22"/>
      <c r="HPF1" s="22"/>
      <c r="HPG1" s="22"/>
      <c r="HPH1" s="22"/>
      <c r="HPI1" s="22"/>
      <c r="HPJ1" s="22"/>
      <c r="HPK1" s="22"/>
      <c r="HPL1" s="22"/>
      <c r="HPM1" s="22"/>
      <c r="HPN1" s="22"/>
      <c r="HPO1" s="22"/>
      <c r="HPP1" s="22"/>
      <c r="HPQ1" s="22"/>
      <c r="HPR1" s="22"/>
      <c r="HPS1" s="22"/>
      <c r="HPT1" s="22"/>
      <c r="HPU1" s="22"/>
      <c r="HPV1" s="22"/>
      <c r="HPW1" s="22"/>
      <c r="HPX1" s="22"/>
      <c r="HPY1" s="22"/>
      <c r="HPZ1" s="22"/>
      <c r="HQA1" s="22"/>
      <c r="HQB1" s="22"/>
      <c r="HQC1" s="22"/>
      <c r="HQD1" s="22"/>
      <c r="HQE1" s="22"/>
      <c r="HQF1" s="22"/>
      <c r="HQG1" s="22"/>
      <c r="HQH1" s="22"/>
      <c r="HQI1" s="22"/>
      <c r="HQJ1" s="22"/>
      <c r="HQK1" s="22"/>
      <c r="HQL1" s="22"/>
      <c r="HQM1" s="22"/>
      <c r="HQN1" s="22"/>
      <c r="HQO1" s="22"/>
      <c r="HQP1" s="22"/>
      <c r="HQQ1" s="22"/>
      <c r="HQR1" s="22"/>
      <c r="HQS1" s="22"/>
      <c r="HQT1" s="22"/>
      <c r="HQU1" s="22"/>
      <c r="HQV1" s="22"/>
      <c r="HQW1" s="22"/>
      <c r="HQX1" s="22"/>
      <c r="HQY1" s="22"/>
      <c r="HQZ1" s="22"/>
      <c r="HRA1" s="22"/>
      <c r="HRB1" s="22"/>
      <c r="HRC1" s="22"/>
      <c r="HRD1" s="22"/>
      <c r="HRE1" s="22"/>
      <c r="HRF1" s="22"/>
      <c r="HRG1" s="22"/>
      <c r="HRH1" s="22"/>
      <c r="HRI1" s="22"/>
      <c r="HRJ1" s="22"/>
      <c r="HRK1" s="22"/>
      <c r="HRL1" s="22"/>
      <c r="HRM1" s="22"/>
      <c r="HRN1" s="22"/>
      <c r="HRO1" s="22"/>
      <c r="HRP1" s="22"/>
      <c r="HRQ1" s="22"/>
      <c r="HRR1" s="22"/>
      <c r="HRS1" s="22"/>
      <c r="HRT1" s="22"/>
      <c r="HRU1" s="22"/>
      <c r="HRV1" s="22"/>
      <c r="HRW1" s="22"/>
      <c r="HRX1" s="22"/>
      <c r="HRY1" s="22"/>
      <c r="HRZ1" s="22"/>
      <c r="HSA1" s="22"/>
      <c r="HSB1" s="22"/>
      <c r="HSC1" s="22"/>
      <c r="HSD1" s="22"/>
      <c r="HSE1" s="22"/>
      <c r="HSF1" s="22"/>
      <c r="HSG1" s="22"/>
      <c r="HSH1" s="22"/>
      <c r="HSI1" s="22"/>
      <c r="HSJ1" s="22"/>
      <c r="HSK1" s="22"/>
      <c r="HSL1" s="22"/>
      <c r="HSM1" s="22"/>
      <c r="HSN1" s="22"/>
      <c r="HSO1" s="22"/>
      <c r="HSP1" s="22"/>
      <c r="HSQ1" s="22"/>
      <c r="HSR1" s="22"/>
      <c r="HSS1" s="22"/>
      <c r="HST1" s="22"/>
      <c r="HSU1" s="22"/>
      <c r="HSV1" s="22"/>
      <c r="HSW1" s="22"/>
      <c r="HSX1" s="22"/>
      <c r="HSY1" s="22"/>
      <c r="HSZ1" s="22"/>
      <c r="HTA1" s="22"/>
      <c r="HTB1" s="22"/>
      <c r="HTC1" s="22"/>
      <c r="HTD1" s="22"/>
      <c r="HTE1" s="22"/>
      <c r="HTF1" s="22"/>
      <c r="HTG1" s="22"/>
      <c r="HTH1" s="22"/>
      <c r="HTI1" s="22"/>
      <c r="HTJ1" s="22"/>
      <c r="HTK1" s="22"/>
      <c r="HTL1" s="22"/>
      <c r="HTM1" s="22"/>
      <c r="HTN1" s="22"/>
      <c r="HTO1" s="22"/>
      <c r="HTP1" s="22"/>
      <c r="HTQ1" s="22"/>
      <c r="HTR1" s="22"/>
      <c r="HTS1" s="22"/>
      <c r="HTT1" s="22"/>
      <c r="HTU1" s="22"/>
      <c r="HTV1" s="22"/>
      <c r="HTW1" s="22"/>
      <c r="HTX1" s="22"/>
      <c r="HTY1" s="22"/>
      <c r="HTZ1" s="22"/>
      <c r="HUA1" s="22"/>
      <c r="HUB1" s="22"/>
      <c r="HUC1" s="22"/>
      <c r="HUD1" s="22"/>
      <c r="HUE1" s="22"/>
      <c r="HUF1" s="22"/>
      <c r="HUG1" s="22"/>
      <c r="HUH1" s="22"/>
      <c r="HUI1" s="22"/>
      <c r="HUJ1" s="22"/>
      <c r="HUK1" s="22"/>
      <c r="HUL1" s="22"/>
      <c r="HUM1" s="22"/>
      <c r="HUN1" s="22"/>
      <c r="HUO1" s="22"/>
      <c r="HUP1" s="22"/>
      <c r="HUQ1" s="22"/>
      <c r="HUR1" s="22"/>
      <c r="HUS1" s="22"/>
      <c r="HUT1" s="22"/>
      <c r="HUU1" s="22"/>
      <c r="HUV1" s="22"/>
      <c r="HUW1" s="22"/>
      <c r="HUX1" s="22"/>
      <c r="HUY1" s="22"/>
      <c r="HUZ1" s="22"/>
      <c r="HVA1" s="22"/>
      <c r="HVB1" s="22"/>
      <c r="HVC1" s="22"/>
      <c r="HVD1" s="22"/>
      <c r="HVE1" s="22"/>
      <c r="HVF1" s="22"/>
      <c r="HVG1" s="22"/>
      <c r="HVH1" s="22"/>
      <c r="HVI1" s="22"/>
      <c r="HVJ1" s="22"/>
      <c r="HVK1" s="22"/>
      <c r="HVL1" s="22"/>
      <c r="HVM1" s="22"/>
      <c r="HVN1" s="22"/>
      <c r="HVO1" s="22"/>
      <c r="HVP1" s="22"/>
      <c r="HVQ1" s="22"/>
      <c r="HVR1" s="22"/>
      <c r="HVS1" s="22"/>
      <c r="HVT1" s="22"/>
      <c r="HVU1" s="22"/>
      <c r="HVV1" s="22"/>
      <c r="HVW1" s="22"/>
      <c r="HVX1" s="22"/>
      <c r="HVY1" s="22"/>
      <c r="HVZ1" s="22"/>
      <c r="HWA1" s="22"/>
      <c r="HWB1" s="22"/>
      <c r="HWC1" s="22"/>
      <c r="HWD1" s="22"/>
      <c r="HWE1" s="22"/>
      <c r="HWF1" s="22"/>
      <c r="HWG1" s="22"/>
      <c r="HWH1" s="22"/>
      <c r="HWI1" s="22"/>
      <c r="HWJ1" s="22"/>
      <c r="HWK1" s="22"/>
      <c r="HWL1" s="22"/>
      <c r="HWM1" s="22"/>
      <c r="HWN1" s="22"/>
      <c r="HWO1" s="22"/>
      <c r="HWP1" s="22"/>
      <c r="HWQ1" s="22"/>
      <c r="HWR1" s="22"/>
      <c r="HWS1" s="22"/>
      <c r="HWT1" s="22"/>
      <c r="HWU1" s="22"/>
      <c r="HWV1" s="22"/>
      <c r="HWW1" s="22"/>
      <c r="HWX1" s="22"/>
      <c r="HWY1" s="22"/>
      <c r="HWZ1" s="22"/>
      <c r="HXA1" s="22"/>
      <c r="HXB1" s="22"/>
      <c r="HXC1" s="22"/>
      <c r="HXD1" s="22"/>
      <c r="HXE1" s="22"/>
      <c r="HXF1" s="22"/>
      <c r="HXG1" s="22"/>
      <c r="HXH1" s="22"/>
      <c r="HXI1" s="22"/>
      <c r="HXJ1" s="22"/>
      <c r="HXK1" s="22"/>
      <c r="HXL1" s="22"/>
      <c r="HXM1" s="22"/>
      <c r="HXN1" s="22"/>
      <c r="HXO1" s="22"/>
      <c r="HXP1" s="22"/>
      <c r="HXQ1" s="22"/>
      <c r="HXR1" s="22"/>
      <c r="HXS1" s="22"/>
      <c r="HXT1" s="22"/>
      <c r="HXU1" s="22"/>
      <c r="HXV1" s="22"/>
      <c r="HXW1" s="22"/>
      <c r="HXX1" s="22"/>
      <c r="HXY1" s="22"/>
      <c r="HXZ1" s="22"/>
      <c r="HYA1" s="22"/>
      <c r="HYB1" s="22"/>
      <c r="HYC1" s="22"/>
      <c r="HYD1" s="22"/>
      <c r="HYE1" s="22"/>
      <c r="HYF1" s="22"/>
      <c r="HYG1" s="22"/>
      <c r="HYH1" s="22"/>
      <c r="HYI1" s="22"/>
      <c r="HYJ1" s="22"/>
      <c r="HYK1" s="22"/>
      <c r="HYL1" s="22"/>
      <c r="HYM1" s="22"/>
      <c r="HYN1" s="22"/>
      <c r="HYO1" s="22"/>
      <c r="HYP1" s="22"/>
      <c r="HYQ1" s="22"/>
      <c r="HYR1" s="22"/>
      <c r="HYS1" s="22"/>
      <c r="HYT1" s="22"/>
      <c r="HYU1" s="22"/>
      <c r="HYV1" s="22"/>
      <c r="HYW1" s="22"/>
      <c r="HYX1" s="22"/>
      <c r="HYY1" s="22"/>
      <c r="HYZ1" s="22"/>
      <c r="HZA1" s="22"/>
      <c r="HZB1" s="22"/>
      <c r="HZC1" s="22"/>
      <c r="HZD1" s="22"/>
      <c r="HZE1" s="22"/>
      <c r="HZF1" s="22"/>
      <c r="HZG1" s="22"/>
      <c r="HZH1" s="22"/>
      <c r="HZI1" s="22"/>
      <c r="HZJ1" s="22"/>
      <c r="HZK1" s="22"/>
      <c r="HZL1" s="22"/>
      <c r="HZM1" s="22"/>
      <c r="HZN1" s="22"/>
      <c r="HZO1" s="22"/>
      <c r="HZP1" s="22"/>
      <c r="HZQ1" s="22"/>
      <c r="HZR1" s="22"/>
      <c r="HZS1" s="22"/>
      <c r="HZT1" s="22"/>
      <c r="HZU1" s="22"/>
      <c r="HZV1" s="22"/>
      <c r="HZW1" s="22"/>
      <c r="HZX1" s="22"/>
      <c r="HZY1" s="22"/>
      <c r="HZZ1" s="22"/>
      <c r="IAA1" s="22"/>
      <c r="IAB1" s="22"/>
      <c r="IAC1" s="22"/>
      <c r="IAD1" s="22"/>
      <c r="IAE1" s="22"/>
      <c r="IAF1" s="22"/>
      <c r="IAG1" s="22"/>
      <c r="IAH1" s="22"/>
      <c r="IAI1" s="22"/>
      <c r="IAJ1" s="22"/>
      <c r="IAK1" s="22"/>
      <c r="IAL1" s="22"/>
      <c r="IAM1" s="22"/>
      <c r="IAN1" s="22"/>
      <c r="IAO1" s="22"/>
      <c r="IAP1" s="22"/>
      <c r="IAQ1" s="22"/>
      <c r="IAR1" s="22"/>
      <c r="IAS1" s="22"/>
      <c r="IAT1" s="22"/>
      <c r="IAU1" s="22"/>
      <c r="IAV1" s="22"/>
      <c r="IAW1" s="22"/>
      <c r="IAX1" s="22"/>
      <c r="IAY1" s="22"/>
      <c r="IAZ1" s="22"/>
      <c r="IBA1" s="22"/>
      <c r="IBB1" s="22"/>
      <c r="IBC1" s="22"/>
      <c r="IBD1" s="22"/>
      <c r="IBE1" s="22"/>
      <c r="IBF1" s="22"/>
      <c r="IBG1" s="22"/>
      <c r="IBH1" s="22"/>
      <c r="IBI1" s="22"/>
      <c r="IBJ1" s="22"/>
      <c r="IBK1" s="22"/>
      <c r="IBL1" s="22"/>
      <c r="IBM1" s="22"/>
      <c r="IBN1" s="22"/>
      <c r="IBO1" s="22"/>
      <c r="IBP1" s="22"/>
      <c r="IBQ1" s="22"/>
      <c r="IBR1" s="22"/>
      <c r="IBS1" s="22"/>
      <c r="IBT1" s="22"/>
      <c r="IBU1" s="22"/>
      <c r="IBV1" s="22"/>
      <c r="IBW1" s="22"/>
      <c r="IBX1" s="22"/>
      <c r="IBY1" s="22"/>
      <c r="IBZ1" s="22"/>
      <c r="ICA1" s="22"/>
      <c r="ICB1" s="22"/>
      <c r="ICC1" s="22"/>
      <c r="ICD1" s="22"/>
      <c r="ICE1" s="22"/>
      <c r="ICF1" s="22"/>
      <c r="ICG1" s="22"/>
      <c r="ICH1" s="22"/>
      <c r="ICI1" s="22"/>
      <c r="ICJ1" s="22"/>
      <c r="ICK1" s="22"/>
      <c r="ICL1" s="22"/>
      <c r="ICM1" s="22"/>
      <c r="ICN1" s="22"/>
      <c r="ICO1" s="22"/>
      <c r="ICP1" s="22"/>
      <c r="ICQ1" s="22"/>
      <c r="ICR1" s="22"/>
      <c r="ICS1" s="22"/>
      <c r="ICT1" s="22"/>
      <c r="ICU1" s="22"/>
      <c r="ICV1" s="22"/>
      <c r="ICW1" s="22"/>
      <c r="ICX1" s="22"/>
      <c r="ICY1" s="22"/>
      <c r="ICZ1" s="22"/>
      <c r="IDA1" s="22"/>
      <c r="IDB1" s="22"/>
      <c r="IDC1" s="22"/>
      <c r="IDD1" s="22"/>
      <c r="IDE1" s="22"/>
      <c r="IDF1" s="22"/>
      <c r="IDG1" s="22"/>
      <c r="IDH1" s="22"/>
      <c r="IDI1" s="22"/>
      <c r="IDJ1" s="22"/>
      <c r="IDK1" s="22"/>
      <c r="IDL1" s="22"/>
      <c r="IDM1" s="22"/>
      <c r="IDN1" s="22"/>
      <c r="IDO1" s="22"/>
      <c r="IDP1" s="22"/>
      <c r="IDQ1" s="22"/>
      <c r="IDR1" s="22"/>
      <c r="IDS1" s="22"/>
      <c r="IDT1" s="22"/>
      <c r="IDU1" s="22"/>
      <c r="IDV1" s="22"/>
      <c r="IDW1" s="22"/>
      <c r="IDX1" s="22"/>
      <c r="IDY1" s="22"/>
      <c r="IDZ1" s="22"/>
      <c r="IEA1" s="22"/>
      <c r="IEB1" s="22"/>
      <c r="IEC1" s="22"/>
      <c r="IED1" s="22"/>
      <c r="IEE1" s="22"/>
      <c r="IEF1" s="22"/>
      <c r="IEG1" s="22"/>
      <c r="IEH1" s="22"/>
      <c r="IEI1" s="22"/>
      <c r="IEJ1" s="22"/>
      <c r="IEK1" s="22"/>
      <c r="IEL1" s="22"/>
      <c r="IEM1" s="22"/>
      <c r="IEN1" s="22"/>
      <c r="IEO1" s="22"/>
      <c r="IEP1" s="22"/>
      <c r="IEQ1" s="22"/>
      <c r="IER1" s="22"/>
      <c r="IES1" s="22"/>
      <c r="IET1" s="22"/>
      <c r="IEU1" s="22"/>
      <c r="IEV1" s="22"/>
      <c r="IEW1" s="22"/>
      <c r="IEX1" s="22"/>
      <c r="IEY1" s="22"/>
      <c r="IEZ1" s="22"/>
      <c r="IFA1" s="22"/>
      <c r="IFB1" s="22"/>
      <c r="IFC1" s="22"/>
      <c r="IFD1" s="22"/>
      <c r="IFE1" s="22"/>
      <c r="IFF1" s="22"/>
      <c r="IFG1" s="22"/>
      <c r="IFH1" s="22"/>
      <c r="IFI1" s="22"/>
      <c r="IFJ1" s="22"/>
      <c r="IFK1" s="22"/>
      <c r="IFL1" s="22"/>
      <c r="IFM1" s="22"/>
      <c r="IFN1" s="22"/>
      <c r="IFO1" s="22"/>
      <c r="IFP1" s="22"/>
      <c r="IFQ1" s="22"/>
      <c r="IFR1" s="22"/>
      <c r="IFS1" s="22"/>
      <c r="IFT1" s="22"/>
      <c r="IFU1" s="22"/>
      <c r="IFV1" s="22"/>
      <c r="IFW1" s="22"/>
      <c r="IFX1" s="22"/>
      <c r="IFY1" s="22"/>
      <c r="IFZ1" s="22"/>
      <c r="IGA1" s="22"/>
      <c r="IGB1" s="22"/>
      <c r="IGC1" s="22"/>
      <c r="IGD1" s="22"/>
      <c r="IGE1" s="22"/>
      <c r="IGF1" s="22"/>
      <c r="IGG1" s="22"/>
      <c r="IGH1" s="22"/>
      <c r="IGI1" s="22"/>
      <c r="IGJ1" s="22"/>
      <c r="IGK1" s="22"/>
      <c r="IGL1" s="22"/>
      <c r="IGM1" s="22"/>
      <c r="IGN1" s="22"/>
      <c r="IGO1" s="22"/>
      <c r="IGP1" s="22"/>
      <c r="IGQ1" s="22"/>
      <c r="IGR1" s="22"/>
      <c r="IGS1" s="22"/>
      <c r="IGT1" s="22"/>
      <c r="IGU1" s="22"/>
      <c r="IGV1" s="22"/>
      <c r="IGW1" s="22"/>
      <c r="IGX1" s="22"/>
      <c r="IGY1" s="22"/>
      <c r="IGZ1" s="22"/>
      <c r="IHA1" s="22"/>
      <c r="IHB1" s="22"/>
      <c r="IHC1" s="22"/>
      <c r="IHD1" s="22"/>
      <c r="IHE1" s="22"/>
      <c r="IHF1" s="22"/>
      <c r="IHG1" s="22"/>
      <c r="IHH1" s="22"/>
      <c r="IHI1" s="22"/>
      <c r="IHJ1" s="22"/>
      <c r="IHK1" s="22"/>
      <c r="IHL1" s="22"/>
      <c r="IHM1" s="22"/>
      <c r="IHN1" s="22"/>
      <c r="IHO1" s="22"/>
      <c r="IHP1" s="22"/>
      <c r="IHQ1" s="22"/>
      <c r="IHR1" s="22"/>
      <c r="IHS1" s="22"/>
      <c r="IHT1" s="22"/>
      <c r="IHU1" s="22"/>
      <c r="IHV1" s="22"/>
      <c r="IHW1" s="22"/>
      <c r="IHX1" s="22"/>
      <c r="IHY1" s="22"/>
      <c r="IHZ1" s="22"/>
      <c r="IIA1" s="22"/>
      <c r="IIB1" s="22"/>
      <c r="IIC1" s="22"/>
      <c r="IID1" s="22"/>
      <c r="IIE1" s="22"/>
      <c r="IIF1" s="22"/>
      <c r="IIG1" s="22"/>
      <c r="IIH1" s="22"/>
      <c r="III1" s="22"/>
      <c r="IIJ1" s="22"/>
      <c r="IIK1" s="22"/>
      <c r="IIL1" s="22"/>
      <c r="IIM1" s="22"/>
      <c r="IIN1" s="22"/>
      <c r="IIO1" s="22"/>
      <c r="IIP1" s="22"/>
      <c r="IIQ1" s="22"/>
      <c r="IIR1" s="22"/>
      <c r="IIS1" s="22"/>
      <c r="IIT1" s="22"/>
      <c r="IIU1" s="22"/>
      <c r="IIV1" s="22"/>
      <c r="IIW1" s="22"/>
      <c r="IIX1" s="22"/>
      <c r="IIY1" s="22"/>
      <c r="IIZ1" s="22"/>
      <c r="IJA1" s="22"/>
      <c r="IJB1" s="22"/>
      <c r="IJC1" s="22"/>
      <c r="IJD1" s="22"/>
      <c r="IJE1" s="22"/>
      <c r="IJF1" s="22"/>
      <c r="IJG1" s="22"/>
      <c r="IJH1" s="22"/>
      <c r="IJI1" s="22"/>
      <c r="IJJ1" s="22"/>
      <c r="IJK1" s="22"/>
      <c r="IJL1" s="22"/>
      <c r="IJM1" s="22"/>
      <c r="IJN1" s="22"/>
      <c r="IJO1" s="22"/>
      <c r="IJP1" s="22"/>
      <c r="IJQ1" s="22"/>
      <c r="IJR1" s="22"/>
      <c r="IJS1" s="22"/>
      <c r="IJT1" s="22"/>
      <c r="IJU1" s="22"/>
      <c r="IJV1" s="22"/>
      <c r="IJW1" s="22"/>
      <c r="IJX1" s="22"/>
      <c r="IJY1" s="22"/>
      <c r="IJZ1" s="22"/>
      <c r="IKA1" s="22"/>
      <c r="IKB1" s="22"/>
      <c r="IKC1" s="22"/>
      <c r="IKD1" s="22"/>
      <c r="IKE1" s="22"/>
      <c r="IKF1" s="22"/>
      <c r="IKG1" s="22"/>
      <c r="IKH1" s="22"/>
      <c r="IKI1" s="22"/>
      <c r="IKJ1" s="22"/>
      <c r="IKK1" s="22"/>
      <c r="IKL1" s="22"/>
      <c r="IKM1" s="22"/>
      <c r="IKN1" s="22"/>
      <c r="IKO1" s="22"/>
      <c r="IKP1" s="22"/>
      <c r="IKQ1" s="22"/>
      <c r="IKR1" s="22"/>
      <c r="IKS1" s="22"/>
      <c r="IKT1" s="22"/>
      <c r="IKU1" s="22"/>
      <c r="IKV1" s="22"/>
      <c r="IKW1" s="22"/>
      <c r="IKX1" s="22"/>
      <c r="IKY1" s="22"/>
      <c r="IKZ1" s="22"/>
      <c r="ILA1" s="22"/>
      <c r="ILB1" s="22"/>
      <c r="ILC1" s="22"/>
      <c r="ILD1" s="22"/>
      <c r="ILE1" s="22"/>
      <c r="ILF1" s="22"/>
      <c r="ILG1" s="22"/>
      <c r="ILH1" s="22"/>
      <c r="ILI1" s="22"/>
      <c r="ILJ1" s="22"/>
      <c r="ILK1" s="22"/>
      <c r="ILL1" s="22"/>
      <c r="ILM1" s="22"/>
      <c r="ILN1" s="22"/>
      <c r="ILO1" s="22"/>
      <c r="ILP1" s="22"/>
      <c r="ILQ1" s="22"/>
      <c r="ILR1" s="22"/>
      <c r="ILS1" s="22"/>
      <c r="ILT1" s="22"/>
      <c r="ILU1" s="22"/>
      <c r="ILV1" s="22"/>
      <c r="ILW1" s="22"/>
      <c r="ILX1" s="22"/>
      <c r="ILY1" s="22"/>
      <c r="ILZ1" s="22"/>
      <c r="IMA1" s="22"/>
      <c r="IMB1" s="22"/>
      <c r="IMC1" s="22"/>
      <c r="IMD1" s="22"/>
      <c r="IME1" s="22"/>
      <c r="IMF1" s="22"/>
      <c r="IMG1" s="22"/>
      <c r="IMH1" s="22"/>
      <c r="IMI1" s="22"/>
      <c r="IMJ1" s="22"/>
      <c r="IMK1" s="22"/>
      <c r="IML1" s="22"/>
      <c r="IMM1" s="22"/>
      <c r="IMN1" s="22"/>
      <c r="IMO1" s="22"/>
      <c r="IMP1" s="22"/>
      <c r="IMQ1" s="22"/>
      <c r="IMR1" s="22"/>
      <c r="IMS1" s="22"/>
      <c r="IMT1" s="22"/>
      <c r="IMU1" s="22"/>
      <c r="IMV1" s="22"/>
      <c r="IMW1" s="22"/>
      <c r="IMX1" s="22"/>
      <c r="IMY1" s="22"/>
      <c r="IMZ1" s="22"/>
      <c r="INA1" s="22"/>
      <c r="INB1" s="22"/>
      <c r="INC1" s="22"/>
      <c r="IND1" s="22"/>
      <c r="INE1" s="22"/>
      <c r="INF1" s="22"/>
      <c r="ING1" s="22"/>
      <c r="INH1" s="22"/>
      <c r="INI1" s="22"/>
      <c r="INJ1" s="22"/>
      <c r="INK1" s="22"/>
      <c r="INL1" s="22"/>
      <c r="INM1" s="22"/>
      <c r="INN1" s="22"/>
      <c r="INO1" s="22"/>
      <c r="INP1" s="22"/>
      <c r="INQ1" s="22"/>
      <c r="INR1" s="22"/>
      <c r="INS1" s="22"/>
      <c r="INT1" s="22"/>
      <c r="INU1" s="22"/>
      <c r="INV1" s="22"/>
      <c r="INW1" s="22"/>
      <c r="INX1" s="22"/>
      <c r="INY1" s="22"/>
      <c r="INZ1" s="22"/>
      <c r="IOA1" s="22"/>
      <c r="IOB1" s="22"/>
      <c r="IOC1" s="22"/>
      <c r="IOD1" s="22"/>
      <c r="IOE1" s="22"/>
      <c r="IOF1" s="22"/>
      <c r="IOG1" s="22"/>
      <c r="IOH1" s="22"/>
      <c r="IOI1" s="22"/>
      <c r="IOJ1" s="22"/>
      <c r="IOK1" s="22"/>
      <c r="IOL1" s="22"/>
      <c r="IOM1" s="22"/>
      <c r="ION1" s="22"/>
      <c r="IOO1" s="22"/>
      <c r="IOP1" s="22"/>
      <c r="IOQ1" s="22"/>
      <c r="IOR1" s="22"/>
      <c r="IOS1" s="22"/>
      <c r="IOT1" s="22"/>
      <c r="IOU1" s="22"/>
      <c r="IOV1" s="22"/>
      <c r="IOW1" s="22"/>
      <c r="IOX1" s="22"/>
      <c r="IOY1" s="22"/>
      <c r="IOZ1" s="22"/>
      <c r="IPA1" s="22"/>
      <c r="IPB1" s="22"/>
      <c r="IPC1" s="22"/>
      <c r="IPD1" s="22"/>
      <c r="IPE1" s="22"/>
      <c r="IPF1" s="22"/>
      <c r="IPG1" s="22"/>
      <c r="IPH1" s="22"/>
      <c r="IPI1" s="22"/>
      <c r="IPJ1" s="22"/>
      <c r="IPK1" s="22"/>
      <c r="IPL1" s="22"/>
      <c r="IPM1" s="22"/>
      <c r="IPN1" s="22"/>
      <c r="IPO1" s="22"/>
      <c r="IPP1" s="22"/>
      <c r="IPQ1" s="22"/>
      <c r="IPR1" s="22"/>
      <c r="IPS1" s="22"/>
      <c r="IPT1" s="22"/>
      <c r="IPU1" s="22"/>
      <c r="IPV1" s="22"/>
      <c r="IPW1" s="22"/>
      <c r="IPX1" s="22"/>
      <c r="IPY1" s="22"/>
      <c r="IPZ1" s="22"/>
      <c r="IQA1" s="22"/>
      <c r="IQB1" s="22"/>
      <c r="IQC1" s="22"/>
      <c r="IQD1" s="22"/>
      <c r="IQE1" s="22"/>
      <c r="IQF1" s="22"/>
      <c r="IQG1" s="22"/>
      <c r="IQH1" s="22"/>
      <c r="IQI1" s="22"/>
      <c r="IQJ1" s="22"/>
      <c r="IQK1" s="22"/>
      <c r="IQL1" s="22"/>
      <c r="IQM1" s="22"/>
      <c r="IQN1" s="22"/>
      <c r="IQO1" s="22"/>
      <c r="IQP1" s="22"/>
      <c r="IQQ1" s="22"/>
      <c r="IQR1" s="22"/>
      <c r="IQS1" s="22"/>
      <c r="IQT1" s="22"/>
      <c r="IQU1" s="22"/>
      <c r="IQV1" s="22"/>
      <c r="IQW1" s="22"/>
      <c r="IQX1" s="22"/>
      <c r="IQY1" s="22"/>
      <c r="IQZ1" s="22"/>
      <c r="IRA1" s="22"/>
      <c r="IRB1" s="22"/>
      <c r="IRC1" s="22"/>
      <c r="IRD1" s="22"/>
      <c r="IRE1" s="22"/>
      <c r="IRF1" s="22"/>
      <c r="IRG1" s="22"/>
      <c r="IRH1" s="22"/>
      <c r="IRI1" s="22"/>
      <c r="IRJ1" s="22"/>
      <c r="IRK1" s="22"/>
      <c r="IRL1" s="22"/>
      <c r="IRM1" s="22"/>
      <c r="IRN1" s="22"/>
      <c r="IRO1" s="22"/>
      <c r="IRP1" s="22"/>
      <c r="IRQ1" s="22"/>
      <c r="IRR1" s="22"/>
      <c r="IRS1" s="22"/>
      <c r="IRT1" s="22"/>
      <c r="IRU1" s="22"/>
      <c r="IRV1" s="22"/>
      <c r="IRW1" s="22"/>
      <c r="IRX1" s="22"/>
      <c r="IRY1" s="22"/>
      <c r="IRZ1" s="22"/>
      <c r="ISA1" s="22"/>
      <c r="ISB1" s="22"/>
      <c r="ISC1" s="22"/>
      <c r="ISD1" s="22"/>
      <c r="ISE1" s="22"/>
      <c r="ISF1" s="22"/>
      <c r="ISG1" s="22"/>
      <c r="ISH1" s="22"/>
      <c r="ISI1" s="22"/>
      <c r="ISJ1" s="22"/>
      <c r="ISK1" s="22"/>
      <c r="ISL1" s="22"/>
      <c r="ISM1" s="22"/>
      <c r="ISN1" s="22"/>
      <c r="ISO1" s="22"/>
      <c r="ISP1" s="22"/>
      <c r="ISQ1" s="22"/>
      <c r="ISR1" s="22"/>
      <c r="ISS1" s="22"/>
      <c r="IST1" s="22"/>
      <c r="ISU1" s="22"/>
      <c r="ISV1" s="22"/>
      <c r="ISW1" s="22"/>
      <c r="ISX1" s="22"/>
      <c r="ISY1" s="22"/>
      <c r="ISZ1" s="22"/>
      <c r="ITA1" s="22"/>
      <c r="ITB1" s="22"/>
      <c r="ITC1" s="22"/>
      <c r="ITD1" s="22"/>
      <c r="ITE1" s="22"/>
      <c r="ITF1" s="22"/>
      <c r="ITG1" s="22"/>
      <c r="ITH1" s="22"/>
      <c r="ITI1" s="22"/>
      <c r="ITJ1" s="22"/>
      <c r="ITK1" s="22"/>
      <c r="ITL1" s="22"/>
      <c r="ITM1" s="22"/>
      <c r="ITN1" s="22"/>
      <c r="ITO1" s="22"/>
      <c r="ITP1" s="22"/>
      <c r="ITQ1" s="22"/>
      <c r="ITR1" s="22"/>
      <c r="ITS1" s="22"/>
      <c r="ITT1" s="22"/>
      <c r="ITU1" s="22"/>
      <c r="ITV1" s="22"/>
      <c r="ITW1" s="22"/>
      <c r="ITX1" s="22"/>
      <c r="ITY1" s="22"/>
      <c r="ITZ1" s="22"/>
      <c r="IUA1" s="22"/>
      <c r="IUB1" s="22"/>
      <c r="IUC1" s="22"/>
      <c r="IUD1" s="22"/>
      <c r="IUE1" s="22"/>
      <c r="IUF1" s="22"/>
      <c r="IUG1" s="22"/>
      <c r="IUH1" s="22"/>
      <c r="IUI1" s="22"/>
      <c r="IUJ1" s="22"/>
      <c r="IUK1" s="22"/>
      <c r="IUL1" s="22"/>
      <c r="IUM1" s="22"/>
      <c r="IUN1" s="22"/>
      <c r="IUO1" s="22"/>
      <c r="IUP1" s="22"/>
      <c r="IUQ1" s="22"/>
      <c r="IUR1" s="22"/>
      <c r="IUS1" s="22"/>
      <c r="IUT1" s="22"/>
      <c r="IUU1" s="22"/>
      <c r="IUV1" s="22"/>
      <c r="IUW1" s="22"/>
      <c r="IUX1" s="22"/>
      <c r="IUY1" s="22"/>
      <c r="IUZ1" s="22"/>
      <c r="IVA1" s="22"/>
      <c r="IVB1" s="22"/>
      <c r="IVC1" s="22"/>
      <c r="IVD1" s="22"/>
      <c r="IVE1" s="22"/>
      <c r="IVF1" s="22"/>
      <c r="IVG1" s="22"/>
      <c r="IVH1" s="22"/>
      <c r="IVI1" s="22"/>
      <c r="IVJ1" s="22"/>
      <c r="IVK1" s="22"/>
      <c r="IVL1" s="22"/>
      <c r="IVM1" s="22"/>
      <c r="IVN1" s="22"/>
      <c r="IVO1" s="22"/>
      <c r="IVP1" s="22"/>
      <c r="IVQ1" s="22"/>
      <c r="IVR1" s="22"/>
      <c r="IVS1" s="22"/>
      <c r="IVT1" s="22"/>
      <c r="IVU1" s="22"/>
      <c r="IVV1" s="22"/>
      <c r="IVW1" s="22"/>
      <c r="IVX1" s="22"/>
      <c r="IVY1" s="22"/>
      <c r="IVZ1" s="22"/>
      <c r="IWA1" s="22"/>
      <c r="IWB1" s="22"/>
      <c r="IWC1" s="22"/>
      <c r="IWD1" s="22"/>
      <c r="IWE1" s="22"/>
      <c r="IWF1" s="22"/>
      <c r="IWG1" s="22"/>
      <c r="IWH1" s="22"/>
      <c r="IWI1" s="22"/>
      <c r="IWJ1" s="22"/>
      <c r="IWK1" s="22"/>
      <c r="IWL1" s="22"/>
      <c r="IWM1" s="22"/>
      <c r="IWN1" s="22"/>
      <c r="IWO1" s="22"/>
      <c r="IWP1" s="22"/>
      <c r="IWQ1" s="22"/>
      <c r="IWR1" s="22"/>
      <c r="IWS1" s="22"/>
      <c r="IWT1" s="22"/>
      <c r="IWU1" s="22"/>
      <c r="IWV1" s="22"/>
      <c r="IWW1" s="22"/>
      <c r="IWX1" s="22"/>
      <c r="IWY1" s="22"/>
      <c r="IWZ1" s="22"/>
      <c r="IXA1" s="22"/>
      <c r="IXB1" s="22"/>
      <c r="IXC1" s="22"/>
      <c r="IXD1" s="22"/>
      <c r="IXE1" s="22"/>
      <c r="IXF1" s="22"/>
      <c r="IXG1" s="22"/>
      <c r="IXH1" s="22"/>
      <c r="IXI1" s="22"/>
      <c r="IXJ1" s="22"/>
      <c r="IXK1" s="22"/>
      <c r="IXL1" s="22"/>
      <c r="IXM1" s="22"/>
      <c r="IXN1" s="22"/>
      <c r="IXO1" s="22"/>
      <c r="IXP1" s="22"/>
      <c r="IXQ1" s="22"/>
      <c r="IXR1" s="22"/>
      <c r="IXS1" s="22"/>
      <c r="IXT1" s="22"/>
      <c r="IXU1" s="22"/>
      <c r="IXV1" s="22"/>
      <c r="IXW1" s="22"/>
      <c r="IXX1" s="22"/>
      <c r="IXY1" s="22"/>
      <c r="IXZ1" s="22"/>
      <c r="IYA1" s="22"/>
      <c r="IYB1" s="22"/>
      <c r="IYC1" s="22"/>
      <c r="IYD1" s="22"/>
      <c r="IYE1" s="22"/>
      <c r="IYF1" s="22"/>
      <c r="IYG1" s="22"/>
      <c r="IYH1" s="22"/>
      <c r="IYI1" s="22"/>
      <c r="IYJ1" s="22"/>
      <c r="IYK1" s="22"/>
      <c r="IYL1" s="22"/>
      <c r="IYM1" s="22"/>
      <c r="IYN1" s="22"/>
      <c r="IYO1" s="22"/>
      <c r="IYP1" s="22"/>
      <c r="IYQ1" s="22"/>
      <c r="IYR1" s="22"/>
      <c r="IYS1" s="22"/>
      <c r="IYT1" s="22"/>
      <c r="IYU1" s="22"/>
      <c r="IYV1" s="22"/>
      <c r="IYW1" s="22"/>
      <c r="IYX1" s="22"/>
      <c r="IYY1" s="22"/>
      <c r="IYZ1" s="22"/>
      <c r="IZA1" s="22"/>
      <c r="IZB1" s="22"/>
      <c r="IZC1" s="22"/>
      <c r="IZD1" s="22"/>
      <c r="IZE1" s="22"/>
      <c r="IZF1" s="22"/>
      <c r="IZG1" s="22"/>
      <c r="IZH1" s="22"/>
      <c r="IZI1" s="22"/>
      <c r="IZJ1" s="22"/>
      <c r="IZK1" s="22"/>
      <c r="IZL1" s="22"/>
      <c r="IZM1" s="22"/>
      <c r="IZN1" s="22"/>
      <c r="IZO1" s="22"/>
      <c r="IZP1" s="22"/>
      <c r="IZQ1" s="22"/>
      <c r="IZR1" s="22"/>
      <c r="IZS1" s="22"/>
      <c r="IZT1" s="22"/>
      <c r="IZU1" s="22"/>
      <c r="IZV1" s="22"/>
      <c r="IZW1" s="22"/>
      <c r="IZX1" s="22"/>
      <c r="IZY1" s="22"/>
      <c r="IZZ1" s="22"/>
      <c r="JAA1" s="22"/>
      <c r="JAB1" s="22"/>
      <c r="JAC1" s="22"/>
      <c r="JAD1" s="22"/>
      <c r="JAE1" s="22"/>
      <c r="JAF1" s="22"/>
      <c r="JAG1" s="22"/>
      <c r="JAH1" s="22"/>
      <c r="JAI1" s="22"/>
      <c r="JAJ1" s="22"/>
      <c r="JAK1" s="22"/>
      <c r="JAL1" s="22"/>
      <c r="JAM1" s="22"/>
      <c r="JAN1" s="22"/>
      <c r="JAO1" s="22"/>
      <c r="JAP1" s="22"/>
      <c r="JAQ1" s="22"/>
      <c r="JAR1" s="22"/>
      <c r="JAS1" s="22"/>
      <c r="JAT1" s="22"/>
      <c r="JAU1" s="22"/>
      <c r="JAV1" s="22"/>
      <c r="JAW1" s="22"/>
      <c r="JAX1" s="22"/>
      <c r="JAY1" s="22"/>
      <c r="JAZ1" s="22"/>
      <c r="JBA1" s="22"/>
      <c r="JBB1" s="22"/>
      <c r="JBC1" s="22"/>
      <c r="JBD1" s="22"/>
      <c r="JBE1" s="22"/>
      <c r="JBF1" s="22"/>
      <c r="JBG1" s="22"/>
      <c r="JBH1" s="22"/>
      <c r="JBI1" s="22"/>
      <c r="JBJ1" s="22"/>
      <c r="JBK1" s="22"/>
      <c r="JBL1" s="22"/>
      <c r="JBM1" s="22"/>
      <c r="JBN1" s="22"/>
      <c r="JBO1" s="22"/>
      <c r="JBP1" s="22"/>
      <c r="JBQ1" s="22"/>
      <c r="JBR1" s="22"/>
      <c r="JBS1" s="22"/>
      <c r="JBT1" s="22"/>
      <c r="JBU1" s="22"/>
      <c r="JBV1" s="22"/>
      <c r="JBW1" s="22"/>
      <c r="JBX1" s="22"/>
      <c r="JBY1" s="22"/>
      <c r="JBZ1" s="22"/>
      <c r="JCA1" s="22"/>
      <c r="JCB1" s="22"/>
      <c r="JCC1" s="22"/>
      <c r="JCD1" s="22"/>
      <c r="JCE1" s="22"/>
      <c r="JCF1" s="22"/>
      <c r="JCG1" s="22"/>
      <c r="JCH1" s="22"/>
      <c r="JCI1" s="22"/>
      <c r="JCJ1" s="22"/>
      <c r="JCK1" s="22"/>
      <c r="JCL1" s="22"/>
      <c r="JCM1" s="22"/>
      <c r="JCN1" s="22"/>
      <c r="JCO1" s="22"/>
      <c r="JCP1" s="22"/>
      <c r="JCQ1" s="22"/>
      <c r="JCR1" s="22"/>
      <c r="JCS1" s="22"/>
      <c r="JCT1" s="22"/>
      <c r="JCU1" s="22"/>
      <c r="JCV1" s="22"/>
      <c r="JCW1" s="22"/>
      <c r="JCX1" s="22"/>
      <c r="JCY1" s="22"/>
      <c r="JCZ1" s="22"/>
      <c r="JDA1" s="22"/>
      <c r="JDB1" s="22"/>
      <c r="JDC1" s="22"/>
      <c r="JDD1" s="22"/>
      <c r="JDE1" s="22"/>
      <c r="JDF1" s="22"/>
      <c r="JDG1" s="22"/>
      <c r="JDH1" s="22"/>
      <c r="JDI1" s="22"/>
      <c r="JDJ1" s="22"/>
      <c r="JDK1" s="22"/>
      <c r="JDL1" s="22"/>
      <c r="JDM1" s="22"/>
      <c r="JDN1" s="22"/>
      <c r="JDO1" s="22"/>
      <c r="JDP1" s="22"/>
      <c r="JDQ1" s="22"/>
      <c r="JDR1" s="22"/>
      <c r="JDS1" s="22"/>
      <c r="JDT1" s="22"/>
      <c r="JDU1" s="22"/>
      <c r="JDV1" s="22"/>
      <c r="JDW1" s="22"/>
      <c r="JDX1" s="22"/>
      <c r="JDY1" s="22"/>
      <c r="JDZ1" s="22"/>
      <c r="JEA1" s="22"/>
      <c r="JEB1" s="22"/>
      <c r="JEC1" s="22"/>
      <c r="JED1" s="22"/>
      <c r="JEE1" s="22"/>
      <c r="JEF1" s="22"/>
      <c r="JEG1" s="22"/>
      <c r="JEH1" s="22"/>
      <c r="JEI1" s="22"/>
      <c r="JEJ1" s="22"/>
      <c r="JEK1" s="22"/>
      <c r="JEL1" s="22"/>
      <c r="JEM1" s="22"/>
      <c r="JEN1" s="22"/>
      <c r="JEO1" s="22"/>
      <c r="JEP1" s="22"/>
      <c r="JEQ1" s="22"/>
      <c r="JER1" s="22"/>
      <c r="JES1" s="22"/>
      <c r="JET1" s="22"/>
      <c r="JEU1" s="22"/>
      <c r="JEV1" s="22"/>
      <c r="JEW1" s="22"/>
      <c r="JEX1" s="22"/>
      <c r="JEY1" s="22"/>
      <c r="JEZ1" s="22"/>
      <c r="JFA1" s="22"/>
      <c r="JFB1" s="22"/>
      <c r="JFC1" s="22"/>
      <c r="JFD1" s="22"/>
      <c r="JFE1" s="22"/>
      <c r="JFF1" s="22"/>
      <c r="JFG1" s="22"/>
      <c r="JFH1" s="22"/>
      <c r="JFI1" s="22"/>
      <c r="JFJ1" s="22"/>
      <c r="JFK1" s="22"/>
      <c r="JFL1" s="22"/>
      <c r="JFM1" s="22"/>
      <c r="JFN1" s="22"/>
      <c r="JFO1" s="22"/>
      <c r="JFP1" s="22"/>
      <c r="JFQ1" s="22"/>
      <c r="JFR1" s="22"/>
      <c r="JFS1" s="22"/>
      <c r="JFT1" s="22"/>
      <c r="JFU1" s="22"/>
      <c r="JFV1" s="22"/>
      <c r="JFW1" s="22"/>
      <c r="JFX1" s="22"/>
      <c r="JFY1" s="22"/>
      <c r="JFZ1" s="22"/>
      <c r="JGA1" s="22"/>
      <c r="JGB1" s="22"/>
      <c r="JGC1" s="22"/>
      <c r="JGD1" s="22"/>
      <c r="JGE1" s="22"/>
      <c r="JGF1" s="22"/>
      <c r="JGG1" s="22"/>
      <c r="JGH1" s="22"/>
      <c r="JGI1" s="22"/>
      <c r="JGJ1" s="22"/>
      <c r="JGK1" s="22"/>
      <c r="JGL1" s="22"/>
      <c r="JGM1" s="22"/>
      <c r="JGN1" s="22"/>
      <c r="JGO1" s="22"/>
      <c r="JGP1" s="22"/>
      <c r="JGQ1" s="22"/>
      <c r="JGR1" s="22"/>
      <c r="JGS1" s="22"/>
      <c r="JGT1" s="22"/>
      <c r="JGU1" s="22"/>
      <c r="JGV1" s="22"/>
      <c r="JGW1" s="22"/>
      <c r="JGX1" s="22"/>
      <c r="JGY1" s="22"/>
      <c r="JGZ1" s="22"/>
      <c r="JHA1" s="22"/>
      <c r="JHB1" s="22"/>
      <c r="JHC1" s="22"/>
      <c r="JHD1" s="22"/>
      <c r="JHE1" s="22"/>
      <c r="JHF1" s="22"/>
      <c r="JHG1" s="22"/>
      <c r="JHH1" s="22"/>
      <c r="JHI1" s="22"/>
      <c r="JHJ1" s="22"/>
      <c r="JHK1" s="22"/>
      <c r="JHL1" s="22"/>
      <c r="JHM1" s="22"/>
      <c r="JHN1" s="22"/>
      <c r="JHO1" s="22"/>
      <c r="JHP1" s="22"/>
      <c r="JHQ1" s="22"/>
      <c r="JHR1" s="22"/>
      <c r="JHS1" s="22"/>
      <c r="JHT1" s="22"/>
      <c r="JHU1" s="22"/>
      <c r="JHV1" s="22"/>
      <c r="JHW1" s="22"/>
      <c r="JHX1" s="22"/>
      <c r="JHY1" s="22"/>
      <c r="JHZ1" s="22"/>
      <c r="JIA1" s="22"/>
      <c r="JIB1" s="22"/>
      <c r="JIC1" s="22"/>
      <c r="JID1" s="22"/>
      <c r="JIE1" s="22"/>
      <c r="JIF1" s="22"/>
      <c r="JIG1" s="22"/>
      <c r="JIH1" s="22"/>
      <c r="JII1" s="22"/>
      <c r="JIJ1" s="22"/>
      <c r="JIK1" s="22"/>
      <c r="JIL1" s="22"/>
      <c r="JIM1" s="22"/>
      <c r="JIN1" s="22"/>
      <c r="JIO1" s="22"/>
      <c r="JIP1" s="22"/>
      <c r="JIQ1" s="22"/>
      <c r="JIR1" s="22"/>
      <c r="JIS1" s="22"/>
      <c r="JIT1" s="22"/>
      <c r="JIU1" s="22"/>
      <c r="JIV1" s="22"/>
      <c r="JIW1" s="22"/>
      <c r="JIX1" s="22"/>
      <c r="JIY1" s="22"/>
      <c r="JIZ1" s="22"/>
      <c r="JJA1" s="22"/>
      <c r="JJB1" s="22"/>
      <c r="JJC1" s="22"/>
      <c r="JJD1" s="22"/>
      <c r="JJE1" s="22"/>
      <c r="JJF1" s="22"/>
      <c r="JJG1" s="22"/>
      <c r="JJH1" s="22"/>
      <c r="JJI1" s="22"/>
      <c r="JJJ1" s="22"/>
      <c r="JJK1" s="22"/>
      <c r="JJL1" s="22"/>
      <c r="JJM1" s="22"/>
      <c r="JJN1" s="22"/>
      <c r="JJO1" s="22"/>
      <c r="JJP1" s="22"/>
      <c r="JJQ1" s="22"/>
      <c r="JJR1" s="22"/>
      <c r="JJS1" s="22"/>
      <c r="JJT1" s="22"/>
      <c r="JJU1" s="22"/>
      <c r="JJV1" s="22"/>
      <c r="JJW1" s="22"/>
      <c r="JJX1" s="22"/>
      <c r="JJY1" s="22"/>
      <c r="JJZ1" s="22"/>
      <c r="JKA1" s="22"/>
      <c r="JKB1" s="22"/>
      <c r="JKC1" s="22"/>
      <c r="JKD1" s="22"/>
      <c r="JKE1" s="22"/>
      <c r="JKF1" s="22"/>
      <c r="JKG1" s="22"/>
      <c r="JKH1" s="22"/>
      <c r="JKI1" s="22"/>
      <c r="JKJ1" s="22"/>
      <c r="JKK1" s="22"/>
      <c r="JKL1" s="22"/>
      <c r="JKM1" s="22"/>
      <c r="JKN1" s="22"/>
      <c r="JKO1" s="22"/>
      <c r="JKP1" s="22"/>
      <c r="JKQ1" s="22"/>
      <c r="JKR1" s="22"/>
      <c r="JKS1" s="22"/>
      <c r="JKT1" s="22"/>
      <c r="JKU1" s="22"/>
      <c r="JKV1" s="22"/>
      <c r="JKW1" s="22"/>
      <c r="JKX1" s="22"/>
      <c r="JKY1" s="22"/>
      <c r="JKZ1" s="22"/>
      <c r="JLA1" s="22"/>
      <c r="JLB1" s="22"/>
      <c r="JLC1" s="22"/>
      <c r="JLD1" s="22"/>
      <c r="JLE1" s="22"/>
      <c r="JLF1" s="22"/>
      <c r="JLG1" s="22"/>
      <c r="JLH1" s="22"/>
      <c r="JLI1" s="22"/>
      <c r="JLJ1" s="22"/>
      <c r="JLK1" s="22"/>
      <c r="JLL1" s="22"/>
      <c r="JLM1" s="22"/>
      <c r="JLN1" s="22"/>
      <c r="JLO1" s="22"/>
      <c r="JLP1" s="22"/>
      <c r="JLQ1" s="22"/>
      <c r="JLR1" s="22"/>
      <c r="JLS1" s="22"/>
      <c r="JLT1" s="22"/>
      <c r="JLU1" s="22"/>
      <c r="JLV1" s="22"/>
      <c r="JLW1" s="22"/>
      <c r="JLX1" s="22"/>
      <c r="JLY1" s="22"/>
      <c r="JLZ1" s="22"/>
      <c r="JMA1" s="22"/>
      <c r="JMB1" s="22"/>
      <c r="JMC1" s="22"/>
      <c r="JMD1" s="22"/>
      <c r="JME1" s="22"/>
      <c r="JMF1" s="22"/>
      <c r="JMG1" s="22"/>
      <c r="JMH1" s="22"/>
      <c r="JMI1" s="22"/>
      <c r="JMJ1" s="22"/>
      <c r="JMK1" s="22"/>
      <c r="JML1" s="22"/>
      <c r="JMM1" s="22"/>
      <c r="JMN1" s="22"/>
      <c r="JMO1" s="22"/>
      <c r="JMP1" s="22"/>
      <c r="JMQ1" s="22"/>
      <c r="JMR1" s="22"/>
      <c r="JMS1" s="22"/>
      <c r="JMT1" s="22"/>
      <c r="JMU1" s="22"/>
      <c r="JMV1" s="22"/>
      <c r="JMW1" s="22"/>
      <c r="JMX1" s="22"/>
      <c r="JMY1" s="22"/>
      <c r="JMZ1" s="22"/>
      <c r="JNA1" s="22"/>
      <c r="JNB1" s="22"/>
      <c r="JNC1" s="22"/>
      <c r="JND1" s="22"/>
      <c r="JNE1" s="22"/>
      <c r="JNF1" s="22"/>
      <c r="JNG1" s="22"/>
      <c r="JNH1" s="22"/>
      <c r="JNI1" s="22"/>
      <c r="JNJ1" s="22"/>
      <c r="JNK1" s="22"/>
      <c r="JNL1" s="22"/>
      <c r="JNM1" s="22"/>
      <c r="JNN1" s="22"/>
      <c r="JNO1" s="22"/>
      <c r="JNP1" s="22"/>
      <c r="JNQ1" s="22"/>
      <c r="JNR1" s="22"/>
      <c r="JNS1" s="22"/>
      <c r="JNT1" s="22"/>
      <c r="JNU1" s="22"/>
      <c r="JNV1" s="22"/>
      <c r="JNW1" s="22"/>
      <c r="JNX1" s="22"/>
      <c r="JNY1" s="22"/>
      <c r="JNZ1" s="22"/>
      <c r="JOA1" s="22"/>
      <c r="JOB1" s="22"/>
      <c r="JOC1" s="22"/>
      <c r="JOD1" s="22"/>
      <c r="JOE1" s="22"/>
      <c r="JOF1" s="22"/>
      <c r="JOG1" s="22"/>
      <c r="JOH1" s="22"/>
      <c r="JOI1" s="22"/>
      <c r="JOJ1" s="22"/>
      <c r="JOK1" s="22"/>
      <c r="JOL1" s="22"/>
      <c r="JOM1" s="22"/>
      <c r="JON1" s="22"/>
      <c r="JOO1" s="22"/>
      <c r="JOP1" s="22"/>
      <c r="JOQ1" s="22"/>
      <c r="JOR1" s="22"/>
      <c r="JOS1" s="22"/>
      <c r="JOT1" s="22"/>
      <c r="JOU1" s="22"/>
      <c r="JOV1" s="22"/>
      <c r="JOW1" s="22"/>
      <c r="JOX1" s="22"/>
      <c r="JOY1" s="22"/>
      <c r="JOZ1" s="22"/>
      <c r="JPA1" s="22"/>
      <c r="JPB1" s="22"/>
      <c r="JPC1" s="22"/>
      <c r="JPD1" s="22"/>
      <c r="JPE1" s="22"/>
      <c r="JPF1" s="22"/>
      <c r="JPG1" s="22"/>
      <c r="JPH1" s="22"/>
      <c r="JPI1" s="22"/>
      <c r="JPJ1" s="22"/>
      <c r="JPK1" s="22"/>
      <c r="JPL1" s="22"/>
      <c r="JPM1" s="22"/>
      <c r="JPN1" s="22"/>
      <c r="JPO1" s="22"/>
      <c r="JPP1" s="22"/>
      <c r="JPQ1" s="22"/>
      <c r="JPR1" s="22"/>
      <c r="JPS1" s="22"/>
      <c r="JPT1" s="22"/>
      <c r="JPU1" s="22"/>
      <c r="JPV1" s="22"/>
      <c r="JPW1" s="22"/>
      <c r="JPX1" s="22"/>
      <c r="JPY1" s="22"/>
      <c r="JPZ1" s="22"/>
      <c r="JQA1" s="22"/>
      <c r="JQB1" s="22"/>
      <c r="JQC1" s="22"/>
      <c r="JQD1" s="22"/>
      <c r="JQE1" s="22"/>
      <c r="JQF1" s="22"/>
      <c r="JQG1" s="22"/>
      <c r="JQH1" s="22"/>
      <c r="JQI1" s="22"/>
      <c r="JQJ1" s="22"/>
      <c r="JQK1" s="22"/>
      <c r="JQL1" s="22"/>
      <c r="JQM1" s="22"/>
      <c r="JQN1" s="22"/>
      <c r="JQO1" s="22"/>
      <c r="JQP1" s="22"/>
      <c r="JQQ1" s="22"/>
      <c r="JQR1" s="22"/>
      <c r="JQS1" s="22"/>
      <c r="JQT1" s="22"/>
      <c r="JQU1" s="22"/>
      <c r="JQV1" s="22"/>
      <c r="JQW1" s="22"/>
      <c r="JQX1" s="22"/>
      <c r="JQY1" s="22"/>
      <c r="JQZ1" s="22"/>
      <c r="JRA1" s="22"/>
      <c r="JRB1" s="22"/>
      <c r="JRC1" s="22"/>
      <c r="JRD1" s="22"/>
      <c r="JRE1" s="22"/>
      <c r="JRF1" s="22"/>
      <c r="JRG1" s="22"/>
      <c r="JRH1" s="22"/>
      <c r="JRI1" s="22"/>
      <c r="JRJ1" s="22"/>
      <c r="JRK1" s="22"/>
      <c r="JRL1" s="22"/>
      <c r="JRM1" s="22"/>
      <c r="JRN1" s="22"/>
      <c r="JRO1" s="22"/>
      <c r="JRP1" s="22"/>
      <c r="JRQ1" s="22"/>
      <c r="JRR1" s="22"/>
      <c r="JRS1" s="22"/>
      <c r="JRT1" s="22"/>
      <c r="JRU1" s="22"/>
      <c r="JRV1" s="22"/>
      <c r="JRW1" s="22"/>
      <c r="JRX1" s="22"/>
      <c r="JRY1" s="22"/>
      <c r="JRZ1" s="22"/>
      <c r="JSA1" s="22"/>
      <c r="JSB1" s="22"/>
      <c r="JSC1" s="22"/>
      <c r="JSD1" s="22"/>
      <c r="JSE1" s="22"/>
      <c r="JSF1" s="22"/>
      <c r="JSG1" s="22"/>
      <c r="JSH1" s="22"/>
      <c r="JSI1" s="22"/>
      <c r="JSJ1" s="22"/>
      <c r="JSK1" s="22"/>
      <c r="JSL1" s="22"/>
      <c r="JSM1" s="22"/>
      <c r="JSN1" s="22"/>
      <c r="JSO1" s="22"/>
      <c r="JSP1" s="22"/>
      <c r="JSQ1" s="22"/>
      <c r="JSR1" s="22"/>
      <c r="JSS1" s="22"/>
      <c r="JST1" s="22"/>
      <c r="JSU1" s="22"/>
      <c r="JSV1" s="22"/>
      <c r="JSW1" s="22"/>
      <c r="JSX1" s="22"/>
      <c r="JSY1" s="22"/>
      <c r="JSZ1" s="22"/>
      <c r="JTA1" s="22"/>
      <c r="JTB1" s="22"/>
      <c r="JTC1" s="22"/>
      <c r="JTD1" s="22"/>
      <c r="JTE1" s="22"/>
      <c r="JTF1" s="22"/>
      <c r="JTG1" s="22"/>
      <c r="JTH1" s="22"/>
      <c r="JTI1" s="22"/>
      <c r="JTJ1" s="22"/>
      <c r="JTK1" s="22"/>
      <c r="JTL1" s="22"/>
      <c r="JTM1" s="22"/>
      <c r="JTN1" s="22"/>
      <c r="JTO1" s="22"/>
      <c r="JTP1" s="22"/>
      <c r="JTQ1" s="22"/>
      <c r="JTR1" s="22"/>
      <c r="JTS1" s="22"/>
      <c r="JTT1" s="22"/>
      <c r="JTU1" s="22"/>
      <c r="JTV1" s="22"/>
      <c r="JTW1" s="22"/>
      <c r="JTX1" s="22"/>
      <c r="JTY1" s="22"/>
      <c r="JTZ1" s="22"/>
      <c r="JUA1" s="22"/>
      <c r="JUB1" s="22"/>
      <c r="JUC1" s="22"/>
      <c r="JUD1" s="22"/>
      <c r="JUE1" s="22"/>
      <c r="JUF1" s="22"/>
      <c r="JUG1" s="22"/>
      <c r="JUH1" s="22"/>
      <c r="JUI1" s="22"/>
      <c r="JUJ1" s="22"/>
      <c r="JUK1" s="22"/>
      <c r="JUL1" s="22"/>
      <c r="JUM1" s="22"/>
      <c r="JUN1" s="22"/>
      <c r="JUO1" s="22"/>
      <c r="JUP1" s="22"/>
      <c r="JUQ1" s="22"/>
      <c r="JUR1" s="22"/>
      <c r="JUS1" s="22"/>
      <c r="JUT1" s="22"/>
      <c r="JUU1" s="22"/>
      <c r="JUV1" s="22"/>
      <c r="JUW1" s="22"/>
      <c r="JUX1" s="22"/>
      <c r="JUY1" s="22"/>
      <c r="JUZ1" s="22"/>
      <c r="JVA1" s="22"/>
      <c r="JVB1" s="22"/>
      <c r="JVC1" s="22"/>
      <c r="JVD1" s="22"/>
      <c r="JVE1" s="22"/>
      <c r="JVF1" s="22"/>
      <c r="JVG1" s="22"/>
      <c r="JVH1" s="22"/>
      <c r="JVI1" s="22"/>
      <c r="JVJ1" s="22"/>
      <c r="JVK1" s="22"/>
      <c r="JVL1" s="22"/>
      <c r="JVM1" s="22"/>
      <c r="JVN1" s="22"/>
      <c r="JVO1" s="22"/>
      <c r="JVP1" s="22"/>
      <c r="JVQ1" s="22"/>
      <c r="JVR1" s="22"/>
      <c r="JVS1" s="22"/>
      <c r="JVT1" s="22"/>
      <c r="JVU1" s="22"/>
      <c r="JVV1" s="22"/>
      <c r="JVW1" s="22"/>
      <c r="JVX1" s="22"/>
      <c r="JVY1" s="22"/>
      <c r="JVZ1" s="22"/>
      <c r="JWA1" s="22"/>
      <c r="JWB1" s="22"/>
      <c r="JWC1" s="22"/>
      <c r="JWD1" s="22"/>
      <c r="JWE1" s="22"/>
      <c r="JWF1" s="22"/>
      <c r="JWG1" s="22"/>
      <c r="JWH1" s="22"/>
      <c r="JWI1" s="22"/>
      <c r="JWJ1" s="22"/>
      <c r="JWK1" s="22"/>
      <c r="JWL1" s="22"/>
      <c r="JWM1" s="22"/>
      <c r="JWN1" s="22"/>
      <c r="JWO1" s="22"/>
      <c r="JWP1" s="22"/>
      <c r="JWQ1" s="22"/>
      <c r="JWR1" s="22"/>
      <c r="JWS1" s="22"/>
      <c r="JWT1" s="22"/>
      <c r="JWU1" s="22"/>
      <c r="JWV1" s="22"/>
      <c r="JWW1" s="22"/>
      <c r="JWX1" s="22"/>
      <c r="JWY1" s="22"/>
      <c r="JWZ1" s="22"/>
      <c r="JXA1" s="22"/>
      <c r="JXB1" s="22"/>
      <c r="JXC1" s="22"/>
      <c r="JXD1" s="22"/>
      <c r="JXE1" s="22"/>
      <c r="JXF1" s="22"/>
      <c r="JXG1" s="22"/>
      <c r="JXH1" s="22"/>
      <c r="JXI1" s="22"/>
      <c r="JXJ1" s="22"/>
      <c r="JXK1" s="22"/>
      <c r="JXL1" s="22"/>
      <c r="JXM1" s="22"/>
      <c r="JXN1" s="22"/>
      <c r="JXO1" s="22"/>
      <c r="JXP1" s="22"/>
      <c r="JXQ1" s="22"/>
      <c r="JXR1" s="22"/>
      <c r="JXS1" s="22"/>
      <c r="JXT1" s="22"/>
      <c r="JXU1" s="22"/>
      <c r="JXV1" s="22"/>
      <c r="JXW1" s="22"/>
      <c r="JXX1" s="22"/>
      <c r="JXY1" s="22"/>
      <c r="JXZ1" s="22"/>
      <c r="JYA1" s="22"/>
      <c r="JYB1" s="22"/>
      <c r="JYC1" s="22"/>
      <c r="JYD1" s="22"/>
      <c r="JYE1" s="22"/>
      <c r="JYF1" s="22"/>
      <c r="JYG1" s="22"/>
      <c r="JYH1" s="22"/>
      <c r="JYI1" s="22"/>
      <c r="JYJ1" s="22"/>
      <c r="JYK1" s="22"/>
      <c r="JYL1" s="22"/>
      <c r="JYM1" s="22"/>
      <c r="JYN1" s="22"/>
      <c r="JYO1" s="22"/>
      <c r="JYP1" s="22"/>
      <c r="JYQ1" s="22"/>
      <c r="JYR1" s="22"/>
      <c r="JYS1" s="22"/>
      <c r="JYT1" s="22"/>
      <c r="JYU1" s="22"/>
      <c r="JYV1" s="22"/>
      <c r="JYW1" s="22"/>
      <c r="JYX1" s="22"/>
      <c r="JYY1" s="22"/>
      <c r="JYZ1" s="22"/>
      <c r="JZA1" s="22"/>
      <c r="JZB1" s="22"/>
      <c r="JZC1" s="22"/>
      <c r="JZD1" s="22"/>
      <c r="JZE1" s="22"/>
      <c r="JZF1" s="22"/>
      <c r="JZG1" s="22"/>
      <c r="JZH1" s="22"/>
      <c r="JZI1" s="22"/>
      <c r="JZJ1" s="22"/>
      <c r="JZK1" s="22"/>
      <c r="JZL1" s="22"/>
      <c r="JZM1" s="22"/>
      <c r="JZN1" s="22"/>
      <c r="JZO1" s="22"/>
      <c r="JZP1" s="22"/>
      <c r="JZQ1" s="22"/>
      <c r="JZR1" s="22"/>
      <c r="JZS1" s="22"/>
      <c r="JZT1" s="22"/>
      <c r="JZU1" s="22"/>
      <c r="JZV1" s="22"/>
      <c r="JZW1" s="22"/>
      <c r="JZX1" s="22"/>
      <c r="JZY1" s="22"/>
      <c r="JZZ1" s="22"/>
      <c r="KAA1" s="22"/>
      <c r="KAB1" s="22"/>
      <c r="KAC1" s="22"/>
      <c r="KAD1" s="22"/>
      <c r="KAE1" s="22"/>
      <c r="KAF1" s="22"/>
      <c r="KAG1" s="22"/>
      <c r="KAH1" s="22"/>
      <c r="KAI1" s="22"/>
      <c r="KAJ1" s="22"/>
      <c r="KAK1" s="22"/>
      <c r="KAL1" s="22"/>
      <c r="KAM1" s="22"/>
      <c r="KAN1" s="22"/>
      <c r="KAO1" s="22"/>
      <c r="KAP1" s="22"/>
      <c r="KAQ1" s="22"/>
      <c r="KAR1" s="22"/>
      <c r="KAS1" s="22"/>
      <c r="KAT1" s="22"/>
      <c r="KAU1" s="22"/>
      <c r="KAV1" s="22"/>
      <c r="KAW1" s="22"/>
      <c r="KAX1" s="22"/>
      <c r="KAY1" s="22"/>
      <c r="KAZ1" s="22"/>
      <c r="KBA1" s="22"/>
      <c r="KBB1" s="22"/>
      <c r="KBC1" s="22"/>
      <c r="KBD1" s="22"/>
      <c r="KBE1" s="22"/>
      <c r="KBF1" s="22"/>
      <c r="KBG1" s="22"/>
      <c r="KBH1" s="22"/>
      <c r="KBI1" s="22"/>
      <c r="KBJ1" s="22"/>
      <c r="KBK1" s="22"/>
      <c r="KBL1" s="22"/>
      <c r="KBM1" s="22"/>
      <c r="KBN1" s="22"/>
      <c r="KBO1" s="22"/>
      <c r="KBP1" s="22"/>
      <c r="KBQ1" s="22"/>
      <c r="KBR1" s="22"/>
      <c r="KBS1" s="22"/>
      <c r="KBT1" s="22"/>
      <c r="KBU1" s="22"/>
      <c r="KBV1" s="22"/>
      <c r="KBW1" s="22"/>
      <c r="KBX1" s="22"/>
      <c r="KBY1" s="22"/>
      <c r="KBZ1" s="22"/>
      <c r="KCA1" s="22"/>
      <c r="KCB1" s="22"/>
      <c r="KCC1" s="22"/>
      <c r="KCD1" s="22"/>
      <c r="KCE1" s="22"/>
      <c r="KCF1" s="22"/>
      <c r="KCG1" s="22"/>
      <c r="KCH1" s="22"/>
      <c r="KCI1" s="22"/>
      <c r="KCJ1" s="22"/>
      <c r="KCK1" s="22"/>
      <c r="KCL1" s="22"/>
      <c r="KCM1" s="22"/>
      <c r="KCN1" s="22"/>
      <c r="KCO1" s="22"/>
      <c r="KCP1" s="22"/>
      <c r="KCQ1" s="22"/>
      <c r="KCR1" s="22"/>
      <c r="KCS1" s="22"/>
      <c r="KCT1" s="22"/>
      <c r="KCU1" s="22"/>
      <c r="KCV1" s="22"/>
      <c r="KCW1" s="22"/>
      <c r="KCX1" s="22"/>
      <c r="KCY1" s="22"/>
      <c r="KCZ1" s="22"/>
      <c r="KDA1" s="22"/>
      <c r="KDB1" s="22"/>
      <c r="KDC1" s="22"/>
      <c r="KDD1" s="22"/>
      <c r="KDE1" s="22"/>
      <c r="KDF1" s="22"/>
      <c r="KDG1" s="22"/>
      <c r="KDH1" s="22"/>
      <c r="KDI1" s="22"/>
      <c r="KDJ1" s="22"/>
      <c r="KDK1" s="22"/>
      <c r="KDL1" s="22"/>
      <c r="KDM1" s="22"/>
      <c r="KDN1" s="22"/>
      <c r="KDO1" s="22"/>
      <c r="KDP1" s="22"/>
      <c r="KDQ1" s="22"/>
      <c r="KDR1" s="22"/>
      <c r="KDS1" s="22"/>
      <c r="KDT1" s="22"/>
      <c r="KDU1" s="22"/>
      <c r="KDV1" s="22"/>
      <c r="KDW1" s="22"/>
      <c r="KDX1" s="22"/>
      <c r="KDY1" s="22"/>
      <c r="KDZ1" s="22"/>
      <c r="KEA1" s="22"/>
      <c r="KEB1" s="22"/>
      <c r="KEC1" s="22"/>
      <c r="KED1" s="22"/>
      <c r="KEE1" s="22"/>
      <c r="KEF1" s="22"/>
      <c r="KEG1" s="22"/>
      <c r="KEH1" s="22"/>
      <c r="KEI1" s="22"/>
      <c r="KEJ1" s="22"/>
      <c r="KEK1" s="22"/>
      <c r="KEL1" s="22"/>
      <c r="KEM1" s="22"/>
      <c r="KEN1" s="22"/>
      <c r="KEO1" s="22"/>
      <c r="KEP1" s="22"/>
      <c r="KEQ1" s="22"/>
      <c r="KER1" s="22"/>
      <c r="KES1" s="22"/>
      <c r="KET1" s="22"/>
      <c r="KEU1" s="22"/>
      <c r="KEV1" s="22"/>
      <c r="KEW1" s="22"/>
      <c r="KEX1" s="22"/>
      <c r="KEY1" s="22"/>
      <c r="KEZ1" s="22"/>
      <c r="KFA1" s="22"/>
      <c r="KFB1" s="22"/>
      <c r="KFC1" s="22"/>
      <c r="KFD1" s="22"/>
      <c r="KFE1" s="22"/>
      <c r="KFF1" s="22"/>
      <c r="KFG1" s="22"/>
      <c r="KFH1" s="22"/>
      <c r="KFI1" s="22"/>
      <c r="KFJ1" s="22"/>
      <c r="KFK1" s="22"/>
      <c r="KFL1" s="22"/>
      <c r="KFM1" s="22"/>
      <c r="KFN1" s="22"/>
      <c r="KFO1" s="22"/>
      <c r="KFP1" s="22"/>
      <c r="KFQ1" s="22"/>
      <c r="KFR1" s="22"/>
      <c r="KFS1" s="22"/>
      <c r="KFT1" s="22"/>
      <c r="KFU1" s="22"/>
      <c r="KFV1" s="22"/>
      <c r="KFW1" s="22"/>
      <c r="KFX1" s="22"/>
      <c r="KFY1" s="22"/>
      <c r="KFZ1" s="22"/>
      <c r="KGA1" s="22"/>
      <c r="KGB1" s="22"/>
      <c r="KGC1" s="22"/>
      <c r="KGD1" s="22"/>
      <c r="KGE1" s="22"/>
      <c r="KGF1" s="22"/>
      <c r="KGG1" s="22"/>
      <c r="KGH1" s="22"/>
      <c r="KGI1" s="22"/>
      <c r="KGJ1" s="22"/>
      <c r="KGK1" s="22"/>
      <c r="KGL1" s="22"/>
      <c r="KGM1" s="22"/>
      <c r="KGN1" s="22"/>
      <c r="KGO1" s="22"/>
      <c r="KGP1" s="22"/>
      <c r="KGQ1" s="22"/>
      <c r="KGR1" s="22"/>
      <c r="KGS1" s="22"/>
      <c r="KGT1" s="22"/>
      <c r="KGU1" s="22"/>
      <c r="KGV1" s="22"/>
      <c r="KGW1" s="22"/>
      <c r="KGX1" s="22"/>
      <c r="KGY1" s="22"/>
      <c r="KGZ1" s="22"/>
      <c r="KHA1" s="22"/>
      <c r="KHB1" s="22"/>
      <c r="KHC1" s="22"/>
      <c r="KHD1" s="22"/>
      <c r="KHE1" s="22"/>
      <c r="KHF1" s="22"/>
      <c r="KHG1" s="22"/>
      <c r="KHH1" s="22"/>
      <c r="KHI1" s="22"/>
      <c r="KHJ1" s="22"/>
      <c r="KHK1" s="22"/>
      <c r="KHL1" s="22"/>
      <c r="KHM1" s="22"/>
      <c r="KHN1" s="22"/>
      <c r="KHO1" s="22"/>
      <c r="KHP1" s="22"/>
      <c r="KHQ1" s="22"/>
      <c r="KHR1" s="22"/>
      <c r="KHS1" s="22"/>
      <c r="KHT1" s="22"/>
      <c r="KHU1" s="22"/>
      <c r="KHV1" s="22"/>
      <c r="KHW1" s="22"/>
      <c r="KHX1" s="22"/>
      <c r="KHY1" s="22"/>
      <c r="KHZ1" s="22"/>
      <c r="KIA1" s="22"/>
      <c r="KIB1" s="22"/>
      <c r="KIC1" s="22"/>
      <c r="KID1" s="22"/>
      <c r="KIE1" s="22"/>
      <c r="KIF1" s="22"/>
      <c r="KIG1" s="22"/>
      <c r="KIH1" s="22"/>
      <c r="KII1" s="22"/>
      <c r="KIJ1" s="22"/>
      <c r="KIK1" s="22"/>
      <c r="KIL1" s="22"/>
      <c r="KIM1" s="22"/>
      <c r="KIN1" s="22"/>
      <c r="KIO1" s="22"/>
      <c r="KIP1" s="22"/>
      <c r="KIQ1" s="22"/>
      <c r="KIR1" s="22"/>
      <c r="KIS1" s="22"/>
      <c r="KIT1" s="22"/>
      <c r="KIU1" s="22"/>
      <c r="KIV1" s="22"/>
      <c r="KIW1" s="22"/>
      <c r="KIX1" s="22"/>
      <c r="KIY1" s="22"/>
      <c r="KIZ1" s="22"/>
      <c r="KJA1" s="22"/>
      <c r="KJB1" s="22"/>
      <c r="KJC1" s="22"/>
      <c r="KJD1" s="22"/>
      <c r="KJE1" s="22"/>
      <c r="KJF1" s="22"/>
      <c r="KJG1" s="22"/>
      <c r="KJH1" s="22"/>
      <c r="KJI1" s="22"/>
      <c r="KJJ1" s="22"/>
      <c r="KJK1" s="22"/>
      <c r="KJL1" s="22"/>
      <c r="KJM1" s="22"/>
      <c r="KJN1" s="22"/>
      <c r="KJO1" s="22"/>
      <c r="KJP1" s="22"/>
      <c r="KJQ1" s="22"/>
      <c r="KJR1" s="22"/>
      <c r="KJS1" s="22"/>
      <c r="KJT1" s="22"/>
      <c r="KJU1" s="22"/>
      <c r="KJV1" s="22"/>
      <c r="KJW1" s="22"/>
      <c r="KJX1" s="22"/>
      <c r="KJY1" s="22"/>
      <c r="KJZ1" s="22"/>
      <c r="KKA1" s="22"/>
      <c r="KKB1" s="22"/>
      <c r="KKC1" s="22"/>
      <c r="KKD1" s="22"/>
      <c r="KKE1" s="22"/>
      <c r="KKF1" s="22"/>
      <c r="KKG1" s="22"/>
      <c r="KKH1" s="22"/>
      <c r="KKI1" s="22"/>
      <c r="KKJ1" s="22"/>
      <c r="KKK1" s="22"/>
      <c r="KKL1" s="22"/>
      <c r="KKM1" s="22"/>
      <c r="KKN1" s="22"/>
      <c r="KKO1" s="22"/>
      <c r="KKP1" s="22"/>
      <c r="KKQ1" s="22"/>
      <c r="KKR1" s="22"/>
      <c r="KKS1" s="22"/>
      <c r="KKT1" s="22"/>
      <c r="KKU1" s="22"/>
      <c r="KKV1" s="22"/>
      <c r="KKW1" s="22"/>
      <c r="KKX1" s="22"/>
      <c r="KKY1" s="22"/>
      <c r="KKZ1" s="22"/>
      <c r="KLA1" s="22"/>
      <c r="KLB1" s="22"/>
      <c r="KLC1" s="22"/>
      <c r="KLD1" s="22"/>
      <c r="KLE1" s="22"/>
      <c r="KLF1" s="22"/>
      <c r="KLG1" s="22"/>
      <c r="KLH1" s="22"/>
      <c r="KLI1" s="22"/>
      <c r="KLJ1" s="22"/>
      <c r="KLK1" s="22"/>
      <c r="KLL1" s="22"/>
      <c r="KLM1" s="22"/>
      <c r="KLN1" s="22"/>
      <c r="KLO1" s="22"/>
      <c r="KLP1" s="22"/>
      <c r="KLQ1" s="22"/>
      <c r="KLR1" s="22"/>
      <c r="KLS1" s="22"/>
      <c r="KLT1" s="22"/>
      <c r="KLU1" s="22"/>
      <c r="KLV1" s="22"/>
      <c r="KLW1" s="22"/>
      <c r="KLX1" s="22"/>
      <c r="KLY1" s="22"/>
      <c r="KLZ1" s="22"/>
      <c r="KMA1" s="22"/>
      <c r="KMB1" s="22"/>
      <c r="KMC1" s="22"/>
      <c r="KMD1" s="22"/>
      <c r="KME1" s="22"/>
      <c r="KMF1" s="22"/>
      <c r="KMG1" s="22"/>
      <c r="KMH1" s="22"/>
      <c r="KMI1" s="22"/>
      <c r="KMJ1" s="22"/>
      <c r="KMK1" s="22"/>
      <c r="KML1" s="22"/>
      <c r="KMM1" s="22"/>
      <c r="KMN1" s="22"/>
      <c r="KMO1" s="22"/>
      <c r="KMP1" s="22"/>
      <c r="KMQ1" s="22"/>
      <c r="KMR1" s="22"/>
      <c r="KMS1" s="22"/>
      <c r="KMT1" s="22"/>
      <c r="KMU1" s="22"/>
      <c r="KMV1" s="22"/>
      <c r="KMW1" s="22"/>
      <c r="KMX1" s="22"/>
      <c r="KMY1" s="22"/>
      <c r="KMZ1" s="22"/>
      <c r="KNA1" s="22"/>
      <c r="KNB1" s="22"/>
      <c r="KNC1" s="22"/>
      <c r="KND1" s="22"/>
      <c r="KNE1" s="22"/>
      <c r="KNF1" s="22"/>
      <c r="KNG1" s="22"/>
      <c r="KNH1" s="22"/>
      <c r="KNI1" s="22"/>
      <c r="KNJ1" s="22"/>
      <c r="KNK1" s="22"/>
      <c r="KNL1" s="22"/>
      <c r="KNM1" s="22"/>
      <c r="KNN1" s="22"/>
      <c r="KNO1" s="22"/>
      <c r="KNP1" s="22"/>
      <c r="KNQ1" s="22"/>
      <c r="KNR1" s="22"/>
      <c r="KNS1" s="22"/>
      <c r="KNT1" s="22"/>
      <c r="KNU1" s="22"/>
      <c r="KNV1" s="22"/>
      <c r="KNW1" s="22"/>
      <c r="KNX1" s="22"/>
      <c r="KNY1" s="22"/>
      <c r="KNZ1" s="22"/>
      <c r="KOA1" s="22"/>
      <c r="KOB1" s="22"/>
      <c r="KOC1" s="22"/>
      <c r="KOD1" s="22"/>
      <c r="KOE1" s="22"/>
      <c r="KOF1" s="22"/>
      <c r="KOG1" s="22"/>
      <c r="KOH1" s="22"/>
      <c r="KOI1" s="22"/>
      <c r="KOJ1" s="22"/>
      <c r="KOK1" s="22"/>
      <c r="KOL1" s="22"/>
      <c r="KOM1" s="22"/>
      <c r="KON1" s="22"/>
      <c r="KOO1" s="22"/>
      <c r="KOP1" s="22"/>
      <c r="KOQ1" s="22"/>
      <c r="KOR1" s="22"/>
      <c r="KOS1" s="22"/>
      <c r="KOT1" s="22"/>
      <c r="KOU1" s="22"/>
      <c r="KOV1" s="22"/>
      <c r="KOW1" s="22"/>
      <c r="KOX1" s="22"/>
      <c r="KOY1" s="22"/>
      <c r="KOZ1" s="22"/>
      <c r="KPA1" s="22"/>
      <c r="KPB1" s="22"/>
      <c r="KPC1" s="22"/>
      <c r="KPD1" s="22"/>
      <c r="KPE1" s="22"/>
      <c r="KPF1" s="22"/>
      <c r="KPG1" s="22"/>
      <c r="KPH1" s="22"/>
      <c r="KPI1" s="22"/>
      <c r="KPJ1" s="22"/>
      <c r="KPK1" s="22"/>
      <c r="KPL1" s="22"/>
      <c r="KPM1" s="22"/>
      <c r="KPN1" s="22"/>
      <c r="KPO1" s="22"/>
      <c r="KPP1" s="22"/>
      <c r="KPQ1" s="22"/>
      <c r="KPR1" s="22"/>
      <c r="KPS1" s="22"/>
      <c r="KPT1" s="22"/>
      <c r="KPU1" s="22"/>
      <c r="KPV1" s="22"/>
      <c r="KPW1" s="22"/>
      <c r="KPX1" s="22"/>
      <c r="KPY1" s="22"/>
      <c r="KPZ1" s="22"/>
      <c r="KQA1" s="22"/>
      <c r="KQB1" s="22"/>
      <c r="KQC1" s="22"/>
      <c r="KQD1" s="22"/>
      <c r="KQE1" s="22"/>
      <c r="KQF1" s="22"/>
      <c r="KQG1" s="22"/>
      <c r="KQH1" s="22"/>
      <c r="KQI1" s="22"/>
      <c r="KQJ1" s="22"/>
      <c r="KQK1" s="22"/>
      <c r="KQL1" s="22"/>
      <c r="KQM1" s="22"/>
      <c r="KQN1" s="22"/>
      <c r="KQO1" s="22"/>
      <c r="KQP1" s="22"/>
      <c r="KQQ1" s="22"/>
      <c r="KQR1" s="22"/>
      <c r="KQS1" s="22"/>
      <c r="KQT1" s="22"/>
      <c r="KQU1" s="22"/>
      <c r="KQV1" s="22"/>
      <c r="KQW1" s="22"/>
      <c r="KQX1" s="22"/>
      <c r="KQY1" s="22"/>
      <c r="KQZ1" s="22"/>
      <c r="KRA1" s="22"/>
      <c r="KRB1" s="22"/>
      <c r="KRC1" s="22"/>
      <c r="KRD1" s="22"/>
      <c r="KRE1" s="22"/>
      <c r="KRF1" s="22"/>
      <c r="KRG1" s="22"/>
      <c r="KRH1" s="22"/>
      <c r="KRI1" s="22"/>
      <c r="KRJ1" s="22"/>
      <c r="KRK1" s="22"/>
      <c r="KRL1" s="22"/>
      <c r="KRM1" s="22"/>
      <c r="KRN1" s="22"/>
      <c r="KRO1" s="22"/>
      <c r="KRP1" s="22"/>
      <c r="KRQ1" s="22"/>
      <c r="KRR1" s="22"/>
      <c r="KRS1" s="22"/>
      <c r="KRT1" s="22"/>
      <c r="KRU1" s="22"/>
      <c r="KRV1" s="22"/>
      <c r="KRW1" s="22"/>
      <c r="KRX1" s="22"/>
      <c r="KRY1" s="22"/>
      <c r="KRZ1" s="22"/>
      <c r="KSA1" s="22"/>
      <c r="KSB1" s="22"/>
      <c r="KSC1" s="22"/>
      <c r="KSD1" s="22"/>
      <c r="KSE1" s="22"/>
      <c r="KSF1" s="22"/>
      <c r="KSG1" s="22"/>
      <c r="KSH1" s="22"/>
      <c r="KSI1" s="22"/>
      <c r="KSJ1" s="22"/>
      <c r="KSK1" s="22"/>
      <c r="KSL1" s="22"/>
      <c r="KSM1" s="22"/>
      <c r="KSN1" s="22"/>
      <c r="KSO1" s="22"/>
      <c r="KSP1" s="22"/>
      <c r="KSQ1" s="22"/>
      <c r="KSR1" s="22"/>
      <c r="KSS1" s="22"/>
      <c r="KST1" s="22"/>
      <c r="KSU1" s="22"/>
      <c r="KSV1" s="22"/>
      <c r="KSW1" s="22"/>
      <c r="KSX1" s="22"/>
      <c r="KSY1" s="22"/>
      <c r="KSZ1" s="22"/>
      <c r="KTA1" s="22"/>
      <c r="KTB1" s="22"/>
      <c r="KTC1" s="22"/>
      <c r="KTD1" s="22"/>
      <c r="KTE1" s="22"/>
      <c r="KTF1" s="22"/>
      <c r="KTG1" s="22"/>
      <c r="KTH1" s="22"/>
      <c r="KTI1" s="22"/>
      <c r="KTJ1" s="22"/>
      <c r="KTK1" s="22"/>
      <c r="KTL1" s="22"/>
      <c r="KTM1" s="22"/>
      <c r="KTN1" s="22"/>
      <c r="KTO1" s="22"/>
      <c r="KTP1" s="22"/>
      <c r="KTQ1" s="22"/>
      <c r="KTR1" s="22"/>
      <c r="KTS1" s="22"/>
      <c r="KTT1" s="22"/>
      <c r="KTU1" s="22"/>
      <c r="KTV1" s="22"/>
      <c r="KTW1" s="22"/>
      <c r="KTX1" s="22"/>
      <c r="KTY1" s="22"/>
      <c r="KTZ1" s="22"/>
      <c r="KUA1" s="22"/>
      <c r="KUB1" s="22"/>
      <c r="KUC1" s="22"/>
      <c r="KUD1" s="22"/>
      <c r="KUE1" s="22"/>
      <c r="KUF1" s="22"/>
      <c r="KUG1" s="22"/>
      <c r="KUH1" s="22"/>
      <c r="KUI1" s="22"/>
      <c r="KUJ1" s="22"/>
      <c r="KUK1" s="22"/>
      <c r="KUL1" s="22"/>
      <c r="KUM1" s="22"/>
      <c r="KUN1" s="22"/>
      <c r="KUO1" s="22"/>
      <c r="KUP1" s="22"/>
      <c r="KUQ1" s="22"/>
      <c r="KUR1" s="22"/>
      <c r="KUS1" s="22"/>
      <c r="KUT1" s="22"/>
      <c r="KUU1" s="22"/>
      <c r="KUV1" s="22"/>
      <c r="KUW1" s="22"/>
      <c r="KUX1" s="22"/>
      <c r="KUY1" s="22"/>
      <c r="KUZ1" s="22"/>
      <c r="KVA1" s="22"/>
      <c r="KVB1" s="22"/>
      <c r="KVC1" s="22"/>
      <c r="KVD1" s="22"/>
      <c r="KVE1" s="22"/>
      <c r="KVF1" s="22"/>
      <c r="KVG1" s="22"/>
      <c r="KVH1" s="22"/>
      <c r="KVI1" s="22"/>
      <c r="KVJ1" s="22"/>
      <c r="KVK1" s="22"/>
      <c r="KVL1" s="22"/>
      <c r="KVM1" s="22"/>
      <c r="KVN1" s="22"/>
      <c r="KVO1" s="22"/>
      <c r="KVP1" s="22"/>
      <c r="KVQ1" s="22"/>
      <c r="KVR1" s="22"/>
      <c r="KVS1" s="22"/>
      <c r="KVT1" s="22"/>
      <c r="KVU1" s="22"/>
      <c r="KVV1" s="22"/>
      <c r="KVW1" s="22"/>
      <c r="KVX1" s="22"/>
      <c r="KVY1" s="22"/>
      <c r="KVZ1" s="22"/>
      <c r="KWA1" s="22"/>
      <c r="KWB1" s="22"/>
      <c r="KWC1" s="22"/>
      <c r="KWD1" s="22"/>
      <c r="KWE1" s="22"/>
      <c r="KWF1" s="22"/>
      <c r="KWG1" s="22"/>
      <c r="KWH1" s="22"/>
      <c r="KWI1" s="22"/>
      <c r="KWJ1" s="22"/>
      <c r="KWK1" s="22"/>
      <c r="KWL1" s="22"/>
      <c r="KWM1" s="22"/>
      <c r="KWN1" s="22"/>
      <c r="KWO1" s="22"/>
      <c r="KWP1" s="22"/>
      <c r="KWQ1" s="22"/>
      <c r="KWR1" s="22"/>
      <c r="KWS1" s="22"/>
      <c r="KWT1" s="22"/>
      <c r="KWU1" s="22"/>
      <c r="KWV1" s="22"/>
      <c r="KWW1" s="22"/>
      <c r="KWX1" s="22"/>
      <c r="KWY1" s="22"/>
      <c r="KWZ1" s="22"/>
      <c r="KXA1" s="22"/>
      <c r="KXB1" s="22"/>
      <c r="KXC1" s="22"/>
      <c r="KXD1" s="22"/>
      <c r="KXE1" s="22"/>
      <c r="KXF1" s="22"/>
      <c r="KXG1" s="22"/>
      <c r="KXH1" s="22"/>
      <c r="KXI1" s="22"/>
      <c r="KXJ1" s="22"/>
      <c r="KXK1" s="22"/>
      <c r="KXL1" s="22"/>
      <c r="KXM1" s="22"/>
      <c r="KXN1" s="22"/>
      <c r="KXO1" s="22"/>
      <c r="KXP1" s="22"/>
      <c r="KXQ1" s="22"/>
      <c r="KXR1" s="22"/>
      <c r="KXS1" s="22"/>
      <c r="KXT1" s="22"/>
      <c r="KXU1" s="22"/>
      <c r="KXV1" s="22"/>
      <c r="KXW1" s="22"/>
      <c r="KXX1" s="22"/>
      <c r="KXY1" s="22"/>
      <c r="KXZ1" s="22"/>
      <c r="KYA1" s="22"/>
      <c r="KYB1" s="22"/>
      <c r="KYC1" s="22"/>
      <c r="KYD1" s="22"/>
      <c r="KYE1" s="22"/>
      <c r="KYF1" s="22"/>
      <c r="KYG1" s="22"/>
      <c r="KYH1" s="22"/>
      <c r="KYI1" s="22"/>
      <c r="KYJ1" s="22"/>
      <c r="KYK1" s="22"/>
      <c r="KYL1" s="22"/>
      <c r="KYM1" s="22"/>
      <c r="KYN1" s="22"/>
      <c r="KYO1" s="22"/>
      <c r="KYP1" s="22"/>
      <c r="KYQ1" s="22"/>
      <c r="KYR1" s="22"/>
      <c r="KYS1" s="22"/>
      <c r="KYT1" s="22"/>
      <c r="KYU1" s="22"/>
      <c r="KYV1" s="22"/>
      <c r="KYW1" s="22"/>
      <c r="KYX1" s="22"/>
      <c r="KYY1" s="22"/>
      <c r="KYZ1" s="22"/>
      <c r="KZA1" s="22"/>
      <c r="KZB1" s="22"/>
      <c r="KZC1" s="22"/>
      <c r="KZD1" s="22"/>
      <c r="KZE1" s="22"/>
      <c r="KZF1" s="22"/>
      <c r="KZG1" s="22"/>
      <c r="KZH1" s="22"/>
      <c r="KZI1" s="22"/>
      <c r="KZJ1" s="22"/>
      <c r="KZK1" s="22"/>
      <c r="KZL1" s="22"/>
      <c r="KZM1" s="22"/>
      <c r="KZN1" s="22"/>
      <c r="KZO1" s="22"/>
      <c r="KZP1" s="22"/>
      <c r="KZQ1" s="22"/>
      <c r="KZR1" s="22"/>
      <c r="KZS1" s="22"/>
      <c r="KZT1" s="22"/>
      <c r="KZU1" s="22"/>
      <c r="KZV1" s="22"/>
      <c r="KZW1" s="22"/>
      <c r="KZX1" s="22"/>
      <c r="KZY1" s="22"/>
      <c r="KZZ1" s="22"/>
      <c r="LAA1" s="22"/>
      <c r="LAB1" s="22"/>
      <c r="LAC1" s="22"/>
      <c r="LAD1" s="22"/>
      <c r="LAE1" s="22"/>
      <c r="LAF1" s="22"/>
      <c r="LAG1" s="22"/>
      <c r="LAH1" s="22"/>
      <c r="LAI1" s="22"/>
      <c r="LAJ1" s="22"/>
      <c r="LAK1" s="22"/>
      <c r="LAL1" s="22"/>
      <c r="LAM1" s="22"/>
      <c r="LAN1" s="22"/>
      <c r="LAO1" s="22"/>
      <c r="LAP1" s="22"/>
      <c r="LAQ1" s="22"/>
      <c r="LAR1" s="22"/>
      <c r="LAS1" s="22"/>
      <c r="LAT1" s="22"/>
      <c r="LAU1" s="22"/>
      <c r="LAV1" s="22"/>
      <c r="LAW1" s="22"/>
      <c r="LAX1" s="22"/>
      <c r="LAY1" s="22"/>
      <c r="LAZ1" s="22"/>
      <c r="LBA1" s="22"/>
      <c r="LBB1" s="22"/>
      <c r="LBC1" s="22"/>
      <c r="LBD1" s="22"/>
      <c r="LBE1" s="22"/>
      <c r="LBF1" s="22"/>
      <c r="LBG1" s="22"/>
      <c r="LBH1" s="22"/>
      <c r="LBI1" s="22"/>
      <c r="LBJ1" s="22"/>
      <c r="LBK1" s="22"/>
      <c r="LBL1" s="22"/>
      <c r="LBM1" s="22"/>
      <c r="LBN1" s="22"/>
      <c r="LBO1" s="22"/>
      <c r="LBP1" s="22"/>
      <c r="LBQ1" s="22"/>
      <c r="LBR1" s="22"/>
      <c r="LBS1" s="22"/>
      <c r="LBT1" s="22"/>
      <c r="LBU1" s="22"/>
      <c r="LBV1" s="22"/>
      <c r="LBW1" s="22"/>
      <c r="LBX1" s="22"/>
      <c r="LBY1" s="22"/>
      <c r="LBZ1" s="22"/>
      <c r="LCA1" s="22"/>
      <c r="LCB1" s="22"/>
      <c r="LCC1" s="22"/>
      <c r="LCD1" s="22"/>
      <c r="LCE1" s="22"/>
      <c r="LCF1" s="22"/>
      <c r="LCG1" s="22"/>
      <c r="LCH1" s="22"/>
      <c r="LCI1" s="22"/>
      <c r="LCJ1" s="22"/>
      <c r="LCK1" s="22"/>
      <c r="LCL1" s="22"/>
      <c r="LCM1" s="22"/>
      <c r="LCN1" s="22"/>
      <c r="LCO1" s="22"/>
      <c r="LCP1" s="22"/>
      <c r="LCQ1" s="22"/>
      <c r="LCR1" s="22"/>
      <c r="LCS1" s="22"/>
      <c r="LCT1" s="22"/>
      <c r="LCU1" s="22"/>
      <c r="LCV1" s="22"/>
      <c r="LCW1" s="22"/>
      <c r="LCX1" s="22"/>
      <c r="LCY1" s="22"/>
      <c r="LCZ1" s="22"/>
      <c r="LDA1" s="22"/>
      <c r="LDB1" s="22"/>
      <c r="LDC1" s="22"/>
      <c r="LDD1" s="22"/>
      <c r="LDE1" s="22"/>
      <c r="LDF1" s="22"/>
      <c r="LDG1" s="22"/>
      <c r="LDH1" s="22"/>
      <c r="LDI1" s="22"/>
      <c r="LDJ1" s="22"/>
      <c r="LDK1" s="22"/>
      <c r="LDL1" s="22"/>
      <c r="LDM1" s="22"/>
      <c r="LDN1" s="22"/>
      <c r="LDO1" s="22"/>
      <c r="LDP1" s="22"/>
      <c r="LDQ1" s="22"/>
      <c r="LDR1" s="22"/>
      <c r="LDS1" s="22"/>
      <c r="LDT1" s="22"/>
      <c r="LDU1" s="22"/>
      <c r="LDV1" s="22"/>
      <c r="LDW1" s="22"/>
      <c r="LDX1" s="22"/>
      <c r="LDY1" s="22"/>
      <c r="LDZ1" s="22"/>
      <c r="LEA1" s="22"/>
      <c r="LEB1" s="22"/>
      <c r="LEC1" s="22"/>
      <c r="LED1" s="22"/>
      <c r="LEE1" s="22"/>
      <c r="LEF1" s="22"/>
      <c r="LEG1" s="22"/>
      <c r="LEH1" s="22"/>
      <c r="LEI1" s="22"/>
      <c r="LEJ1" s="22"/>
      <c r="LEK1" s="22"/>
      <c r="LEL1" s="22"/>
      <c r="LEM1" s="22"/>
      <c r="LEN1" s="22"/>
      <c r="LEO1" s="22"/>
      <c r="LEP1" s="22"/>
      <c r="LEQ1" s="22"/>
      <c r="LER1" s="22"/>
      <c r="LES1" s="22"/>
      <c r="LET1" s="22"/>
      <c r="LEU1" s="22"/>
      <c r="LEV1" s="22"/>
      <c r="LEW1" s="22"/>
      <c r="LEX1" s="22"/>
      <c r="LEY1" s="22"/>
      <c r="LEZ1" s="22"/>
      <c r="LFA1" s="22"/>
      <c r="LFB1" s="22"/>
      <c r="LFC1" s="22"/>
      <c r="LFD1" s="22"/>
      <c r="LFE1" s="22"/>
      <c r="LFF1" s="22"/>
      <c r="LFG1" s="22"/>
      <c r="LFH1" s="22"/>
      <c r="LFI1" s="22"/>
      <c r="LFJ1" s="22"/>
      <c r="LFK1" s="22"/>
      <c r="LFL1" s="22"/>
      <c r="LFM1" s="22"/>
      <c r="LFN1" s="22"/>
      <c r="LFO1" s="22"/>
      <c r="LFP1" s="22"/>
      <c r="LFQ1" s="22"/>
      <c r="LFR1" s="22"/>
      <c r="LFS1" s="22"/>
      <c r="LFT1" s="22"/>
      <c r="LFU1" s="22"/>
      <c r="LFV1" s="22"/>
      <c r="LFW1" s="22"/>
      <c r="LFX1" s="22"/>
      <c r="LFY1" s="22"/>
      <c r="LFZ1" s="22"/>
      <c r="LGA1" s="22"/>
      <c r="LGB1" s="22"/>
      <c r="LGC1" s="22"/>
      <c r="LGD1" s="22"/>
      <c r="LGE1" s="22"/>
      <c r="LGF1" s="22"/>
      <c r="LGG1" s="22"/>
      <c r="LGH1" s="22"/>
      <c r="LGI1" s="22"/>
      <c r="LGJ1" s="22"/>
      <c r="LGK1" s="22"/>
      <c r="LGL1" s="22"/>
      <c r="LGM1" s="22"/>
      <c r="LGN1" s="22"/>
      <c r="LGO1" s="22"/>
      <c r="LGP1" s="22"/>
      <c r="LGQ1" s="22"/>
      <c r="LGR1" s="22"/>
      <c r="LGS1" s="22"/>
      <c r="LGT1" s="22"/>
      <c r="LGU1" s="22"/>
      <c r="LGV1" s="22"/>
      <c r="LGW1" s="22"/>
      <c r="LGX1" s="22"/>
      <c r="LGY1" s="22"/>
      <c r="LGZ1" s="22"/>
      <c r="LHA1" s="22"/>
      <c r="LHB1" s="22"/>
      <c r="LHC1" s="22"/>
      <c r="LHD1" s="22"/>
      <c r="LHE1" s="22"/>
      <c r="LHF1" s="22"/>
      <c r="LHG1" s="22"/>
      <c r="LHH1" s="22"/>
      <c r="LHI1" s="22"/>
      <c r="LHJ1" s="22"/>
      <c r="LHK1" s="22"/>
      <c r="LHL1" s="22"/>
      <c r="LHM1" s="22"/>
      <c r="LHN1" s="22"/>
      <c r="LHO1" s="22"/>
      <c r="LHP1" s="22"/>
      <c r="LHQ1" s="22"/>
      <c r="LHR1" s="22"/>
      <c r="LHS1" s="22"/>
      <c r="LHT1" s="22"/>
      <c r="LHU1" s="22"/>
      <c r="LHV1" s="22"/>
      <c r="LHW1" s="22"/>
      <c r="LHX1" s="22"/>
      <c r="LHY1" s="22"/>
      <c r="LHZ1" s="22"/>
      <c r="LIA1" s="22"/>
      <c r="LIB1" s="22"/>
      <c r="LIC1" s="22"/>
      <c r="LID1" s="22"/>
      <c r="LIE1" s="22"/>
      <c r="LIF1" s="22"/>
      <c r="LIG1" s="22"/>
      <c r="LIH1" s="22"/>
      <c r="LII1" s="22"/>
      <c r="LIJ1" s="22"/>
      <c r="LIK1" s="22"/>
      <c r="LIL1" s="22"/>
      <c r="LIM1" s="22"/>
      <c r="LIN1" s="22"/>
      <c r="LIO1" s="22"/>
      <c r="LIP1" s="22"/>
      <c r="LIQ1" s="22"/>
      <c r="LIR1" s="22"/>
      <c r="LIS1" s="22"/>
      <c r="LIT1" s="22"/>
      <c r="LIU1" s="22"/>
      <c r="LIV1" s="22"/>
      <c r="LIW1" s="22"/>
      <c r="LIX1" s="22"/>
      <c r="LIY1" s="22"/>
      <c r="LIZ1" s="22"/>
      <c r="LJA1" s="22"/>
      <c r="LJB1" s="22"/>
      <c r="LJC1" s="22"/>
      <c r="LJD1" s="22"/>
      <c r="LJE1" s="22"/>
      <c r="LJF1" s="22"/>
      <c r="LJG1" s="22"/>
      <c r="LJH1" s="22"/>
      <c r="LJI1" s="22"/>
      <c r="LJJ1" s="22"/>
      <c r="LJK1" s="22"/>
      <c r="LJL1" s="22"/>
      <c r="LJM1" s="22"/>
      <c r="LJN1" s="22"/>
      <c r="LJO1" s="22"/>
      <c r="LJP1" s="22"/>
      <c r="LJQ1" s="22"/>
      <c r="LJR1" s="22"/>
      <c r="LJS1" s="22"/>
      <c r="LJT1" s="22"/>
      <c r="LJU1" s="22"/>
      <c r="LJV1" s="22"/>
      <c r="LJW1" s="22"/>
      <c r="LJX1" s="22"/>
      <c r="LJY1" s="22"/>
      <c r="LJZ1" s="22"/>
      <c r="LKA1" s="22"/>
      <c r="LKB1" s="22"/>
      <c r="LKC1" s="22"/>
      <c r="LKD1" s="22"/>
      <c r="LKE1" s="22"/>
      <c r="LKF1" s="22"/>
      <c r="LKG1" s="22"/>
      <c r="LKH1" s="22"/>
      <c r="LKI1" s="22"/>
      <c r="LKJ1" s="22"/>
      <c r="LKK1" s="22"/>
      <c r="LKL1" s="22"/>
      <c r="LKM1" s="22"/>
      <c r="LKN1" s="22"/>
      <c r="LKO1" s="22"/>
      <c r="LKP1" s="22"/>
      <c r="LKQ1" s="22"/>
      <c r="LKR1" s="22"/>
      <c r="LKS1" s="22"/>
      <c r="LKT1" s="22"/>
      <c r="LKU1" s="22"/>
      <c r="LKV1" s="22"/>
      <c r="LKW1" s="22"/>
      <c r="LKX1" s="22"/>
      <c r="LKY1" s="22"/>
      <c r="LKZ1" s="22"/>
      <c r="LLA1" s="22"/>
      <c r="LLB1" s="22"/>
      <c r="LLC1" s="22"/>
      <c r="LLD1" s="22"/>
      <c r="LLE1" s="22"/>
      <c r="LLF1" s="22"/>
      <c r="LLG1" s="22"/>
      <c r="LLH1" s="22"/>
      <c r="LLI1" s="22"/>
      <c r="LLJ1" s="22"/>
      <c r="LLK1" s="22"/>
      <c r="LLL1" s="22"/>
      <c r="LLM1" s="22"/>
      <c r="LLN1" s="22"/>
      <c r="LLO1" s="22"/>
      <c r="LLP1" s="22"/>
      <c r="LLQ1" s="22"/>
      <c r="LLR1" s="22"/>
      <c r="LLS1" s="22"/>
      <c r="LLT1" s="22"/>
      <c r="LLU1" s="22"/>
      <c r="LLV1" s="22"/>
      <c r="LLW1" s="22"/>
      <c r="LLX1" s="22"/>
      <c r="LLY1" s="22"/>
      <c r="LLZ1" s="22"/>
      <c r="LMA1" s="22"/>
      <c r="LMB1" s="22"/>
      <c r="LMC1" s="22"/>
      <c r="LMD1" s="22"/>
      <c r="LME1" s="22"/>
      <c r="LMF1" s="22"/>
      <c r="LMG1" s="22"/>
      <c r="LMH1" s="22"/>
      <c r="LMI1" s="22"/>
      <c r="LMJ1" s="22"/>
      <c r="LMK1" s="22"/>
      <c r="LML1" s="22"/>
      <c r="LMM1" s="22"/>
      <c r="LMN1" s="22"/>
      <c r="LMO1" s="22"/>
      <c r="LMP1" s="22"/>
      <c r="LMQ1" s="22"/>
      <c r="LMR1" s="22"/>
      <c r="LMS1" s="22"/>
      <c r="LMT1" s="22"/>
      <c r="LMU1" s="22"/>
      <c r="LMV1" s="22"/>
      <c r="LMW1" s="22"/>
      <c r="LMX1" s="22"/>
      <c r="LMY1" s="22"/>
      <c r="LMZ1" s="22"/>
      <c r="LNA1" s="22"/>
      <c r="LNB1" s="22"/>
      <c r="LNC1" s="22"/>
      <c r="LND1" s="22"/>
      <c r="LNE1" s="22"/>
      <c r="LNF1" s="22"/>
      <c r="LNG1" s="22"/>
      <c r="LNH1" s="22"/>
      <c r="LNI1" s="22"/>
      <c r="LNJ1" s="22"/>
      <c r="LNK1" s="22"/>
      <c r="LNL1" s="22"/>
      <c r="LNM1" s="22"/>
      <c r="LNN1" s="22"/>
      <c r="LNO1" s="22"/>
      <c r="LNP1" s="22"/>
      <c r="LNQ1" s="22"/>
      <c r="LNR1" s="22"/>
      <c r="LNS1" s="22"/>
      <c r="LNT1" s="22"/>
      <c r="LNU1" s="22"/>
      <c r="LNV1" s="22"/>
      <c r="LNW1" s="22"/>
      <c r="LNX1" s="22"/>
      <c r="LNY1" s="22"/>
      <c r="LNZ1" s="22"/>
      <c r="LOA1" s="22"/>
      <c r="LOB1" s="22"/>
      <c r="LOC1" s="22"/>
      <c r="LOD1" s="22"/>
      <c r="LOE1" s="22"/>
      <c r="LOF1" s="22"/>
      <c r="LOG1" s="22"/>
      <c r="LOH1" s="22"/>
      <c r="LOI1" s="22"/>
      <c r="LOJ1" s="22"/>
      <c r="LOK1" s="22"/>
      <c r="LOL1" s="22"/>
      <c r="LOM1" s="22"/>
      <c r="LON1" s="22"/>
      <c r="LOO1" s="22"/>
      <c r="LOP1" s="22"/>
      <c r="LOQ1" s="22"/>
      <c r="LOR1" s="22"/>
      <c r="LOS1" s="22"/>
      <c r="LOT1" s="22"/>
      <c r="LOU1" s="22"/>
      <c r="LOV1" s="22"/>
      <c r="LOW1" s="22"/>
      <c r="LOX1" s="22"/>
      <c r="LOY1" s="22"/>
      <c r="LOZ1" s="22"/>
      <c r="LPA1" s="22"/>
      <c r="LPB1" s="22"/>
      <c r="LPC1" s="22"/>
      <c r="LPD1" s="22"/>
      <c r="LPE1" s="22"/>
      <c r="LPF1" s="22"/>
      <c r="LPG1" s="22"/>
      <c r="LPH1" s="22"/>
      <c r="LPI1" s="22"/>
      <c r="LPJ1" s="22"/>
      <c r="LPK1" s="22"/>
      <c r="LPL1" s="22"/>
      <c r="LPM1" s="22"/>
      <c r="LPN1" s="22"/>
      <c r="LPO1" s="22"/>
      <c r="LPP1" s="22"/>
      <c r="LPQ1" s="22"/>
      <c r="LPR1" s="22"/>
      <c r="LPS1" s="22"/>
      <c r="LPT1" s="22"/>
      <c r="LPU1" s="22"/>
      <c r="LPV1" s="22"/>
      <c r="LPW1" s="22"/>
      <c r="LPX1" s="22"/>
      <c r="LPY1" s="22"/>
      <c r="LPZ1" s="22"/>
      <c r="LQA1" s="22"/>
      <c r="LQB1" s="22"/>
      <c r="LQC1" s="22"/>
      <c r="LQD1" s="22"/>
      <c r="LQE1" s="22"/>
      <c r="LQF1" s="22"/>
      <c r="LQG1" s="22"/>
      <c r="LQH1" s="22"/>
      <c r="LQI1" s="22"/>
      <c r="LQJ1" s="22"/>
      <c r="LQK1" s="22"/>
      <c r="LQL1" s="22"/>
      <c r="LQM1" s="22"/>
      <c r="LQN1" s="22"/>
      <c r="LQO1" s="22"/>
      <c r="LQP1" s="22"/>
      <c r="LQQ1" s="22"/>
      <c r="LQR1" s="22"/>
      <c r="LQS1" s="22"/>
      <c r="LQT1" s="22"/>
      <c r="LQU1" s="22"/>
      <c r="LQV1" s="22"/>
      <c r="LQW1" s="22"/>
      <c r="LQX1" s="22"/>
      <c r="LQY1" s="22"/>
      <c r="LQZ1" s="22"/>
      <c r="LRA1" s="22"/>
      <c r="LRB1" s="22"/>
      <c r="LRC1" s="22"/>
      <c r="LRD1" s="22"/>
      <c r="LRE1" s="22"/>
      <c r="LRF1" s="22"/>
      <c r="LRG1" s="22"/>
      <c r="LRH1" s="22"/>
      <c r="LRI1" s="22"/>
      <c r="LRJ1" s="22"/>
      <c r="LRK1" s="22"/>
      <c r="LRL1" s="22"/>
      <c r="LRM1" s="22"/>
      <c r="LRN1" s="22"/>
      <c r="LRO1" s="22"/>
      <c r="LRP1" s="22"/>
      <c r="LRQ1" s="22"/>
      <c r="LRR1" s="22"/>
      <c r="LRS1" s="22"/>
      <c r="LRT1" s="22"/>
      <c r="LRU1" s="22"/>
      <c r="LRV1" s="22"/>
      <c r="LRW1" s="22"/>
      <c r="LRX1" s="22"/>
      <c r="LRY1" s="22"/>
      <c r="LRZ1" s="22"/>
      <c r="LSA1" s="22"/>
      <c r="LSB1" s="22"/>
      <c r="LSC1" s="22"/>
      <c r="LSD1" s="22"/>
      <c r="LSE1" s="22"/>
      <c r="LSF1" s="22"/>
      <c r="LSG1" s="22"/>
      <c r="LSH1" s="22"/>
      <c r="LSI1" s="22"/>
      <c r="LSJ1" s="22"/>
      <c r="LSK1" s="22"/>
      <c r="LSL1" s="22"/>
      <c r="LSM1" s="22"/>
      <c r="LSN1" s="22"/>
      <c r="LSO1" s="22"/>
      <c r="LSP1" s="22"/>
      <c r="LSQ1" s="22"/>
      <c r="LSR1" s="22"/>
      <c r="LSS1" s="22"/>
      <c r="LST1" s="22"/>
      <c r="LSU1" s="22"/>
      <c r="LSV1" s="22"/>
      <c r="LSW1" s="22"/>
      <c r="LSX1" s="22"/>
      <c r="LSY1" s="22"/>
      <c r="LSZ1" s="22"/>
      <c r="LTA1" s="22"/>
      <c r="LTB1" s="22"/>
      <c r="LTC1" s="22"/>
      <c r="LTD1" s="22"/>
      <c r="LTE1" s="22"/>
      <c r="LTF1" s="22"/>
      <c r="LTG1" s="22"/>
      <c r="LTH1" s="22"/>
      <c r="LTI1" s="22"/>
      <c r="LTJ1" s="22"/>
      <c r="LTK1" s="22"/>
      <c r="LTL1" s="22"/>
      <c r="LTM1" s="22"/>
      <c r="LTN1" s="22"/>
      <c r="LTO1" s="22"/>
      <c r="LTP1" s="22"/>
      <c r="LTQ1" s="22"/>
      <c r="LTR1" s="22"/>
      <c r="LTS1" s="22"/>
      <c r="LTT1" s="22"/>
      <c r="LTU1" s="22"/>
      <c r="LTV1" s="22"/>
      <c r="LTW1" s="22"/>
      <c r="LTX1" s="22"/>
      <c r="LTY1" s="22"/>
      <c r="LTZ1" s="22"/>
      <c r="LUA1" s="22"/>
      <c r="LUB1" s="22"/>
      <c r="LUC1" s="22"/>
      <c r="LUD1" s="22"/>
      <c r="LUE1" s="22"/>
      <c r="LUF1" s="22"/>
      <c r="LUG1" s="22"/>
      <c r="LUH1" s="22"/>
      <c r="LUI1" s="22"/>
      <c r="LUJ1" s="22"/>
      <c r="LUK1" s="22"/>
      <c r="LUL1" s="22"/>
      <c r="LUM1" s="22"/>
      <c r="LUN1" s="22"/>
      <c r="LUO1" s="22"/>
      <c r="LUP1" s="22"/>
      <c r="LUQ1" s="22"/>
      <c r="LUR1" s="22"/>
      <c r="LUS1" s="22"/>
      <c r="LUT1" s="22"/>
      <c r="LUU1" s="22"/>
      <c r="LUV1" s="22"/>
      <c r="LUW1" s="22"/>
      <c r="LUX1" s="22"/>
      <c r="LUY1" s="22"/>
      <c r="LUZ1" s="22"/>
      <c r="LVA1" s="22"/>
      <c r="LVB1" s="22"/>
      <c r="LVC1" s="22"/>
      <c r="LVD1" s="22"/>
      <c r="LVE1" s="22"/>
      <c r="LVF1" s="22"/>
      <c r="LVG1" s="22"/>
      <c r="LVH1" s="22"/>
      <c r="LVI1" s="22"/>
      <c r="LVJ1" s="22"/>
      <c r="LVK1" s="22"/>
      <c r="LVL1" s="22"/>
      <c r="LVM1" s="22"/>
      <c r="LVN1" s="22"/>
      <c r="LVO1" s="22"/>
      <c r="LVP1" s="22"/>
      <c r="LVQ1" s="22"/>
      <c r="LVR1" s="22"/>
      <c r="LVS1" s="22"/>
      <c r="LVT1" s="22"/>
      <c r="LVU1" s="22"/>
      <c r="LVV1" s="22"/>
      <c r="LVW1" s="22"/>
      <c r="LVX1" s="22"/>
      <c r="LVY1" s="22"/>
      <c r="LVZ1" s="22"/>
      <c r="LWA1" s="22"/>
      <c r="LWB1" s="22"/>
      <c r="LWC1" s="22"/>
      <c r="LWD1" s="22"/>
      <c r="LWE1" s="22"/>
      <c r="LWF1" s="22"/>
      <c r="LWG1" s="22"/>
      <c r="LWH1" s="22"/>
      <c r="LWI1" s="22"/>
      <c r="LWJ1" s="22"/>
      <c r="LWK1" s="22"/>
      <c r="LWL1" s="22"/>
      <c r="LWM1" s="22"/>
      <c r="LWN1" s="22"/>
      <c r="LWO1" s="22"/>
      <c r="LWP1" s="22"/>
      <c r="LWQ1" s="22"/>
      <c r="LWR1" s="22"/>
      <c r="LWS1" s="22"/>
      <c r="LWT1" s="22"/>
      <c r="LWU1" s="22"/>
      <c r="LWV1" s="22"/>
      <c r="LWW1" s="22"/>
      <c r="LWX1" s="22"/>
      <c r="LWY1" s="22"/>
      <c r="LWZ1" s="22"/>
      <c r="LXA1" s="22"/>
      <c r="LXB1" s="22"/>
      <c r="LXC1" s="22"/>
      <c r="LXD1" s="22"/>
      <c r="LXE1" s="22"/>
      <c r="LXF1" s="22"/>
      <c r="LXG1" s="22"/>
      <c r="LXH1" s="22"/>
      <c r="LXI1" s="22"/>
      <c r="LXJ1" s="22"/>
      <c r="LXK1" s="22"/>
      <c r="LXL1" s="22"/>
      <c r="LXM1" s="22"/>
      <c r="LXN1" s="22"/>
      <c r="LXO1" s="22"/>
      <c r="LXP1" s="22"/>
      <c r="LXQ1" s="22"/>
      <c r="LXR1" s="22"/>
      <c r="LXS1" s="22"/>
      <c r="LXT1" s="22"/>
      <c r="LXU1" s="22"/>
      <c r="LXV1" s="22"/>
      <c r="LXW1" s="22"/>
      <c r="LXX1" s="22"/>
      <c r="LXY1" s="22"/>
      <c r="LXZ1" s="22"/>
      <c r="LYA1" s="22"/>
      <c r="LYB1" s="22"/>
      <c r="LYC1" s="22"/>
      <c r="LYD1" s="22"/>
      <c r="LYE1" s="22"/>
      <c r="LYF1" s="22"/>
      <c r="LYG1" s="22"/>
      <c r="LYH1" s="22"/>
      <c r="LYI1" s="22"/>
      <c r="LYJ1" s="22"/>
      <c r="LYK1" s="22"/>
      <c r="LYL1" s="22"/>
      <c r="LYM1" s="22"/>
      <c r="LYN1" s="22"/>
      <c r="LYO1" s="22"/>
      <c r="LYP1" s="22"/>
      <c r="LYQ1" s="22"/>
      <c r="LYR1" s="22"/>
      <c r="LYS1" s="22"/>
      <c r="LYT1" s="22"/>
      <c r="LYU1" s="22"/>
      <c r="LYV1" s="22"/>
      <c r="LYW1" s="22"/>
      <c r="LYX1" s="22"/>
      <c r="LYY1" s="22"/>
      <c r="LYZ1" s="22"/>
      <c r="LZA1" s="22"/>
      <c r="LZB1" s="22"/>
      <c r="LZC1" s="22"/>
      <c r="LZD1" s="22"/>
      <c r="LZE1" s="22"/>
      <c r="LZF1" s="22"/>
      <c r="LZG1" s="22"/>
      <c r="LZH1" s="22"/>
      <c r="LZI1" s="22"/>
      <c r="LZJ1" s="22"/>
      <c r="LZK1" s="22"/>
      <c r="LZL1" s="22"/>
      <c r="LZM1" s="22"/>
      <c r="LZN1" s="22"/>
      <c r="LZO1" s="22"/>
      <c r="LZP1" s="22"/>
      <c r="LZQ1" s="22"/>
      <c r="LZR1" s="22"/>
      <c r="LZS1" s="22"/>
      <c r="LZT1" s="22"/>
      <c r="LZU1" s="22"/>
      <c r="LZV1" s="22"/>
      <c r="LZW1" s="22"/>
      <c r="LZX1" s="22"/>
      <c r="LZY1" s="22"/>
      <c r="LZZ1" s="22"/>
      <c r="MAA1" s="22"/>
      <c r="MAB1" s="22"/>
      <c r="MAC1" s="22"/>
      <c r="MAD1" s="22"/>
      <c r="MAE1" s="22"/>
      <c r="MAF1" s="22"/>
      <c r="MAG1" s="22"/>
      <c r="MAH1" s="22"/>
      <c r="MAI1" s="22"/>
      <c r="MAJ1" s="22"/>
      <c r="MAK1" s="22"/>
      <c r="MAL1" s="22"/>
      <c r="MAM1" s="22"/>
      <c r="MAN1" s="22"/>
      <c r="MAO1" s="22"/>
      <c r="MAP1" s="22"/>
      <c r="MAQ1" s="22"/>
      <c r="MAR1" s="22"/>
      <c r="MAS1" s="22"/>
      <c r="MAT1" s="22"/>
      <c r="MAU1" s="22"/>
      <c r="MAV1" s="22"/>
      <c r="MAW1" s="22"/>
      <c r="MAX1" s="22"/>
      <c r="MAY1" s="22"/>
      <c r="MAZ1" s="22"/>
      <c r="MBA1" s="22"/>
      <c r="MBB1" s="22"/>
      <c r="MBC1" s="22"/>
      <c r="MBD1" s="22"/>
      <c r="MBE1" s="22"/>
      <c r="MBF1" s="22"/>
      <c r="MBG1" s="22"/>
      <c r="MBH1" s="22"/>
      <c r="MBI1" s="22"/>
      <c r="MBJ1" s="22"/>
      <c r="MBK1" s="22"/>
      <c r="MBL1" s="22"/>
      <c r="MBM1" s="22"/>
      <c r="MBN1" s="22"/>
      <c r="MBO1" s="22"/>
      <c r="MBP1" s="22"/>
      <c r="MBQ1" s="22"/>
      <c r="MBR1" s="22"/>
      <c r="MBS1" s="22"/>
      <c r="MBT1" s="22"/>
      <c r="MBU1" s="22"/>
      <c r="MBV1" s="22"/>
      <c r="MBW1" s="22"/>
      <c r="MBX1" s="22"/>
      <c r="MBY1" s="22"/>
      <c r="MBZ1" s="22"/>
      <c r="MCA1" s="22"/>
      <c r="MCB1" s="22"/>
      <c r="MCC1" s="22"/>
      <c r="MCD1" s="22"/>
      <c r="MCE1" s="22"/>
      <c r="MCF1" s="22"/>
      <c r="MCG1" s="22"/>
      <c r="MCH1" s="22"/>
      <c r="MCI1" s="22"/>
      <c r="MCJ1" s="22"/>
      <c r="MCK1" s="22"/>
      <c r="MCL1" s="22"/>
      <c r="MCM1" s="22"/>
      <c r="MCN1" s="22"/>
      <c r="MCO1" s="22"/>
      <c r="MCP1" s="22"/>
      <c r="MCQ1" s="22"/>
      <c r="MCR1" s="22"/>
      <c r="MCS1" s="22"/>
      <c r="MCT1" s="22"/>
      <c r="MCU1" s="22"/>
      <c r="MCV1" s="22"/>
      <c r="MCW1" s="22"/>
      <c r="MCX1" s="22"/>
      <c r="MCY1" s="22"/>
      <c r="MCZ1" s="22"/>
      <c r="MDA1" s="22"/>
      <c r="MDB1" s="22"/>
      <c r="MDC1" s="22"/>
      <c r="MDD1" s="22"/>
      <c r="MDE1" s="22"/>
      <c r="MDF1" s="22"/>
      <c r="MDG1" s="22"/>
      <c r="MDH1" s="22"/>
      <c r="MDI1" s="22"/>
      <c r="MDJ1" s="22"/>
      <c r="MDK1" s="22"/>
      <c r="MDL1" s="22"/>
      <c r="MDM1" s="22"/>
      <c r="MDN1" s="22"/>
      <c r="MDO1" s="22"/>
      <c r="MDP1" s="22"/>
      <c r="MDQ1" s="22"/>
      <c r="MDR1" s="22"/>
      <c r="MDS1" s="22"/>
      <c r="MDT1" s="22"/>
      <c r="MDU1" s="22"/>
      <c r="MDV1" s="22"/>
      <c r="MDW1" s="22"/>
      <c r="MDX1" s="22"/>
      <c r="MDY1" s="22"/>
      <c r="MDZ1" s="22"/>
      <c r="MEA1" s="22"/>
      <c r="MEB1" s="22"/>
      <c r="MEC1" s="22"/>
      <c r="MED1" s="22"/>
      <c r="MEE1" s="22"/>
      <c r="MEF1" s="22"/>
      <c r="MEG1" s="22"/>
      <c r="MEH1" s="22"/>
      <c r="MEI1" s="22"/>
      <c r="MEJ1" s="22"/>
      <c r="MEK1" s="22"/>
      <c r="MEL1" s="22"/>
      <c r="MEM1" s="22"/>
      <c r="MEN1" s="22"/>
      <c r="MEO1" s="22"/>
      <c r="MEP1" s="22"/>
      <c r="MEQ1" s="22"/>
      <c r="MER1" s="22"/>
      <c r="MES1" s="22"/>
      <c r="MET1" s="22"/>
      <c r="MEU1" s="22"/>
      <c r="MEV1" s="22"/>
      <c r="MEW1" s="22"/>
      <c r="MEX1" s="22"/>
      <c r="MEY1" s="22"/>
      <c r="MEZ1" s="22"/>
      <c r="MFA1" s="22"/>
      <c r="MFB1" s="22"/>
      <c r="MFC1" s="22"/>
      <c r="MFD1" s="22"/>
      <c r="MFE1" s="22"/>
      <c r="MFF1" s="22"/>
      <c r="MFG1" s="22"/>
      <c r="MFH1" s="22"/>
      <c r="MFI1" s="22"/>
      <c r="MFJ1" s="22"/>
      <c r="MFK1" s="22"/>
      <c r="MFL1" s="22"/>
      <c r="MFM1" s="22"/>
      <c r="MFN1" s="22"/>
      <c r="MFO1" s="22"/>
      <c r="MFP1" s="22"/>
      <c r="MFQ1" s="22"/>
      <c r="MFR1" s="22"/>
      <c r="MFS1" s="22"/>
      <c r="MFT1" s="22"/>
      <c r="MFU1" s="22"/>
      <c r="MFV1" s="22"/>
      <c r="MFW1" s="22"/>
      <c r="MFX1" s="22"/>
      <c r="MFY1" s="22"/>
      <c r="MFZ1" s="22"/>
      <c r="MGA1" s="22"/>
      <c r="MGB1" s="22"/>
      <c r="MGC1" s="22"/>
      <c r="MGD1" s="22"/>
      <c r="MGE1" s="22"/>
      <c r="MGF1" s="22"/>
      <c r="MGG1" s="22"/>
      <c r="MGH1" s="22"/>
      <c r="MGI1" s="22"/>
      <c r="MGJ1" s="22"/>
      <c r="MGK1" s="22"/>
      <c r="MGL1" s="22"/>
      <c r="MGM1" s="22"/>
      <c r="MGN1" s="22"/>
      <c r="MGO1" s="22"/>
      <c r="MGP1" s="22"/>
      <c r="MGQ1" s="22"/>
      <c r="MGR1" s="22"/>
      <c r="MGS1" s="22"/>
      <c r="MGT1" s="22"/>
      <c r="MGU1" s="22"/>
      <c r="MGV1" s="22"/>
      <c r="MGW1" s="22"/>
      <c r="MGX1" s="22"/>
      <c r="MGY1" s="22"/>
      <c r="MGZ1" s="22"/>
      <c r="MHA1" s="22"/>
      <c r="MHB1" s="22"/>
      <c r="MHC1" s="22"/>
      <c r="MHD1" s="22"/>
      <c r="MHE1" s="22"/>
      <c r="MHF1" s="22"/>
      <c r="MHG1" s="22"/>
      <c r="MHH1" s="22"/>
      <c r="MHI1" s="22"/>
      <c r="MHJ1" s="22"/>
      <c r="MHK1" s="22"/>
      <c r="MHL1" s="22"/>
      <c r="MHM1" s="22"/>
      <c r="MHN1" s="22"/>
      <c r="MHO1" s="22"/>
      <c r="MHP1" s="22"/>
      <c r="MHQ1" s="22"/>
      <c r="MHR1" s="22"/>
      <c r="MHS1" s="22"/>
      <c r="MHT1" s="22"/>
      <c r="MHU1" s="22"/>
      <c r="MHV1" s="22"/>
      <c r="MHW1" s="22"/>
      <c r="MHX1" s="22"/>
      <c r="MHY1" s="22"/>
      <c r="MHZ1" s="22"/>
      <c r="MIA1" s="22"/>
      <c r="MIB1" s="22"/>
      <c r="MIC1" s="22"/>
      <c r="MID1" s="22"/>
      <c r="MIE1" s="22"/>
      <c r="MIF1" s="22"/>
      <c r="MIG1" s="22"/>
      <c r="MIH1" s="22"/>
      <c r="MII1" s="22"/>
      <c r="MIJ1" s="22"/>
      <c r="MIK1" s="22"/>
      <c r="MIL1" s="22"/>
      <c r="MIM1" s="22"/>
      <c r="MIN1" s="22"/>
      <c r="MIO1" s="22"/>
      <c r="MIP1" s="22"/>
      <c r="MIQ1" s="22"/>
      <c r="MIR1" s="22"/>
      <c r="MIS1" s="22"/>
      <c r="MIT1" s="22"/>
      <c r="MIU1" s="22"/>
      <c r="MIV1" s="22"/>
      <c r="MIW1" s="22"/>
      <c r="MIX1" s="22"/>
      <c r="MIY1" s="22"/>
      <c r="MIZ1" s="22"/>
      <c r="MJA1" s="22"/>
      <c r="MJB1" s="22"/>
      <c r="MJC1" s="22"/>
      <c r="MJD1" s="22"/>
      <c r="MJE1" s="22"/>
      <c r="MJF1" s="22"/>
      <c r="MJG1" s="22"/>
      <c r="MJH1" s="22"/>
      <c r="MJI1" s="22"/>
      <c r="MJJ1" s="22"/>
      <c r="MJK1" s="22"/>
      <c r="MJL1" s="22"/>
      <c r="MJM1" s="22"/>
      <c r="MJN1" s="22"/>
      <c r="MJO1" s="22"/>
      <c r="MJP1" s="22"/>
      <c r="MJQ1" s="22"/>
      <c r="MJR1" s="22"/>
      <c r="MJS1" s="22"/>
      <c r="MJT1" s="22"/>
      <c r="MJU1" s="22"/>
      <c r="MJV1" s="22"/>
      <c r="MJW1" s="22"/>
      <c r="MJX1" s="22"/>
      <c r="MJY1" s="22"/>
      <c r="MJZ1" s="22"/>
      <c r="MKA1" s="22"/>
      <c r="MKB1" s="22"/>
      <c r="MKC1" s="22"/>
      <c r="MKD1" s="22"/>
      <c r="MKE1" s="22"/>
      <c r="MKF1" s="22"/>
      <c r="MKG1" s="22"/>
      <c r="MKH1" s="22"/>
      <c r="MKI1" s="22"/>
      <c r="MKJ1" s="22"/>
      <c r="MKK1" s="22"/>
      <c r="MKL1" s="22"/>
      <c r="MKM1" s="22"/>
      <c r="MKN1" s="22"/>
      <c r="MKO1" s="22"/>
      <c r="MKP1" s="22"/>
      <c r="MKQ1" s="22"/>
      <c r="MKR1" s="22"/>
      <c r="MKS1" s="22"/>
      <c r="MKT1" s="22"/>
      <c r="MKU1" s="22"/>
      <c r="MKV1" s="22"/>
      <c r="MKW1" s="22"/>
      <c r="MKX1" s="22"/>
      <c r="MKY1" s="22"/>
      <c r="MKZ1" s="22"/>
      <c r="MLA1" s="22"/>
      <c r="MLB1" s="22"/>
      <c r="MLC1" s="22"/>
      <c r="MLD1" s="22"/>
      <c r="MLE1" s="22"/>
      <c r="MLF1" s="22"/>
      <c r="MLG1" s="22"/>
      <c r="MLH1" s="22"/>
      <c r="MLI1" s="22"/>
      <c r="MLJ1" s="22"/>
      <c r="MLK1" s="22"/>
      <c r="MLL1" s="22"/>
      <c r="MLM1" s="22"/>
      <c r="MLN1" s="22"/>
      <c r="MLO1" s="22"/>
      <c r="MLP1" s="22"/>
      <c r="MLQ1" s="22"/>
      <c r="MLR1" s="22"/>
      <c r="MLS1" s="22"/>
      <c r="MLT1" s="22"/>
      <c r="MLU1" s="22"/>
      <c r="MLV1" s="22"/>
      <c r="MLW1" s="22"/>
      <c r="MLX1" s="22"/>
      <c r="MLY1" s="22"/>
      <c r="MLZ1" s="22"/>
      <c r="MMA1" s="22"/>
      <c r="MMB1" s="22"/>
      <c r="MMC1" s="22"/>
      <c r="MMD1" s="22"/>
      <c r="MME1" s="22"/>
      <c r="MMF1" s="22"/>
      <c r="MMG1" s="22"/>
      <c r="MMH1" s="22"/>
      <c r="MMI1" s="22"/>
      <c r="MMJ1" s="22"/>
      <c r="MMK1" s="22"/>
      <c r="MML1" s="22"/>
      <c r="MMM1" s="22"/>
      <c r="MMN1" s="22"/>
      <c r="MMO1" s="22"/>
      <c r="MMP1" s="22"/>
      <c r="MMQ1" s="22"/>
      <c r="MMR1" s="22"/>
      <c r="MMS1" s="22"/>
      <c r="MMT1" s="22"/>
      <c r="MMU1" s="22"/>
      <c r="MMV1" s="22"/>
      <c r="MMW1" s="22"/>
      <c r="MMX1" s="22"/>
      <c r="MMY1" s="22"/>
      <c r="MMZ1" s="22"/>
      <c r="MNA1" s="22"/>
      <c r="MNB1" s="22"/>
      <c r="MNC1" s="22"/>
      <c r="MND1" s="22"/>
      <c r="MNE1" s="22"/>
      <c r="MNF1" s="22"/>
      <c r="MNG1" s="22"/>
      <c r="MNH1" s="22"/>
      <c r="MNI1" s="22"/>
      <c r="MNJ1" s="22"/>
      <c r="MNK1" s="22"/>
      <c r="MNL1" s="22"/>
      <c r="MNM1" s="22"/>
      <c r="MNN1" s="22"/>
      <c r="MNO1" s="22"/>
      <c r="MNP1" s="22"/>
      <c r="MNQ1" s="22"/>
      <c r="MNR1" s="22"/>
      <c r="MNS1" s="22"/>
      <c r="MNT1" s="22"/>
      <c r="MNU1" s="22"/>
      <c r="MNV1" s="22"/>
      <c r="MNW1" s="22"/>
      <c r="MNX1" s="22"/>
      <c r="MNY1" s="22"/>
      <c r="MNZ1" s="22"/>
      <c r="MOA1" s="22"/>
      <c r="MOB1" s="22"/>
      <c r="MOC1" s="22"/>
      <c r="MOD1" s="22"/>
      <c r="MOE1" s="22"/>
      <c r="MOF1" s="22"/>
      <c r="MOG1" s="22"/>
      <c r="MOH1" s="22"/>
      <c r="MOI1" s="22"/>
      <c r="MOJ1" s="22"/>
      <c r="MOK1" s="22"/>
      <c r="MOL1" s="22"/>
      <c r="MOM1" s="22"/>
      <c r="MON1" s="22"/>
      <c r="MOO1" s="22"/>
      <c r="MOP1" s="22"/>
      <c r="MOQ1" s="22"/>
      <c r="MOR1" s="22"/>
      <c r="MOS1" s="22"/>
      <c r="MOT1" s="22"/>
      <c r="MOU1" s="22"/>
      <c r="MOV1" s="22"/>
      <c r="MOW1" s="22"/>
      <c r="MOX1" s="22"/>
      <c r="MOY1" s="22"/>
      <c r="MOZ1" s="22"/>
      <c r="MPA1" s="22"/>
      <c r="MPB1" s="22"/>
      <c r="MPC1" s="22"/>
      <c r="MPD1" s="22"/>
      <c r="MPE1" s="22"/>
      <c r="MPF1" s="22"/>
      <c r="MPG1" s="22"/>
      <c r="MPH1" s="22"/>
      <c r="MPI1" s="22"/>
      <c r="MPJ1" s="22"/>
      <c r="MPK1" s="22"/>
      <c r="MPL1" s="22"/>
      <c r="MPM1" s="22"/>
      <c r="MPN1" s="22"/>
      <c r="MPO1" s="22"/>
      <c r="MPP1" s="22"/>
      <c r="MPQ1" s="22"/>
      <c r="MPR1" s="22"/>
      <c r="MPS1" s="22"/>
      <c r="MPT1" s="22"/>
      <c r="MPU1" s="22"/>
      <c r="MPV1" s="22"/>
      <c r="MPW1" s="22"/>
      <c r="MPX1" s="22"/>
      <c r="MPY1" s="22"/>
      <c r="MPZ1" s="22"/>
      <c r="MQA1" s="22"/>
      <c r="MQB1" s="22"/>
      <c r="MQC1" s="22"/>
      <c r="MQD1" s="22"/>
      <c r="MQE1" s="22"/>
      <c r="MQF1" s="22"/>
      <c r="MQG1" s="22"/>
      <c r="MQH1" s="22"/>
      <c r="MQI1" s="22"/>
      <c r="MQJ1" s="22"/>
      <c r="MQK1" s="22"/>
      <c r="MQL1" s="22"/>
      <c r="MQM1" s="22"/>
      <c r="MQN1" s="22"/>
      <c r="MQO1" s="22"/>
      <c r="MQP1" s="22"/>
      <c r="MQQ1" s="22"/>
      <c r="MQR1" s="22"/>
      <c r="MQS1" s="22"/>
      <c r="MQT1" s="22"/>
      <c r="MQU1" s="22"/>
      <c r="MQV1" s="22"/>
      <c r="MQW1" s="22"/>
      <c r="MQX1" s="22"/>
      <c r="MQY1" s="22"/>
      <c r="MQZ1" s="22"/>
      <c r="MRA1" s="22"/>
      <c r="MRB1" s="22"/>
      <c r="MRC1" s="22"/>
      <c r="MRD1" s="22"/>
      <c r="MRE1" s="22"/>
      <c r="MRF1" s="22"/>
      <c r="MRG1" s="22"/>
      <c r="MRH1" s="22"/>
      <c r="MRI1" s="22"/>
      <c r="MRJ1" s="22"/>
      <c r="MRK1" s="22"/>
      <c r="MRL1" s="22"/>
      <c r="MRM1" s="22"/>
      <c r="MRN1" s="22"/>
      <c r="MRO1" s="22"/>
      <c r="MRP1" s="22"/>
      <c r="MRQ1" s="22"/>
      <c r="MRR1" s="22"/>
      <c r="MRS1" s="22"/>
      <c r="MRT1" s="22"/>
      <c r="MRU1" s="22"/>
      <c r="MRV1" s="22"/>
      <c r="MRW1" s="22"/>
      <c r="MRX1" s="22"/>
      <c r="MRY1" s="22"/>
      <c r="MRZ1" s="22"/>
      <c r="MSA1" s="22"/>
      <c r="MSB1" s="22"/>
      <c r="MSC1" s="22"/>
      <c r="MSD1" s="22"/>
      <c r="MSE1" s="22"/>
      <c r="MSF1" s="22"/>
      <c r="MSG1" s="22"/>
      <c r="MSH1" s="22"/>
      <c r="MSI1" s="22"/>
      <c r="MSJ1" s="22"/>
      <c r="MSK1" s="22"/>
      <c r="MSL1" s="22"/>
      <c r="MSM1" s="22"/>
      <c r="MSN1" s="22"/>
      <c r="MSO1" s="22"/>
      <c r="MSP1" s="22"/>
      <c r="MSQ1" s="22"/>
      <c r="MSR1" s="22"/>
      <c r="MSS1" s="22"/>
      <c r="MST1" s="22"/>
      <c r="MSU1" s="22"/>
      <c r="MSV1" s="22"/>
      <c r="MSW1" s="22"/>
      <c r="MSX1" s="22"/>
      <c r="MSY1" s="22"/>
      <c r="MSZ1" s="22"/>
      <c r="MTA1" s="22"/>
      <c r="MTB1" s="22"/>
      <c r="MTC1" s="22"/>
      <c r="MTD1" s="22"/>
      <c r="MTE1" s="22"/>
      <c r="MTF1" s="22"/>
      <c r="MTG1" s="22"/>
      <c r="MTH1" s="22"/>
      <c r="MTI1" s="22"/>
      <c r="MTJ1" s="22"/>
      <c r="MTK1" s="22"/>
      <c r="MTL1" s="22"/>
      <c r="MTM1" s="22"/>
      <c r="MTN1" s="22"/>
      <c r="MTO1" s="22"/>
      <c r="MTP1" s="22"/>
      <c r="MTQ1" s="22"/>
      <c r="MTR1" s="22"/>
      <c r="MTS1" s="22"/>
      <c r="MTT1" s="22"/>
      <c r="MTU1" s="22"/>
      <c r="MTV1" s="22"/>
      <c r="MTW1" s="22"/>
      <c r="MTX1" s="22"/>
      <c r="MTY1" s="22"/>
      <c r="MTZ1" s="22"/>
      <c r="MUA1" s="22"/>
      <c r="MUB1" s="22"/>
      <c r="MUC1" s="22"/>
      <c r="MUD1" s="22"/>
      <c r="MUE1" s="22"/>
      <c r="MUF1" s="22"/>
      <c r="MUG1" s="22"/>
      <c r="MUH1" s="22"/>
      <c r="MUI1" s="22"/>
      <c r="MUJ1" s="22"/>
      <c r="MUK1" s="22"/>
      <c r="MUL1" s="22"/>
      <c r="MUM1" s="22"/>
      <c r="MUN1" s="22"/>
      <c r="MUO1" s="22"/>
      <c r="MUP1" s="22"/>
      <c r="MUQ1" s="22"/>
      <c r="MUR1" s="22"/>
      <c r="MUS1" s="22"/>
      <c r="MUT1" s="22"/>
      <c r="MUU1" s="22"/>
      <c r="MUV1" s="22"/>
      <c r="MUW1" s="22"/>
      <c r="MUX1" s="22"/>
      <c r="MUY1" s="22"/>
      <c r="MUZ1" s="22"/>
      <c r="MVA1" s="22"/>
      <c r="MVB1" s="22"/>
      <c r="MVC1" s="22"/>
      <c r="MVD1" s="22"/>
      <c r="MVE1" s="22"/>
      <c r="MVF1" s="22"/>
      <c r="MVG1" s="22"/>
      <c r="MVH1" s="22"/>
      <c r="MVI1" s="22"/>
      <c r="MVJ1" s="22"/>
      <c r="MVK1" s="22"/>
      <c r="MVL1" s="22"/>
      <c r="MVM1" s="22"/>
      <c r="MVN1" s="22"/>
      <c r="MVO1" s="22"/>
      <c r="MVP1" s="22"/>
      <c r="MVQ1" s="22"/>
      <c r="MVR1" s="22"/>
      <c r="MVS1" s="22"/>
      <c r="MVT1" s="22"/>
      <c r="MVU1" s="22"/>
      <c r="MVV1" s="22"/>
      <c r="MVW1" s="22"/>
      <c r="MVX1" s="22"/>
      <c r="MVY1" s="22"/>
      <c r="MVZ1" s="22"/>
      <c r="MWA1" s="22"/>
      <c r="MWB1" s="22"/>
      <c r="MWC1" s="22"/>
      <c r="MWD1" s="22"/>
      <c r="MWE1" s="22"/>
      <c r="MWF1" s="22"/>
      <c r="MWG1" s="22"/>
      <c r="MWH1" s="22"/>
      <c r="MWI1" s="22"/>
      <c r="MWJ1" s="22"/>
      <c r="MWK1" s="22"/>
      <c r="MWL1" s="22"/>
      <c r="MWM1" s="22"/>
      <c r="MWN1" s="22"/>
      <c r="MWO1" s="22"/>
      <c r="MWP1" s="22"/>
      <c r="MWQ1" s="22"/>
      <c r="MWR1" s="22"/>
      <c r="MWS1" s="22"/>
      <c r="MWT1" s="22"/>
      <c r="MWU1" s="22"/>
      <c r="MWV1" s="22"/>
      <c r="MWW1" s="22"/>
      <c r="MWX1" s="22"/>
      <c r="MWY1" s="22"/>
      <c r="MWZ1" s="22"/>
      <c r="MXA1" s="22"/>
      <c r="MXB1" s="22"/>
      <c r="MXC1" s="22"/>
      <c r="MXD1" s="22"/>
      <c r="MXE1" s="22"/>
      <c r="MXF1" s="22"/>
      <c r="MXG1" s="22"/>
      <c r="MXH1" s="22"/>
      <c r="MXI1" s="22"/>
      <c r="MXJ1" s="22"/>
      <c r="MXK1" s="22"/>
      <c r="MXL1" s="22"/>
      <c r="MXM1" s="22"/>
      <c r="MXN1" s="22"/>
      <c r="MXO1" s="22"/>
      <c r="MXP1" s="22"/>
      <c r="MXQ1" s="22"/>
      <c r="MXR1" s="22"/>
      <c r="MXS1" s="22"/>
      <c r="MXT1" s="22"/>
      <c r="MXU1" s="22"/>
      <c r="MXV1" s="22"/>
      <c r="MXW1" s="22"/>
      <c r="MXX1" s="22"/>
      <c r="MXY1" s="22"/>
      <c r="MXZ1" s="22"/>
      <c r="MYA1" s="22"/>
      <c r="MYB1" s="22"/>
      <c r="MYC1" s="22"/>
      <c r="MYD1" s="22"/>
      <c r="MYE1" s="22"/>
      <c r="MYF1" s="22"/>
      <c r="MYG1" s="22"/>
      <c r="MYH1" s="22"/>
      <c r="MYI1" s="22"/>
      <c r="MYJ1" s="22"/>
      <c r="MYK1" s="22"/>
      <c r="MYL1" s="22"/>
      <c r="MYM1" s="22"/>
      <c r="MYN1" s="22"/>
      <c r="MYO1" s="22"/>
      <c r="MYP1" s="22"/>
      <c r="MYQ1" s="22"/>
      <c r="MYR1" s="22"/>
      <c r="MYS1" s="22"/>
      <c r="MYT1" s="22"/>
      <c r="MYU1" s="22"/>
      <c r="MYV1" s="22"/>
      <c r="MYW1" s="22"/>
      <c r="MYX1" s="22"/>
      <c r="MYY1" s="22"/>
      <c r="MYZ1" s="22"/>
      <c r="MZA1" s="22"/>
      <c r="MZB1" s="22"/>
      <c r="MZC1" s="22"/>
      <c r="MZD1" s="22"/>
      <c r="MZE1" s="22"/>
      <c r="MZF1" s="22"/>
      <c r="MZG1" s="22"/>
      <c r="MZH1" s="22"/>
      <c r="MZI1" s="22"/>
      <c r="MZJ1" s="22"/>
      <c r="MZK1" s="22"/>
      <c r="MZL1" s="22"/>
      <c r="MZM1" s="22"/>
      <c r="MZN1" s="22"/>
      <c r="MZO1" s="22"/>
      <c r="MZP1" s="22"/>
      <c r="MZQ1" s="22"/>
      <c r="MZR1" s="22"/>
      <c r="MZS1" s="22"/>
      <c r="MZT1" s="22"/>
      <c r="MZU1" s="22"/>
      <c r="MZV1" s="22"/>
      <c r="MZW1" s="22"/>
      <c r="MZX1" s="22"/>
      <c r="MZY1" s="22"/>
      <c r="MZZ1" s="22"/>
      <c r="NAA1" s="22"/>
      <c r="NAB1" s="22"/>
      <c r="NAC1" s="22"/>
      <c r="NAD1" s="22"/>
      <c r="NAE1" s="22"/>
      <c r="NAF1" s="22"/>
      <c r="NAG1" s="22"/>
      <c r="NAH1" s="22"/>
      <c r="NAI1" s="22"/>
      <c r="NAJ1" s="22"/>
      <c r="NAK1" s="22"/>
      <c r="NAL1" s="22"/>
      <c r="NAM1" s="22"/>
      <c r="NAN1" s="22"/>
      <c r="NAO1" s="22"/>
      <c r="NAP1" s="22"/>
      <c r="NAQ1" s="22"/>
      <c r="NAR1" s="22"/>
      <c r="NAS1" s="22"/>
      <c r="NAT1" s="22"/>
      <c r="NAU1" s="22"/>
      <c r="NAV1" s="22"/>
      <c r="NAW1" s="22"/>
      <c r="NAX1" s="22"/>
      <c r="NAY1" s="22"/>
      <c r="NAZ1" s="22"/>
      <c r="NBA1" s="22"/>
      <c r="NBB1" s="22"/>
      <c r="NBC1" s="22"/>
      <c r="NBD1" s="22"/>
      <c r="NBE1" s="22"/>
      <c r="NBF1" s="22"/>
      <c r="NBG1" s="22"/>
      <c r="NBH1" s="22"/>
      <c r="NBI1" s="22"/>
      <c r="NBJ1" s="22"/>
      <c r="NBK1" s="22"/>
      <c r="NBL1" s="22"/>
      <c r="NBM1" s="22"/>
      <c r="NBN1" s="22"/>
      <c r="NBO1" s="22"/>
      <c r="NBP1" s="22"/>
      <c r="NBQ1" s="22"/>
      <c r="NBR1" s="22"/>
      <c r="NBS1" s="22"/>
      <c r="NBT1" s="22"/>
      <c r="NBU1" s="22"/>
      <c r="NBV1" s="22"/>
      <c r="NBW1" s="22"/>
      <c r="NBX1" s="22"/>
      <c r="NBY1" s="22"/>
      <c r="NBZ1" s="22"/>
      <c r="NCA1" s="22"/>
      <c r="NCB1" s="22"/>
      <c r="NCC1" s="22"/>
      <c r="NCD1" s="22"/>
      <c r="NCE1" s="22"/>
      <c r="NCF1" s="22"/>
      <c r="NCG1" s="22"/>
      <c r="NCH1" s="22"/>
      <c r="NCI1" s="22"/>
      <c r="NCJ1" s="22"/>
      <c r="NCK1" s="22"/>
      <c r="NCL1" s="22"/>
      <c r="NCM1" s="22"/>
      <c r="NCN1" s="22"/>
      <c r="NCO1" s="22"/>
      <c r="NCP1" s="22"/>
      <c r="NCQ1" s="22"/>
      <c r="NCR1" s="22"/>
      <c r="NCS1" s="22"/>
      <c r="NCT1" s="22"/>
      <c r="NCU1" s="22"/>
      <c r="NCV1" s="22"/>
      <c r="NCW1" s="22"/>
      <c r="NCX1" s="22"/>
      <c r="NCY1" s="22"/>
      <c r="NCZ1" s="22"/>
      <c r="NDA1" s="22"/>
      <c r="NDB1" s="22"/>
      <c r="NDC1" s="22"/>
      <c r="NDD1" s="22"/>
      <c r="NDE1" s="22"/>
      <c r="NDF1" s="22"/>
      <c r="NDG1" s="22"/>
      <c r="NDH1" s="22"/>
      <c r="NDI1" s="22"/>
      <c r="NDJ1" s="22"/>
      <c r="NDK1" s="22"/>
      <c r="NDL1" s="22"/>
      <c r="NDM1" s="22"/>
      <c r="NDN1" s="22"/>
      <c r="NDO1" s="22"/>
      <c r="NDP1" s="22"/>
      <c r="NDQ1" s="22"/>
      <c r="NDR1" s="22"/>
      <c r="NDS1" s="22"/>
      <c r="NDT1" s="22"/>
      <c r="NDU1" s="22"/>
      <c r="NDV1" s="22"/>
      <c r="NDW1" s="22"/>
      <c r="NDX1" s="22"/>
      <c r="NDY1" s="22"/>
      <c r="NDZ1" s="22"/>
      <c r="NEA1" s="22"/>
      <c r="NEB1" s="22"/>
      <c r="NEC1" s="22"/>
      <c r="NED1" s="22"/>
      <c r="NEE1" s="22"/>
      <c r="NEF1" s="22"/>
      <c r="NEG1" s="22"/>
      <c r="NEH1" s="22"/>
      <c r="NEI1" s="22"/>
      <c r="NEJ1" s="22"/>
      <c r="NEK1" s="22"/>
      <c r="NEL1" s="22"/>
      <c r="NEM1" s="22"/>
      <c r="NEN1" s="22"/>
      <c r="NEO1" s="22"/>
      <c r="NEP1" s="22"/>
      <c r="NEQ1" s="22"/>
      <c r="NER1" s="22"/>
      <c r="NES1" s="22"/>
      <c r="NET1" s="22"/>
      <c r="NEU1" s="22"/>
      <c r="NEV1" s="22"/>
      <c r="NEW1" s="22"/>
      <c r="NEX1" s="22"/>
      <c r="NEY1" s="22"/>
      <c r="NEZ1" s="22"/>
      <c r="NFA1" s="22"/>
      <c r="NFB1" s="22"/>
      <c r="NFC1" s="22"/>
      <c r="NFD1" s="22"/>
      <c r="NFE1" s="22"/>
      <c r="NFF1" s="22"/>
      <c r="NFG1" s="22"/>
      <c r="NFH1" s="22"/>
      <c r="NFI1" s="22"/>
      <c r="NFJ1" s="22"/>
      <c r="NFK1" s="22"/>
      <c r="NFL1" s="22"/>
      <c r="NFM1" s="22"/>
      <c r="NFN1" s="22"/>
      <c r="NFO1" s="22"/>
      <c r="NFP1" s="22"/>
      <c r="NFQ1" s="22"/>
      <c r="NFR1" s="22"/>
      <c r="NFS1" s="22"/>
      <c r="NFT1" s="22"/>
      <c r="NFU1" s="22"/>
      <c r="NFV1" s="22"/>
      <c r="NFW1" s="22"/>
      <c r="NFX1" s="22"/>
      <c r="NFY1" s="22"/>
      <c r="NFZ1" s="22"/>
      <c r="NGA1" s="22"/>
      <c r="NGB1" s="22"/>
      <c r="NGC1" s="22"/>
      <c r="NGD1" s="22"/>
      <c r="NGE1" s="22"/>
      <c r="NGF1" s="22"/>
      <c r="NGG1" s="22"/>
      <c r="NGH1" s="22"/>
      <c r="NGI1" s="22"/>
      <c r="NGJ1" s="22"/>
      <c r="NGK1" s="22"/>
      <c r="NGL1" s="22"/>
      <c r="NGM1" s="22"/>
      <c r="NGN1" s="22"/>
      <c r="NGO1" s="22"/>
      <c r="NGP1" s="22"/>
      <c r="NGQ1" s="22"/>
      <c r="NGR1" s="22"/>
      <c r="NGS1" s="22"/>
      <c r="NGT1" s="22"/>
      <c r="NGU1" s="22"/>
      <c r="NGV1" s="22"/>
      <c r="NGW1" s="22"/>
      <c r="NGX1" s="22"/>
      <c r="NGY1" s="22"/>
      <c r="NGZ1" s="22"/>
      <c r="NHA1" s="22"/>
      <c r="NHB1" s="22"/>
      <c r="NHC1" s="22"/>
      <c r="NHD1" s="22"/>
      <c r="NHE1" s="22"/>
      <c r="NHF1" s="22"/>
      <c r="NHG1" s="22"/>
      <c r="NHH1" s="22"/>
      <c r="NHI1" s="22"/>
      <c r="NHJ1" s="22"/>
      <c r="NHK1" s="22"/>
      <c r="NHL1" s="22"/>
      <c r="NHM1" s="22"/>
      <c r="NHN1" s="22"/>
      <c r="NHO1" s="22"/>
      <c r="NHP1" s="22"/>
      <c r="NHQ1" s="22"/>
      <c r="NHR1" s="22"/>
      <c r="NHS1" s="22"/>
      <c r="NHT1" s="22"/>
      <c r="NHU1" s="22"/>
      <c r="NHV1" s="22"/>
      <c r="NHW1" s="22"/>
      <c r="NHX1" s="22"/>
      <c r="NHY1" s="22"/>
      <c r="NHZ1" s="22"/>
      <c r="NIA1" s="22"/>
      <c r="NIB1" s="22"/>
      <c r="NIC1" s="22"/>
      <c r="NID1" s="22"/>
      <c r="NIE1" s="22"/>
      <c r="NIF1" s="22"/>
      <c r="NIG1" s="22"/>
      <c r="NIH1" s="22"/>
      <c r="NII1" s="22"/>
      <c r="NIJ1" s="22"/>
      <c r="NIK1" s="22"/>
      <c r="NIL1" s="22"/>
      <c r="NIM1" s="22"/>
      <c r="NIN1" s="22"/>
      <c r="NIO1" s="22"/>
      <c r="NIP1" s="22"/>
      <c r="NIQ1" s="22"/>
      <c r="NIR1" s="22"/>
      <c r="NIS1" s="22"/>
      <c r="NIT1" s="22"/>
      <c r="NIU1" s="22"/>
      <c r="NIV1" s="22"/>
      <c r="NIW1" s="22"/>
      <c r="NIX1" s="22"/>
      <c r="NIY1" s="22"/>
      <c r="NIZ1" s="22"/>
      <c r="NJA1" s="22"/>
      <c r="NJB1" s="22"/>
      <c r="NJC1" s="22"/>
      <c r="NJD1" s="22"/>
      <c r="NJE1" s="22"/>
      <c r="NJF1" s="22"/>
      <c r="NJG1" s="22"/>
      <c r="NJH1" s="22"/>
      <c r="NJI1" s="22"/>
      <c r="NJJ1" s="22"/>
      <c r="NJK1" s="22"/>
      <c r="NJL1" s="22"/>
      <c r="NJM1" s="22"/>
      <c r="NJN1" s="22"/>
      <c r="NJO1" s="22"/>
      <c r="NJP1" s="22"/>
      <c r="NJQ1" s="22"/>
      <c r="NJR1" s="22"/>
      <c r="NJS1" s="22"/>
      <c r="NJT1" s="22"/>
      <c r="NJU1" s="22"/>
      <c r="NJV1" s="22"/>
      <c r="NJW1" s="22"/>
      <c r="NJX1" s="22"/>
      <c r="NJY1" s="22"/>
      <c r="NJZ1" s="22"/>
      <c r="NKA1" s="22"/>
      <c r="NKB1" s="22"/>
      <c r="NKC1" s="22"/>
      <c r="NKD1" s="22"/>
      <c r="NKE1" s="22"/>
      <c r="NKF1" s="22"/>
      <c r="NKG1" s="22"/>
      <c r="NKH1" s="22"/>
      <c r="NKI1" s="22"/>
      <c r="NKJ1" s="22"/>
      <c r="NKK1" s="22"/>
      <c r="NKL1" s="22"/>
      <c r="NKM1" s="22"/>
      <c r="NKN1" s="22"/>
      <c r="NKO1" s="22"/>
      <c r="NKP1" s="22"/>
      <c r="NKQ1" s="22"/>
      <c r="NKR1" s="22"/>
      <c r="NKS1" s="22"/>
      <c r="NKT1" s="22"/>
      <c r="NKU1" s="22"/>
      <c r="NKV1" s="22"/>
      <c r="NKW1" s="22"/>
      <c r="NKX1" s="22"/>
      <c r="NKY1" s="22"/>
      <c r="NKZ1" s="22"/>
      <c r="NLA1" s="22"/>
      <c r="NLB1" s="22"/>
      <c r="NLC1" s="22"/>
      <c r="NLD1" s="22"/>
      <c r="NLE1" s="22"/>
      <c r="NLF1" s="22"/>
      <c r="NLG1" s="22"/>
      <c r="NLH1" s="22"/>
      <c r="NLI1" s="22"/>
      <c r="NLJ1" s="22"/>
      <c r="NLK1" s="22"/>
      <c r="NLL1" s="22"/>
      <c r="NLM1" s="22"/>
      <c r="NLN1" s="22"/>
      <c r="NLO1" s="22"/>
      <c r="NLP1" s="22"/>
      <c r="NLQ1" s="22"/>
      <c r="NLR1" s="22"/>
      <c r="NLS1" s="22"/>
      <c r="NLT1" s="22"/>
      <c r="NLU1" s="22"/>
      <c r="NLV1" s="22"/>
      <c r="NLW1" s="22"/>
      <c r="NLX1" s="22"/>
      <c r="NLY1" s="22"/>
      <c r="NLZ1" s="22"/>
      <c r="NMA1" s="22"/>
      <c r="NMB1" s="22"/>
      <c r="NMC1" s="22"/>
      <c r="NMD1" s="22"/>
      <c r="NME1" s="22"/>
      <c r="NMF1" s="22"/>
      <c r="NMG1" s="22"/>
      <c r="NMH1" s="22"/>
      <c r="NMI1" s="22"/>
      <c r="NMJ1" s="22"/>
      <c r="NMK1" s="22"/>
      <c r="NML1" s="22"/>
      <c r="NMM1" s="22"/>
      <c r="NMN1" s="22"/>
      <c r="NMO1" s="22"/>
      <c r="NMP1" s="22"/>
      <c r="NMQ1" s="22"/>
      <c r="NMR1" s="22"/>
      <c r="NMS1" s="22"/>
      <c r="NMT1" s="22"/>
      <c r="NMU1" s="22"/>
      <c r="NMV1" s="22"/>
      <c r="NMW1" s="22"/>
      <c r="NMX1" s="22"/>
      <c r="NMY1" s="22"/>
      <c r="NMZ1" s="22"/>
      <c r="NNA1" s="22"/>
      <c r="NNB1" s="22"/>
      <c r="NNC1" s="22"/>
      <c r="NND1" s="22"/>
      <c r="NNE1" s="22"/>
      <c r="NNF1" s="22"/>
      <c r="NNG1" s="22"/>
      <c r="NNH1" s="22"/>
      <c r="NNI1" s="22"/>
      <c r="NNJ1" s="22"/>
      <c r="NNK1" s="22"/>
      <c r="NNL1" s="22"/>
      <c r="NNM1" s="22"/>
      <c r="NNN1" s="22"/>
      <c r="NNO1" s="22"/>
      <c r="NNP1" s="22"/>
      <c r="NNQ1" s="22"/>
      <c r="NNR1" s="22"/>
      <c r="NNS1" s="22"/>
      <c r="NNT1" s="22"/>
      <c r="NNU1" s="22"/>
      <c r="NNV1" s="22"/>
      <c r="NNW1" s="22"/>
      <c r="NNX1" s="22"/>
      <c r="NNY1" s="22"/>
      <c r="NNZ1" s="22"/>
      <c r="NOA1" s="22"/>
      <c r="NOB1" s="22"/>
      <c r="NOC1" s="22"/>
      <c r="NOD1" s="22"/>
      <c r="NOE1" s="22"/>
      <c r="NOF1" s="22"/>
      <c r="NOG1" s="22"/>
      <c r="NOH1" s="22"/>
      <c r="NOI1" s="22"/>
      <c r="NOJ1" s="22"/>
      <c r="NOK1" s="22"/>
      <c r="NOL1" s="22"/>
      <c r="NOM1" s="22"/>
      <c r="NON1" s="22"/>
      <c r="NOO1" s="22"/>
      <c r="NOP1" s="22"/>
      <c r="NOQ1" s="22"/>
      <c r="NOR1" s="22"/>
      <c r="NOS1" s="22"/>
      <c r="NOT1" s="22"/>
      <c r="NOU1" s="22"/>
      <c r="NOV1" s="22"/>
      <c r="NOW1" s="22"/>
      <c r="NOX1" s="22"/>
      <c r="NOY1" s="22"/>
      <c r="NOZ1" s="22"/>
      <c r="NPA1" s="22"/>
      <c r="NPB1" s="22"/>
      <c r="NPC1" s="22"/>
      <c r="NPD1" s="22"/>
      <c r="NPE1" s="22"/>
      <c r="NPF1" s="22"/>
      <c r="NPG1" s="22"/>
      <c r="NPH1" s="22"/>
      <c r="NPI1" s="22"/>
      <c r="NPJ1" s="22"/>
      <c r="NPK1" s="22"/>
      <c r="NPL1" s="22"/>
      <c r="NPM1" s="22"/>
      <c r="NPN1" s="22"/>
      <c r="NPO1" s="22"/>
      <c r="NPP1" s="22"/>
      <c r="NPQ1" s="22"/>
      <c r="NPR1" s="22"/>
      <c r="NPS1" s="22"/>
      <c r="NPT1" s="22"/>
      <c r="NPU1" s="22"/>
      <c r="NPV1" s="22"/>
      <c r="NPW1" s="22"/>
      <c r="NPX1" s="22"/>
      <c r="NPY1" s="22"/>
      <c r="NPZ1" s="22"/>
      <c r="NQA1" s="22"/>
      <c r="NQB1" s="22"/>
      <c r="NQC1" s="22"/>
      <c r="NQD1" s="22"/>
      <c r="NQE1" s="22"/>
      <c r="NQF1" s="22"/>
      <c r="NQG1" s="22"/>
      <c r="NQH1" s="22"/>
      <c r="NQI1" s="22"/>
      <c r="NQJ1" s="22"/>
      <c r="NQK1" s="22"/>
      <c r="NQL1" s="22"/>
      <c r="NQM1" s="22"/>
      <c r="NQN1" s="22"/>
      <c r="NQO1" s="22"/>
      <c r="NQP1" s="22"/>
      <c r="NQQ1" s="22"/>
      <c r="NQR1" s="22"/>
      <c r="NQS1" s="22"/>
      <c r="NQT1" s="22"/>
      <c r="NQU1" s="22"/>
      <c r="NQV1" s="22"/>
      <c r="NQW1" s="22"/>
      <c r="NQX1" s="22"/>
      <c r="NQY1" s="22"/>
      <c r="NQZ1" s="22"/>
      <c r="NRA1" s="22"/>
      <c r="NRB1" s="22"/>
      <c r="NRC1" s="22"/>
      <c r="NRD1" s="22"/>
      <c r="NRE1" s="22"/>
      <c r="NRF1" s="22"/>
      <c r="NRG1" s="22"/>
      <c r="NRH1" s="22"/>
      <c r="NRI1" s="22"/>
      <c r="NRJ1" s="22"/>
      <c r="NRK1" s="22"/>
      <c r="NRL1" s="22"/>
      <c r="NRM1" s="22"/>
      <c r="NRN1" s="22"/>
      <c r="NRO1" s="22"/>
      <c r="NRP1" s="22"/>
      <c r="NRQ1" s="22"/>
      <c r="NRR1" s="22"/>
      <c r="NRS1" s="22"/>
      <c r="NRT1" s="22"/>
      <c r="NRU1" s="22"/>
      <c r="NRV1" s="22"/>
      <c r="NRW1" s="22"/>
      <c r="NRX1" s="22"/>
      <c r="NRY1" s="22"/>
      <c r="NRZ1" s="22"/>
      <c r="NSA1" s="22"/>
      <c r="NSB1" s="22"/>
      <c r="NSC1" s="22"/>
      <c r="NSD1" s="22"/>
      <c r="NSE1" s="22"/>
      <c r="NSF1" s="22"/>
      <c r="NSG1" s="22"/>
      <c r="NSH1" s="22"/>
      <c r="NSI1" s="22"/>
      <c r="NSJ1" s="22"/>
      <c r="NSK1" s="22"/>
      <c r="NSL1" s="22"/>
      <c r="NSM1" s="22"/>
      <c r="NSN1" s="22"/>
      <c r="NSO1" s="22"/>
      <c r="NSP1" s="22"/>
      <c r="NSQ1" s="22"/>
      <c r="NSR1" s="22"/>
      <c r="NSS1" s="22"/>
      <c r="NST1" s="22"/>
      <c r="NSU1" s="22"/>
      <c r="NSV1" s="22"/>
      <c r="NSW1" s="22"/>
      <c r="NSX1" s="22"/>
      <c r="NSY1" s="22"/>
      <c r="NSZ1" s="22"/>
      <c r="NTA1" s="22"/>
      <c r="NTB1" s="22"/>
      <c r="NTC1" s="22"/>
      <c r="NTD1" s="22"/>
      <c r="NTE1" s="22"/>
      <c r="NTF1" s="22"/>
      <c r="NTG1" s="22"/>
      <c r="NTH1" s="22"/>
      <c r="NTI1" s="22"/>
      <c r="NTJ1" s="22"/>
      <c r="NTK1" s="22"/>
      <c r="NTL1" s="22"/>
      <c r="NTM1" s="22"/>
      <c r="NTN1" s="22"/>
      <c r="NTO1" s="22"/>
      <c r="NTP1" s="22"/>
      <c r="NTQ1" s="22"/>
      <c r="NTR1" s="22"/>
      <c r="NTS1" s="22"/>
      <c r="NTT1" s="22"/>
      <c r="NTU1" s="22"/>
      <c r="NTV1" s="22"/>
      <c r="NTW1" s="22"/>
      <c r="NTX1" s="22"/>
      <c r="NTY1" s="22"/>
      <c r="NTZ1" s="22"/>
      <c r="NUA1" s="22"/>
      <c r="NUB1" s="22"/>
      <c r="NUC1" s="22"/>
      <c r="NUD1" s="22"/>
      <c r="NUE1" s="22"/>
      <c r="NUF1" s="22"/>
      <c r="NUG1" s="22"/>
      <c r="NUH1" s="22"/>
      <c r="NUI1" s="22"/>
      <c r="NUJ1" s="22"/>
      <c r="NUK1" s="22"/>
      <c r="NUL1" s="22"/>
      <c r="NUM1" s="22"/>
      <c r="NUN1" s="22"/>
      <c r="NUO1" s="22"/>
      <c r="NUP1" s="22"/>
      <c r="NUQ1" s="22"/>
      <c r="NUR1" s="22"/>
      <c r="NUS1" s="22"/>
      <c r="NUT1" s="22"/>
      <c r="NUU1" s="22"/>
      <c r="NUV1" s="22"/>
      <c r="NUW1" s="22"/>
      <c r="NUX1" s="22"/>
      <c r="NUY1" s="22"/>
      <c r="NUZ1" s="22"/>
      <c r="NVA1" s="22"/>
      <c r="NVB1" s="22"/>
      <c r="NVC1" s="22"/>
      <c r="NVD1" s="22"/>
      <c r="NVE1" s="22"/>
      <c r="NVF1" s="22"/>
      <c r="NVG1" s="22"/>
      <c r="NVH1" s="22"/>
      <c r="NVI1" s="22"/>
      <c r="NVJ1" s="22"/>
      <c r="NVK1" s="22"/>
      <c r="NVL1" s="22"/>
      <c r="NVM1" s="22"/>
      <c r="NVN1" s="22"/>
      <c r="NVO1" s="22"/>
      <c r="NVP1" s="22"/>
      <c r="NVQ1" s="22"/>
      <c r="NVR1" s="22"/>
      <c r="NVS1" s="22"/>
      <c r="NVT1" s="22"/>
      <c r="NVU1" s="22"/>
      <c r="NVV1" s="22"/>
      <c r="NVW1" s="22"/>
      <c r="NVX1" s="22"/>
      <c r="NVY1" s="22"/>
      <c r="NVZ1" s="22"/>
      <c r="NWA1" s="22"/>
      <c r="NWB1" s="22"/>
      <c r="NWC1" s="22"/>
      <c r="NWD1" s="22"/>
      <c r="NWE1" s="22"/>
      <c r="NWF1" s="22"/>
      <c r="NWG1" s="22"/>
      <c r="NWH1" s="22"/>
      <c r="NWI1" s="22"/>
      <c r="NWJ1" s="22"/>
      <c r="NWK1" s="22"/>
      <c r="NWL1" s="22"/>
      <c r="NWM1" s="22"/>
      <c r="NWN1" s="22"/>
      <c r="NWO1" s="22"/>
      <c r="NWP1" s="22"/>
      <c r="NWQ1" s="22"/>
      <c r="NWR1" s="22"/>
      <c r="NWS1" s="22"/>
      <c r="NWT1" s="22"/>
      <c r="NWU1" s="22"/>
      <c r="NWV1" s="22"/>
      <c r="NWW1" s="22"/>
      <c r="NWX1" s="22"/>
      <c r="NWY1" s="22"/>
      <c r="NWZ1" s="22"/>
      <c r="NXA1" s="22"/>
      <c r="NXB1" s="22"/>
      <c r="NXC1" s="22"/>
      <c r="NXD1" s="22"/>
      <c r="NXE1" s="22"/>
      <c r="NXF1" s="22"/>
      <c r="NXG1" s="22"/>
      <c r="NXH1" s="22"/>
      <c r="NXI1" s="22"/>
      <c r="NXJ1" s="22"/>
      <c r="NXK1" s="22"/>
      <c r="NXL1" s="22"/>
      <c r="NXM1" s="22"/>
      <c r="NXN1" s="22"/>
      <c r="NXO1" s="22"/>
      <c r="NXP1" s="22"/>
      <c r="NXQ1" s="22"/>
      <c r="NXR1" s="22"/>
      <c r="NXS1" s="22"/>
      <c r="NXT1" s="22"/>
      <c r="NXU1" s="22"/>
      <c r="NXV1" s="22"/>
      <c r="NXW1" s="22"/>
      <c r="NXX1" s="22"/>
      <c r="NXY1" s="22"/>
      <c r="NXZ1" s="22"/>
      <c r="NYA1" s="22"/>
      <c r="NYB1" s="22"/>
      <c r="NYC1" s="22"/>
      <c r="NYD1" s="22"/>
      <c r="NYE1" s="22"/>
      <c r="NYF1" s="22"/>
      <c r="NYG1" s="22"/>
      <c r="NYH1" s="22"/>
      <c r="NYI1" s="22"/>
      <c r="NYJ1" s="22"/>
      <c r="NYK1" s="22"/>
      <c r="NYL1" s="22"/>
      <c r="NYM1" s="22"/>
      <c r="NYN1" s="22"/>
      <c r="NYO1" s="22"/>
      <c r="NYP1" s="22"/>
      <c r="NYQ1" s="22"/>
      <c r="NYR1" s="22"/>
      <c r="NYS1" s="22"/>
      <c r="NYT1" s="22"/>
      <c r="NYU1" s="22"/>
      <c r="NYV1" s="22"/>
      <c r="NYW1" s="22"/>
      <c r="NYX1" s="22"/>
      <c r="NYY1" s="22"/>
      <c r="NYZ1" s="22"/>
      <c r="NZA1" s="22"/>
      <c r="NZB1" s="22"/>
      <c r="NZC1" s="22"/>
      <c r="NZD1" s="22"/>
      <c r="NZE1" s="22"/>
      <c r="NZF1" s="22"/>
      <c r="NZG1" s="22"/>
      <c r="NZH1" s="22"/>
      <c r="NZI1" s="22"/>
      <c r="NZJ1" s="22"/>
      <c r="NZK1" s="22"/>
      <c r="NZL1" s="22"/>
      <c r="NZM1" s="22"/>
      <c r="NZN1" s="22"/>
      <c r="NZO1" s="22"/>
      <c r="NZP1" s="22"/>
      <c r="NZQ1" s="22"/>
      <c r="NZR1" s="22"/>
      <c r="NZS1" s="22"/>
      <c r="NZT1" s="22"/>
      <c r="NZU1" s="22"/>
      <c r="NZV1" s="22"/>
      <c r="NZW1" s="22"/>
      <c r="NZX1" s="22"/>
      <c r="NZY1" s="22"/>
      <c r="NZZ1" s="22"/>
      <c r="OAA1" s="22"/>
      <c r="OAB1" s="22"/>
      <c r="OAC1" s="22"/>
      <c r="OAD1" s="22"/>
      <c r="OAE1" s="22"/>
      <c r="OAF1" s="22"/>
      <c r="OAG1" s="22"/>
      <c r="OAH1" s="22"/>
      <c r="OAI1" s="22"/>
      <c r="OAJ1" s="22"/>
      <c r="OAK1" s="22"/>
      <c r="OAL1" s="22"/>
      <c r="OAM1" s="22"/>
      <c r="OAN1" s="22"/>
      <c r="OAO1" s="22"/>
      <c r="OAP1" s="22"/>
      <c r="OAQ1" s="22"/>
      <c r="OAR1" s="22"/>
      <c r="OAS1" s="22"/>
      <c r="OAT1" s="22"/>
      <c r="OAU1" s="22"/>
      <c r="OAV1" s="22"/>
      <c r="OAW1" s="22"/>
      <c r="OAX1" s="22"/>
      <c r="OAY1" s="22"/>
      <c r="OAZ1" s="22"/>
      <c r="OBA1" s="22"/>
      <c r="OBB1" s="22"/>
      <c r="OBC1" s="22"/>
      <c r="OBD1" s="22"/>
      <c r="OBE1" s="22"/>
      <c r="OBF1" s="22"/>
      <c r="OBG1" s="22"/>
      <c r="OBH1" s="22"/>
      <c r="OBI1" s="22"/>
      <c r="OBJ1" s="22"/>
      <c r="OBK1" s="22"/>
      <c r="OBL1" s="22"/>
      <c r="OBM1" s="22"/>
      <c r="OBN1" s="22"/>
      <c r="OBO1" s="22"/>
      <c r="OBP1" s="22"/>
      <c r="OBQ1" s="22"/>
      <c r="OBR1" s="22"/>
      <c r="OBS1" s="22"/>
      <c r="OBT1" s="22"/>
      <c r="OBU1" s="22"/>
      <c r="OBV1" s="22"/>
      <c r="OBW1" s="22"/>
      <c r="OBX1" s="22"/>
      <c r="OBY1" s="22"/>
      <c r="OBZ1" s="22"/>
      <c r="OCA1" s="22"/>
      <c r="OCB1" s="22"/>
      <c r="OCC1" s="22"/>
      <c r="OCD1" s="22"/>
      <c r="OCE1" s="22"/>
      <c r="OCF1" s="22"/>
      <c r="OCG1" s="22"/>
      <c r="OCH1" s="22"/>
      <c r="OCI1" s="22"/>
      <c r="OCJ1" s="22"/>
      <c r="OCK1" s="22"/>
      <c r="OCL1" s="22"/>
      <c r="OCM1" s="22"/>
      <c r="OCN1" s="22"/>
      <c r="OCO1" s="22"/>
      <c r="OCP1" s="22"/>
      <c r="OCQ1" s="22"/>
      <c r="OCR1" s="22"/>
      <c r="OCS1" s="22"/>
      <c r="OCT1" s="22"/>
      <c r="OCU1" s="22"/>
      <c r="OCV1" s="22"/>
      <c r="OCW1" s="22"/>
      <c r="OCX1" s="22"/>
      <c r="OCY1" s="22"/>
      <c r="OCZ1" s="22"/>
      <c r="ODA1" s="22"/>
      <c r="ODB1" s="22"/>
      <c r="ODC1" s="22"/>
      <c r="ODD1" s="22"/>
      <c r="ODE1" s="22"/>
      <c r="ODF1" s="22"/>
      <c r="ODG1" s="22"/>
      <c r="ODH1" s="22"/>
      <c r="ODI1" s="22"/>
      <c r="ODJ1" s="22"/>
      <c r="ODK1" s="22"/>
      <c r="ODL1" s="22"/>
      <c r="ODM1" s="22"/>
      <c r="ODN1" s="22"/>
      <c r="ODO1" s="22"/>
      <c r="ODP1" s="22"/>
      <c r="ODQ1" s="22"/>
      <c r="ODR1" s="22"/>
      <c r="ODS1" s="22"/>
      <c r="ODT1" s="22"/>
      <c r="ODU1" s="22"/>
      <c r="ODV1" s="22"/>
      <c r="ODW1" s="22"/>
      <c r="ODX1" s="22"/>
      <c r="ODY1" s="22"/>
      <c r="ODZ1" s="22"/>
      <c r="OEA1" s="22"/>
      <c r="OEB1" s="22"/>
      <c r="OEC1" s="22"/>
      <c r="OED1" s="22"/>
      <c r="OEE1" s="22"/>
      <c r="OEF1" s="22"/>
      <c r="OEG1" s="22"/>
      <c r="OEH1" s="22"/>
      <c r="OEI1" s="22"/>
      <c r="OEJ1" s="22"/>
      <c r="OEK1" s="22"/>
      <c r="OEL1" s="22"/>
      <c r="OEM1" s="22"/>
      <c r="OEN1" s="22"/>
      <c r="OEO1" s="22"/>
      <c r="OEP1" s="22"/>
      <c r="OEQ1" s="22"/>
      <c r="OER1" s="22"/>
      <c r="OES1" s="22"/>
      <c r="OET1" s="22"/>
      <c r="OEU1" s="22"/>
      <c r="OEV1" s="22"/>
      <c r="OEW1" s="22"/>
      <c r="OEX1" s="22"/>
      <c r="OEY1" s="22"/>
      <c r="OEZ1" s="22"/>
      <c r="OFA1" s="22"/>
      <c r="OFB1" s="22"/>
      <c r="OFC1" s="22"/>
      <c r="OFD1" s="22"/>
      <c r="OFE1" s="22"/>
      <c r="OFF1" s="22"/>
      <c r="OFG1" s="22"/>
      <c r="OFH1" s="22"/>
      <c r="OFI1" s="22"/>
      <c r="OFJ1" s="22"/>
      <c r="OFK1" s="22"/>
      <c r="OFL1" s="22"/>
      <c r="OFM1" s="22"/>
      <c r="OFN1" s="22"/>
      <c r="OFO1" s="22"/>
      <c r="OFP1" s="22"/>
      <c r="OFQ1" s="22"/>
      <c r="OFR1" s="22"/>
      <c r="OFS1" s="22"/>
      <c r="OFT1" s="22"/>
      <c r="OFU1" s="22"/>
      <c r="OFV1" s="22"/>
      <c r="OFW1" s="22"/>
      <c r="OFX1" s="22"/>
      <c r="OFY1" s="22"/>
      <c r="OFZ1" s="22"/>
      <c r="OGA1" s="22"/>
      <c r="OGB1" s="22"/>
      <c r="OGC1" s="22"/>
      <c r="OGD1" s="22"/>
      <c r="OGE1" s="22"/>
      <c r="OGF1" s="22"/>
      <c r="OGG1" s="22"/>
      <c r="OGH1" s="22"/>
      <c r="OGI1" s="22"/>
      <c r="OGJ1" s="22"/>
      <c r="OGK1" s="22"/>
      <c r="OGL1" s="22"/>
      <c r="OGM1" s="22"/>
      <c r="OGN1" s="22"/>
      <c r="OGO1" s="22"/>
      <c r="OGP1" s="22"/>
      <c r="OGQ1" s="22"/>
      <c r="OGR1" s="22"/>
      <c r="OGS1" s="22"/>
      <c r="OGT1" s="22"/>
      <c r="OGU1" s="22"/>
      <c r="OGV1" s="22"/>
      <c r="OGW1" s="22"/>
      <c r="OGX1" s="22"/>
      <c r="OGY1" s="22"/>
      <c r="OGZ1" s="22"/>
      <c r="OHA1" s="22"/>
      <c r="OHB1" s="22"/>
      <c r="OHC1" s="22"/>
      <c r="OHD1" s="22"/>
      <c r="OHE1" s="22"/>
      <c r="OHF1" s="22"/>
      <c r="OHG1" s="22"/>
      <c r="OHH1" s="22"/>
      <c r="OHI1" s="22"/>
      <c r="OHJ1" s="22"/>
      <c r="OHK1" s="22"/>
      <c r="OHL1" s="22"/>
      <c r="OHM1" s="22"/>
      <c r="OHN1" s="22"/>
      <c r="OHO1" s="22"/>
      <c r="OHP1" s="22"/>
      <c r="OHQ1" s="22"/>
      <c r="OHR1" s="22"/>
      <c r="OHS1" s="22"/>
      <c r="OHT1" s="22"/>
      <c r="OHU1" s="22"/>
      <c r="OHV1" s="22"/>
      <c r="OHW1" s="22"/>
      <c r="OHX1" s="22"/>
      <c r="OHY1" s="22"/>
      <c r="OHZ1" s="22"/>
      <c r="OIA1" s="22"/>
      <c r="OIB1" s="22"/>
      <c r="OIC1" s="22"/>
      <c r="OID1" s="22"/>
      <c r="OIE1" s="22"/>
      <c r="OIF1" s="22"/>
      <c r="OIG1" s="22"/>
      <c r="OIH1" s="22"/>
      <c r="OII1" s="22"/>
      <c r="OIJ1" s="22"/>
      <c r="OIK1" s="22"/>
      <c r="OIL1" s="22"/>
      <c r="OIM1" s="22"/>
      <c r="OIN1" s="22"/>
      <c r="OIO1" s="22"/>
      <c r="OIP1" s="22"/>
      <c r="OIQ1" s="22"/>
      <c r="OIR1" s="22"/>
      <c r="OIS1" s="22"/>
      <c r="OIT1" s="22"/>
      <c r="OIU1" s="22"/>
      <c r="OIV1" s="22"/>
      <c r="OIW1" s="22"/>
      <c r="OIX1" s="22"/>
      <c r="OIY1" s="22"/>
      <c r="OIZ1" s="22"/>
      <c r="OJA1" s="22"/>
      <c r="OJB1" s="22"/>
      <c r="OJC1" s="22"/>
      <c r="OJD1" s="22"/>
      <c r="OJE1" s="22"/>
      <c r="OJF1" s="22"/>
      <c r="OJG1" s="22"/>
      <c r="OJH1" s="22"/>
      <c r="OJI1" s="22"/>
      <c r="OJJ1" s="22"/>
      <c r="OJK1" s="22"/>
      <c r="OJL1" s="22"/>
      <c r="OJM1" s="22"/>
      <c r="OJN1" s="22"/>
      <c r="OJO1" s="22"/>
      <c r="OJP1" s="22"/>
      <c r="OJQ1" s="22"/>
      <c r="OJR1" s="22"/>
      <c r="OJS1" s="22"/>
      <c r="OJT1" s="22"/>
      <c r="OJU1" s="22"/>
      <c r="OJV1" s="22"/>
      <c r="OJW1" s="22"/>
      <c r="OJX1" s="22"/>
      <c r="OJY1" s="22"/>
      <c r="OJZ1" s="22"/>
      <c r="OKA1" s="22"/>
      <c r="OKB1" s="22"/>
      <c r="OKC1" s="22"/>
      <c r="OKD1" s="22"/>
      <c r="OKE1" s="22"/>
      <c r="OKF1" s="22"/>
      <c r="OKG1" s="22"/>
      <c r="OKH1" s="22"/>
      <c r="OKI1" s="22"/>
      <c r="OKJ1" s="22"/>
      <c r="OKK1" s="22"/>
      <c r="OKL1" s="22"/>
      <c r="OKM1" s="22"/>
      <c r="OKN1" s="22"/>
      <c r="OKO1" s="22"/>
      <c r="OKP1" s="22"/>
      <c r="OKQ1" s="22"/>
      <c r="OKR1" s="22"/>
      <c r="OKS1" s="22"/>
      <c r="OKT1" s="22"/>
      <c r="OKU1" s="22"/>
      <c r="OKV1" s="22"/>
      <c r="OKW1" s="22"/>
      <c r="OKX1" s="22"/>
      <c r="OKY1" s="22"/>
      <c r="OKZ1" s="22"/>
      <c r="OLA1" s="22"/>
      <c r="OLB1" s="22"/>
      <c r="OLC1" s="22"/>
      <c r="OLD1" s="22"/>
      <c r="OLE1" s="22"/>
      <c r="OLF1" s="22"/>
      <c r="OLG1" s="22"/>
      <c r="OLH1" s="22"/>
      <c r="OLI1" s="22"/>
      <c r="OLJ1" s="22"/>
      <c r="OLK1" s="22"/>
      <c r="OLL1" s="22"/>
      <c r="OLM1" s="22"/>
      <c r="OLN1" s="22"/>
      <c r="OLO1" s="22"/>
      <c r="OLP1" s="22"/>
      <c r="OLQ1" s="22"/>
      <c r="OLR1" s="22"/>
      <c r="OLS1" s="22"/>
      <c r="OLT1" s="22"/>
      <c r="OLU1" s="22"/>
      <c r="OLV1" s="22"/>
      <c r="OLW1" s="22"/>
      <c r="OLX1" s="22"/>
      <c r="OLY1" s="22"/>
      <c r="OLZ1" s="22"/>
      <c r="OMA1" s="22"/>
      <c r="OMB1" s="22"/>
      <c r="OMC1" s="22"/>
      <c r="OMD1" s="22"/>
      <c r="OME1" s="22"/>
      <c r="OMF1" s="22"/>
      <c r="OMG1" s="22"/>
      <c r="OMH1" s="22"/>
      <c r="OMI1" s="22"/>
      <c r="OMJ1" s="22"/>
      <c r="OMK1" s="22"/>
      <c r="OML1" s="22"/>
      <c r="OMM1" s="22"/>
      <c r="OMN1" s="22"/>
      <c r="OMO1" s="22"/>
      <c r="OMP1" s="22"/>
      <c r="OMQ1" s="22"/>
      <c r="OMR1" s="22"/>
      <c r="OMS1" s="22"/>
      <c r="OMT1" s="22"/>
      <c r="OMU1" s="22"/>
      <c r="OMV1" s="22"/>
      <c r="OMW1" s="22"/>
      <c r="OMX1" s="22"/>
      <c r="OMY1" s="22"/>
      <c r="OMZ1" s="22"/>
      <c r="ONA1" s="22"/>
      <c r="ONB1" s="22"/>
      <c r="ONC1" s="22"/>
      <c r="OND1" s="22"/>
      <c r="ONE1" s="22"/>
      <c r="ONF1" s="22"/>
      <c r="ONG1" s="22"/>
      <c r="ONH1" s="22"/>
      <c r="ONI1" s="22"/>
      <c r="ONJ1" s="22"/>
      <c r="ONK1" s="22"/>
      <c r="ONL1" s="22"/>
      <c r="ONM1" s="22"/>
      <c r="ONN1" s="22"/>
      <c r="ONO1" s="22"/>
      <c r="ONP1" s="22"/>
      <c r="ONQ1" s="22"/>
      <c r="ONR1" s="22"/>
      <c r="ONS1" s="22"/>
      <c r="ONT1" s="22"/>
      <c r="ONU1" s="22"/>
      <c r="ONV1" s="22"/>
      <c r="ONW1" s="22"/>
      <c r="ONX1" s="22"/>
      <c r="ONY1" s="22"/>
      <c r="ONZ1" s="22"/>
      <c r="OOA1" s="22"/>
      <c r="OOB1" s="22"/>
      <c r="OOC1" s="22"/>
      <c r="OOD1" s="22"/>
      <c r="OOE1" s="22"/>
      <c r="OOF1" s="22"/>
      <c r="OOG1" s="22"/>
      <c r="OOH1" s="22"/>
      <c r="OOI1" s="22"/>
      <c r="OOJ1" s="22"/>
      <c r="OOK1" s="22"/>
      <c r="OOL1" s="22"/>
      <c r="OOM1" s="22"/>
      <c r="OON1" s="22"/>
      <c r="OOO1" s="22"/>
      <c r="OOP1" s="22"/>
      <c r="OOQ1" s="22"/>
      <c r="OOR1" s="22"/>
      <c r="OOS1" s="22"/>
      <c r="OOT1" s="22"/>
      <c r="OOU1" s="22"/>
      <c r="OOV1" s="22"/>
      <c r="OOW1" s="22"/>
      <c r="OOX1" s="22"/>
      <c r="OOY1" s="22"/>
      <c r="OOZ1" s="22"/>
      <c r="OPA1" s="22"/>
      <c r="OPB1" s="22"/>
      <c r="OPC1" s="22"/>
      <c r="OPD1" s="22"/>
      <c r="OPE1" s="22"/>
      <c r="OPF1" s="22"/>
      <c r="OPG1" s="22"/>
      <c r="OPH1" s="22"/>
      <c r="OPI1" s="22"/>
      <c r="OPJ1" s="22"/>
      <c r="OPK1" s="22"/>
      <c r="OPL1" s="22"/>
      <c r="OPM1" s="22"/>
      <c r="OPN1" s="22"/>
      <c r="OPO1" s="22"/>
      <c r="OPP1" s="22"/>
      <c r="OPQ1" s="22"/>
      <c r="OPR1" s="22"/>
      <c r="OPS1" s="22"/>
      <c r="OPT1" s="22"/>
      <c r="OPU1" s="22"/>
      <c r="OPV1" s="22"/>
      <c r="OPW1" s="22"/>
      <c r="OPX1" s="22"/>
      <c r="OPY1" s="22"/>
      <c r="OPZ1" s="22"/>
      <c r="OQA1" s="22"/>
      <c r="OQB1" s="22"/>
      <c r="OQC1" s="22"/>
      <c r="OQD1" s="22"/>
      <c r="OQE1" s="22"/>
      <c r="OQF1" s="22"/>
      <c r="OQG1" s="22"/>
      <c r="OQH1" s="22"/>
      <c r="OQI1" s="22"/>
      <c r="OQJ1" s="22"/>
      <c r="OQK1" s="22"/>
      <c r="OQL1" s="22"/>
      <c r="OQM1" s="22"/>
      <c r="OQN1" s="22"/>
      <c r="OQO1" s="22"/>
      <c r="OQP1" s="22"/>
      <c r="OQQ1" s="22"/>
      <c r="OQR1" s="22"/>
      <c r="OQS1" s="22"/>
      <c r="OQT1" s="22"/>
      <c r="OQU1" s="22"/>
      <c r="OQV1" s="22"/>
      <c r="OQW1" s="22"/>
      <c r="OQX1" s="22"/>
      <c r="OQY1" s="22"/>
      <c r="OQZ1" s="22"/>
      <c r="ORA1" s="22"/>
      <c r="ORB1" s="22"/>
      <c r="ORC1" s="22"/>
      <c r="ORD1" s="22"/>
      <c r="ORE1" s="22"/>
      <c r="ORF1" s="22"/>
      <c r="ORG1" s="22"/>
      <c r="ORH1" s="22"/>
      <c r="ORI1" s="22"/>
      <c r="ORJ1" s="22"/>
      <c r="ORK1" s="22"/>
      <c r="ORL1" s="22"/>
      <c r="ORM1" s="22"/>
      <c r="ORN1" s="22"/>
      <c r="ORO1" s="22"/>
      <c r="ORP1" s="22"/>
      <c r="ORQ1" s="22"/>
      <c r="ORR1" s="22"/>
      <c r="ORS1" s="22"/>
      <c r="ORT1" s="22"/>
      <c r="ORU1" s="22"/>
      <c r="ORV1" s="22"/>
      <c r="ORW1" s="22"/>
      <c r="ORX1" s="22"/>
      <c r="ORY1" s="22"/>
      <c r="ORZ1" s="22"/>
      <c r="OSA1" s="22"/>
      <c r="OSB1" s="22"/>
      <c r="OSC1" s="22"/>
      <c r="OSD1" s="22"/>
      <c r="OSE1" s="22"/>
      <c r="OSF1" s="22"/>
      <c r="OSG1" s="22"/>
      <c r="OSH1" s="22"/>
      <c r="OSI1" s="22"/>
      <c r="OSJ1" s="22"/>
      <c r="OSK1" s="22"/>
      <c r="OSL1" s="22"/>
      <c r="OSM1" s="22"/>
      <c r="OSN1" s="22"/>
      <c r="OSO1" s="22"/>
      <c r="OSP1" s="22"/>
      <c r="OSQ1" s="22"/>
      <c r="OSR1" s="22"/>
      <c r="OSS1" s="22"/>
      <c r="OST1" s="22"/>
      <c r="OSU1" s="22"/>
      <c r="OSV1" s="22"/>
      <c r="OSW1" s="22"/>
      <c r="OSX1" s="22"/>
      <c r="OSY1" s="22"/>
      <c r="OSZ1" s="22"/>
      <c r="OTA1" s="22"/>
      <c r="OTB1" s="22"/>
      <c r="OTC1" s="22"/>
      <c r="OTD1" s="22"/>
      <c r="OTE1" s="22"/>
      <c r="OTF1" s="22"/>
      <c r="OTG1" s="22"/>
      <c r="OTH1" s="22"/>
      <c r="OTI1" s="22"/>
      <c r="OTJ1" s="22"/>
      <c r="OTK1" s="22"/>
      <c r="OTL1" s="22"/>
      <c r="OTM1" s="22"/>
      <c r="OTN1" s="22"/>
      <c r="OTO1" s="22"/>
      <c r="OTP1" s="22"/>
      <c r="OTQ1" s="22"/>
      <c r="OTR1" s="22"/>
      <c r="OTS1" s="22"/>
      <c r="OTT1" s="22"/>
      <c r="OTU1" s="22"/>
      <c r="OTV1" s="22"/>
      <c r="OTW1" s="22"/>
      <c r="OTX1" s="22"/>
      <c r="OTY1" s="22"/>
      <c r="OTZ1" s="22"/>
      <c r="OUA1" s="22"/>
      <c r="OUB1" s="22"/>
      <c r="OUC1" s="22"/>
      <c r="OUD1" s="22"/>
      <c r="OUE1" s="22"/>
      <c r="OUF1" s="22"/>
      <c r="OUG1" s="22"/>
      <c r="OUH1" s="22"/>
      <c r="OUI1" s="22"/>
      <c r="OUJ1" s="22"/>
      <c r="OUK1" s="22"/>
      <c r="OUL1" s="22"/>
      <c r="OUM1" s="22"/>
      <c r="OUN1" s="22"/>
      <c r="OUO1" s="22"/>
      <c r="OUP1" s="22"/>
      <c r="OUQ1" s="22"/>
      <c r="OUR1" s="22"/>
      <c r="OUS1" s="22"/>
      <c r="OUT1" s="22"/>
      <c r="OUU1" s="22"/>
      <c r="OUV1" s="22"/>
      <c r="OUW1" s="22"/>
      <c r="OUX1" s="22"/>
      <c r="OUY1" s="22"/>
      <c r="OUZ1" s="22"/>
      <c r="OVA1" s="22"/>
      <c r="OVB1" s="22"/>
      <c r="OVC1" s="22"/>
      <c r="OVD1" s="22"/>
      <c r="OVE1" s="22"/>
      <c r="OVF1" s="22"/>
      <c r="OVG1" s="22"/>
      <c r="OVH1" s="22"/>
      <c r="OVI1" s="22"/>
      <c r="OVJ1" s="22"/>
      <c r="OVK1" s="22"/>
      <c r="OVL1" s="22"/>
      <c r="OVM1" s="22"/>
      <c r="OVN1" s="22"/>
      <c r="OVO1" s="22"/>
      <c r="OVP1" s="22"/>
      <c r="OVQ1" s="22"/>
      <c r="OVR1" s="22"/>
      <c r="OVS1" s="22"/>
      <c r="OVT1" s="22"/>
      <c r="OVU1" s="22"/>
      <c r="OVV1" s="22"/>
      <c r="OVW1" s="22"/>
      <c r="OVX1" s="22"/>
      <c r="OVY1" s="22"/>
      <c r="OVZ1" s="22"/>
      <c r="OWA1" s="22"/>
      <c r="OWB1" s="22"/>
      <c r="OWC1" s="22"/>
      <c r="OWD1" s="22"/>
      <c r="OWE1" s="22"/>
      <c r="OWF1" s="22"/>
      <c r="OWG1" s="22"/>
      <c r="OWH1" s="22"/>
      <c r="OWI1" s="22"/>
      <c r="OWJ1" s="22"/>
      <c r="OWK1" s="22"/>
      <c r="OWL1" s="22"/>
      <c r="OWM1" s="22"/>
      <c r="OWN1" s="22"/>
      <c r="OWO1" s="22"/>
      <c r="OWP1" s="22"/>
      <c r="OWQ1" s="22"/>
      <c r="OWR1" s="22"/>
      <c r="OWS1" s="22"/>
      <c r="OWT1" s="22"/>
      <c r="OWU1" s="22"/>
      <c r="OWV1" s="22"/>
      <c r="OWW1" s="22"/>
      <c r="OWX1" s="22"/>
      <c r="OWY1" s="22"/>
      <c r="OWZ1" s="22"/>
      <c r="OXA1" s="22"/>
      <c r="OXB1" s="22"/>
      <c r="OXC1" s="22"/>
      <c r="OXD1" s="22"/>
      <c r="OXE1" s="22"/>
      <c r="OXF1" s="22"/>
      <c r="OXG1" s="22"/>
      <c r="OXH1" s="22"/>
      <c r="OXI1" s="22"/>
      <c r="OXJ1" s="22"/>
      <c r="OXK1" s="22"/>
      <c r="OXL1" s="22"/>
      <c r="OXM1" s="22"/>
      <c r="OXN1" s="22"/>
      <c r="OXO1" s="22"/>
      <c r="OXP1" s="22"/>
      <c r="OXQ1" s="22"/>
      <c r="OXR1" s="22"/>
      <c r="OXS1" s="22"/>
      <c r="OXT1" s="22"/>
      <c r="OXU1" s="22"/>
      <c r="OXV1" s="22"/>
      <c r="OXW1" s="22"/>
      <c r="OXX1" s="22"/>
      <c r="OXY1" s="22"/>
      <c r="OXZ1" s="22"/>
      <c r="OYA1" s="22"/>
      <c r="OYB1" s="22"/>
      <c r="OYC1" s="22"/>
      <c r="OYD1" s="22"/>
      <c r="OYE1" s="22"/>
      <c r="OYF1" s="22"/>
      <c r="OYG1" s="22"/>
      <c r="OYH1" s="22"/>
      <c r="OYI1" s="22"/>
      <c r="OYJ1" s="22"/>
      <c r="OYK1" s="22"/>
      <c r="OYL1" s="22"/>
      <c r="OYM1" s="22"/>
      <c r="OYN1" s="22"/>
      <c r="OYO1" s="22"/>
      <c r="OYP1" s="22"/>
      <c r="OYQ1" s="22"/>
      <c r="OYR1" s="22"/>
      <c r="OYS1" s="22"/>
      <c r="OYT1" s="22"/>
      <c r="OYU1" s="22"/>
      <c r="OYV1" s="22"/>
      <c r="OYW1" s="22"/>
      <c r="OYX1" s="22"/>
      <c r="OYY1" s="22"/>
      <c r="OYZ1" s="22"/>
      <c r="OZA1" s="22"/>
      <c r="OZB1" s="22"/>
      <c r="OZC1" s="22"/>
      <c r="OZD1" s="22"/>
      <c r="OZE1" s="22"/>
      <c r="OZF1" s="22"/>
      <c r="OZG1" s="22"/>
      <c r="OZH1" s="22"/>
      <c r="OZI1" s="22"/>
      <c r="OZJ1" s="22"/>
      <c r="OZK1" s="22"/>
      <c r="OZL1" s="22"/>
      <c r="OZM1" s="22"/>
      <c r="OZN1" s="22"/>
      <c r="OZO1" s="22"/>
      <c r="OZP1" s="22"/>
      <c r="OZQ1" s="22"/>
      <c r="OZR1" s="22"/>
      <c r="OZS1" s="22"/>
      <c r="OZT1" s="22"/>
      <c r="OZU1" s="22"/>
      <c r="OZV1" s="22"/>
      <c r="OZW1" s="22"/>
      <c r="OZX1" s="22"/>
      <c r="OZY1" s="22"/>
      <c r="OZZ1" s="22"/>
      <c r="PAA1" s="22"/>
      <c r="PAB1" s="22"/>
      <c r="PAC1" s="22"/>
      <c r="PAD1" s="22"/>
      <c r="PAE1" s="22"/>
      <c r="PAF1" s="22"/>
      <c r="PAG1" s="22"/>
      <c r="PAH1" s="22"/>
      <c r="PAI1" s="22"/>
      <c r="PAJ1" s="22"/>
      <c r="PAK1" s="22"/>
      <c r="PAL1" s="22"/>
      <c r="PAM1" s="22"/>
      <c r="PAN1" s="22"/>
      <c r="PAO1" s="22"/>
      <c r="PAP1" s="22"/>
      <c r="PAQ1" s="22"/>
      <c r="PAR1" s="22"/>
      <c r="PAS1" s="22"/>
      <c r="PAT1" s="22"/>
      <c r="PAU1" s="22"/>
      <c r="PAV1" s="22"/>
      <c r="PAW1" s="22"/>
      <c r="PAX1" s="22"/>
      <c r="PAY1" s="22"/>
      <c r="PAZ1" s="22"/>
      <c r="PBA1" s="22"/>
      <c r="PBB1" s="22"/>
      <c r="PBC1" s="22"/>
      <c r="PBD1" s="22"/>
      <c r="PBE1" s="22"/>
      <c r="PBF1" s="22"/>
      <c r="PBG1" s="22"/>
      <c r="PBH1" s="22"/>
      <c r="PBI1" s="22"/>
      <c r="PBJ1" s="22"/>
      <c r="PBK1" s="22"/>
      <c r="PBL1" s="22"/>
      <c r="PBM1" s="22"/>
      <c r="PBN1" s="22"/>
      <c r="PBO1" s="22"/>
      <c r="PBP1" s="22"/>
      <c r="PBQ1" s="22"/>
      <c r="PBR1" s="22"/>
      <c r="PBS1" s="22"/>
      <c r="PBT1" s="22"/>
      <c r="PBU1" s="22"/>
      <c r="PBV1" s="22"/>
      <c r="PBW1" s="22"/>
      <c r="PBX1" s="22"/>
      <c r="PBY1" s="22"/>
      <c r="PBZ1" s="22"/>
      <c r="PCA1" s="22"/>
      <c r="PCB1" s="22"/>
      <c r="PCC1" s="22"/>
      <c r="PCD1" s="22"/>
      <c r="PCE1" s="22"/>
      <c r="PCF1" s="22"/>
      <c r="PCG1" s="22"/>
      <c r="PCH1" s="22"/>
      <c r="PCI1" s="22"/>
      <c r="PCJ1" s="22"/>
      <c r="PCK1" s="22"/>
      <c r="PCL1" s="22"/>
      <c r="PCM1" s="22"/>
      <c r="PCN1" s="22"/>
      <c r="PCO1" s="22"/>
      <c r="PCP1" s="22"/>
      <c r="PCQ1" s="22"/>
      <c r="PCR1" s="22"/>
      <c r="PCS1" s="22"/>
      <c r="PCT1" s="22"/>
      <c r="PCU1" s="22"/>
      <c r="PCV1" s="22"/>
      <c r="PCW1" s="22"/>
      <c r="PCX1" s="22"/>
      <c r="PCY1" s="22"/>
      <c r="PCZ1" s="22"/>
      <c r="PDA1" s="22"/>
      <c r="PDB1" s="22"/>
      <c r="PDC1" s="22"/>
      <c r="PDD1" s="22"/>
      <c r="PDE1" s="22"/>
      <c r="PDF1" s="22"/>
      <c r="PDG1" s="22"/>
      <c r="PDH1" s="22"/>
      <c r="PDI1" s="22"/>
      <c r="PDJ1" s="22"/>
      <c r="PDK1" s="22"/>
      <c r="PDL1" s="22"/>
      <c r="PDM1" s="22"/>
      <c r="PDN1" s="22"/>
      <c r="PDO1" s="22"/>
      <c r="PDP1" s="22"/>
      <c r="PDQ1" s="22"/>
      <c r="PDR1" s="22"/>
      <c r="PDS1" s="22"/>
      <c r="PDT1" s="22"/>
      <c r="PDU1" s="22"/>
      <c r="PDV1" s="22"/>
      <c r="PDW1" s="22"/>
      <c r="PDX1" s="22"/>
      <c r="PDY1" s="22"/>
      <c r="PDZ1" s="22"/>
      <c r="PEA1" s="22"/>
      <c r="PEB1" s="22"/>
      <c r="PEC1" s="22"/>
      <c r="PED1" s="22"/>
      <c r="PEE1" s="22"/>
      <c r="PEF1" s="22"/>
      <c r="PEG1" s="22"/>
      <c r="PEH1" s="22"/>
      <c r="PEI1" s="22"/>
      <c r="PEJ1" s="22"/>
      <c r="PEK1" s="22"/>
      <c r="PEL1" s="22"/>
      <c r="PEM1" s="22"/>
      <c r="PEN1" s="22"/>
      <c r="PEO1" s="22"/>
      <c r="PEP1" s="22"/>
      <c r="PEQ1" s="22"/>
      <c r="PER1" s="22"/>
      <c r="PES1" s="22"/>
      <c r="PET1" s="22"/>
      <c r="PEU1" s="22"/>
      <c r="PEV1" s="22"/>
      <c r="PEW1" s="22"/>
      <c r="PEX1" s="22"/>
      <c r="PEY1" s="22"/>
      <c r="PEZ1" s="22"/>
      <c r="PFA1" s="22"/>
      <c r="PFB1" s="22"/>
      <c r="PFC1" s="22"/>
      <c r="PFD1" s="22"/>
      <c r="PFE1" s="22"/>
      <c r="PFF1" s="22"/>
      <c r="PFG1" s="22"/>
      <c r="PFH1" s="22"/>
      <c r="PFI1" s="22"/>
      <c r="PFJ1" s="22"/>
      <c r="PFK1" s="22"/>
      <c r="PFL1" s="22"/>
      <c r="PFM1" s="22"/>
      <c r="PFN1" s="22"/>
      <c r="PFO1" s="22"/>
      <c r="PFP1" s="22"/>
      <c r="PFQ1" s="22"/>
      <c r="PFR1" s="22"/>
      <c r="PFS1" s="22"/>
      <c r="PFT1" s="22"/>
      <c r="PFU1" s="22"/>
      <c r="PFV1" s="22"/>
      <c r="PFW1" s="22"/>
      <c r="PFX1" s="22"/>
      <c r="PFY1" s="22"/>
      <c r="PFZ1" s="22"/>
      <c r="PGA1" s="22"/>
      <c r="PGB1" s="22"/>
      <c r="PGC1" s="22"/>
      <c r="PGD1" s="22"/>
      <c r="PGE1" s="22"/>
      <c r="PGF1" s="22"/>
      <c r="PGG1" s="22"/>
      <c r="PGH1" s="22"/>
      <c r="PGI1" s="22"/>
      <c r="PGJ1" s="22"/>
      <c r="PGK1" s="22"/>
      <c r="PGL1" s="22"/>
      <c r="PGM1" s="22"/>
      <c r="PGN1" s="22"/>
      <c r="PGO1" s="22"/>
      <c r="PGP1" s="22"/>
      <c r="PGQ1" s="22"/>
      <c r="PGR1" s="22"/>
      <c r="PGS1" s="22"/>
      <c r="PGT1" s="22"/>
      <c r="PGU1" s="22"/>
      <c r="PGV1" s="22"/>
      <c r="PGW1" s="22"/>
      <c r="PGX1" s="22"/>
      <c r="PGY1" s="22"/>
      <c r="PGZ1" s="22"/>
      <c r="PHA1" s="22"/>
      <c r="PHB1" s="22"/>
      <c r="PHC1" s="22"/>
      <c r="PHD1" s="22"/>
      <c r="PHE1" s="22"/>
      <c r="PHF1" s="22"/>
      <c r="PHG1" s="22"/>
      <c r="PHH1" s="22"/>
      <c r="PHI1" s="22"/>
      <c r="PHJ1" s="22"/>
      <c r="PHK1" s="22"/>
      <c r="PHL1" s="22"/>
      <c r="PHM1" s="22"/>
      <c r="PHN1" s="22"/>
      <c r="PHO1" s="22"/>
      <c r="PHP1" s="22"/>
      <c r="PHQ1" s="22"/>
      <c r="PHR1" s="22"/>
      <c r="PHS1" s="22"/>
      <c r="PHT1" s="22"/>
      <c r="PHU1" s="22"/>
      <c r="PHV1" s="22"/>
      <c r="PHW1" s="22"/>
      <c r="PHX1" s="22"/>
      <c r="PHY1" s="22"/>
      <c r="PHZ1" s="22"/>
      <c r="PIA1" s="22"/>
      <c r="PIB1" s="22"/>
      <c r="PIC1" s="22"/>
      <c r="PID1" s="22"/>
      <c r="PIE1" s="22"/>
      <c r="PIF1" s="22"/>
      <c r="PIG1" s="22"/>
      <c r="PIH1" s="22"/>
      <c r="PII1" s="22"/>
      <c r="PIJ1" s="22"/>
      <c r="PIK1" s="22"/>
      <c r="PIL1" s="22"/>
      <c r="PIM1" s="22"/>
      <c r="PIN1" s="22"/>
      <c r="PIO1" s="22"/>
      <c r="PIP1" s="22"/>
      <c r="PIQ1" s="22"/>
      <c r="PIR1" s="22"/>
      <c r="PIS1" s="22"/>
      <c r="PIT1" s="22"/>
      <c r="PIU1" s="22"/>
      <c r="PIV1" s="22"/>
      <c r="PIW1" s="22"/>
      <c r="PIX1" s="22"/>
      <c r="PIY1" s="22"/>
      <c r="PIZ1" s="22"/>
      <c r="PJA1" s="22"/>
      <c r="PJB1" s="22"/>
      <c r="PJC1" s="22"/>
      <c r="PJD1" s="22"/>
      <c r="PJE1" s="22"/>
      <c r="PJF1" s="22"/>
      <c r="PJG1" s="22"/>
      <c r="PJH1" s="22"/>
      <c r="PJI1" s="22"/>
      <c r="PJJ1" s="22"/>
      <c r="PJK1" s="22"/>
      <c r="PJL1" s="22"/>
      <c r="PJM1" s="22"/>
      <c r="PJN1" s="22"/>
      <c r="PJO1" s="22"/>
      <c r="PJP1" s="22"/>
      <c r="PJQ1" s="22"/>
      <c r="PJR1" s="22"/>
      <c r="PJS1" s="22"/>
      <c r="PJT1" s="22"/>
      <c r="PJU1" s="22"/>
      <c r="PJV1" s="22"/>
      <c r="PJW1" s="22"/>
      <c r="PJX1" s="22"/>
      <c r="PJY1" s="22"/>
      <c r="PJZ1" s="22"/>
      <c r="PKA1" s="22"/>
      <c r="PKB1" s="22"/>
      <c r="PKC1" s="22"/>
      <c r="PKD1" s="22"/>
      <c r="PKE1" s="22"/>
      <c r="PKF1" s="22"/>
      <c r="PKG1" s="22"/>
      <c r="PKH1" s="22"/>
      <c r="PKI1" s="22"/>
      <c r="PKJ1" s="22"/>
      <c r="PKK1" s="22"/>
      <c r="PKL1" s="22"/>
      <c r="PKM1" s="22"/>
      <c r="PKN1" s="22"/>
      <c r="PKO1" s="22"/>
      <c r="PKP1" s="22"/>
      <c r="PKQ1" s="22"/>
      <c r="PKR1" s="22"/>
      <c r="PKS1" s="22"/>
      <c r="PKT1" s="22"/>
      <c r="PKU1" s="22"/>
      <c r="PKV1" s="22"/>
      <c r="PKW1" s="22"/>
      <c r="PKX1" s="22"/>
      <c r="PKY1" s="22"/>
      <c r="PKZ1" s="22"/>
      <c r="PLA1" s="22"/>
      <c r="PLB1" s="22"/>
      <c r="PLC1" s="22"/>
      <c r="PLD1" s="22"/>
      <c r="PLE1" s="22"/>
      <c r="PLF1" s="22"/>
      <c r="PLG1" s="22"/>
      <c r="PLH1" s="22"/>
      <c r="PLI1" s="22"/>
      <c r="PLJ1" s="22"/>
      <c r="PLK1" s="22"/>
      <c r="PLL1" s="22"/>
      <c r="PLM1" s="22"/>
      <c r="PLN1" s="22"/>
      <c r="PLO1" s="22"/>
      <c r="PLP1" s="22"/>
      <c r="PLQ1" s="22"/>
      <c r="PLR1" s="22"/>
      <c r="PLS1" s="22"/>
      <c r="PLT1" s="22"/>
      <c r="PLU1" s="22"/>
      <c r="PLV1" s="22"/>
      <c r="PLW1" s="22"/>
      <c r="PLX1" s="22"/>
      <c r="PLY1" s="22"/>
      <c r="PLZ1" s="22"/>
      <c r="PMA1" s="22"/>
      <c r="PMB1" s="22"/>
      <c r="PMC1" s="22"/>
      <c r="PMD1" s="22"/>
      <c r="PME1" s="22"/>
      <c r="PMF1" s="22"/>
      <c r="PMG1" s="22"/>
      <c r="PMH1" s="22"/>
      <c r="PMI1" s="22"/>
      <c r="PMJ1" s="22"/>
      <c r="PMK1" s="22"/>
      <c r="PML1" s="22"/>
      <c r="PMM1" s="22"/>
      <c r="PMN1" s="22"/>
      <c r="PMO1" s="22"/>
      <c r="PMP1" s="22"/>
      <c r="PMQ1" s="22"/>
      <c r="PMR1" s="22"/>
      <c r="PMS1" s="22"/>
      <c r="PMT1" s="22"/>
      <c r="PMU1" s="22"/>
      <c r="PMV1" s="22"/>
      <c r="PMW1" s="22"/>
      <c r="PMX1" s="22"/>
      <c r="PMY1" s="22"/>
      <c r="PMZ1" s="22"/>
      <c r="PNA1" s="22"/>
      <c r="PNB1" s="22"/>
      <c r="PNC1" s="22"/>
      <c r="PND1" s="22"/>
      <c r="PNE1" s="22"/>
      <c r="PNF1" s="22"/>
      <c r="PNG1" s="22"/>
      <c r="PNH1" s="22"/>
      <c r="PNI1" s="22"/>
      <c r="PNJ1" s="22"/>
      <c r="PNK1" s="22"/>
      <c r="PNL1" s="22"/>
      <c r="PNM1" s="22"/>
      <c r="PNN1" s="22"/>
      <c r="PNO1" s="22"/>
      <c r="PNP1" s="22"/>
      <c r="PNQ1" s="22"/>
      <c r="PNR1" s="22"/>
      <c r="PNS1" s="22"/>
      <c r="PNT1" s="22"/>
      <c r="PNU1" s="22"/>
      <c r="PNV1" s="22"/>
      <c r="PNW1" s="22"/>
      <c r="PNX1" s="22"/>
      <c r="PNY1" s="22"/>
      <c r="PNZ1" s="22"/>
      <c r="POA1" s="22"/>
      <c r="POB1" s="22"/>
      <c r="POC1" s="22"/>
      <c r="POD1" s="22"/>
      <c r="POE1" s="22"/>
      <c r="POF1" s="22"/>
      <c r="POG1" s="22"/>
      <c r="POH1" s="22"/>
      <c r="POI1" s="22"/>
      <c r="POJ1" s="22"/>
      <c r="POK1" s="22"/>
      <c r="POL1" s="22"/>
      <c r="POM1" s="22"/>
      <c r="PON1" s="22"/>
      <c r="POO1" s="22"/>
      <c r="POP1" s="22"/>
      <c r="POQ1" s="22"/>
      <c r="POR1" s="22"/>
      <c r="POS1" s="22"/>
      <c r="POT1" s="22"/>
      <c r="POU1" s="22"/>
      <c r="POV1" s="22"/>
      <c r="POW1" s="22"/>
      <c r="POX1" s="22"/>
      <c r="POY1" s="22"/>
      <c r="POZ1" s="22"/>
      <c r="PPA1" s="22"/>
      <c r="PPB1" s="22"/>
      <c r="PPC1" s="22"/>
      <c r="PPD1" s="22"/>
      <c r="PPE1" s="22"/>
      <c r="PPF1" s="22"/>
      <c r="PPG1" s="22"/>
      <c r="PPH1" s="22"/>
      <c r="PPI1" s="22"/>
      <c r="PPJ1" s="22"/>
      <c r="PPK1" s="22"/>
      <c r="PPL1" s="22"/>
      <c r="PPM1" s="22"/>
      <c r="PPN1" s="22"/>
      <c r="PPO1" s="22"/>
      <c r="PPP1" s="22"/>
      <c r="PPQ1" s="22"/>
      <c r="PPR1" s="22"/>
      <c r="PPS1" s="22"/>
      <c r="PPT1" s="22"/>
      <c r="PPU1" s="22"/>
      <c r="PPV1" s="22"/>
      <c r="PPW1" s="22"/>
      <c r="PPX1" s="22"/>
      <c r="PPY1" s="22"/>
      <c r="PPZ1" s="22"/>
      <c r="PQA1" s="22"/>
      <c r="PQB1" s="22"/>
      <c r="PQC1" s="22"/>
      <c r="PQD1" s="22"/>
      <c r="PQE1" s="22"/>
      <c r="PQF1" s="22"/>
      <c r="PQG1" s="22"/>
      <c r="PQH1" s="22"/>
      <c r="PQI1" s="22"/>
      <c r="PQJ1" s="22"/>
      <c r="PQK1" s="22"/>
      <c r="PQL1" s="22"/>
      <c r="PQM1" s="22"/>
      <c r="PQN1" s="22"/>
      <c r="PQO1" s="22"/>
      <c r="PQP1" s="22"/>
      <c r="PQQ1" s="22"/>
      <c r="PQR1" s="22"/>
      <c r="PQS1" s="22"/>
      <c r="PQT1" s="22"/>
      <c r="PQU1" s="22"/>
      <c r="PQV1" s="22"/>
      <c r="PQW1" s="22"/>
      <c r="PQX1" s="22"/>
      <c r="PQY1" s="22"/>
      <c r="PQZ1" s="22"/>
      <c r="PRA1" s="22"/>
      <c r="PRB1" s="22"/>
      <c r="PRC1" s="22"/>
      <c r="PRD1" s="22"/>
      <c r="PRE1" s="22"/>
      <c r="PRF1" s="22"/>
      <c r="PRG1" s="22"/>
      <c r="PRH1" s="22"/>
      <c r="PRI1" s="22"/>
      <c r="PRJ1" s="22"/>
      <c r="PRK1" s="22"/>
      <c r="PRL1" s="22"/>
      <c r="PRM1" s="22"/>
      <c r="PRN1" s="22"/>
      <c r="PRO1" s="22"/>
      <c r="PRP1" s="22"/>
      <c r="PRQ1" s="22"/>
      <c r="PRR1" s="22"/>
      <c r="PRS1" s="22"/>
      <c r="PRT1" s="22"/>
      <c r="PRU1" s="22"/>
      <c r="PRV1" s="22"/>
      <c r="PRW1" s="22"/>
      <c r="PRX1" s="22"/>
      <c r="PRY1" s="22"/>
      <c r="PRZ1" s="22"/>
      <c r="PSA1" s="22"/>
      <c r="PSB1" s="22"/>
      <c r="PSC1" s="22"/>
      <c r="PSD1" s="22"/>
      <c r="PSE1" s="22"/>
      <c r="PSF1" s="22"/>
      <c r="PSG1" s="22"/>
      <c r="PSH1" s="22"/>
      <c r="PSI1" s="22"/>
      <c r="PSJ1" s="22"/>
      <c r="PSK1" s="22"/>
      <c r="PSL1" s="22"/>
      <c r="PSM1" s="22"/>
      <c r="PSN1" s="22"/>
      <c r="PSO1" s="22"/>
      <c r="PSP1" s="22"/>
      <c r="PSQ1" s="22"/>
      <c r="PSR1" s="22"/>
      <c r="PSS1" s="22"/>
      <c r="PST1" s="22"/>
      <c r="PSU1" s="22"/>
      <c r="PSV1" s="22"/>
      <c r="PSW1" s="22"/>
      <c r="PSX1" s="22"/>
      <c r="PSY1" s="22"/>
      <c r="PSZ1" s="22"/>
      <c r="PTA1" s="22"/>
      <c r="PTB1" s="22"/>
      <c r="PTC1" s="22"/>
      <c r="PTD1" s="22"/>
      <c r="PTE1" s="22"/>
      <c r="PTF1" s="22"/>
      <c r="PTG1" s="22"/>
      <c r="PTH1" s="22"/>
      <c r="PTI1" s="22"/>
      <c r="PTJ1" s="22"/>
      <c r="PTK1" s="22"/>
      <c r="PTL1" s="22"/>
      <c r="PTM1" s="22"/>
      <c r="PTN1" s="22"/>
      <c r="PTO1" s="22"/>
      <c r="PTP1" s="22"/>
      <c r="PTQ1" s="22"/>
      <c r="PTR1" s="22"/>
      <c r="PTS1" s="22"/>
      <c r="PTT1" s="22"/>
      <c r="PTU1" s="22"/>
      <c r="PTV1" s="22"/>
      <c r="PTW1" s="22"/>
      <c r="PTX1" s="22"/>
      <c r="PTY1" s="22"/>
      <c r="PTZ1" s="22"/>
      <c r="PUA1" s="22"/>
      <c r="PUB1" s="22"/>
      <c r="PUC1" s="22"/>
      <c r="PUD1" s="22"/>
      <c r="PUE1" s="22"/>
      <c r="PUF1" s="22"/>
      <c r="PUG1" s="22"/>
      <c r="PUH1" s="22"/>
      <c r="PUI1" s="22"/>
      <c r="PUJ1" s="22"/>
      <c r="PUK1" s="22"/>
      <c r="PUL1" s="22"/>
      <c r="PUM1" s="22"/>
      <c r="PUN1" s="22"/>
      <c r="PUO1" s="22"/>
      <c r="PUP1" s="22"/>
      <c r="PUQ1" s="22"/>
      <c r="PUR1" s="22"/>
      <c r="PUS1" s="22"/>
      <c r="PUT1" s="22"/>
      <c r="PUU1" s="22"/>
      <c r="PUV1" s="22"/>
      <c r="PUW1" s="22"/>
      <c r="PUX1" s="22"/>
      <c r="PUY1" s="22"/>
      <c r="PUZ1" s="22"/>
      <c r="PVA1" s="22"/>
      <c r="PVB1" s="22"/>
      <c r="PVC1" s="22"/>
      <c r="PVD1" s="22"/>
      <c r="PVE1" s="22"/>
      <c r="PVF1" s="22"/>
      <c r="PVG1" s="22"/>
      <c r="PVH1" s="22"/>
      <c r="PVI1" s="22"/>
      <c r="PVJ1" s="22"/>
      <c r="PVK1" s="22"/>
      <c r="PVL1" s="22"/>
      <c r="PVM1" s="22"/>
      <c r="PVN1" s="22"/>
      <c r="PVO1" s="22"/>
      <c r="PVP1" s="22"/>
      <c r="PVQ1" s="22"/>
      <c r="PVR1" s="22"/>
      <c r="PVS1" s="22"/>
      <c r="PVT1" s="22"/>
      <c r="PVU1" s="22"/>
      <c r="PVV1" s="22"/>
      <c r="PVW1" s="22"/>
      <c r="PVX1" s="22"/>
      <c r="PVY1" s="22"/>
      <c r="PVZ1" s="22"/>
      <c r="PWA1" s="22"/>
      <c r="PWB1" s="22"/>
      <c r="PWC1" s="22"/>
      <c r="PWD1" s="22"/>
      <c r="PWE1" s="22"/>
      <c r="PWF1" s="22"/>
      <c r="PWG1" s="22"/>
      <c r="PWH1" s="22"/>
      <c r="PWI1" s="22"/>
      <c r="PWJ1" s="22"/>
      <c r="PWK1" s="22"/>
      <c r="PWL1" s="22"/>
      <c r="PWM1" s="22"/>
      <c r="PWN1" s="22"/>
      <c r="PWO1" s="22"/>
      <c r="PWP1" s="22"/>
      <c r="PWQ1" s="22"/>
      <c r="PWR1" s="22"/>
      <c r="PWS1" s="22"/>
      <c r="PWT1" s="22"/>
      <c r="PWU1" s="22"/>
      <c r="PWV1" s="22"/>
      <c r="PWW1" s="22"/>
      <c r="PWX1" s="22"/>
      <c r="PWY1" s="22"/>
      <c r="PWZ1" s="22"/>
      <c r="PXA1" s="22"/>
      <c r="PXB1" s="22"/>
      <c r="PXC1" s="22"/>
      <c r="PXD1" s="22"/>
      <c r="PXE1" s="22"/>
      <c r="PXF1" s="22"/>
      <c r="PXG1" s="22"/>
      <c r="PXH1" s="22"/>
      <c r="PXI1" s="22"/>
      <c r="PXJ1" s="22"/>
      <c r="PXK1" s="22"/>
      <c r="PXL1" s="22"/>
      <c r="PXM1" s="22"/>
      <c r="PXN1" s="22"/>
      <c r="PXO1" s="22"/>
      <c r="PXP1" s="22"/>
      <c r="PXQ1" s="22"/>
      <c r="PXR1" s="22"/>
      <c r="PXS1" s="22"/>
      <c r="PXT1" s="22"/>
      <c r="PXU1" s="22"/>
      <c r="PXV1" s="22"/>
      <c r="PXW1" s="22"/>
      <c r="PXX1" s="22"/>
      <c r="PXY1" s="22"/>
      <c r="PXZ1" s="22"/>
      <c r="PYA1" s="22"/>
      <c r="PYB1" s="22"/>
      <c r="PYC1" s="22"/>
      <c r="PYD1" s="22"/>
      <c r="PYE1" s="22"/>
      <c r="PYF1" s="22"/>
      <c r="PYG1" s="22"/>
      <c r="PYH1" s="22"/>
      <c r="PYI1" s="22"/>
      <c r="PYJ1" s="22"/>
      <c r="PYK1" s="22"/>
      <c r="PYL1" s="22"/>
      <c r="PYM1" s="22"/>
      <c r="PYN1" s="22"/>
      <c r="PYO1" s="22"/>
      <c r="PYP1" s="22"/>
      <c r="PYQ1" s="22"/>
      <c r="PYR1" s="22"/>
      <c r="PYS1" s="22"/>
      <c r="PYT1" s="22"/>
      <c r="PYU1" s="22"/>
      <c r="PYV1" s="22"/>
      <c r="PYW1" s="22"/>
      <c r="PYX1" s="22"/>
      <c r="PYY1" s="22"/>
      <c r="PYZ1" s="22"/>
      <c r="PZA1" s="22"/>
      <c r="PZB1" s="22"/>
      <c r="PZC1" s="22"/>
      <c r="PZD1" s="22"/>
      <c r="PZE1" s="22"/>
      <c r="PZF1" s="22"/>
      <c r="PZG1" s="22"/>
      <c r="PZH1" s="22"/>
      <c r="PZI1" s="22"/>
      <c r="PZJ1" s="22"/>
      <c r="PZK1" s="22"/>
      <c r="PZL1" s="22"/>
      <c r="PZM1" s="22"/>
      <c r="PZN1" s="22"/>
      <c r="PZO1" s="22"/>
      <c r="PZP1" s="22"/>
      <c r="PZQ1" s="22"/>
      <c r="PZR1" s="22"/>
      <c r="PZS1" s="22"/>
      <c r="PZT1" s="22"/>
      <c r="PZU1" s="22"/>
      <c r="PZV1" s="22"/>
      <c r="PZW1" s="22"/>
      <c r="PZX1" s="22"/>
      <c r="PZY1" s="22"/>
      <c r="PZZ1" s="22"/>
      <c r="QAA1" s="22"/>
      <c r="QAB1" s="22"/>
      <c r="QAC1" s="22"/>
      <c r="QAD1" s="22"/>
      <c r="QAE1" s="22"/>
      <c r="QAF1" s="22"/>
      <c r="QAG1" s="22"/>
      <c r="QAH1" s="22"/>
      <c r="QAI1" s="22"/>
      <c r="QAJ1" s="22"/>
      <c r="QAK1" s="22"/>
      <c r="QAL1" s="22"/>
      <c r="QAM1" s="22"/>
      <c r="QAN1" s="22"/>
      <c r="QAO1" s="22"/>
      <c r="QAP1" s="22"/>
      <c r="QAQ1" s="22"/>
      <c r="QAR1" s="22"/>
      <c r="QAS1" s="22"/>
      <c r="QAT1" s="22"/>
      <c r="QAU1" s="22"/>
      <c r="QAV1" s="22"/>
      <c r="QAW1" s="22"/>
      <c r="QAX1" s="22"/>
      <c r="QAY1" s="22"/>
      <c r="QAZ1" s="22"/>
      <c r="QBA1" s="22"/>
      <c r="QBB1" s="22"/>
      <c r="QBC1" s="22"/>
      <c r="QBD1" s="22"/>
      <c r="QBE1" s="22"/>
      <c r="QBF1" s="22"/>
      <c r="QBG1" s="22"/>
      <c r="QBH1" s="22"/>
      <c r="QBI1" s="22"/>
      <c r="QBJ1" s="22"/>
      <c r="QBK1" s="22"/>
      <c r="QBL1" s="22"/>
      <c r="QBM1" s="22"/>
      <c r="QBN1" s="22"/>
      <c r="QBO1" s="22"/>
      <c r="QBP1" s="22"/>
      <c r="QBQ1" s="22"/>
      <c r="QBR1" s="22"/>
      <c r="QBS1" s="22"/>
      <c r="QBT1" s="22"/>
      <c r="QBU1" s="22"/>
      <c r="QBV1" s="22"/>
      <c r="QBW1" s="22"/>
      <c r="QBX1" s="22"/>
      <c r="QBY1" s="22"/>
      <c r="QBZ1" s="22"/>
      <c r="QCA1" s="22"/>
      <c r="QCB1" s="22"/>
      <c r="QCC1" s="22"/>
      <c r="QCD1" s="22"/>
      <c r="QCE1" s="22"/>
      <c r="QCF1" s="22"/>
      <c r="QCG1" s="22"/>
      <c r="QCH1" s="22"/>
      <c r="QCI1" s="22"/>
      <c r="QCJ1" s="22"/>
      <c r="QCK1" s="22"/>
      <c r="QCL1" s="22"/>
      <c r="QCM1" s="22"/>
      <c r="QCN1" s="22"/>
      <c r="QCO1" s="22"/>
      <c r="QCP1" s="22"/>
      <c r="QCQ1" s="22"/>
      <c r="QCR1" s="22"/>
      <c r="QCS1" s="22"/>
      <c r="QCT1" s="22"/>
      <c r="QCU1" s="22"/>
      <c r="QCV1" s="22"/>
      <c r="QCW1" s="22"/>
      <c r="QCX1" s="22"/>
      <c r="QCY1" s="22"/>
      <c r="QCZ1" s="22"/>
      <c r="QDA1" s="22"/>
      <c r="QDB1" s="22"/>
      <c r="QDC1" s="22"/>
      <c r="QDD1" s="22"/>
      <c r="QDE1" s="22"/>
      <c r="QDF1" s="22"/>
      <c r="QDG1" s="22"/>
      <c r="QDH1" s="22"/>
      <c r="QDI1" s="22"/>
      <c r="QDJ1" s="22"/>
      <c r="QDK1" s="22"/>
      <c r="QDL1" s="22"/>
      <c r="QDM1" s="22"/>
      <c r="QDN1" s="22"/>
      <c r="QDO1" s="22"/>
      <c r="QDP1" s="22"/>
      <c r="QDQ1" s="22"/>
      <c r="QDR1" s="22"/>
      <c r="QDS1" s="22"/>
      <c r="QDT1" s="22"/>
      <c r="QDU1" s="22"/>
      <c r="QDV1" s="22"/>
      <c r="QDW1" s="22"/>
      <c r="QDX1" s="22"/>
      <c r="QDY1" s="22"/>
      <c r="QDZ1" s="22"/>
      <c r="QEA1" s="22"/>
      <c r="QEB1" s="22"/>
      <c r="QEC1" s="22"/>
      <c r="QED1" s="22"/>
      <c r="QEE1" s="22"/>
      <c r="QEF1" s="22"/>
      <c r="QEG1" s="22"/>
      <c r="QEH1" s="22"/>
      <c r="QEI1" s="22"/>
      <c r="QEJ1" s="22"/>
      <c r="QEK1" s="22"/>
      <c r="QEL1" s="22"/>
      <c r="QEM1" s="22"/>
      <c r="QEN1" s="22"/>
      <c r="QEO1" s="22"/>
      <c r="QEP1" s="22"/>
      <c r="QEQ1" s="22"/>
      <c r="QER1" s="22"/>
      <c r="QES1" s="22"/>
      <c r="QET1" s="22"/>
      <c r="QEU1" s="22"/>
      <c r="QEV1" s="22"/>
      <c r="QEW1" s="22"/>
      <c r="QEX1" s="22"/>
      <c r="QEY1" s="22"/>
      <c r="QEZ1" s="22"/>
      <c r="QFA1" s="22"/>
      <c r="QFB1" s="22"/>
      <c r="QFC1" s="22"/>
      <c r="QFD1" s="22"/>
      <c r="QFE1" s="22"/>
      <c r="QFF1" s="22"/>
      <c r="QFG1" s="22"/>
      <c r="QFH1" s="22"/>
      <c r="QFI1" s="22"/>
      <c r="QFJ1" s="22"/>
      <c r="QFK1" s="22"/>
      <c r="QFL1" s="22"/>
      <c r="QFM1" s="22"/>
      <c r="QFN1" s="22"/>
      <c r="QFO1" s="22"/>
      <c r="QFP1" s="22"/>
      <c r="QFQ1" s="22"/>
      <c r="QFR1" s="22"/>
      <c r="QFS1" s="22"/>
      <c r="QFT1" s="22"/>
      <c r="QFU1" s="22"/>
      <c r="QFV1" s="22"/>
      <c r="QFW1" s="22"/>
      <c r="QFX1" s="22"/>
      <c r="QFY1" s="22"/>
      <c r="QFZ1" s="22"/>
      <c r="QGA1" s="22"/>
      <c r="QGB1" s="22"/>
      <c r="QGC1" s="22"/>
      <c r="QGD1" s="22"/>
      <c r="QGE1" s="22"/>
      <c r="QGF1" s="22"/>
      <c r="QGG1" s="22"/>
      <c r="QGH1" s="22"/>
      <c r="QGI1" s="22"/>
      <c r="QGJ1" s="22"/>
      <c r="QGK1" s="22"/>
      <c r="QGL1" s="22"/>
      <c r="QGM1" s="22"/>
      <c r="QGN1" s="22"/>
      <c r="QGO1" s="22"/>
      <c r="QGP1" s="22"/>
      <c r="QGQ1" s="22"/>
      <c r="QGR1" s="22"/>
      <c r="QGS1" s="22"/>
      <c r="QGT1" s="22"/>
      <c r="QGU1" s="22"/>
      <c r="QGV1" s="22"/>
      <c r="QGW1" s="22"/>
      <c r="QGX1" s="22"/>
      <c r="QGY1" s="22"/>
      <c r="QGZ1" s="22"/>
      <c r="QHA1" s="22"/>
      <c r="QHB1" s="22"/>
      <c r="QHC1" s="22"/>
      <c r="QHD1" s="22"/>
      <c r="QHE1" s="22"/>
      <c r="QHF1" s="22"/>
      <c r="QHG1" s="22"/>
      <c r="QHH1" s="22"/>
      <c r="QHI1" s="22"/>
      <c r="QHJ1" s="22"/>
      <c r="QHK1" s="22"/>
      <c r="QHL1" s="22"/>
      <c r="QHM1" s="22"/>
      <c r="QHN1" s="22"/>
      <c r="QHO1" s="22"/>
      <c r="QHP1" s="22"/>
      <c r="QHQ1" s="22"/>
      <c r="QHR1" s="22"/>
      <c r="QHS1" s="22"/>
      <c r="QHT1" s="22"/>
      <c r="QHU1" s="22"/>
      <c r="QHV1" s="22"/>
      <c r="QHW1" s="22"/>
      <c r="QHX1" s="22"/>
      <c r="QHY1" s="22"/>
      <c r="QHZ1" s="22"/>
      <c r="QIA1" s="22"/>
      <c r="QIB1" s="22"/>
      <c r="QIC1" s="22"/>
      <c r="QID1" s="22"/>
      <c r="QIE1" s="22"/>
      <c r="QIF1" s="22"/>
      <c r="QIG1" s="22"/>
      <c r="QIH1" s="22"/>
      <c r="QII1" s="22"/>
      <c r="QIJ1" s="22"/>
      <c r="QIK1" s="22"/>
      <c r="QIL1" s="22"/>
      <c r="QIM1" s="22"/>
      <c r="QIN1" s="22"/>
      <c r="QIO1" s="22"/>
      <c r="QIP1" s="22"/>
      <c r="QIQ1" s="22"/>
      <c r="QIR1" s="22"/>
      <c r="QIS1" s="22"/>
      <c r="QIT1" s="22"/>
      <c r="QIU1" s="22"/>
      <c r="QIV1" s="22"/>
      <c r="QIW1" s="22"/>
      <c r="QIX1" s="22"/>
      <c r="QIY1" s="22"/>
      <c r="QIZ1" s="22"/>
      <c r="QJA1" s="22"/>
      <c r="QJB1" s="22"/>
      <c r="QJC1" s="22"/>
      <c r="QJD1" s="22"/>
      <c r="QJE1" s="22"/>
      <c r="QJF1" s="22"/>
      <c r="QJG1" s="22"/>
      <c r="QJH1" s="22"/>
      <c r="QJI1" s="22"/>
      <c r="QJJ1" s="22"/>
      <c r="QJK1" s="22"/>
      <c r="QJL1" s="22"/>
      <c r="QJM1" s="22"/>
      <c r="QJN1" s="22"/>
      <c r="QJO1" s="22"/>
      <c r="QJP1" s="22"/>
      <c r="QJQ1" s="22"/>
      <c r="QJR1" s="22"/>
      <c r="QJS1" s="22"/>
      <c r="QJT1" s="22"/>
      <c r="QJU1" s="22"/>
      <c r="QJV1" s="22"/>
      <c r="QJW1" s="22"/>
      <c r="QJX1" s="22"/>
      <c r="QJY1" s="22"/>
      <c r="QJZ1" s="22"/>
      <c r="QKA1" s="22"/>
      <c r="QKB1" s="22"/>
      <c r="QKC1" s="22"/>
      <c r="QKD1" s="22"/>
      <c r="QKE1" s="22"/>
      <c r="QKF1" s="22"/>
      <c r="QKG1" s="22"/>
      <c r="QKH1" s="22"/>
      <c r="QKI1" s="22"/>
      <c r="QKJ1" s="22"/>
      <c r="QKK1" s="22"/>
      <c r="QKL1" s="22"/>
      <c r="QKM1" s="22"/>
      <c r="QKN1" s="22"/>
      <c r="QKO1" s="22"/>
      <c r="QKP1" s="22"/>
      <c r="QKQ1" s="22"/>
      <c r="QKR1" s="22"/>
      <c r="QKS1" s="22"/>
      <c r="QKT1" s="22"/>
      <c r="QKU1" s="22"/>
      <c r="QKV1" s="22"/>
      <c r="QKW1" s="22"/>
      <c r="QKX1" s="22"/>
      <c r="QKY1" s="22"/>
      <c r="QKZ1" s="22"/>
      <c r="QLA1" s="22"/>
      <c r="QLB1" s="22"/>
      <c r="QLC1" s="22"/>
      <c r="QLD1" s="22"/>
      <c r="QLE1" s="22"/>
      <c r="QLF1" s="22"/>
      <c r="QLG1" s="22"/>
      <c r="QLH1" s="22"/>
      <c r="QLI1" s="22"/>
      <c r="QLJ1" s="22"/>
      <c r="QLK1" s="22"/>
      <c r="QLL1" s="22"/>
      <c r="QLM1" s="22"/>
      <c r="QLN1" s="22"/>
      <c r="QLO1" s="22"/>
      <c r="QLP1" s="22"/>
      <c r="QLQ1" s="22"/>
      <c r="QLR1" s="22"/>
      <c r="QLS1" s="22"/>
      <c r="QLT1" s="22"/>
      <c r="QLU1" s="22"/>
      <c r="QLV1" s="22"/>
      <c r="QLW1" s="22"/>
      <c r="QLX1" s="22"/>
      <c r="QLY1" s="22"/>
      <c r="QLZ1" s="22"/>
      <c r="QMA1" s="22"/>
      <c r="QMB1" s="22"/>
      <c r="QMC1" s="22"/>
      <c r="QMD1" s="22"/>
      <c r="QME1" s="22"/>
      <c r="QMF1" s="22"/>
      <c r="QMG1" s="22"/>
      <c r="QMH1" s="22"/>
      <c r="QMI1" s="22"/>
      <c r="QMJ1" s="22"/>
      <c r="QMK1" s="22"/>
      <c r="QML1" s="22"/>
      <c r="QMM1" s="22"/>
      <c r="QMN1" s="22"/>
      <c r="QMO1" s="22"/>
      <c r="QMP1" s="22"/>
      <c r="QMQ1" s="22"/>
      <c r="QMR1" s="22"/>
      <c r="QMS1" s="22"/>
      <c r="QMT1" s="22"/>
      <c r="QMU1" s="22"/>
      <c r="QMV1" s="22"/>
      <c r="QMW1" s="22"/>
      <c r="QMX1" s="22"/>
      <c r="QMY1" s="22"/>
      <c r="QMZ1" s="22"/>
      <c r="QNA1" s="22"/>
      <c r="QNB1" s="22"/>
      <c r="QNC1" s="22"/>
      <c r="QND1" s="22"/>
      <c r="QNE1" s="22"/>
      <c r="QNF1" s="22"/>
      <c r="QNG1" s="22"/>
      <c r="QNH1" s="22"/>
      <c r="QNI1" s="22"/>
      <c r="QNJ1" s="22"/>
      <c r="QNK1" s="22"/>
      <c r="QNL1" s="22"/>
      <c r="QNM1" s="22"/>
      <c r="QNN1" s="22"/>
      <c r="QNO1" s="22"/>
      <c r="QNP1" s="22"/>
      <c r="QNQ1" s="22"/>
      <c r="QNR1" s="22"/>
      <c r="QNS1" s="22"/>
      <c r="QNT1" s="22"/>
      <c r="QNU1" s="22"/>
      <c r="QNV1" s="22"/>
      <c r="QNW1" s="22"/>
      <c r="QNX1" s="22"/>
      <c r="QNY1" s="22"/>
      <c r="QNZ1" s="22"/>
      <c r="QOA1" s="22"/>
      <c r="QOB1" s="22"/>
      <c r="QOC1" s="22"/>
      <c r="QOD1" s="22"/>
      <c r="QOE1" s="22"/>
      <c r="QOF1" s="22"/>
      <c r="QOG1" s="22"/>
      <c r="QOH1" s="22"/>
      <c r="QOI1" s="22"/>
      <c r="QOJ1" s="22"/>
      <c r="QOK1" s="22"/>
      <c r="QOL1" s="22"/>
      <c r="QOM1" s="22"/>
      <c r="QON1" s="22"/>
      <c r="QOO1" s="22"/>
      <c r="QOP1" s="22"/>
      <c r="QOQ1" s="22"/>
      <c r="QOR1" s="22"/>
      <c r="QOS1" s="22"/>
      <c r="QOT1" s="22"/>
      <c r="QOU1" s="22"/>
      <c r="QOV1" s="22"/>
      <c r="QOW1" s="22"/>
      <c r="QOX1" s="22"/>
      <c r="QOY1" s="22"/>
      <c r="QOZ1" s="22"/>
      <c r="QPA1" s="22"/>
      <c r="QPB1" s="22"/>
      <c r="QPC1" s="22"/>
      <c r="QPD1" s="22"/>
      <c r="QPE1" s="22"/>
      <c r="QPF1" s="22"/>
      <c r="QPG1" s="22"/>
      <c r="QPH1" s="22"/>
      <c r="QPI1" s="22"/>
      <c r="QPJ1" s="22"/>
      <c r="QPK1" s="22"/>
      <c r="QPL1" s="22"/>
      <c r="QPM1" s="22"/>
      <c r="QPN1" s="22"/>
      <c r="QPO1" s="22"/>
      <c r="QPP1" s="22"/>
      <c r="QPQ1" s="22"/>
      <c r="QPR1" s="22"/>
      <c r="QPS1" s="22"/>
      <c r="QPT1" s="22"/>
      <c r="QPU1" s="22"/>
      <c r="QPV1" s="22"/>
      <c r="QPW1" s="22"/>
      <c r="QPX1" s="22"/>
      <c r="QPY1" s="22"/>
      <c r="QPZ1" s="22"/>
      <c r="QQA1" s="22"/>
      <c r="QQB1" s="22"/>
      <c r="QQC1" s="22"/>
      <c r="QQD1" s="22"/>
      <c r="QQE1" s="22"/>
      <c r="QQF1" s="22"/>
      <c r="QQG1" s="22"/>
      <c r="QQH1" s="22"/>
      <c r="QQI1" s="22"/>
      <c r="QQJ1" s="22"/>
      <c r="QQK1" s="22"/>
      <c r="QQL1" s="22"/>
      <c r="QQM1" s="22"/>
      <c r="QQN1" s="22"/>
      <c r="QQO1" s="22"/>
      <c r="QQP1" s="22"/>
      <c r="QQQ1" s="22"/>
      <c r="QQR1" s="22"/>
      <c r="QQS1" s="22"/>
      <c r="QQT1" s="22"/>
      <c r="QQU1" s="22"/>
      <c r="QQV1" s="22"/>
      <c r="QQW1" s="22"/>
      <c r="QQX1" s="22"/>
      <c r="QQY1" s="22"/>
      <c r="QQZ1" s="22"/>
      <c r="QRA1" s="22"/>
      <c r="QRB1" s="22"/>
      <c r="QRC1" s="22"/>
      <c r="QRD1" s="22"/>
      <c r="QRE1" s="22"/>
      <c r="QRF1" s="22"/>
      <c r="QRG1" s="22"/>
      <c r="QRH1" s="22"/>
      <c r="QRI1" s="22"/>
      <c r="QRJ1" s="22"/>
      <c r="QRK1" s="22"/>
      <c r="QRL1" s="22"/>
      <c r="QRM1" s="22"/>
      <c r="QRN1" s="22"/>
      <c r="QRO1" s="22"/>
      <c r="QRP1" s="22"/>
      <c r="QRQ1" s="22"/>
      <c r="QRR1" s="22"/>
      <c r="QRS1" s="22"/>
      <c r="QRT1" s="22"/>
      <c r="QRU1" s="22"/>
      <c r="QRV1" s="22"/>
      <c r="QRW1" s="22"/>
      <c r="QRX1" s="22"/>
      <c r="QRY1" s="22"/>
      <c r="QRZ1" s="22"/>
      <c r="QSA1" s="22"/>
      <c r="QSB1" s="22"/>
      <c r="QSC1" s="22"/>
      <c r="QSD1" s="22"/>
      <c r="QSE1" s="22"/>
      <c r="QSF1" s="22"/>
      <c r="QSG1" s="22"/>
      <c r="QSH1" s="22"/>
      <c r="QSI1" s="22"/>
      <c r="QSJ1" s="22"/>
      <c r="QSK1" s="22"/>
      <c r="QSL1" s="22"/>
      <c r="QSM1" s="22"/>
      <c r="QSN1" s="22"/>
      <c r="QSO1" s="22"/>
      <c r="QSP1" s="22"/>
      <c r="QSQ1" s="22"/>
      <c r="QSR1" s="22"/>
      <c r="QSS1" s="22"/>
      <c r="QST1" s="22"/>
      <c r="QSU1" s="22"/>
      <c r="QSV1" s="22"/>
      <c r="QSW1" s="22"/>
      <c r="QSX1" s="22"/>
      <c r="QSY1" s="22"/>
      <c r="QSZ1" s="22"/>
      <c r="QTA1" s="22"/>
      <c r="QTB1" s="22"/>
      <c r="QTC1" s="22"/>
      <c r="QTD1" s="22"/>
      <c r="QTE1" s="22"/>
      <c r="QTF1" s="22"/>
      <c r="QTG1" s="22"/>
      <c r="QTH1" s="22"/>
      <c r="QTI1" s="22"/>
      <c r="QTJ1" s="22"/>
      <c r="QTK1" s="22"/>
      <c r="QTL1" s="22"/>
      <c r="QTM1" s="22"/>
      <c r="QTN1" s="22"/>
      <c r="QTO1" s="22"/>
      <c r="QTP1" s="22"/>
      <c r="QTQ1" s="22"/>
      <c r="QTR1" s="22"/>
      <c r="QTS1" s="22"/>
      <c r="QTT1" s="22"/>
      <c r="QTU1" s="22"/>
      <c r="QTV1" s="22"/>
      <c r="QTW1" s="22"/>
      <c r="QTX1" s="22"/>
      <c r="QTY1" s="22"/>
      <c r="QTZ1" s="22"/>
      <c r="QUA1" s="22"/>
      <c r="QUB1" s="22"/>
      <c r="QUC1" s="22"/>
      <c r="QUD1" s="22"/>
      <c r="QUE1" s="22"/>
      <c r="QUF1" s="22"/>
      <c r="QUG1" s="22"/>
      <c r="QUH1" s="22"/>
      <c r="QUI1" s="22"/>
      <c r="QUJ1" s="22"/>
      <c r="QUK1" s="22"/>
      <c r="QUL1" s="22"/>
      <c r="QUM1" s="22"/>
      <c r="QUN1" s="22"/>
      <c r="QUO1" s="22"/>
      <c r="QUP1" s="22"/>
      <c r="QUQ1" s="22"/>
      <c r="QUR1" s="22"/>
      <c r="QUS1" s="22"/>
      <c r="QUT1" s="22"/>
      <c r="QUU1" s="22"/>
      <c r="QUV1" s="22"/>
      <c r="QUW1" s="22"/>
      <c r="QUX1" s="22"/>
      <c r="QUY1" s="22"/>
      <c r="QUZ1" s="22"/>
      <c r="QVA1" s="22"/>
      <c r="QVB1" s="22"/>
      <c r="QVC1" s="22"/>
      <c r="QVD1" s="22"/>
      <c r="QVE1" s="22"/>
      <c r="QVF1" s="22"/>
      <c r="QVG1" s="22"/>
      <c r="QVH1" s="22"/>
      <c r="QVI1" s="22"/>
      <c r="QVJ1" s="22"/>
      <c r="QVK1" s="22"/>
      <c r="QVL1" s="22"/>
      <c r="QVM1" s="22"/>
      <c r="QVN1" s="22"/>
      <c r="QVO1" s="22"/>
      <c r="QVP1" s="22"/>
      <c r="QVQ1" s="22"/>
      <c r="QVR1" s="22"/>
      <c r="QVS1" s="22"/>
      <c r="QVT1" s="22"/>
      <c r="QVU1" s="22"/>
      <c r="QVV1" s="22"/>
      <c r="QVW1" s="22"/>
      <c r="QVX1" s="22"/>
      <c r="QVY1" s="22"/>
      <c r="QVZ1" s="22"/>
      <c r="QWA1" s="22"/>
      <c r="QWB1" s="22"/>
      <c r="QWC1" s="22"/>
      <c r="QWD1" s="22"/>
      <c r="QWE1" s="22"/>
      <c r="QWF1" s="22"/>
      <c r="QWG1" s="22"/>
      <c r="QWH1" s="22"/>
      <c r="QWI1" s="22"/>
      <c r="QWJ1" s="22"/>
      <c r="QWK1" s="22"/>
      <c r="QWL1" s="22"/>
      <c r="QWM1" s="22"/>
      <c r="QWN1" s="22"/>
      <c r="QWO1" s="22"/>
      <c r="QWP1" s="22"/>
      <c r="QWQ1" s="22"/>
      <c r="QWR1" s="22"/>
      <c r="QWS1" s="22"/>
      <c r="QWT1" s="22"/>
      <c r="QWU1" s="22"/>
      <c r="QWV1" s="22"/>
      <c r="QWW1" s="22"/>
      <c r="QWX1" s="22"/>
      <c r="QWY1" s="22"/>
      <c r="QWZ1" s="22"/>
      <c r="QXA1" s="22"/>
      <c r="QXB1" s="22"/>
      <c r="QXC1" s="22"/>
      <c r="QXD1" s="22"/>
      <c r="QXE1" s="22"/>
      <c r="QXF1" s="22"/>
      <c r="QXG1" s="22"/>
      <c r="QXH1" s="22"/>
      <c r="QXI1" s="22"/>
      <c r="QXJ1" s="22"/>
      <c r="QXK1" s="22"/>
      <c r="QXL1" s="22"/>
      <c r="QXM1" s="22"/>
      <c r="QXN1" s="22"/>
      <c r="QXO1" s="22"/>
      <c r="QXP1" s="22"/>
      <c r="QXQ1" s="22"/>
      <c r="QXR1" s="22"/>
      <c r="QXS1" s="22"/>
      <c r="QXT1" s="22"/>
      <c r="QXU1" s="22"/>
      <c r="QXV1" s="22"/>
      <c r="QXW1" s="22"/>
      <c r="QXX1" s="22"/>
      <c r="QXY1" s="22"/>
      <c r="QXZ1" s="22"/>
      <c r="QYA1" s="22"/>
      <c r="QYB1" s="22"/>
      <c r="QYC1" s="22"/>
      <c r="QYD1" s="22"/>
      <c r="QYE1" s="22"/>
      <c r="QYF1" s="22"/>
      <c r="QYG1" s="22"/>
      <c r="QYH1" s="22"/>
      <c r="QYI1" s="22"/>
      <c r="QYJ1" s="22"/>
      <c r="QYK1" s="22"/>
      <c r="QYL1" s="22"/>
      <c r="QYM1" s="22"/>
      <c r="QYN1" s="22"/>
      <c r="QYO1" s="22"/>
      <c r="QYP1" s="22"/>
      <c r="QYQ1" s="22"/>
      <c r="QYR1" s="22"/>
      <c r="QYS1" s="22"/>
      <c r="QYT1" s="22"/>
      <c r="QYU1" s="22"/>
      <c r="QYV1" s="22"/>
      <c r="QYW1" s="22"/>
      <c r="QYX1" s="22"/>
      <c r="QYY1" s="22"/>
      <c r="QYZ1" s="22"/>
      <c r="QZA1" s="22"/>
      <c r="QZB1" s="22"/>
      <c r="QZC1" s="22"/>
      <c r="QZD1" s="22"/>
      <c r="QZE1" s="22"/>
      <c r="QZF1" s="22"/>
      <c r="QZG1" s="22"/>
      <c r="QZH1" s="22"/>
      <c r="QZI1" s="22"/>
      <c r="QZJ1" s="22"/>
      <c r="QZK1" s="22"/>
      <c r="QZL1" s="22"/>
      <c r="QZM1" s="22"/>
      <c r="QZN1" s="22"/>
      <c r="QZO1" s="22"/>
      <c r="QZP1" s="22"/>
      <c r="QZQ1" s="22"/>
      <c r="QZR1" s="22"/>
      <c r="QZS1" s="22"/>
      <c r="QZT1" s="22"/>
      <c r="QZU1" s="22"/>
      <c r="QZV1" s="22"/>
      <c r="QZW1" s="22"/>
      <c r="QZX1" s="22"/>
      <c r="QZY1" s="22"/>
      <c r="QZZ1" s="22"/>
      <c r="RAA1" s="22"/>
      <c r="RAB1" s="22"/>
      <c r="RAC1" s="22"/>
      <c r="RAD1" s="22"/>
      <c r="RAE1" s="22"/>
      <c r="RAF1" s="22"/>
      <c r="RAG1" s="22"/>
      <c r="RAH1" s="22"/>
      <c r="RAI1" s="22"/>
      <c r="RAJ1" s="22"/>
      <c r="RAK1" s="22"/>
      <c r="RAL1" s="22"/>
      <c r="RAM1" s="22"/>
      <c r="RAN1" s="22"/>
      <c r="RAO1" s="22"/>
      <c r="RAP1" s="22"/>
      <c r="RAQ1" s="22"/>
      <c r="RAR1" s="22"/>
      <c r="RAS1" s="22"/>
      <c r="RAT1" s="22"/>
      <c r="RAU1" s="22"/>
      <c r="RAV1" s="22"/>
      <c r="RAW1" s="22"/>
      <c r="RAX1" s="22"/>
      <c r="RAY1" s="22"/>
      <c r="RAZ1" s="22"/>
      <c r="RBA1" s="22"/>
      <c r="RBB1" s="22"/>
      <c r="RBC1" s="22"/>
      <c r="RBD1" s="22"/>
      <c r="RBE1" s="22"/>
      <c r="RBF1" s="22"/>
      <c r="RBG1" s="22"/>
      <c r="RBH1" s="22"/>
      <c r="RBI1" s="22"/>
      <c r="RBJ1" s="22"/>
      <c r="RBK1" s="22"/>
      <c r="RBL1" s="22"/>
      <c r="RBM1" s="22"/>
      <c r="RBN1" s="22"/>
      <c r="RBO1" s="22"/>
      <c r="RBP1" s="22"/>
      <c r="RBQ1" s="22"/>
      <c r="RBR1" s="22"/>
      <c r="RBS1" s="22"/>
      <c r="RBT1" s="22"/>
      <c r="RBU1" s="22"/>
      <c r="RBV1" s="22"/>
      <c r="RBW1" s="22"/>
      <c r="RBX1" s="22"/>
      <c r="RBY1" s="22"/>
      <c r="RBZ1" s="22"/>
      <c r="RCA1" s="22"/>
      <c r="RCB1" s="22"/>
      <c r="RCC1" s="22"/>
      <c r="RCD1" s="22"/>
      <c r="RCE1" s="22"/>
      <c r="RCF1" s="22"/>
      <c r="RCG1" s="22"/>
      <c r="RCH1" s="22"/>
      <c r="RCI1" s="22"/>
      <c r="RCJ1" s="22"/>
      <c r="RCK1" s="22"/>
      <c r="RCL1" s="22"/>
      <c r="RCM1" s="22"/>
      <c r="RCN1" s="22"/>
      <c r="RCO1" s="22"/>
      <c r="RCP1" s="22"/>
      <c r="RCQ1" s="22"/>
      <c r="RCR1" s="22"/>
      <c r="RCS1" s="22"/>
      <c r="RCT1" s="22"/>
      <c r="RCU1" s="22"/>
      <c r="RCV1" s="22"/>
      <c r="RCW1" s="22"/>
      <c r="RCX1" s="22"/>
      <c r="RCY1" s="22"/>
      <c r="RCZ1" s="22"/>
      <c r="RDA1" s="22"/>
      <c r="RDB1" s="22"/>
      <c r="RDC1" s="22"/>
      <c r="RDD1" s="22"/>
      <c r="RDE1" s="22"/>
      <c r="RDF1" s="22"/>
      <c r="RDG1" s="22"/>
      <c r="RDH1" s="22"/>
      <c r="RDI1" s="22"/>
      <c r="RDJ1" s="22"/>
      <c r="RDK1" s="22"/>
      <c r="RDL1" s="22"/>
      <c r="RDM1" s="22"/>
      <c r="RDN1" s="22"/>
      <c r="RDO1" s="22"/>
      <c r="RDP1" s="22"/>
      <c r="RDQ1" s="22"/>
      <c r="RDR1" s="22"/>
      <c r="RDS1" s="22"/>
      <c r="RDT1" s="22"/>
      <c r="RDU1" s="22"/>
      <c r="RDV1" s="22"/>
      <c r="RDW1" s="22"/>
      <c r="RDX1" s="22"/>
      <c r="RDY1" s="22"/>
      <c r="RDZ1" s="22"/>
      <c r="REA1" s="22"/>
      <c r="REB1" s="22"/>
      <c r="REC1" s="22"/>
      <c r="RED1" s="22"/>
      <c r="REE1" s="22"/>
      <c r="REF1" s="22"/>
      <c r="REG1" s="22"/>
      <c r="REH1" s="22"/>
      <c r="REI1" s="22"/>
      <c r="REJ1" s="22"/>
      <c r="REK1" s="22"/>
      <c r="REL1" s="22"/>
      <c r="REM1" s="22"/>
      <c r="REN1" s="22"/>
      <c r="REO1" s="22"/>
      <c r="REP1" s="22"/>
      <c r="REQ1" s="22"/>
      <c r="RER1" s="22"/>
      <c r="RES1" s="22"/>
      <c r="RET1" s="22"/>
      <c r="REU1" s="22"/>
      <c r="REV1" s="22"/>
      <c r="REW1" s="22"/>
      <c r="REX1" s="22"/>
      <c r="REY1" s="22"/>
      <c r="REZ1" s="22"/>
      <c r="RFA1" s="22"/>
      <c r="RFB1" s="22"/>
      <c r="RFC1" s="22"/>
      <c r="RFD1" s="22"/>
      <c r="RFE1" s="22"/>
      <c r="RFF1" s="22"/>
      <c r="RFG1" s="22"/>
      <c r="RFH1" s="22"/>
      <c r="RFI1" s="22"/>
      <c r="RFJ1" s="22"/>
      <c r="RFK1" s="22"/>
      <c r="RFL1" s="22"/>
      <c r="RFM1" s="22"/>
      <c r="RFN1" s="22"/>
      <c r="RFO1" s="22"/>
      <c r="RFP1" s="22"/>
      <c r="RFQ1" s="22"/>
      <c r="RFR1" s="22"/>
      <c r="RFS1" s="22"/>
      <c r="RFT1" s="22"/>
      <c r="RFU1" s="22"/>
      <c r="RFV1" s="22"/>
      <c r="RFW1" s="22"/>
      <c r="RFX1" s="22"/>
      <c r="RFY1" s="22"/>
      <c r="RFZ1" s="22"/>
      <c r="RGA1" s="22"/>
      <c r="RGB1" s="22"/>
      <c r="RGC1" s="22"/>
      <c r="RGD1" s="22"/>
      <c r="RGE1" s="22"/>
      <c r="RGF1" s="22"/>
      <c r="RGG1" s="22"/>
      <c r="RGH1" s="22"/>
      <c r="RGI1" s="22"/>
      <c r="RGJ1" s="22"/>
      <c r="RGK1" s="22"/>
      <c r="RGL1" s="22"/>
      <c r="RGM1" s="22"/>
      <c r="RGN1" s="22"/>
      <c r="RGO1" s="22"/>
      <c r="RGP1" s="22"/>
      <c r="RGQ1" s="22"/>
      <c r="RGR1" s="22"/>
      <c r="RGS1" s="22"/>
      <c r="RGT1" s="22"/>
      <c r="RGU1" s="22"/>
      <c r="RGV1" s="22"/>
      <c r="RGW1" s="22"/>
      <c r="RGX1" s="22"/>
      <c r="RGY1" s="22"/>
      <c r="RGZ1" s="22"/>
      <c r="RHA1" s="22"/>
      <c r="RHB1" s="22"/>
      <c r="RHC1" s="22"/>
      <c r="RHD1" s="22"/>
      <c r="RHE1" s="22"/>
      <c r="RHF1" s="22"/>
      <c r="RHG1" s="22"/>
      <c r="RHH1" s="22"/>
      <c r="RHI1" s="22"/>
      <c r="RHJ1" s="22"/>
      <c r="RHK1" s="22"/>
      <c r="RHL1" s="22"/>
      <c r="RHM1" s="22"/>
      <c r="RHN1" s="22"/>
      <c r="RHO1" s="22"/>
      <c r="RHP1" s="22"/>
      <c r="RHQ1" s="22"/>
      <c r="RHR1" s="22"/>
      <c r="RHS1" s="22"/>
      <c r="RHT1" s="22"/>
      <c r="RHU1" s="22"/>
      <c r="RHV1" s="22"/>
      <c r="RHW1" s="22"/>
      <c r="RHX1" s="22"/>
      <c r="RHY1" s="22"/>
      <c r="RHZ1" s="22"/>
      <c r="RIA1" s="22"/>
      <c r="RIB1" s="22"/>
      <c r="RIC1" s="22"/>
      <c r="RID1" s="22"/>
      <c r="RIE1" s="22"/>
      <c r="RIF1" s="22"/>
      <c r="RIG1" s="22"/>
      <c r="RIH1" s="22"/>
      <c r="RII1" s="22"/>
      <c r="RIJ1" s="22"/>
      <c r="RIK1" s="22"/>
      <c r="RIL1" s="22"/>
      <c r="RIM1" s="22"/>
      <c r="RIN1" s="22"/>
      <c r="RIO1" s="22"/>
      <c r="RIP1" s="22"/>
      <c r="RIQ1" s="22"/>
      <c r="RIR1" s="22"/>
      <c r="RIS1" s="22"/>
      <c r="RIT1" s="22"/>
      <c r="RIU1" s="22"/>
      <c r="RIV1" s="22"/>
      <c r="RIW1" s="22"/>
      <c r="RIX1" s="22"/>
      <c r="RIY1" s="22"/>
      <c r="RIZ1" s="22"/>
      <c r="RJA1" s="22"/>
      <c r="RJB1" s="22"/>
      <c r="RJC1" s="22"/>
      <c r="RJD1" s="22"/>
      <c r="RJE1" s="22"/>
      <c r="RJF1" s="22"/>
      <c r="RJG1" s="22"/>
      <c r="RJH1" s="22"/>
      <c r="RJI1" s="22"/>
      <c r="RJJ1" s="22"/>
      <c r="RJK1" s="22"/>
      <c r="RJL1" s="22"/>
      <c r="RJM1" s="22"/>
      <c r="RJN1" s="22"/>
      <c r="RJO1" s="22"/>
      <c r="RJP1" s="22"/>
      <c r="RJQ1" s="22"/>
      <c r="RJR1" s="22"/>
      <c r="RJS1" s="22"/>
      <c r="RJT1" s="22"/>
      <c r="RJU1" s="22"/>
      <c r="RJV1" s="22"/>
      <c r="RJW1" s="22"/>
      <c r="RJX1" s="22"/>
      <c r="RJY1" s="22"/>
      <c r="RJZ1" s="22"/>
      <c r="RKA1" s="22"/>
      <c r="RKB1" s="22"/>
      <c r="RKC1" s="22"/>
      <c r="RKD1" s="22"/>
      <c r="RKE1" s="22"/>
      <c r="RKF1" s="22"/>
      <c r="RKG1" s="22"/>
      <c r="RKH1" s="22"/>
      <c r="RKI1" s="22"/>
      <c r="RKJ1" s="22"/>
      <c r="RKK1" s="22"/>
      <c r="RKL1" s="22"/>
      <c r="RKM1" s="22"/>
      <c r="RKN1" s="22"/>
      <c r="RKO1" s="22"/>
      <c r="RKP1" s="22"/>
      <c r="RKQ1" s="22"/>
      <c r="RKR1" s="22"/>
      <c r="RKS1" s="22"/>
      <c r="RKT1" s="22"/>
      <c r="RKU1" s="22"/>
      <c r="RKV1" s="22"/>
      <c r="RKW1" s="22"/>
      <c r="RKX1" s="22"/>
      <c r="RKY1" s="22"/>
      <c r="RKZ1" s="22"/>
      <c r="RLA1" s="22"/>
      <c r="RLB1" s="22"/>
      <c r="RLC1" s="22"/>
      <c r="RLD1" s="22"/>
      <c r="RLE1" s="22"/>
      <c r="RLF1" s="22"/>
      <c r="RLG1" s="22"/>
      <c r="RLH1" s="22"/>
      <c r="RLI1" s="22"/>
      <c r="RLJ1" s="22"/>
      <c r="RLK1" s="22"/>
      <c r="RLL1" s="22"/>
      <c r="RLM1" s="22"/>
      <c r="RLN1" s="22"/>
      <c r="RLO1" s="22"/>
      <c r="RLP1" s="22"/>
      <c r="RLQ1" s="22"/>
      <c r="RLR1" s="22"/>
      <c r="RLS1" s="22"/>
      <c r="RLT1" s="22"/>
      <c r="RLU1" s="22"/>
      <c r="RLV1" s="22"/>
      <c r="RLW1" s="22"/>
      <c r="RLX1" s="22"/>
      <c r="RLY1" s="22"/>
      <c r="RLZ1" s="22"/>
      <c r="RMA1" s="22"/>
      <c r="RMB1" s="22"/>
      <c r="RMC1" s="22"/>
      <c r="RMD1" s="22"/>
      <c r="RME1" s="22"/>
      <c r="RMF1" s="22"/>
      <c r="RMG1" s="22"/>
      <c r="RMH1" s="22"/>
      <c r="RMI1" s="22"/>
      <c r="RMJ1" s="22"/>
      <c r="RMK1" s="22"/>
      <c r="RML1" s="22"/>
      <c r="RMM1" s="22"/>
      <c r="RMN1" s="22"/>
      <c r="RMO1" s="22"/>
      <c r="RMP1" s="22"/>
      <c r="RMQ1" s="22"/>
      <c r="RMR1" s="22"/>
      <c r="RMS1" s="22"/>
      <c r="RMT1" s="22"/>
      <c r="RMU1" s="22"/>
      <c r="RMV1" s="22"/>
      <c r="RMW1" s="22"/>
      <c r="RMX1" s="22"/>
      <c r="RMY1" s="22"/>
      <c r="RMZ1" s="22"/>
      <c r="RNA1" s="22"/>
      <c r="RNB1" s="22"/>
      <c r="RNC1" s="22"/>
      <c r="RND1" s="22"/>
      <c r="RNE1" s="22"/>
      <c r="RNF1" s="22"/>
      <c r="RNG1" s="22"/>
      <c r="RNH1" s="22"/>
      <c r="RNI1" s="22"/>
      <c r="RNJ1" s="22"/>
      <c r="RNK1" s="22"/>
      <c r="RNL1" s="22"/>
      <c r="RNM1" s="22"/>
      <c r="RNN1" s="22"/>
      <c r="RNO1" s="22"/>
      <c r="RNP1" s="22"/>
      <c r="RNQ1" s="22"/>
      <c r="RNR1" s="22"/>
      <c r="RNS1" s="22"/>
      <c r="RNT1" s="22"/>
      <c r="RNU1" s="22"/>
      <c r="RNV1" s="22"/>
      <c r="RNW1" s="22"/>
      <c r="RNX1" s="22"/>
      <c r="RNY1" s="22"/>
      <c r="RNZ1" s="22"/>
      <c r="ROA1" s="22"/>
      <c r="ROB1" s="22"/>
      <c r="ROC1" s="22"/>
      <c r="ROD1" s="22"/>
      <c r="ROE1" s="22"/>
      <c r="ROF1" s="22"/>
      <c r="ROG1" s="22"/>
      <c r="ROH1" s="22"/>
      <c r="ROI1" s="22"/>
      <c r="ROJ1" s="22"/>
      <c r="ROK1" s="22"/>
      <c r="ROL1" s="22"/>
      <c r="ROM1" s="22"/>
      <c r="RON1" s="22"/>
      <c r="ROO1" s="22"/>
      <c r="ROP1" s="22"/>
      <c r="ROQ1" s="22"/>
      <c r="ROR1" s="22"/>
      <c r="ROS1" s="22"/>
      <c r="ROT1" s="22"/>
      <c r="ROU1" s="22"/>
      <c r="ROV1" s="22"/>
      <c r="ROW1" s="22"/>
      <c r="ROX1" s="22"/>
      <c r="ROY1" s="22"/>
      <c r="ROZ1" s="22"/>
      <c r="RPA1" s="22"/>
      <c r="RPB1" s="22"/>
      <c r="RPC1" s="22"/>
      <c r="RPD1" s="22"/>
      <c r="RPE1" s="22"/>
      <c r="RPF1" s="22"/>
      <c r="RPG1" s="22"/>
      <c r="RPH1" s="22"/>
      <c r="RPI1" s="22"/>
      <c r="RPJ1" s="22"/>
      <c r="RPK1" s="22"/>
      <c r="RPL1" s="22"/>
      <c r="RPM1" s="22"/>
      <c r="RPN1" s="22"/>
      <c r="RPO1" s="22"/>
      <c r="RPP1" s="22"/>
      <c r="RPQ1" s="22"/>
      <c r="RPR1" s="22"/>
      <c r="RPS1" s="22"/>
      <c r="RPT1" s="22"/>
      <c r="RPU1" s="22"/>
      <c r="RPV1" s="22"/>
      <c r="RPW1" s="22"/>
      <c r="RPX1" s="22"/>
      <c r="RPY1" s="22"/>
      <c r="RPZ1" s="22"/>
      <c r="RQA1" s="22"/>
      <c r="RQB1" s="22"/>
      <c r="RQC1" s="22"/>
      <c r="RQD1" s="22"/>
      <c r="RQE1" s="22"/>
      <c r="RQF1" s="22"/>
      <c r="RQG1" s="22"/>
      <c r="RQH1" s="22"/>
      <c r="RQI1" s="22"/>
      <c r="RQJ1" s="22"/>
      <c r="RQK1" s="22"/>
      <c r="RQL1" s="22"/>
      <c r="RQM1" s="22"/>
      <c r="RQN1" s="22"/>
      <c r="RQO1" s="22"/>
      <c r="RQP1" s="22"/>
      <c r="RQQ1" s="22"/>
      <c r="RQR1" s="22"/>
      <c r="RQS1" s="22"/>
      <c r="RQT1" s="22"/>
      <c r="RQU1" s="22"/>
      <c r="RQV1" s="22"/>
      <c r="RQW1" s="22"/>
      <c r="RQX1" s="22"/>
      <c r="RQY1" s="22"/>
      <c r="RQZ1" s="22"/>
      <c r="RRA1" s="22"/>
      <c r="RRB1" s="22"/>
      <c r="RRC1" s="22"/>
      <c r="RRD1" s="22"/>
      <c r="RRE1" s="22"/>
      <c r="RRF1" s="22"/>
      <c r="RRG1" s="22"/>
      <c r="RRH1" s="22"/>
      <c r="RRI1" s="22"/>
      <c r="RRJ1" s="22"/>
      <c r="RRK1" s="22"/>
      <c r="RRL1" s="22"/>
      <c r="RRM1" s="22"/>
      <c r="RRN1" s="22"/>
      <c r="RRO1" s="22"/>
      <c r="RRP1" s="22"/>
      <c r="RRQ1" s="22"/>
      <c r="RRR1" s="22"/>
      <c r="RRS1" s="22"/>
      <c r="RRT1" s="22"/>
      <c r="RRU1" s="22"/>
      <c r="RRV1" s="22"/>
      <c r="RRW1" s="22"/>
      <c r="RRX1" s="22"/>
      <c r="RRY1" s="22"/>
      <c r="RRZ1" s="22"/>
      <c r="RSA1" s="22"/>
      <c r="RSB1" s="22"/>
      <c r="RSC1" s="22"/>
      <c r="RSD1" s="22"/>
      <c r="RSE1" s="22"/>
      <c r="RSF1" s="22"/>
      <c r="RSG1" s="22"/>
      <c r="RSH1" s="22"/>
      <c r="RSI1" s="22"/>
      <c r="RSJ1" s="22"/>
      <c r="RSK1" s="22"/>
      <c r="RSL1" s="22"/>
      <c r="RSM1" s="22"/>
      <c r="RSN1" s="22"/>
      <c r="RSO1" s="22"/>
      <c r="RSP1" s="22"/>
      <c r="RSQ1" s="22"/>
      <c r="RSR1" s="22"/>
      <c r="RSS1" s="22"/>
      <c r="RST1" s="22"/>
      <c r="RSU1" s="22"/>
      <c r="RSV1" s="22"/>
      <c r="RSW1" s="22"/>
      <c r="RSX1" s="22"/>
      <c r="RSY1" s="22"/>
      <c r="RSZ1" s="22"/>
      <c r="RTA1" s="22"/>
      <c r="RTB1" s="22"/>
      <c r="RTC1" s="22"/>
      <c r="RTD1" s="22"/>
      <c r="RTE1" s="22"/>
      <c r="RTF1" s="22"/>
      <c r="RTG1" s="22"/>
      <c r="RTH1" s="22"/>
      <c r="RTI1" s="22"/>
      <c r="RTJ1" s="22"/>
      <c r="RTK1" s="22"/>
      <c r="RTL1" s="22"/>
      <c r="RTM1" s="22"/>
      <c r="RTN1" s="22"/>
      <c r="RTO1" s="22"/>
      <c r="RTP1" s="22"/>
      <c r="RTQ1" s="22"/>
      <c r="RTR1" s="22"/>
      <c r="RTS1" s="22"/>
      <c r="RTT1" s="22"/>
      <c r="RTU1" s="22"/>
      <c r="RTV1" s="22"/>
      <c r="RTW1" s="22"/>
      <c r="RTX1" s="22"/>
      <c r="RTY1" s="22"/>
      <c r="RTZ1" s="22"/>
      <c r="RUA1" s="22"/>
      <c r="RUB1" s="22"/>
      <c r="RUC1" s="22"/>
      <c r="RUD1" s="22"/>
      <c r="RUE1" s="22"/>
      <c r="RUF1" s="22"/>
      <c r="RUG1" s="22"/>
      <c r="RUH1" s="22"/>
      <c r="RUI1" s="22"/>
      <c r="RUJ1" s="22"/>
      <c r="RUK1" s="22"/>
      <c r="RUL1" s="22"/>
      <c r="RUM1" s="22"/>
      <c r="RUN1" s="22"/>
      <c r="RUO1" s="22"/>
      <c r="RUP1" s="22"/>
      <c r="RUQ1" s="22"/>
      <c r="RUR1" s="22"/>
      <c r="RUS1" s="22"/>
      <c r="RUT1" s="22"/>
      <c r="RUU1" s="22"/>
      <c r="RUV1" s="22"/>
      <c r="RUW1" s="22"/>
      <c r="RUX1" s="22"/>
      <c r="RUY1" s="22"/>
      <c r="RUZ1" s="22"/>
      <c r="RVA1" s="22"/>
      <c r="RVB1" s="22"/>
      <c r="RVC1" s="22"/>
      <c r="RVD1" s="22"/>
      <c r="RVE1" s="22"/>
      <c r="RVF1" s="22"/>
      <c r="RVG1" s="22"/>
      <c r="RVH1" s="22"/>
      <c r="RVI1" s="22"/>
      <c r="RVJ1" s="22"/>
      <c r="RVK1" s="22"/>
      <c r="RVL1" s="22"/>
      <c r="RVM1" s="22"/>
      <c r="RVN1" s="22"/>
      <c r="RVO1" s="22"/>
      <c r="RVP1" s="22"/>
      <c r="RVQ1" s="22"/>
      <c r="RVR1" s="22"/>
      <c r="RVS1" s="22"/>
      <c r="RVT1" s="22"/>
      <c r="RVU1" s="22"/>
      <c r="RVV1" s="22"/>
      <c r="RVW1" s="22"/>
      <c r="RVX1" s="22"/>
      <c r="RVY1" s="22"/>
      <c r="RVZ1" s="22"/>
      <c r="RWA1" s="22"/>
      <c r="RWB1" s="22"/>
      <c r="RWC1" s="22"/>
      <c r="RWD1" s="22"/>
      <c r="RWE1" s="22"/>
      <c r="RWF1" s="22"/>
      <c r="RWG1" s="22"/>
      <c r="RWH1" s="22"/>
      <c r="RWI1" s="22"/>
      <c r="RWJ1" s="22"/>
      <c r="RWK1" s="22"/>
      <c r="RWL1" s="22"/>
      <c r="RWM1" s="22"/>
      <c r="RWN1" s="22"/>
      <c r="RWO1" s="22"/>
      <c r="RWP1" s="22"/>
      <c r="RWQ1" s="22"/>
      <c r="RWR1" s="22"/>
      <c r="RWS1" s="22"/>
      <c r="RWT1" s="22"/>
      <c r="RWU1" s="22"/>
      <c r="RWV1" s="22"/>
      <c r="RWW1" s="22"/>
      <c r="RWX1" s="22"/>
      <c r="RWY1" s="22"/>
      <c r="RWZ1" s="22"/>
      <c r="RXA1" s="22"/>
      <c r="RXB1" s="22"/>
      <c r="RXC1" s="22"/>
      <c r="RXD1" s="22"/>
      <c r="RXE1" s="22"/>
      <c r="RXF1" s="22"/>
      <c r="RXG1" s="22"/>
      <c r="RXH1" s="22"/>
      <c r="RXI1" s="22"/>
      <c r="RXJ1" s="22"/>
      <c r="RXK1" s="22"/>
      <c r="RXL1" s="22"/>
      <c r="RXM1" s="22"/>
      <c r="RXN1" s="22"/>
      <c r="RXO1" s="22"/>
      <c r="RXP1" s="22"/>
      <c r="RXQ1" s="22"/>
      <c r="RXR1" s="22"/>
      <c r="RXS1" s="22"/>
      <c r="RXT1" s="22"/>
      <c r="RXU1" s="22"/>
      <c r="RXV1" s="22"/>
      <c r="RXW1" s="22"/>
      <c r="RXX1" s="22"/>
      <c r="RXY1" s="22"/>
      <c r="RXZ1" s="22"/>
      <c r="RYA1" s="22"/>
      <c r="RYB1" s="22"/>
      <c r="RYC1" s="22"/>
      <c r="RYD1" s="22"/>
      <c r="RYE1" s="22"/>
      <c r="RYF1" s="22"/>
      <c r="RYG1" s="22"/>
      <c r="RYH1" s="22"/>
      <c r="RYI1" s="22"/>
      <c r="RYJ1" s="22"/>
      <c r="RYK1" s="22"/>
      <c r="RYL1" s="22"/>
      <c r="RYM1" s="22"/>
      <c r="RYN1" s="22"/>
      <c r="RYO1" s="22"/>
      <c r="RYP1" s="22"/>
      <c r="RYQ1" s="22"/>
      <c r="RYR1" s="22"/>
      <c r="RYS1" s="22"/>
      <c r="RYT1" s="22"/>
      <c r="RYU1" s="22"/>
      <c r="RYV1" s="22"/>
      <c r="RYW1" s="22"/>
      <c r="RYX1" s="22"/>
      <c r="RYY1" s="22"/>
      <c r="RYZ1" s="22"/>
      <c r="RZA1" s="22"/>
      <c r="RZB1" s="22"/>
      <c r="RZC1" s="22"/>
      <c r="RZD1" s="22"/>
      <c r="RZE1" s="22"/>
      <c r="RZF1" s="22"/>
      <c r="RZG1" s="22"/>
      <c r="RZH1" s="22"/>
      <c r="RZI1" s="22"/>
      <c r="RZJ1" s="22"/>
      <c r="RZK1" s="22"/>
      <c r="RZL1" s="22"/>
      <c r="RZM1" s="22"/>
      <c r="RZN1" s="22"/>
      <c r="RZO1" s="22"/>
      <c r="RZP1" s="22"/>
      <c r="RZQ1" s="22"/>
      <c r="RZR1" s="22"/>
      <c r="RZS1" s="22"/>
      <c r="RZT1" s="22"/>
      <c r="RZU1" s="22"/>
      <c r="RZV1" s="22"/>
      <c r="RZW1" s="22"/>
      <c r="RZX1" s="22"/>
      <c r="RZY1" s="22"/>
      <c r="RZZ1" s="22"/>
      <c r="SAA1" s="22"/>
      <c r="SAB1" s="22"/>
      <c r="SAC1" s="22"/>
      <c r="SAD1" s="22"/>
      <c r="SAE1" s="22"/>
      <c r="SAF1" s="22"/>
      <c r="SAG1" s="22"/>
      <c r="SAH1" s="22"/>
      <c r="SAI1" s="22"/>
      <c r="SAJ1" s="22"/>
      <c r="SAK1" s="22"/>
      <c r="SAL1" s="22"/>
      <c r="SAM1" s="22"/>
      <c r="SAN1" s="22"/>
      <c r="SAO1" s="22"/>
      <c r="SAP1" s="22"/>
      <c r="SAQ1" s="22"/>
      <c r="SAR1" s="22"/>
      <c r="SAS1" s="22"/>
      <c r="SAT1" s="22"/>
      <c r="SAU1" s="22"/>
      <c r="SAV1" s="22"/>
      <c r="SAW1" s="22"/>
      <c r="SAX1" s="22"/>
      <c r="SAY1" s="22"/>
      <c r="SAZ1" s="22"/>
      <c r="SBA1" s="22"/>
      <c r="SBB1" s="22"/>
      <c r="SBC1" s="22"/>
      <c r="SBD1" s="22"/>
      <c r="SBE1" s="22"/>
      <c r="SBF1" s="22"/>
      <c r="SBG1" s="22"/>
      <c r="SBH1" s="22"/>
      <c r="SBI1" s="22"/>
      <c r="SBJ1" s="22"/>
      <c r="SBK1" s="22"/>
      <c r="SBL1" s="22"/>
      <c r="SBM1" s="22"/>
      <c r="SBN1" s="22"/>
      <c r="SBO1" s="22"/>
      <c r="SBP1" s="22"/>
      <c r="SBQ1" s="22"/>
      <c r="SBR1" s="22"/>
      <c r="SBS1" s="22"/>
      <c r="SBT1" s="22"/>
      <c r="SBU1" s="22"/>
      <c r="SBV1" s="22"/>
      <c r="SBW1" s="22"/>
      <c r="SBX1" s="22"/>
      <c r="SBY1" s="22"/>
      <c r="SBZ1" s="22"/>
      <c r="SCA1" s="22"/>
      <c r="SCB1" s="22"/>
      <c r="SCC1" s="22"/>
      <c r="SCD1" s="22"/>
      <c r="SCE1" s="22"/>
      <c r="SCF1" s="22"/>
      <c r="SCG1" s="22"/>
      <c r="SCH1" s="22"/>
      <c r="SCI1" s="22"/>
      <c r="SCJ1" s="22"/>
      <c r="SCK1" s="22"/>
      <c r="SCL1" s="22"/>
      <c r="SCM1" s="22"/>
      <c r="SCN1" s="22"/>
      <c r="SCO1" s="22"/>
      <c r="SCP1" s="22"/>
      <c r="SCQ1" s="22"/>
      <c r="SCR1" s="22"/>
      <c r="SCS1" s="22"/>
      <c r="SCT1" s="22"/>
      <c r="SCU1" s="22"/>
      <c r="SCV1" s="22"/>
      <c r="SCW1" s="22"/>
      <c r="SCX1" s="22"/>
      <c r="SCY1" s="22"/>
      <c r="SCZ1" s="22"/>
      <c r="SDA1" s="22"/>
      <c r="SDB1" s="22"/>
      <c r="SDC1" s="22"/>
      <c r="SDD1" s="22"/>
      <c r="SDE1" s="22"/>
      <c r="SDF1" s="22"/>
      <c r="SDG1" s="22"/>
      <c r="SDH1" s="22"/>
      <c r="SDI1" s="22"/>
      <c r="SDJ1" s="22"/>
      <c r="SDK1" s="22"/>
      <c r="SDL1" s="22"/>
      <c r="SDM1" s="22"/>
      <c r="SDN1" s="22"/>
      <c r="SDO1" s="22"/>
      <c r="SDP1" s="22"/>
      <c r="SDQ1" s="22"/>
      <c r="SDR1" s="22"/>
      <c r="SDS1" s="22"/>
      <c r="SDT1" s="22"/>
      <c r="SDU1" s="22"/>
      <c r="SDV1" s="22"/>
      <c r="SDW1" s="22"/>
      <c r="SDX1" s="22"/>
      <c r="SDY1" s="22"/>
      <c r="SDZ1" s="22"/>
      <c r="SEA1" s="22"/>
      <c r="SEB1" s="22"/>
      <c r="SEC1" s="22"/>
      <c r="SED1" s="22"/>
      <c r="SEE1" s="22"/>
      <c r="SEF1" s="22"/>
      <c r="SEG1" s="22"/>
      <c r="SEH1" s="22"/>
      <c r="SEI1" s="22"/>
      <c r="SEJ1" s="22"/>
      <c r="SEK1" s="22"/>
      <c r="SEL1" s="22"/>
      <c r="SEM1" s="22"/>
      <c r="SEN1" s="22"/>
      <c r="SEO1" s="22"/>
      <c r="SEP1" s="22"/>
      <c r="SEQ1" s="22"/>
      <c r="SER1" s="22"/>
      <c r="SES1" s="22"/>
      <c r="SET1" s="22"/>
      <c r="SEU1" s="22"/>
      <c r="SEV1" s="22"/>
      <c r="SEW1" s="22"/>
      <c r="SEX1" s="22"/>
      <c r="SEY1" s="22"/>
      <c r="SEZ1" s="22"/>
      <c r="SFA1" s="22"/>
      <c r="SFB1" s="22"/>
      <c r="SFC1" s="22"/>
      <c r="SFD1" s="22"/>
      <c r="SFE1" s="22"/>
      <c r="SFF1" s="22"/>
      <c r="SFG1" s="22"/>
      <c r="SFH1" s="22"/>
      <c r="SFI1" s="22"/>
      <c r="SFJ1" s="22"/>
      <c r="SFK1" s="22"/>
      <c r="SFL1" s="22"/>
      <c r="SFM1" s="22"/>
      <c r="SFN1" s="22"/>
      <c r="SFO1" s="22"/>
      <c r="SFP1" s="22"/>
      <c r="SFQ1" s="22"/>
      <c r="SFR1" s="22"/>
      <c r="SFS1" s="22"/>
      <c r="SFT1" s="22"/>
      <c r="SFU1" s="22"/>
      <c r="SFV1" s="22"/>
      <c r="SFW1" s="22"/>
      <c r="SFX1" s="22"/>
      <c r="SFY1" s="22"/>
      <c r="SFZ1" s="22"/>
      <c r="SGA1" s="22"/>
      <c r="SGB1" s="22"/>
      <c r="SGC1" s="22"/>
      <c r="SGD1" s="22"/>
      <c r="SGE1" s="22"/>
      <c r="SGF1" s="22"/>
      <c r="SGG1" s="22"/>
      <c r="SGH1" s="22"/>
      <c r="SGI1" s="22"/>
      <c r="SGJ1" s="22"/>
      <c r="SGK1" s="22"/>
      <c r="SGL1" s="22"/>
      <c r="SGM1" s="22"/>
      <c r="SGN1" s="22"/>
      <c r="SGO1" s="22"/>
      <c r="SGP1" s="22"/>
      <c r="SGQ1" s="22"/>
      <c r="SGR1" s="22"/>
      <c r="SGS1" s="22"/>
      <c r="SGT1" s="22"/>
      <c r="SGU1" s="22"/>
      <c r="SGV1" s="22"/>
      <c r="SGW1" s="22"/>
      <c r="SGX1" s="22"/>
      <c r="SGY1" s="22"/>
      <c r="SGZ1" s="22"/>
      <c r="SHA1" s="22"/>
      <c r="SHB1" s="22"/>
      <c r="SHC1" s="22"/>
      <c r="SHD1" s="22"/>
      <c r="SHE1" s="22"/>
      <c r="SHF1" s="22"/>
      <c r="SHG1" s="22"/>
      <c r="SHH1" s="22"/>
      <c r="SHI1" s="22"/>
      <c r="SHJ1" s="22"/>
      <c r="SHK1" s="22"/>
      <c r="SHL1" s="22"/>
      <c r="SHM1" s="22"/>
      <c r="SHN1" s="22"/>
      <c r="SHO1" s="22"/>
      <c r="SHP1" s="22"/>
      <c r="SHQ1" s="22"/>
      <c r="SHR1" s="22"/>
      <c r="SHS1" s="22"/>
      <c r="SHT1" s="22"/>
      <c r="SHU1" s="22"/>
      <c r="SHV1" s="22"/>
      <c r="SHW1" s="22"/>
      <c r="SHX1" s="22"/>
      <c r="SHY1" s="22"/>
      <c r="SHZ1" s="22"/>
      <c r="SIA1" s="22"/>
      <c r="SIB1" s="22"/>
      <c r="SIC1" s="22"/>
      <c r="SID1" s="22"/>
      <c r="SIE1" s="22"/>
      <c r="SIF1" s="22"/>
      <c r="SIG1" s="22"/>
      <c r="SIH1" s="22"/>
      <c r="SII1" s="22"/>
      <c r="SIJ1" s="22"/>
      <c r="SIK1" s="22"/>
      <c r="SIL1" s="22"/>
      <c r="SIM1" s="22"/>
      <c r="SIN1" s="22"/>
      <c r="SIO1" s="22"/>
      <c r="SIP1" s="22"/>
      <c r="SIQ1" s="22"/>
      <c r="SIR1" s="22"/>
      <c r="SIS1" s="22"/>
      <c r="SIT1" s="22"/>
      <c r="SIU1" s="22"/>
      <c r="SIV1" s="22"/>
      <c r="SIW1" s="22"/>
      <c r="SIX1" s="22"/>
      <c r="SIY1" s="22"/>
      <c r="SIZ1" s="22"/>
      <c r="SJA1" s="22"/>
      <c r="SJB1" s="22"/>
      <c r="SJC1" s="22"/>
      <c r="SJD1" s="22"/>
      <c r="SJE1" s="22"/>
      <c r="SJF1" s="22"/>
      <c r="SJG1" s="22"/>
      <c r="SJH1" s="22"/>
      <c r="SJI1" s="22"/>
      <c r="SJJ1" s="22"/>
      <c r="SJK1" s="22"/>
      <c r="SJL1" s="22"/>
      <c r="SJM1" s="22"/>
      <c r="SJN1" s="22"/>
      <c r="SJO1" s="22"/>
      <c r="SJP1" s="22"/>
      <c r="SJQ1" s="22"/>
      <c r="SJR1" s="22"/>
      <c r="SJS1" s="22"/>
      <c r="SJT1" s="22"/>
      <c r="SJU1" s="22"/>
      <c r="SJV1" s="22"/>
      <c r="SJW1" s="22"/>
      <c r="SJX1" s="22"/>
      <c r="SJY1" s="22"/>
      <c r="SJZ1" s="22"/>
      <c r="SKA1" s="22"/>
      <c r="SKB1" s="22"/>
      <c r="SKC1" s="22"/>
      <c r="SKD1" s="22"/>
      <c r="SKE1" s="22"/>
      <c r="SKF1" s="22"/>
      <c r="SKG1" s="22"/>
      <c r="SKH1" s="22"/>
      <c r="SKI1" s="22"/>
      <c r="SKJ1" s="22"/>
      <c r="SKK1" s="22"/>
      <c r="SKL1" s="22"/>
      <c r="SKM1" s="22"/>
      <c r="SKN1" s="22"/>
      <c r="SKO1" s="22"/>
      <c r="SKP1" s="22"/>
      <c r="SKQ1" s="22"/>
      <c r="SKR1" s="22"/>
      <c r="SKS1" s="22"/>
      <c r="SKT1" s="22"/>
      <c r="SKU1" s="22"/>
      <c r="SKV1" s="22"/>
      <c r="SKW1" s="22"/>
      <c r="SKX1" s="22"/>
      <c r="SKY1" s="22"/>
      <c r="SKZ1" s="22"/>
      <c r="SLA1" s="22"/>
      <c r="SLB1" s="22"/>
      <c r="SLC1" s="22"/>
      <c r="SLD1" s="22"/>
      <c r="SLE1" s="22"/>
      <c r="SLF1" s="22"/>
      <c r="SLG1" s="22"/>
      <c r="SLH1" s="22"/>
      <c r="SLI1" s="22"/>
      <c r="SLJ1" s="22"/>
      <c r="SLK1" s="22"/>
      <c r="SLL1" s="22"/>
      <c r="SLM1" s="22"/>
      <c r="SLN1" s="22"/>
      <c r="SLO1" s="22"/>
      <c r="SLP1" s="22"/>
      <c r="SLQ1" s="22"/>
      <c r="SLR1" s="22"/>
      <c r="SLS1" s="22"/>
      <c r="SLT1" s="22"/>
      <c r="SLU1" s="22"/>
      <c r="SLV1" s="22"/>
      <c r="SLW1" s="22"/>
      <c r="SLX1" s="22"/>
      <c r="SLY1" s="22"/>
      <c r="SLZ1" s="22"/>
      <c r="SMA1" s="22"/>
      <c r="SMB1" s="22"/>
      <c r="SMC1" s="22"/>
      <c r="SMD1" s="22"/>
      <c r="SME1" s="22"/>
      <c r="SMF1" s="22"/>
      <c r="SMG1" s="22"/>
      <c r="SMH1" s="22"/>
      <c r="SMI1" s="22"/>
      <c r="SMJ1" s="22"/>
      <c r="SMK1" s="22"/>
      <c r="SML1" s="22"/>
      <c r="SMM1" s="22"/>
      <c r="SMN1" s="22"/>
      <c r="SMO1" s="22"/>
      <c r="SMP1" s="22"/>
      <c r="SMQ1" s="22"/>
      <c r="SMR1" s="22"/>
      <c r="SMS1" s="22"/>
      <c r="SMT1" s="22"/>
      <c r="SMU1" s="22"/>
      <c r="SMV1" s="22"/>
      <c r="SMW1" s="22"/>
      <c r="SMX1" s="22"/>
      <c r="SMY1" s="22"/>
      <c r="SMZ1" s="22"/>
      <c r="SNA1" s="22"/>
      <c r="SNB1" s="22"/>
      <c r="SNC1" s="22"/>
      <c r="SND1" s="22"/>
      <c r="SNE1" s="22"/>
      <c r="SNF1" s="22"/>
      <c r="SNG1" s="22"/>
      <c r="SNH1" s="22"/>
      <c r="SNI1" s="22"/>
      <c r="SNJ1" s="22"/>
      <c r="SNK1" s="22"/>
      <c r="SNL1" s="22"/>
      <c r="SNM1" s="22"/>
      <c r="SNN1" s="22"/>
      <c r="SNO1" s="22"/>
      <c r="SNP1" s="22"/>
      <c r="SNQ1" s="22"/>
      <c r="SNR1" s="22"/>
      <c r="SNS1" s="22"/>
      <c r="SNT1" s="22"/>
      <c r="SNU1" s="22"/>
      <c r="SNV1" s="22"/>
      <c r="SNW1" s="22"/>
      <c r="SNX1" s="22"/>
      <c r="SNY1" s="22"/>
      <c r="SNZ1" s="22"/>
      <c r="SOA1" s="22"/>
      <c r="SOB1" s="22"/>
      <c r="SOC1" s="22"/>
      <c r="SOD1" s="22"/>
      <c r="SOE1" s="22"/>
      <c r="SOF1" s="22"/>
      <c r="SOG1" s="22"/>
      <c r="SOH1" s="22"/>
      <c r="SOI1" s="22"/>
      <c r="SOJ1" s="22"/>
      <c r="SOK1" s="22"/>
      <c r="SOL1" s="22"/>
      <c r="SOM1" s="22"/>
      <c r="SON1" s="22"/>
      <c r="SOO1" s="22"/>
      <c r="SOP1" s="22"/>
      <c r="SOQ1" s="22"/>
      <c r="SOR1" s="22"/>
      <c r="SOS1" s="22"/>
      <c r="SOT1" s="22"/>
      <c r="SOU1" s="22"/>
      <c r="SOV1" s="22"/>
      <c r="SOW1" s="22"/>
      <c r="SOX1" s="22"/>
      <c r="SOY1" s="22"/>
      <c r="SOZ1" s="22"/>
      <c r="SPA1" s="22"/>
      <c r="SPB1" s="22"/>
      <c r="SPC1" s="22"/>
      <c r="SPD1" s="22"/>
      <c r="SPE1" s="22"/>
      <c r="SPF1" s="22"/>
      <c r="SPG1" s="22"/>
      <c r="SPH1" s="22"/>
      <c r="SPI1" s="22"/>
      <c r="SPJ1" s="22"/>
      <c r="SPK1" s="22"/>
      <c r="SPL1" s="22"/>
      <c r="SPM1" s="22"/>
      <c r="SPN1" s="22"/>
      <c r="SPO1" s="22"/>
      <c r="SPP1" s="22"/>
      <c r="SPQ1" s="22"/>
      <c r="SPR1" s="22"/>
      <c r="SPS1" s="22"/>
      <c r="SPT1" s="22"/>
      <c r="SPU1" s="22"/>
      <c r="SPV1" s="22"/>
      <c r="SPW1" s="22"/>
      <c r="SPX1" s="22"/>
      <c r="SPY1" s="22"/>
      <c r="SPZ1" s="22"/>
      <c r="SQA1" s="22"/>
      <c r="SQB1" s="22"/>
      <c r="SQC1" s="22"/>
      <c r="SQD1" s="22"/>
      <c r="SQE1" s="22"/>
      <c r="SQF1" s="22"/>
      <c r="SQG1" s="22"/>
      <c r="SQH1" s="22"/>
      <c r="SQI1" s="22"/>
      <c r="SQJ1" s="22"/>
      <c r="SQK1" s="22"/>
      <c r="SQL1" s="22"/>
      <c r="SQM1" s="22"/>
      <c r="SQN1" s="22"/>
      <c r="SQO1" s="22"/>
      <c r="SQP1" s="22"/>
      <c r="SQQ1" s="22"/>
      <c r="SQR1" s="22"/>
      <c r="SQS1" s="22"/>
      <c r="SQT1" s="22"/>
      <c r="SQU1" s="22"/>
      <c r="SQV1" s="22"/>
      <c r="SQW1" s="22"/>
      <c r="SQX1" s="22"/>
      <c r="SQY1" s="22"/>
      <c r="SQZ1" s="22"/>
      <c r="SRA1" s="22"/>
      <c r="SRB1" s="22"/>
      <c r="SRC1" s="22"/>
      <c r="SRD1" s="22"/>
      <c r="SRE1" s="22"/>
      <c r="SRF1" s="22"/>
      <c r="SRG1" s="22"/>
      <c r="SRH1" s="22"/>
      <c r="SRI1" s="22"/>
      <c r="SRJ1" s="22"/>
      <c r="SRK1" s="22"/>
      <c r="SRL1" s="22"/>
      <c r="SRM1" s="22"/>
      <c r="SRN1" s="22"/>
      <c r="SRO1" s="22"/>
      <c r="SRP1" s="22"/>
      <c r="SRQ1" s="22"/>
      <c r="SRR1" s="22"/>
      <c r="SRS1" s="22"/>
      <c r="SRT1" s="22"/>
      <c r="SRU1" s="22"/>
      <c r="SRV1" s="22"/>
      <c r="SRW1" s="22"/>
      <c r="SRX1" s="22"/>
      <c r="SRY1" s="22"/>
      <c r="SRZ1" s="22"/>
      <c r="SSA1" s="22"/>
      <c r="SSB1" s="22"/>
      <c r="SSC1" s="22"/>
      <c r="SSD1" s="22"/>
      <c r="SSE1" s="22"/>
      <c r="SSF1" s="22"/>
      <c r="SSG1" s="22"/>
      <c r="SSH1" s="22"/>
      <c r="SSI1" s="22"/>
      <c r="SSJ1" s="22"/>
      <c r="SSK1" s="22"/>
      <c r="SSL1" s="22"/>
      <c r="SSM1" s="22"/>
      <c r="SSN1" s="22"/>
      <c r="SSO1" s="22"/>
      <c r="SSP1" s="22"/>
      <c r="SSQ1" s="22"/>
      <c r="SSR1" s="22"/>
      <c r="SSS1" s="22"/>
      <c r="SST1" s="22"/>
      <c r="SSU1" s="22"/>
      <c r="SSV1" s="22"/>
      <c r="SSW1" s="22"/>
      <c r="SSX1" s="22"/>
      <c r="SSY1" s="22"/>
      <c r="SSZ1" s="22"/>
      <c r="STA1" s="22"/>
      <c r="STB1" s="22"/>
      <c r="STC1" s="22"/>
      <c r="STD1" s="22"/>
      <c r="STE1" s="22"/>
      <c r="STF1" s="22"/>
      <c r="STG1" s="22"/>
      <c r="STH1" s="22"/>
      <c r="STI1" s="22"/>
      <c r="STJ1" s="22"/>
      <c r="STK1" s="22"/>
      <c r="STL1" s="22"/>
      <c r="STM1" s="22"/>
      <c r="STN1" s="22"/>
      <c r="STO1" s="22"/>
      <c r="STP1" s="22"/>
      <c r="STQ1" s="22"/>
      <c r="STR1" s="22"/>
      <c r="STS1" s="22"/>
      <c r="STT1" s="22"/>
      <c r="STU1" s="22"/>
      <c r="STV1" s="22"/>
      <c r="STW1" s="22"/>
      <c r="STX1" s="22"/>
      <c r="STY1" s="22"/>
      <c r="STZ1" s="22"/>
      <c r="SUA1" s="22"/>
      <c r="SUB1" s="22"/>
      <c r="SUC1" s="22"/>
      <c r="SUD1" s="22"/>
      <c r="SUE1" s="22"/>
      <c r="SUF1" s="22"/>
      <c r="SUG1" s="22"/>
      <c r="SUH1" s="22"/>
      <c r="SUI1" s="22"/>
      <c r="SUJ1" s="22"/>
      <c r="SUK1" s="22"/>
      <c r="SUL1" s="22"/>
      <c r="SUM1" s="22"/>
      <c r="SUN1" s="22"/>
      <c r="SUO1" s="22"/>
      <c r="SUP1" s="22"/>
      <c r="SUQ1" s="22"/>
      <c r="SUR1" s="22"/>
      <c r="SUS1" s="22"/>
      <c r="SUT1" s="22"/>
      <c r="SUU1" s="22"/>
      <c r="SUV1" s="22"/>
      <c r="SUW1" s="22"/>
      <c r="SUX1" s="22"/>
      <c r="SUY1" s="22"/>
      <c r="SUZ1" s="22"/>
      <c r="SVA1" s="22"/>
      <c r="SVB1" s="22"/>
      <c r="SVC1" s="22"/>
      <c r="SVD1" s="22"/>
      <c r="SVE1" s="22"/>
      <c r="SVF1" s="22"/>
      <c r="SVG1" s="22"/>
      <c r="SVH1" s="22"/>
      <c r="SVI1" s="22"/>
      <c r="SVJ1" s="22"/>
      <c r="SVK1" s="22"/>
      <c r="SVL1" s="22"/>
      <c r="SVM1" s="22"/>
      <c r="SVN1" s="22"/>
      <c r="SVO1" s="22"/>
      <c r="SVP1" s="22"/>
      <c r="SVQ1" s="22"/>
      <c r="SVR1" s="22"/>
      <c r="SVS1" s="22"/>
      <c r="SVT1" s="22"/>
      <c r="SVU1" s="22"/>
      <c r="SVV1" s="22"/>
      <c r="SVW1" s="22"/>
      <c r="SVX1" s="22"/>
      <c r="SVY1" s="22"/>
      <c r="SVZ1" s="22"/>
      <c r="SWA1" s="22"/>
      <c r="SWB1" s="22"/>
      <c r="SWC1" s="22"/>
      <c r="SWD1" s="22"/>
      <c r="SWE1" s="22"/>
      <c r="SWF1" s="22"/>
      <c r="SWG1" s="22"/>
      <c r="SWH1" s="22"/>
      <c r="SWI1" s="22"/>
      <c r="SWJ1" s="22"/>
      <c r="SWK1" s="22"/>
      <c r="SWL1" s="22"/>
      <c r="SWM1" s="22"/>
      <c r="SWN1" s="22"/>
      <c r="SWO1" s="22"/>
      <c r="SWP1" s="22"/>
      <c r="SWQ1" s="22"/>
      <c r="SWR1" s="22"/>
      <c r="SWS1" s="22"/>
      <c r="SWT1" s="22"/>
      <c r="SWU1" s="22"/>
      <c r="SWV1" s="22"/>
      <c r="SWW1" s="22"/>
      <c r="SWX1" s="22"/>
      <c r="SWY1" s="22"/>
      <c r="SWZ1" s="22"/>
      <c r="SXA1" s="22"/>
      <c r="SXB1" s="22"/>
      <c r="SXC1" s="22"/>
      <c r="SXD1" s="22"/>
      <c r="SXE1" s="22"/>
      <c r="SXF1" s="22"/>
      <c r="SXG1" s="22"/>
      <c r="SXH1" s="22"/>
      <c r="SXI1" s="22"/>
      <c r="SXJ1" s="22"/>
      <c r="SXK1" s="22"/>
      <c r="SXL1" s="22"/>
      <c r="SXM1" s="22"/>
      <c r="SXN1" s="22"/>
      <c r="SXO1" s="22"/>
      <c r="SXP1" s="22"/>
      <c r="SXQ1" s="22"/>
      <c r="SXR1" s="22"/>
      <c r="SXS1" s="22"/>
      <c r="SXT1" s="22"/>
      <c r="SXU1" s="22"/>
      <c r="SXV1" s="22"/>
      <c r="SXW1" s="22"/>
      <c r="SXX1" s="22"/>
      <c r="SXY1" s="22"/>
      <c r="SXZ1" s="22"/>
      <c r="SYA1" s="22"/>
      <c r="SYB1" s="22"/>
      <c r="SYC1" s="22"/>
      <c r="SYD1" s="22"/>
      <c r="SYE1" s="22"/>
      <c r="SYF1" s="22"/>
      <c r="SYG1" s="22"/>
      <c r="SYH1" s="22"/>
      <c r="SYI1" s="22"/>
      <c r="SYJ1" s="22"/>
      <c r="SYK1" s="22"/>
      <c r="SYL1" s="22"/>
      <c r="SYM1" s="22"/>
      <c r="SYN1" s="22"/>
      <c r="SYO1" s="22"/>
      <c r="SYP1" s="22"/>
      <c r="SYQ1" s="22"/>
      <c r="SYR1" s="22"/>
      <c r="SYS1" s="22"/>
      <c r="SYT1" s="22"/>
      <c r="SYU1" s="22"/>
      <c r="SYV1" s="22"/>
      <c r="SYW1" s="22"/>
      <c r="SYX1" s="22"/>
      <c r="SYY1" s="22"/>
      <c r="SYZ1" s="22"/>
      <c r="SZA1" s="22"/>
      <c r="SZB1" s="22"/>
      <c r="SZC1" s="22"/>
      <c r="SZD1" s="22"/>
      <c r="SZE1" s="22"/>
      <c r="SZF1" s="22"/>
      <c r="SZG1" s="22"/>
      <c r="SZH1" s="22"/>
      <c r="SZI1" s="22"/>
      <c r="SZJ1" s="22"/>
      <c r="SZK1" s="22"/>
      <c r="SZL1" s="22"/>
      <c r="SZM1" s="22"/>
      <c r="SZN1" s="22"/>
      <c r="SZO1" s="22"/>
      <c r="SZP1" s="22"/>
      <c r="SZQ1" s="22"/>
      <c r="SZR1" s="22"/>
      <c r="SZS1" s="22"/>
      <c r="SZT1" s="22"/>
      <c r="SZU1" s="22"/>
      <c r="SZV1" s="22"/>
      <c r="SZW1" s="22"/>
      <c r="SZX1" s="22"/>
      <c r="SZY1" s="22"/>
      <c r="SZZ1" s="22"/>
      <c r="TAA1" s="22"/>
      <c r="TAB1" s="22"/>
      <c r="TAC1" s="22"/>
      <c r="TAD1" s="22"/>
      <c r="TAE1" s="22"/>
      <c r="TAF1" s="22"/>
      <c r="TAG1" s="22"/>
      <c r="TAH1" s="22"/>
      <c r="TAI1" s="22"/>
      <c r="TAJ1" s="22"/>
      <c r="TAK1" s="22"/>
      <c r="TAL1" s="22"/>
      <c r="TAM1" s="22"/>
      <c r="TAN1" s="22"/>
      <c r="TAO1" s="22"/>
      <c r="TAP1" s="22"/>
      <c r="TAQ1" s="22"/>
      <c r="TAR1" s="22"/>
      <c r="TAS1" s="22"/>
      <c r="TAT1" s="22"/>
      <c r="TAU1" s="22"/>
      <c r="TAV1" s="22"/>
      <c r="TAW1" s="22"/>
      <c r="TAX1" s="22"/>
      <c r="TAY1" s="22"/>
      <c r="TAZ1" s="22"/>
      <c r="TBA1" s="22"/>
      <c r="TBB1" s="22"/>
      <c r="TBC1" s="22"/>
      <c r="TBD1" s="22"/>
      <c r="TBE1" s="22"/>
      <c r="TBF1" s="22"/>
      <c r="TBG1" s="22"/>
      <c r="TBH1" s="22"/>
      <c r="TBI1" s="22"/>
      <c r="TBJ1" s="22"/>
      <c r="TBK1" s="22"/>
      <c r="TBL1" s="22"/>
      <c r="TBM1" s="22"/>
      <c r="TBN1" s="22"/>
      <c r="TBO1" s="22"/>
      <c r="TBP1" s="22"/>
      <c r="TBQ1" s="22"/>
      <c r="TBR1" s="22"/>
      <c r="TBS1" s="22"/>
      <c r="TBT1" s="22"/>
      <c r="TBU1" s="22"/>
      <c r="TBV1" s="22"/>
      <c r="TBW1" s="22"/>
      <c r="TBX1" s="22"/>
      <c r="TBY1" s="22"/>
      <c r="TBZ1" s="22"/>
      <c r="TCA1" s="22"/>
      <c r="TCB1" s="22"/>
      <c r="TCC1" s="22"/>
      <c r="TCD1" s="22"/>
      <c r="TCE1" s="22"/>
      <c r="TCF1" s="22"/>
      <c r="TCG1" s="22"/>
      <c r="TCH1" s="22"/>
      <c r="TCI1" s="22"/>
      <c r="TCJ1" s="22"/>
      <c r="TCK1" s="22"/>
      <c r="TCL1" s="22"/>
      <c r="TCM1" s="22"/>
      <c r="TCN1" s="22"/>
      <c r="TCO1" s="22"/>
      <c r="TCP1" s="22"/>
      <c r="TCQ1" s="22"/>
      <c r="TCR1" s="22"/>
      <c r="TCS1" s="22"/>
      <c r="TCT1" s="22"/>
      <c r="TCU1" s="22"/>
      <c r="TCV1" s="22"/>
      <c r="TCW1" s="22"/>
      <c r="TCX1" s="22"/>
      <c r="TCY1" s="22"/>
      <c r="TCZ1" s="22"/>
      <c r="TDA1" s="22"/>
      <c r="TDB1" s="22"/>
      <c r="TDC1" s="22"/>
      <c r="TDD1" s="22"/>
      <c r="TDE1" s="22"/>
      <c r="TDF1" s="22"/>
      <c r="TDG1" s="22"/>
      <c r="TDH1" s="22"/>
      <c r="TDI1" s="22"/>
      <c r="TDJ1" s="22"/>
      <c r="TDK1" s="22"/>
      <c r="TDL1" s="22"/>
      <c r="TDM1" s="22"/>
      <c r="TDN1" s="22"/>
      <c r="TDO1" s="22"/>
      <c r="TDP1" s="22"/>
      <c r="TDQ1" s="22"/>
      <c r="TDR1" s="22"/>
      <c r="TDS1" s="22"/>
      <c r="TDT1" s="22"/>
      <c r="TDU1" s="22"/>
      <c r="TDV1" s="22"/>
      <c r="TDW1" s="22"/>
      <c r="TDX1" s="22"/>
      <c r="TDY1" s="22"/>
      <c r="TDZ1" s="22"/>
      <c r="TEA1" s="22"/>
      <c r="TEB1" s="22"/>
      <c r="TEC1" s="22"/>
      <c r="TED1" s="22"/>
      <c r="TEE1" s="22"/>
      <c r="TEF1" s="22"/>
      <c r="TEG1" s="22"/>
      <c r="TEH1" s="22"/>
      <c r="TEI1" s="22"/>
      <c r="TEJ1" s="22"/>
      <c r="TEK1" s="22"/>
      <c r="TEL1" s="22"/>
      <c r="TEM1" s="22"/>
      <c r="TEN1" s="22"/>
      <c r="TEO1" s="22"/>
      <c r="TEP1" s="22"/>
      <c r="TEQ1" s="22"/>
      <c r="TER1" s="22"/>
      <c r="TES1" s="22"/>
      <c r="TET1" s="22"/>
      <c r="TEU1" s="22"/>
      <c r="TEV1" s="22"/>
      <c r="TEW1" s="22"/>
      <c r="TEX1" s="22"/>
      <c r="TEY1" s="22"/>
      <c r="TEZ1" s="22"/>
      <c r="TFA1" s="22"/>
      <c r="TFB1" s="22"/>
      <c r="TFC1" s="22"/>
      <c r="TFD1" s="22"/>
      <c r="TFE1" s="22"/>
      <c r="TFF1" s="22"/>
      <c r="TFG1" s="22"/>
      <c r="TFH1" s="22"/>
      <c r="TFI1" s="22"/>
      <c r="TFJ1" s="22"/>
      <c r="TFK1" s="22"/>
      <c r="TFL1" s="22"/>
      <c r="TFM1" s="22"/>
      <c r="TFN1" s="22"/>
      <c r="TFO1" s="22"/>
      <c r="TFP1" s="22"/>
      <c r="TFQ1" s="22"/>
      <c r="TFR1" s="22"/>
      <c r="TFS1" s="22"/>
      <c r="TFT1" s="22"/>
      <c r="TFU1" s="22"/>
      <c r="TFV1" s="22"/>
      <c r="TFW1" s="22"/>
      <c r="TFX1" s="22"/>
      <c r="TFY1" s="22"/>
      <c r="TFZ1" s="22"/>
      <c r="TGA1" s="22"/>
      <c r="TGB1" s="22"/>
      <c r="TGC1" s="22"/>
      <c r="TGD1" s="22"/>
      <c r="TGE1" s="22"/>
      <c r="TGF1" s="22"/>
      <c r="TGG1" s="22"/>
      <c r="TGH1" s="22"/>
      <c r="TGI1" s="22"/>
      <c r="TGJ1" s="22"/>
      <c r="TGK1" s="22"/>
      <c r="TGL1" s="22"/>
      <c r="TGM1" s="22"/>
      <c r="TGN1" s="22"/>
      <c r="TGO1" s="22"/>
      <c r="TGP1" s="22"/>
      <c r="TGQ1" s="22"/>
      <c r="TGR1" s="22"/>
      <c r="TGS1" s="22"/>
      <c r="TGT1" s="22"/>
      <c r="TGU1" s="22"/>
      <c r="TGV1" s="22"/>
      <c r="TGW1" s="22"/>
      <c r="TGX1" s="22"/>
      <c r="TGY1" s="22"/>
      <c r="TGZ1" s="22"/>
      <c r="THA1" s="22"/>
      <c r="THB1" s="22"/>
      <c r="THC1" s="22"/>
      <c r="THD1" s="22"/>
      <c r="THE1" s="22"/>
      <c r="THF1" s="22"/>
      <c r="THG1" s="22"/>
      <c r="THH1" s="22"/>
      <c r="THI1" s="22"/>
      <c r="THJ1" s="22"/>
      <c r="THK1" s="22"/>
      <c r="THL1" s="22"/>
      <c r="THM1" s="22"/>
      <c r="THN1" s="22"/>
      <c r="THO1" s="22"/>
      <c r="THP1" s="22"/>
      <c r="THQ1" s="22"/>
      <c r="THR1" s="22"/>
      <c r="THS1" s="22"/>
      <c r="THT1" s="22"/>
      <c r="THU1" s="22"/>
      <c r="THV1" s="22"/>
      <c r="THW1" s="22"/>
      <c r="THX1" s="22"/>
      <c r="THY1" s="22"/>
      <c r="THZ1" s="22"/>
      <c r="TIA1" s="22"/>
      <c r="TIB1" s="22"/>
      <c r="TIC1" s="22"/>
      <c r="TID1" s="22"/>
      <c r="TIE1" s="22"/>
      <c r="TIF1" s="22"/>
      <c r="TIG1" s="22"/>
      <c r="TIH1" s="22"/>
      <c r="TII1" s="22"/>
      <c r="TIJ1" s="22"/>
      <c r="TIK1" s="22"/>
      <c r="TIL1" s="22"/>
      <c r="TIM1" s="22"/>
      <c r="TIN1" s="22"/>
      <c r="TIO1" s="22"/>
      <c r="TIP1" s="22"/>
      <c r="TIQ1" s="22"/>
      <c r="TIR1" s="22"/>
      <c r="TIS1" s="22"/>
      <c r="TIT1" s="22"/>
      <c r="TIU1" s="22"/>
      <c r="TIV1" s="22"/>
      <c r="TIW1" s="22"/>
      <c r="TIX1" s="22"/>
      <c r="TIY1" s="22"/>
      <c r="TIZ1" s="22"/>
      <c r="TJA1" s="22"/>
      <c r="TJB1" s="22"/>
      <c r="TJC1" s="22"/>
      <c r="TJD1" s="22"/>
      <c r="TJE1" s="22"/>
      <c r="TJF1" s="22"/>
      <c r="TJG1" s="22"/>
      <c r="TJH1" s="22"/>
      <c r="TJI1" s="22"/>
      <c r="TJJ1" s="22"/>
      <c r="TJK1" s="22"/>
      <c r="TJL1" s="22"/>
      <c r="TJM1" s="22"/>
      <c r="TJN1" s="22"/>
      <c r="TJO1" s="22"/>
      <c r="TJP1" s="22"/>
      <c r="TJQ1" s="22"/>
      <c r="TJR1" s="22"/>
      <c r="TJS1" s="22"/>
      <c r="TJT1" s="22"/>
      <c r="TJU1" s="22"/>
      <c r="TJV1" s="22"/>
      <c r="TJW1" s="22"/>
      <c r="TJX1" s="22"/>
      <c r="TJY1" s="22"/>
      <c r="TJZ1" s="22"/>
      <c r="TKA1" s="22"/>
      <c r="TKB1" s="22"/>
      <c r="TKC1" s="22"/>
      <c r="TKD1" s="22"/>
      <c r="TKE1" s="22"/>
      <c r="TKF1" s="22"/>
      <c r="TKG1" s="22"/>
      <c r="TKH1" s="22"/>
      <c r="TKI1" s="22"/>
      <c r="TKJ1" s="22"/>
      <c r="TKK1" s="22"/>
      <c r="TKL1" s="22"/>
      <c r="TKM1" s="22"/>
      <c r="TKN1" s="22"/>
      <c r="TKO1" s="22"/>
      <c r="TKP1" s="22"/>
      <c r="TKQ1" s="22"/>
      <c r="TKR1" s="22"/>
      <c r="TKS1" s="22"/>
      <c r="TKT1" s="22"/>
      <c r="TKU1" s="22"/>
      <c r="TKV1" s="22"/>
      <c r="TKW1" s="22"/>
      <c r="TKX1" s="22"/>
      <c r="TKY1" s="22"/>
      <c r="TKZ1" s="22"/>
      <c r="TLA1" s="22"/>
      <c r="TLB1" s="22"/>
      <c r="TLC1" s="22"/>
      <c r="TLD1" s="22"/>
      <c r="TLE1" s="22"/>
      <c r="TLF1" s="22"/>
      <c r="TLG1" s="22"/>
      <c r="TLH1" s="22"/>
      <c r="TLI1" s="22"/>
      <c r="TLJ1" s="22"/>
      <c r="TLK1" s="22"/>
      <c r="TLL1" s="22"/>
      <c r="TLM1" s="22"/>
      <c r="TLN1" s="22"/>
      <c r="TLO1" s="22"/>
      <c r="TLP1" s="22"/>
      <c r="TLQ1" s="22"/>
      <c r="TLR1" s="22"/>
      <c r="TLS1" s="22"/>
      <c r="TLT1" s="22"/>
      <c r="TLU1" s="22"/>
      <c r="TLV1" s="22"/>
      <c r="TLW1" s="22"/>
      <c r="TLX1" s="22"/>
      <c r="TLY1" s="22"/>
      <c r="TLZ1" s="22"/>
      <c r="TMA1" s="22"/>
      <c r="TMB1" s="22"/>
      <c r="TMC1" s="22"/>
      <c r="TMD1" s="22"/>
      <c r="TME1" s="22"/>
      <c r="TMF1" s="22"/>
      <c r="TMG1" s="22"/>
      <c r="TMH1" s="22"/>
      <c r="TMI1" s="22"/>
      <c r="TMJ1" s="22"/>
      <c r="TMK1" s="22"/>
      <c r="TML1" s="22"/>
      <c r="TMM1" s="22"/>
      <c r="TMN1" s="22"/>
      <c r="TMO1" s="22"/>
      <c r="TMP1" s="22"/>
      <c r="TMQ1" s="22"/>
      <c r="TMR1" s="22"/>
      <c r="TMS1" s="22"/>
      <c r="TMT1" s="22"/>
      <c r="TMU1" s="22"/>
      <c r="TMV1" s="22"/>
      <c r="TMW1" s="22"/>
      <c r="TMX1" s="22"/>
      <c r="TMY1" s="22"/>
      <c r="TMZ1" s="22"/>
      <c r="TNA1" s="22"/>
      <c r="TNB1" s="22"/>
      <c r="TNC1" s="22"/>
      <c r="TND1" s="22"/>
      <c r="TNE1" s="22"/>
      <c r="TNF1" s="22"/>
      <c r="TNG1" s="22"/>
      <c r="TNH1" s="22"/>
      <c r="TNI1" s="22"/>
      <c r="TNJ1" s="22"/>
      <c r="TNK1" s="22"/>
      <c r="TNL1" s="22"/>
      <c r="TNM1" s="22"/>
      <c r="TNN1" s="22"/>
      <c r="TNO1" s="22"/>
      <c r="TNP1" s="22"/>
      <c r="TNQ1" s="22"/>
      <c r="TNR1" s="22"/>
      <c r="TNS1" s="22"/>
      <c r="TNT1" s="22"/>
      <c r="TNU1" s="22"/>
      <c r="TNV1" s="22"/>
      <c r="TNW1" s="22"/>
      <c r="TNX1" s="22"/>
      <c r="TNY1" s="22"/>
      <c r="TNZ1" s="22"/>
      <c r="TOA1" s="22"/>
      <c r="TOB1" s="22"/>
      <c r="TOC1" s="22"/>
      <c r="TOD1" s="22"/>
      <c r="TOE1" s="22"/>
      <c r="TOF1" s="22"/>
      <c r="TOG1" s="22"/>
      <c r="TOH1" s="22"/>
      <c r="TOI1" s="22"/>
      <c r="TOJ1" s="22"/>
      <c r="TOK1" s="22"/>
      <c r="TOL1" s="22"/>
      <c r="TOM1" s="22"/>
      <c r="TON1" s="22"/>
      <c r="TOO1" s="22"/>
      <c r="TOP1" s="22"/>
      <c r="TOQ1" s="22"/>
      <c r="TOR1" s="22"/>
      <c r="TOS1" s="22"/>
      <c r="TOT1" s="22"/>
      <c r="TOU1" s="22"/>
      <c r="TOV1" s="22"/>
      <c r="TOW1" s="22"/>
      <c r="TOX1" s="22"/>
      <c r="TOY1" s="22"/>
      <c r="TOZ1" s="22"/>
      <c r="TPA1" s="22"/>
      <c r="TPB1" s="22"/>
      <c r="TPC1" s="22"/>
      <c r="TPD1" s="22"/>
      <c r="TPE1" s="22"/>
      <c r="TPF1" s="22"/>
      <c r="TPG1" s="22"/>
      <c r="TPH1" s="22"/>
      <c r="TPI1" s="22"/>
      <c r="TPJ1" s="22"/>
      <c r="TPK1" s="22"/>
      <c r="TPL1" s="22"/>
      <c r="TPM1" s="22"/>
      <c r="TPN1" s="22"/>
      <c r="TPO1" s="22"/>
      <c r="TPP1" s="22"/>
      <c r="TPQ1" s="22"/>
      <c r="TPR1" s="22"/>
      <c r="TPS1" s="22"/>
      <c r="TPT1" s="22"/>
      <c r="TPU1" s="22"/>
      <c r="TPV1" s="22"/>
      <c r="TPW1" s="22"/>
      <c r="TPX1" s="22"/>
      <c r="TPY1" s="22"/>
      <c r="TPZ1" s="22"/>
      <c r="TQA1" s="22"/>
      <c r="TQB1" s="22"/>
      <c r="TQC1" s="22"/>
      <c r="TQD1" s="22"/>
      <c r="TQE1" s="22"/>
      <c r="TQF1" s="22"/>
      <c r="TQG1" s="22"/>
      <c r="TQH1" s="22"/>
      <c r="TQI1" s="22"/>
      <c r="TQJ1" s="22"/>
      <c r="TQK1" s="22"/>
      <c r="TQL1" s="22"/>
      <c r="TQM1" s="22"/>
      <c r="TQN1" s="22"/>
      <c r="TQO1" s="22"/>
      <c r="TQP1" s="22"/>
      <c r="TQQ1" s="22"/>
      <c r="TQR1" s="22"/>
      <c r="TQS1" s="22"/>
      <c r="TQT1" s="22"/>
      <c r="TQU1" s="22"/>
      <c r="TQV1" s="22"/>
      <c r="TQW1" s="22"/>
      <c r="TQX1" s="22"/>
      <c r="TQY1" s="22"/>
      <c r="TQZ1" s="22"/>
      <c r="TRA1" s="22"/>
      <c r="TRB1" s="22"/>
      <c r="TRC1" s="22"/>
      <c r="TRD1" s="22"/>
      <c r="TRE1" s="22"/>
      <c r="TRF1" s="22"/>
      <c r="TRG1" s="22"/>
      <c r="TRH1" s="22"/>
      <c r="TRI1" s="22"/>
      <c r="TRJ1" s="22"/>
      <c r="TRK1" s="22"/>
      <c r="TRL1" s="22"/>
      <c r="TRM1" s="22"/>
      <c r="TRN1" s="22"/>
      <c r="TRO1" s="22"/>
      <c r="TRP1" s="22"/>
      <c r="TRQ1" s="22"/>
      <c r="TRR1" s="22"/>
      <c r="TRS1" s="22"/>
      <c r="TRT1" s="22"/>
      <c r="TRU1" s="22"/>
      <c r="TRV1" s="22"/>
      <c r="TRW1" s="22"/>
      <c r="TRX1" s="22"/>
      <c r="TRY1" s="22"/>
      <c r="TRZ1" s="22"/>
      <c r="TSA1" s="22"/>
      <c r="TSB1" s="22"/>
      <c r="TSC1" s="22"/>
      <c r="TSD1" s="22"/>
      <c r="TSE1" s="22"/>
      <c r="TSF1" s="22"/>
      <c r="TSG1" s="22"/>
      <c r="TSH1" s="22"/>
      <c r="TSI1" s="22"/>
      <c r="TSJ1" s="22"/>
      <c r="TSK1" s="22"/>
      <c r="TSL1" s="22"/>
      <c r="TSM1" s="22"/>
      <c r="TSN1" s="22"/>
      <c r="TSO1" s="22"/>
      <c r="TSP1" s="22"/>
      <c r="TSQ1" s="22"/>
      <c r="TSR1" s="22"/>
      <c r="TSS1" s="22"/>
      <c r="TST1" s="22"/>
      <c r="TSU1" s="22"/>
      <c r="TSV1" s="22"/>
      <c r="TSW1" s="22"/>
      <c r="TSX1" s="22"/>
      <c r="TSY1" s="22"/>
      <c r="TSZ1" s="22"/>
      <c r="TTA1" s="22"/>
      <c r="TTB1" s="22"/>
      <c r="TTC1" s="22"/>
      <c r="TTD1" s="22"/>
      <c r="TTE1" s="22"/>
      <c r="TTF1" s="22"/>
      <c r="TTG1" s="22"/>
      <c r="TTH1" s="22"/>
      <c r="TTI1" s="22"/>
      <c r="TTJ1" s="22"/>
      <c r="TTK1" s="22"/>
      <c r="TTL1" s="22"/>
      <c r="TTM1" s="22"/>
      <c r="TTN1" s="22"/>
      <c r="TTO1" s="22"/>
      <c r="TTP1" s="22"/>
      <c r="TTQ1" s="22"/>
      <c r="TTR1" s="22"/>
      <c r="TTS1" s="22"/>
      <c r="TTT1" s="22"/>
      <c r="TTU1" s="22"/>
      <c r="TTV1" s="22"/>
      <c r="TTW1" s="22"/>
      <c r="TTX1" s="22"/>
      <c r="TTY1" s="22"/>
      <c r="TTZ1" s="22"/>
      <c r="TUA1" s="22"/>
      <c r="TUB1" s="22"/>
      <c r="TUC1" s="22"/>
      <c r="TUD1" s="22"/>
      <c r="TUE1" s="22"/>
      <c r="TUF1" s="22"/>
      <c r="TUG1" s="22"/>
      <c r="TUH1" s="22"/>
      <c r="TUI1" s="22"/>
      <c r="TUJ1" s="22"/>
      <c r="TUK1" s="22"/>
      <c r="TUL1" s="22"/>
      <c r="TUM1" s="22"/>
      <c r="TUN1" s="22"/>
      <c r="TUO1" s="22"/>
      <c r="TUP1" s="22"/>
      <c r="TUQ1" s="22"/>
      <c r="TUR1" s="22"/>
      <c r="TUS1" s="22"/>
      <c r="TUT1" s="22"/>
      <c r="TUU1" s="22"/>
      <c r="TUV1" s="22"/>
      <c r="TUW1" s="22"/>
      <c r="TUX1" s="22"/>
      <c r="TUY1" s="22"/>
      <c r="TUZ1" s="22"/>
      <c r="TVA1" s="22"/>
      <c r="TVB1" s="22"/>
      <c r="TVC1" s="22"/>
      <c r="TVD1" s="22"/>
      <c r="TVE1" s="22"/>
      <c r="TVF1" s="22"/>
      <c r="TVG1" s="22"/>
      <c r="TVH1" s="22"/>
      <c r="TVI1" s="22"/>
      <c r="TVJ1" s="22"/>
      <c r="TVK1" s="22"/>
      <c r="TVL1" s="22"/>
      <c r="TVM1" s="22"/>
      <c r="TVN1" s="22"/>
      <c r="TVO1" s="22"/>
      <c r="TVP1" s="22"/>
      <c r="TVQ1" s="22"/>
      <c r="TVR1" s="22"/>
      <c r="TVS1" s="22"/>
      <c r="TVT1" s="22"/>
      <c r="TVU1" s="22"/>
      <c r="TVV1" s="22"/>
      <c r="TVW1" s="22"/>
      <c r="TVX1" s="22"/>
      <c r="TVY1" s="22"/>
      <c r="TVZ1" s="22"/>
      <c r="TWA1" s="22"/>
      <c r="TWB1" s="22"/>
      <c r="TWC1" s="22"/>
      <c r="TWD1" s="22"/>
      <c r="TWE1" s="22"/>
      <c r="TWF1" s="22"/>
      <c r="TWG1" s="22"/>
      <c r="TWH1" s="22"/>
      <c r="TWI1" s="22"/>
      <c r="TWJ1" s="22"/>
      <c r="TWK1" s="22"/>
      <c r="TWL1" s="22"/>
      <c r="TWM1" s="22"/>
      <c r="TWN1" s="22"/>
      <c r="TWO1" s="22"/>
      <c r="TWP1" s="22"/>
      <c r="TWQ1" s="22"/>
      <c r="TWR1" s="22"/>
      <c r="TWS1" s="22"/>
      <c r="TWT1" s="22"/>
      <c r="TWU1" s="22"/>
      <c r="TWV1" s="22"/>
      <c r="TWW1" s="22"/>
      <c r="TWX1" s="22"/>
      <c r="TWY1" s="22"/>
      <c r="TWZ1" s="22"/>
      <c r="TXA1" s="22"/>
      <c r="TXB1" s="22"/>
      <c r="TXC1" s="22"/>
      <c r="TXD1" s="22"/>
      <c r="TXE1" s="22"/>
      <c r="TXF1" s="22"/>
      <c r="TXG1" s="22"/>
      <c r="TXH1" s="22"/>
      <c r="TXI1" s="22"/>
      <c r="TXJ1" s="22"/>
      <c r="TXK1" s="22"/>
      <c r="TXL1" s="22"/>
      <c r="TXM1" s="22"/>
      <c r="TXN1" s="22"/>
      <c r="TXO1" s="22"/>
      <c r="TXP1" s="22"/>
      <c r="TXQ1" s="22"/>
      <c r="TXR1" s="22"/>
      <c r="TXS1" s="22"/>
      <c r="TXT1" s="22"/>
      <c r="TXU1" s="22"/>
      <c r="TXV1" s="22"/>
      <c r="TXW1" s="22"/>
      <c r="TXX1" s="22"/>
      <c r="TXY1" s="22"/>
      <c r="TXZ1" s="22"/>
      <c r="TYA1" s="22"/>
      <c r="TYB1" s="22"/>
      <c r="TYC1" s="22"/>
      <c r="TYD1" s="22"/>
      <c r="TYE1" s="22"/>
      <c r="TYF1" s="22"/>
      <c r="TYG1" s="22"/>
      <c r="TYH1" s="22"/>
      <c r="TYI1" s="22"/>
      <c r="TYJ1" s="22"/>
      <c r="TYK1" s="22"/>
      <c r="TYL1" s="22"/>
      <c r="TYM1" s="22"/>
      <c r="TYN1" s="22"/>
      <c r="TYO1" s="22"/>
      <c r="TYP1" s="22"/>
      <c r="TYQ1" s="22"/>
      <c r="TYR1" s="22"/>
      <c r="TYS1" s="22"/>
      <c r="TYT1" s="22"/>
      <c r="TYU1" s="22"/>
      <c r="TYV1" s="22"/>
      <c r="TYW1" s="22"/>
      <c r="TYX1" s="22"/>
      <c r="TYY1" s="22"/>
      <c r="TYZ1" s="22"/>
      <c r="TZA1" s="22"/>
      <c r="TZB1" s="22"/>
      <c r="TZC1" s="22"/>
      <c r="TZD1" s="22"/>
      <c r="TZE1" s="22"/>
      <c r="TZF1" s="22"/>
      <c r="TZG1" s="22"/>
      <c r="TZH1" s="22"/>
      <c r="TZI1" s="22"/>
      <c r="TZJ1" s="22"/>
      <c r="TZK1" s="22"/>
      <c r="TZL1" s="22"/>
      <c r="TZM1" s="22"/>
      <c r="TZN1" s="22"/>
      <c r="TZO1" s="22"/>
      <c r="TZP1" s="22"/>
      <c r="TZQ1" s="22"/>
      <c r="TZR1" s="22"/>
      <c r="TZS1" s="22"/>
      <c r="TZT1" s="22"/>
      <c r="TZU1" s="22"/>
      <c r="TZV1" s="22"/>
      <c r="TZW1" s="22"/>
      <c r="TZX1" s="22"/>
      <c r="TZY1" s="22"/>
      <c r="TZZ1" s="22"/>
      <c r="UAA1" s="22"/>
      <c r="UAB1" s="22"/>
      <c r="UAC1" s="22"/>
      <c r="UAD1" s="22"/>
      <c r="UAE1" s="22"/>
      <c r="UAF1" s="22"/>
      <c r="UAG1" s="22"/>
      <c r="UAH1" s="22"/>
      <c r="UAI1" s="22"/>
      <c r="UAJ1" s="22"/>
      <c r="UAK1" s="22"/>
      <c r="UAL1" s="22"/>
      <c r="UAM1" s="22"/>
      <c r="UAN1" s="22"/>
      <c r="UAO1" s="22"/>
      <c r="UAP1" s="22"/>
      <c r="UAQ1" s="22"/>
      <c r="UAR1" s="22"/>
      <c r="UAS1" s="22"/>
      <c r="UAT1" s="22"/>
      <c r="UAU1" s="22"/>
      <c r="UAV1" s="22"/>
      <c r="UAW1" s="22"/>
      <c r="UAX1" s="22"/>
      <c r="UAY1" s="22"/>
      <c r="UAZ1" s="22"/>
      <c r="UBA1" s="22"/>
      <c r="UBB1" s="22"/>
      <c r="UBC1" s="22"/>
      <c r="UBD1" s="22"/>
      <c r="UBE1" s="22"/>
      <c r="UBF1" s="22"/>
      <c r="UBG1" s="22"/>
      <c r="UBH1" s="22"/>
      <c r="UBI1" s="22"/>
      <c r="UBJ1" s="22"/>
      <c r="UBK1" s="22"/>
      <c r="UBL1" s="22"/>
      <c r="UBM1" s="22"/>
      <c r="UBN1" s="22"/>
      <c r="UBO1" s="22"/>
      <c r="UBP1" s="22"/>
      <c r="UBQ1" s="22"/>
      <c r="UBR1" s="22"/>
      <c r="UBS1" s="22"/>
      <c r="UBT1" s="22"/>
      <c r="UBU1" s="22"/>
      <c r="UBV1" s="22"/>
      <c r="UBW1" s="22"/>
      <c r="UBX1" s="22"/>
      <c r="UBY1" s="22"/>
      <c r="UBZ1" s="22"/>
      <c r="UCA1" s="22"/>
      <c r="UCB1" s="22"/>
      <c r="UCC1" s="22"/>
      <c r="UCD1" s="22"/>
      <c r="UCE1" s="22"/>
      <c r="UCF1" s="22"/>
      <c r="UCG1" s="22"/>
      <c r="UCH1" s="22"/>
      <c r="UCI1" s="22"/>
      <c r="UCJ1" s="22"/>
      <c r="UCK1" s="22"/>
      <c r="UCL1" s="22"/>
      <c r="UCM1" s="22"/>
      <c r="UCN1" s="22"/>
      <c r="UCO1" s="22"/>
      <c r="UCP1" s="22"/>
      <c r="UCQ1" s="22"/>
      <c r="UCR1" s="22"/>
      <c r="UCS1" s="22"/>
      <c r="UCT1" s="22"/>
      <c r="UCU1" s="22"/>
      <c r="UCV1" s="22"/>
      <c r="UCW1" s="22"/>
      <c r="UCX1" s="22"/>
      <c r="UCY1" s="22"/>
      <c r="UCZ1" s="22"/>
      <c r="UDA1" s="22"/>
      <c r="UDB1" s="22"/>
      <c r="UDC1" s="22"/>
      <c r="UDD1" s="22"/>
      <c r="UDE1" s="22"/>
      <c r="UDF1" s="22"/>
      <c r="UDG1" s="22"/>
      <c r="UDH1" s="22"/>
      <c r="UDI1" s="22"/>
      <c r="UDJ1" s="22"/>
      <c r="UDK1" s="22"/>
      <c r="UDL1" s="22"/>
      <c r="UDM1" s="22"/>
      <c r="UDN1" s="22"/>
      <c r="UDO1" s="22"/>
      <c r="UDP1" s="22"/>
      <c r="UDQ1" s="22"/>
      <c r="UDR1" s="22"/>
      <c r="UDS1" s="22"/>
      <c r="UDT1" s="22"/>
      <c r="UDU1" s="22"/>
      <c r="UDV1" s="22"/>
      <c r="UDW1" s="22"/>
      <c r="UDX1" s="22"/>
      <c r="UDY1" s="22"/>
      <c r="UDZ1" s="22"/>
      <c r="UEA1" s="22"/>
      <c r="UEB1" s="22"/>
      <c r="UEC1" s="22"/>
      <c r="UED1" s="22"/>
      <c r="UEE1" s="22"/>
      <c r="UEF1" s="22"/>
      <c r="UEG1" s="22"/>
      <c r="UEH1" s="22"/>
      <c r="UEI1" s="22"/>
      <c r="UEJ1" s="22"/>
      <c r="UEK1" s="22"/>
      <c r="UEL1" s="22"/>
      <c r="UEM1" s="22"/>
      <c r="UEN1" s="22"/>
      <c r="UEO1" s="22"/>
      <c r="UEP1" s="22"/>
      <c r="UEQ1" s="22"/>
      <c r="UER1" s="22"/>
      <c r="UES1" s="22"/>
      <c r="UET1" s="22"/>
      <c r="UEU1" s="22"/>
      <c r="UEV1" s="22"/>
      <c r="UEW1" s="22"/>
      <c r="UEX1" s="22"/>
      <c r="UEY1" s="22"/>
      <c r="UEZ1" s="22"/>
      <c r="UFA1" s="22"/>
      <c r="UFB1" s="22"/>
      <c r="UFC1" s="22"/>
      <c r="UFD1" s="22"/>
      <c r="UFE1" s="22"/>
      <c r="UFF1" s="22"/>
      <c r="UFG1" s="22"/>
      <c r="UFH1" s="22"/>
      <c r="UFI1" s="22"/>
      <c r="UFJ1" s="22"/>
      <c r="UFK1" s="22"/>
      <c r="UFL1" s="22"/>
      <c r="UFM1" s="22"/>
      <c r="UFN1" s="22"/>
      <c r="UFO1" s="22"/>
      <c r="UFP1" s="22"/>
      <c r="UFQ1" s="22"/>
      <c r="UFR1" s="22"/>
      <c r="UFS1" s="22"/>
      <c r="UFT1" s="22"/>
      <c r="UFU1" s="22"/>
      <c r="UFV1" s="22"/>
      <c r="UFW1" s="22"/>
      <c r="UFX1" s="22"/>
      <c r="UFY1" s="22"/>
      <c r="UFZ1" s="22"/>
      <c r="UGA1" s="22"/>
      <c r="UGB1" s="22"/>
      <c r="UGC1" s="22"/>
      <c r="UGD1" s="22"/>
      <c r="UGE1" s="22"/>
      <c r="UGF1" s="22"/>
      <c r="UGG1" s="22"/>
      <c r="UGH1" s="22"/>
      <c r="UGI1" s="22"/>
      <c r="UGJ1" s="22"/>
      <c r="UGK1" s="22"/>
      <c r="UGL1" s="22"/>
      <c r="UGM1" s="22"/>
      <c r="UGN1" s="22"/>
      <c r="UGO1" s="22"/>
      <c r="UGP1" s="22"/>
      <c r="UGQ1" s="22"/>
      <c r="UGR1" s="22"/>
      <c r="UGS1" s="22"/>
      <c r="UGT1" s="22"/>
      <c r="UGU1" s="22"/>
      <c r="UGV1" s="22"/>
      <c r="UGW1" s="22"/>
      <c r="UGX1" s="22"/>
      <c r="UGY1" s="22"/>
      <c r="UGZ1" s="22"/>
      <c r="UHA1" s="22"/>
      <c r="UHB1" s="22"/>
      <c r="UHC1" s="22"/>
      <c r="UHD1" s="22"/>
      <c r="UHE1" s="22"/>
      <c r="UHF1" s="22"/>
      <c r="UHG1" s="22"/>
      <c r="UHH1" s="22"/>
      <c r="UHI1" s="22"/>
      <c r="UHJ1" s="22"/>
      <c r="UHK1" s="22"/>
      <c r="UHL1" s="22"/>
      <c r="UHM1" s="22"/>
      <c r="UHN1" s="22"/>
      <c r="UHO1" s="22"/>
      <c r="UHP1" s="22"/>
      <c r="UHQ1" s="22"/>
      <c r="UHR1" s="22"/>
      <c r="UHS1" s="22"/>
      <c r="UHT1" s="22"/>
      <c r="UHU1" s="22"/>
      <c r="UHV1" s="22"/>
      <c r="UHW1" s="22"/>
      <c r="UHX1" s="22"/>
      <c r="UHY1" s="22"/>
      <c r="UHZ1" s="22"/>
      <c r="UIA1" s="22"/>
      <c r="UIB1" s="22"/>
      <c r="UIC1" s="22"/>
      <c r="UID1" s="22"/>
      <c r="UIE1" s="22"/>
      <c r="UIF1" s="22"/>
      <c r="UIG1" s="22"/>
      <c r="UIH1" s="22"/>
      <c r="UII1" s="22"/>
      <c r="UIJ1" s="22"/>
      <c r="UIK1" s="22"/>
      <c r="UIL1" s="22"/>
      <c r="UIM1" s="22"/>
      <c r="UIN1" s="22"/>
      <c r="UIO1" s="22"/>
      <c r="UIP1" s="22"/>
      <c r="UIQ1" s="22"/>
      <c r="UIR1" s="22"/>
      <c r="UIS1" s="22"/>
      <c r="UIT1" s="22"/>
      <c r="UIU1" s="22"/>
      <c r="UIV1" s="22"/>
      <c r="UIW1" s="22"/>
      <c r="UIX1" s="22"/>
      <c r="UIY1" s="22"/>
      <c r="UIZ1" s="22"/>
      <c r="UJA1" s="22"/>
      <c r="UJB1" s="22"/>
      <c r="UJC1" s="22"/>
      <c r="UJD1" s="22"/>
      <c r="UJE1" s="22"/>
      <c r="UJF1" s="22"/>
      <c r="UJG1" s="22"/>
      <c r="UJH1" s="22"/>
      <c r="UJI1" s="22"/>
      <c r="UJJ1" s="22"/>
      <c r="UJK1" s="22"/>
      <c r="UJL1" s="22"/>
      <c r="UJM1" s="22"/>
      <c r="UJN1" s="22"/>
      <c r="UJO1" s="22"/>
      <c r="UJP1" s="22"/>
      <c r="UJQ1" s="22"/>
      <c r="UJR1" s="22"/>
      <c r="UJS1" s="22"/>
      <c r="UJT1" s="22"/>
      <c r="UJU1" s="22"/>
      <c r="UJV1" s="22"/>
      <c r="UJW1" s="22"/>
      <c r="UJX1" s="22"/>
      <c r="UJY1" s="22"/>
      <c r="UJZ1" s="22"/>
      <c r="UKA1" s="22"/>
      <c r="UKB1" s="22"/>
      <c r="UKC1" s="22"/>
      <c r="UKD1" s="22"/>
      <c r="UKE1" s="22"/>
      <c r="UKF1" s="22"/>
      <c r="UKG1" s="22"/>
      <c r="UKH1" s="22"/>
      <c r="UKI1" s="22"/>
      <c r="UKJ1" s="22"/>
      <c r="UKK1" s="22"/>
      <c r="UKL1" s="22"/>
      <c r="UKM1" s="22"/>
      <c r="UKN1" s="22"/>
      <c r="UKO1" s="22"/>
      <c r="UKP1" s="22"/>
      <c r="UKQ1" s="22"/>
      <c r="UKR1" s="22"/>
      <c r="UKS1" s="22"/>
      <c r="UKT1" s="22"/>
      <c r="UKU1" s="22"/>
      <c r="UKV1" s="22"/>
      <c r="UKW1" s="22"/>
      <c r="UKX1" s="22"/>
      <c r="UKY1" s="22"/>
      <c r="UKZ1" s="22"/>
      <c r="ULA1" s="22"/>
      <c r="ULB1" s="22"/>
      <c r="ULC1" s="22"/>
      <c r="ULD1" s="22"/>
      <c r="ULE1" s="22"/>
      <c r="ULF1" s="22"/>
      <c r="ULG1" s="22"/>
      <c r="ULH1" s="22"/>
      <c r="ULI1" s="22"/>
      <c r="ULJ1" s="22"/>
      <c r="ULK1" s="22"/>
      <c r="ULL1" s="22"/>
      <c r="ULM1" s="22"/>
      <c r="ULN1" s="22"/>
      <c r="ULO1" s="22"/>
      <c r="ULP1" s="22"/>
      <c r="ULQ1" s="22"/>
      <c r="ULR1" s="22"/>
      <c r="ULS1" s="22"/>
      <c r="ULT1" s="22"/>
      <c r="ULU1" s="22"/>
      <c r="ULV1" s="22"/>
      <c r="ULW1" s="22"/>
      <c r="ULX1" s="22"/>
      <c r="ULY1" s="22"/>
      <c r="ULZ1" s="22"/>
      <c r="UMA1" s="22"/>
      <c r="UMB1" s="22"/>
      <c r="UMC1" s="22"/>
      <c r="UMD1" s="22"/>
      <c r="UME1" s="22"/>
      <c r="UMF1" s="22"/>
      <c r="UMG1" s="22"/>
      <c r="UMH1" s="22"/>
      <c r="UMI1" s="22"/>
      <c r="UMJ1" s="22"/>
      <c r="UMK1" s="22"/>
      <c r="UML1" s="22"/>
      <c r="UMM1" s="22"/>
      <c r="UMN1" s="22"/>
      <c r="UMO1" s="22"/>
      <c r="UMP1" s="22"/>
      <c r="UMQ1" s="22"/>
      <c r="UMR1" s="22"/>
      <c r="UMS1" s="22"/>
      <c r="UMT1" s="22"/>
      <c r="UMU1" s="22"/>
      <c r="UMV1" s="22"/>
      <c r="UMW1" s="22"/>
      <c r="UMX1" s="22"/>
      <c r="UMY1" s="22"/>
      <c r="UMZ1" s="22"/>
      <c r="UNA1" s="22"/>
      <c r="UNB1" s="22"/>
      <c r="UNC1" s="22"/>
      <c r="UND1" s="22"/>
      <c r="UNE1" s="22"/>
      <c r="UNF1" s="22"/>
      <c r="UNG1" s="22"/>
      <c r="UNH1" s="22"/>
      <c r="UNI1" s="22"/>
      <c r="UNJ1" s="22"/>
      <c r="UNK1" s="22"/>
      <c r="UNL1" s="22"/>
      <c r="UNM1" s="22"/>
      <c r="UNN1" s="22"/>
      <c r="UNO1" s="22"/>
      <c r="UNP1" s="22"/>
      <c r="UNQ1" s="22"/>
      <c r="UNR1" s="22"/>
      <c r="UNS1" s="22"/>
      <c r="UNT1" s="22"/>
      <c r="UNU1" s="22"/>
      <c r="UNV1" s="22"/>
      <c r="UNW1" s="22"/>
      <c r="UNX1" s="22"/>
      <c r="UNY1" s="22"/>
      <c r="UNZ1" s="22"/>
      <c r="UOA1" s="22"/>
      <c r="UOB1" s="22"/>
      <c r="UOC1" s="22"/>
      <c r="UOD1" s="22"/>
      <c r="UOE1" s="22"/>
      <c r="UOF1" s="22"/>
      <c r="UOG1" s="22"/>
      <c r="UOH1" s="22"/>
      <c r="UOI1" s="22"/>
      <c r="UOJ1" s="22"/>
      <c r="UOK1" s="22"/>
      <c r="UOL1" s="22"/>
      <c r="UOM1" s="22"/>
      <c r="UON1" s="22"/>
      <c r="UOO1" s="22"/>
      <c r="UOP1" s="22"/>
      <c r="UOQ1" s="22"/>
      <c r="UOR1" s="22"/>
      <c r="UOS1" s="22"/>
      <c r="UOT1" s="22"/>
      <c r="UOU1" s="22"/>
      <c r="UOV1" s="22"/>
      <c r="UOW1" s="22"/>
      <c r="UOX1" s="22"/>
      <c r="UOY1" s="22"/>
      <c r="UOZ1" s="22"/>
      <c r="UPA1" s="22"/>
      <c r="UPB1" s="22"/>
      <c r="UPC1" s="22"/>
      <c r="UPD1" s="22"/>
      <c r="UPE1" s="22"/>
      <c r="UPF1" s="22"/>
      <c r="UPG1" s="22"/>
      <c r="UPH1" s="22"/>
      <c r="UPI1" s="22"/>
      <c r="UPJ1" s="22"/>
      <c r="UPK1" s="22"/>
      <c r="UPL1" s="22"/>
      <c r="UPM1" s="22"/>
      <c r="UPN1" s="22"/>
      <c r="UPO1" s="22"/>
      <c r="UPP1" s="22"/>
      <c r="UPQ1" s="22"/>
      <c r="UPR1" s="22"/>
      <c r="UPS1" s="22"/>
      <c r="UPT1" s="22"/>
      <c r="UPU1" s="22"/>
      <c r="UPV1" s="22"/>
      <c r="UPW1" s="22"/>
      <c r="UPX1" s="22"/>
      <c r="UPY1" s="22"/>
      <c r="UPZ1" s="22"/>
      <c r="UQA1" s="22"/>
      <c r="UQB1" s="22"/>
      <c r="UQC1" s="22"/>
      <c r="UQD1" s="22"/>
      <c r="UQE1" s="22"/>
      <c r="UQF1" s="22"/>
      <c r="UQG1" s="22"/>
      <c r="UQH1" s="22"/>
      <c r="UQI1" s="22"/>
      <c r="UQJ1" s="22"/>
      <c r="UQK1" s="22"/>
      <c r="UQL1" s="22"/>
      <c r="UQM1" s="22"/>
      <c r="UQN1" s="22"/>
      <c r="UQO1" s="22"/>
      <c r="UQP1" s="22"/>
      <c r="UQQ1" s="22"/>
      <c r="UQR1" s="22"/>
      <c r="UQS1" s="22"/>
      <c r="UQT1" s="22"/>
      <c r="UQU1" s="22"/>
      <c r="UQV1" s="22"/>
      <c r="UQW1" s="22"/>
      <c r="UQX1" s="22"/>
      <c r="UQY1" s="22"/>
      <c r="UQZ1" s="22"/>
      <c r="URA1" s="22"/>
      <c r="URB1" s="22"/>
      <c r="URC1" s="22"/>
      <c r="URD1" s="22"/>
      <c r="URE1" s="22"/>
      <c r="URF1" s="22"/>
      <c r="URG1" s="22"/>
      <c r="URH1" s="22"/>
      <c r="URI1" s="22"/>
      <c r="URJ1" s="22"/>
      <c r="URK1" s="22"/>
      <c r="URL1" s="22"/>
      <c r="URM1" s="22"/>
      <c r="URN1" s="22"/>
      <c r="URO1" s="22"/>
      <c r="URP1" s="22"/>
      <c r="URQ1" s="22"/>
      <c r="URR1" s="22"/>
      <c r="URS1" s="22"/>
      <c r="URT1" s="22"/>
      <c r="URU1" s="22"/>
      <c r="URV1" s="22"/>
      <c r="URW1" s="22"/>
      <c r="URX1" s="22"/>
      <c r="URY1" s="22"/>
      <c r="URZ1" s="22"/>
      <c r="USA1" s="22"/>
      <c r="USB1" s="22"/>
      <c r="USC1" s="22"/>
      <c r="USD1" s="22"/>
      <c r="USE1" s="22"/>
      <c r="USF1" s="22"/>
      <c r="USG1" s="22"/>
      <c r="USH1" s="22"/>
      <c r="USI1" s="22"/>
      <c r="USJ1" s="22"/>
      <c r="USK1" s="22"/>
      <c r="USL1" s="22"/>
      <c r="USM1" s="22"/>
      <c r="USN1" s="22"/>
      <c r="USO1" s="22"/>
      <c r="USP1" s="22"/>
      <c r="USQ1" s="22"/>
      <c r="USR1" s="22"/>
      <c r="USS1" s="22"/>
      <c r="UST1" s="22"/>
      <c r="USU1" s="22"/>
      <c r="USV1" s="22"/>
      <c r="USW1" s="22"/>
      <c r="USX1" s="22"/>
      <c r="USY1" s="22"/>
      <c r="USZ1" s="22"/>
      <c r="UTA1" s="22"/>
      <c r="UTB1" s="22"/>
      <c r="UTC1" s="22"/>
      <c r="UTD1" s="22"/>
      <c r="UTE1" s="22"/>
      <c r="UTF1" s="22"/>
      <c r="UTG1" s="22"/>
      <c r="UTH1" s="22"/>
      <c r="UTI1" s="22"/>
      <c r="UTJ1" s="22"/>
      <c r="UTK1" s="22"/>
      <c r="UTL1" s="22"/>
      <c r="UTM1" s="22"/>
      <c r="UTN1" s="22"/>
      <c r="UTO1" s="22"/>
      <c r="UTP1" s="22"/>
      <c r="UTQ1" s="22"/>
      <c r="UTR1" s="22"/>
      <c r="UTS1" s="22"/>
      <c r="UTT1" s="22"/>
      <c r="UTU1" s="22"/>
      <c r="UTV1" s="22"/>
      <c r="UTW1" s="22"/>
      <c r="UTX1" s="22"/>
      <c r="UTY1" s="22"/>
      <c r="UTZ1" s="22"/>
      <c r="UUA1" s="22"/>
      <c r="UUB1" s="22"/>
      <c r="UUC1" s="22"/>
      <c r="UUD1" s="22"/>
      <c r="UUE1" s="22"/>
      <c r="UUF1" s="22"/>
      <c r="UUG1" s="22"/>
      <c r="UUH1" s="22"/>
      <c r="UUI1" s="22"/>
      <c r="UUJ1" s="22"/>
      <c r="UUK1" s="22"/>
      <c r="UUL1" s="22"/>
      <c r="UUM1" s="22"/>
      <c r="UUN1" s="22"/>
      <c r="UUO1" s="22"/>
      <c r="UUP1" s="22"/>
      <c r="UUQ1" s="22"/>
      <c r="UUR1" s="22"/>
      <c r="UUS1" s="22"/>
      <c r="UUT1" s="22"/>
      <c r="UUU1" s="22"/>
      <c r="UUV1" s="22"/>
      <c r="UUW1" s="22"/>
      <c r="UUX1" s="22"/>
      <c r="UUY1" s="22"/>
      <c r="UUZ1" s="22"/>
      <c r="UVA1" s="22"/>
      <c r="UVB1" s="22"/>
      <c r="UVC1" s="22"/>
      <c r="UVD1" s="22"/>
      <c r="UVE1" s="22"/>
      <c r="UVF1" s="22"/>
      <c r="UVG1" s="22"/>
      <c r="UVH1" s="22"/>
      <c r="UVI1" s="22"/>
      <c r="UVJ1" s="22"/>
      <c r="UVK1" s="22"/>
      <c r="UVL1" s="22"/>
      <c r="UVM1" s="22"/>
      <c r="UVN1" s="22"/>
      <c r="UVO1" s="22"/>
      <c r="UVP1" s="22"/>
      <c r="UVQ1" s="22"/>
      <c r="UVR1" s="22"/>
      <c r="UVS1" s="22"/>
      <c r="UVT1" s="22"/>
      <c r="UVU1" s="22"/>
      <c r="UVV1" s="22"/>
      <c r="UVW1" s="22"/>
      <c r="UVX1" s="22"/>
      <c r="UVY1" s="22"/>
      <c r="UVZ1" s="22"/>
      <c r="UWA1" s="22"/>
      <c r="UWB1" s="22"/>
      <c r="UWC1" s="22"/>
      <c r="UWD1" s="22"/>
      <c r="UWE1" s="22"/>
      <c r="UWF1" s="22"/>
      <c r="UWG1" s="22"/>
      <c r="UWH1" s="22"/>
      <c r="UWI1" s="22"/>
      <c r="UWJ1" s="22"/>
      <c r="UWK1" s="22"/>
      <c r="UWL1" s="22"/>
      <c r="UWM1" s="22"/>
      <c r="UWN1" s="22"/>
      <c r="UWO1" s="22"/>
      <c r="UWP1" s="22"/>
      <c r="UWQ1" s="22"/>
      <c r="UWR1" s="22"/>
      <c r="UWS1" s="22"/>
      <c r="UWT1" s="22"/>
      <c r="UWU1" s="22"/>
      <c r="UWV1" s="22"/>
      <c r="UWW1" s="22"/>
      <c r="UWX1" s="22"/>
      <c r="UWY1" s="22"/>
      <c r="UWZ1" s="22"/>
      <c r="UXA1" s="22"/>
      <c r="UXB1" s="22"/>
      <c r="UXC1" s="22"/>
      <c r="UXD1" s="22"/>
      <c r="UXE1" s="22"/>
      <c r="UXF1" s="22"/>
      <c r="UXG1" s="22"/>
      <c r="UXH1" s="22"/>
      <c r="UXI1" s="22"/>
      <c r="UXJ1" s="22"/>
      <c r="UXK1" s="22"/>
      <c r="UXL1" s="22"/>
      <c r="UXM1" s="22"/>
      <c r="UXN1" s="22"/>
      <c r="UXO1" s="22"/>
      <c r="UXP1" s="22"/>
      <c r="UXQ1" s="22"/>
      <c r="UXR1" s="22"/>
      <c r="UXS1" s="22"/>
      <c r="UXT1" s="22"/>
      <c r="UXU1" s="22"/>
      <c r="UXV1" s="22"/>
      <c r="UXW1" s="22"/>
      <c r="UXX1" s="22"/>
      <c r="UXY1" s="22"/>
      <c r="UXZ1" s="22"/>
      <c r="UYA1" s="22"/>
      <c r="UYB1" s="22"/>
      <c r="UYC1" s="22"/>
      <c r="UYD1" s="22"/>
      <c r="UYE1" s="22"/>
      <c r="UYF1" s="22"/>
      <c r="UYG1" s="22"/>
      <c r="UYH1" s="22"/>
      <c r="UYI1" s="22"/>
      <c r="UYJ1" s="22"/>
      <c r="UYK1" s="22"/>
      <c r="UYL1" s="22"/>
      <c r="UYM1" s="22"/>
      <c r="UYN1" s="22"/>
      <c r="UYO1" s="22"/>
      <c r="UYP1" s="22"/>
      <c r="UYQ1" s="22"/>
      <c r="UYR1" s="22"/>
      <c r="UYS1" s="22"/>
      <c r="UYT1" s="22"/>
      <c r="UYU1" s="22"/>
      <c r="UYV1" s="22"/>
      <c r="UYW1" s="22"/>
      <c r="UYX1" s="22"/>
      <c r="UYY1" s="22"/>
      <c r="UYZ1" s="22"/>
      <c r="UZA1" s="22"/>
      <c r="UZB1" s="22"/>
      <c r="UZC1" s="22"/>
      <c r="UZD1" s="22"/>
      <c r="UZE1" s="22"/>
      <c r="UZF1" s="22"/>
      <c r="UZG1" s="22"/>
      <c r="UZH1" s="22"/>
      <c r="UZI1" s="22"/>
      <c r="UZJ1" s="22"/>
      <c r="UZK1" s="22"/>
      <c r="UZL1" s="22"/>
      <c r="UZM1" s="22"/>
      <c r="UZN1" s="22"/>
      <c r="UZO1" s="22"/>
      <c r="UZP1" s="22"/>
      <c r="UZQ1" s="22"/>
      <c r="UZR1" s="22"/>
      <c r="UZS1" s="22"/>
      <c r="UZT1" s="22"/>
      <c r="UZU1" s="22"/>
      <c r="UZV1" s="22"/>
      <c r="UZW1" s="22"/>
      <c r="UZX1" s="22"/>
      <c r="UZY1" s="22"/>
      <c r="UZZ1" s="22"/>
      <c r="VAA1" s="22"/>
      <c r="VAB1" s="22"/>
      <c r="VAC1" s="22"/>
      <c r="VAD1" s="22"/>
      <c r="VAE1" s="22"/>
      <c r="VAF1" s="22"/>
      <c r="VAG1" s="22"/>
      <c r="VAH1" s="22"/>
      <c r="VAI1" s="22"/>
      <c r="VAJ1" s="22"/>
      <c r="VAK1" s="22"/>
      <c r="VAL1" s="22"/>
      <c r="VAM1" s="22"/>
      <c r="VAN1" s="22"/>
      <c r="VAO1" s="22"/>
      <c r="VAP1" s="22"/>
      <c r="VAQ1" s="22"/>
      <c r="VAR1" s="22"/>
      <c r="VAS1" s="22"/>
      <c r="VAT1" s="22"/>
      <c r="VAU1" s="22"/>
      <c r="VAV1" s="22"/>
      <c r="VAW1" s="22"/>
      <c r="VAX1" s="22"/>
      <c r="VAY1" s="22"/>
      <c r="VAZ1" s="22"/>
      <c r="VBA1" s="22"/>
      <c r="VBB1" s="22"/>
      <c r="VBC1" s="22"/>
      <c r="VBD1" s="22"/>
      <c r="VBE1" s="22"/>
      <c r="VBF1" s="22"/>
      <c r="VBG1" s="22"/>
      <c r="VBH1" s="22"/>
      <c r="VBI1" s="22"/>
      <c r="VBJ1" s="22"/>
      <c r="VBK1" s="22"/>
      <c r="VBL1" s="22"/>
      <c r="VBM1" s="22"/>
      <c r="VBN1" s="22"/>
      <c r="VBO1" s="22"/>
      <c r="VBP1" s="22"/>
      <c r="VBQ1" s="22"/>
      <c r="VBR1" s="22"/>
      <c r="VBS1" s="22"/>
      <c r="VBT1" s="22"/>
      <c r="VBU1" s="22"/>
      <c r="VBV1" s="22"/>
      <c r="VBW1" s="22"/>
      <c r="VBX1" s="22"/>
      <c r="VBY1" s="22"/>
      <c r="VBZ1" s="22"/>
      <c r="VCA1" s="22"/>
      <c r="VCB1" s="22"/>
      <c r="VCC1" s="22"/>
      <c r="VCD1" s="22"/>
      <c r="VCE1" s="22"/>
      <c r="VCF1" s="22"/>
      <c r="VCG1" s="22"/>
      <c r="VCH1" s="22"/>
      <c r="VCI1" s="22"/>
      <c r="VCJ1" s="22"/>
      <c r="VCK1" s="22"/>
      <c r="VCL1" s="22"/>
      <c r="VCM1" s="22"/>
      <c r="VCN1" s="22"/>
      <c r="VCO1" s="22"/>
      <c r="VCP1" s="22"/>
      <c r="VCQ1" s="22"/>
      <c r="VCR1" s="22"/>
      <c r="VCS1" s="22"/>
      <c r="VCT1" s="22"/>
      <c r="VCU1" s="22"/>
      <c r="VCV1" s="22"/>
      <c r="VCW1" s="22"/>
      <c r="VCX1" s="22"/>
      <c r="VCY1" s="22"/>
      <c r="VCZ1" s="22"/>
      <c r="VDA1" s="22"/>
      <c r="VDB1" s="22"/>
      <c r="VDC1" s="22"/>
      <c r="VDD1" s="22"/>
      <c r="VDE1" s="22"/>
      <c r="VDF1" s="22"/>
      <c r="VDG1" s="22"/>
      <c r="VDH1" s="22"/>
      <c r="VDI1" s="22"/>
      <c r="VDJ1" s="22"/>
      <c r="VDK1" s="22"/>
      <c r="VDL1" s="22"/>
      <c r="VDM1" s="22"/>
      <c r="VDN1" s="22"/>
      <c r="VDO1" s="22"/>
      <c r="VDP1" s="22"/>
      <c r="VDQ1" s="22"/>
      <c r="VDR1" s="22"/>
      <c r="VDS1" s="22"/>
      <c r="VDT1" s="22"/>
      <c r="VDU1" s="22"/>
      <c r="VDV1" s="22"/>
      <c r="VDW1" s="22"/>
      <c r="VDX1" s="22"/>
      <c r="VDY1" s="22"/>
      <c r="VDZ1" s="22"/>
      <c r="VEA1" s="22"/>
      <c r="VEB1" s="22"/>
      <c r="VEC1" s="22"/>
      <c r="VED1" s="22"/>
      <c r="VEE1" s="22"/>
      <c r="VEF1" s="22"/>
      <c r="VEG1" s="22"/>
      <c r="VEH1" s="22"/>
      <c r="VEI1" s="22"/>
      <c r="VEJ1" s="22"/>
      <c r="VEK1" s="22"/>
      <c r="VEL1" s="22"/>
      <c r="VEM1" s="22"/>
      <c r="VEN1" s="22"/>
      <c r="VEO1" s="22"/>
      <c r="VEP1" s="22"/>
      <c r="VEQ1" s="22"/>
      <c r="VER1" s="22"/>
      <c r="VES1" s="22"/>
      <c r="VET1" s="22"/>
      <c r="VEU1" s="22"/>
      <c r="VEV1" s="22"/>
      <c r="VEW1" s="22"/>
      <c r="VEX1" s="22"/>
      <c r="VEY1" s="22"/>
      <c r="VEZ1" s="22"/>
      <c r="VFA1" s="22"/>
      <c r="VFB1" s="22"/>
      <c r="VFC1" s="22"/>
      <c r="VFD1" s="22"/>
      <c r="VFE1" s="22"/>
      <c r="VFF1" s="22"/>
      <c r="VFG1" s="22"/>
      <c r="VFH1" s="22"/>
      <c r="VFI1" s="22"/>
      <c r="VFJ1" s="22"/>
      <c r="VFK1" s="22"/>
      <c r="VFL1" s="22"/>
      <c r="VFM1" s="22"/>
      <c r="VFN1" s="22"/>
      <c r="VFO1" s="22"/>
      <c r="VFP1" s="22"/>
      <c r="VFQ1" s="22"/>
      <c r="VFR1" s="22"/>
      <c r="VFS1" s="22"/>
      <c r="VFT1" s="22"/>
      <c r="VFU1" s="22"/>
      <c r="VFV1" s="22"/>
      <c r="VFW1" s="22"/>
      <c r="VFX1" s="22"/>
      <c r="VFY1" s="22"/>
      <c r="VFZ1" s="22"/>
      <c r="VGA1" s="22"/>
      <c r="VGB1" s="22"/>
      <c r="VGC1" s="22"/>
      <c r="VGD1" s="22"/>
      <c r="VGE1" s="22"/>
      <c r="VGF1" s="22"/>
      <c r="VGG1" s="22"/>
      <c r="VGH1" s="22"/>
      <c r="VGI1" s="22"/>
      <c r="VGJ1" s="22"/>
      <c r="VGK1" s="22"/>
      <c r="VGL1" s="22"/>
      <c r="VGM1" s="22"/>
      <c r="VGN1" s="22"/>
      <c r="VGO1" s="22"/>
      <c r="VGP1" s="22"/>
      <c r="VGQ1" s="22"/>
      <c r="VGR1" s="22"/>
      <c r="VGS1" s="22"/>
      <c r="VGT1" s="22"/>
      <c r="VGU1" s="22"/>
      <c r="VGV1" s="22"/>
      <c r="VGW1" s="22"/>
      <c r="VGX1" s="22"/>
      <c r="VGY1" s="22"/>
      <c r="VGZ1" s="22"/>
      <c r="VHA1" s="22"/>
      <c r="VHB1" s="22"/>
      <c r="VHC1" s="22"/>
      <c r="VHD1" s="22"/>
      <c r="VHE1" s="22"/>
      <c r="VHF1" s="22"/>
      <c r="VHG1" s="22"/>
      <c r="VHH1" s="22"/>
      <c r="VHI1" s="22"/>
      <c r="VHJ1" s="22"/>
      <c r="VHK1" s="22"/>
      <c r="VHL1" s="22"/>
      <c r="VHM1" s="22"/>
      <c r="VHN1" s="22"/>
      <c r="VHO1" s="22"/>
      <c r="VHP1" s="22"/>
      <c r="VHQ1" s="22"/>
      <c r="VHR1" s="22"/>
      <c r="VHS1" s="22"/>
      <c r="VHT1" s="22"/>
      <c r="VHU1" s="22"/>
      <c r="VHV1" s="22"/>
      <c r="VHW1" s="22"/>
      <c r="VHX1" s="22"/>
      <c r="VHY1" s="22"/>
      <c r="VHZ1" s="22"/>
      <c r="VIA1" s="22"/>
      <c r="VIB1" s="22"/>
      <c r="VIC1" s="22"/>
      <c r="VID1" s="22"/>
      <c r="VIE1" s="22"/>
      <c r="VIF1" s="22"/>
      <c r="VIG1" s="22"/>
      <c r="VIH1" s="22"/>
      <c r="VII1" s="22"/>
      <c r="VIJ1" s="22"/>
      <c r="VIK1" s="22"/>
      <c r="VIL1" s="22"/>
      <c r="VIM1" s="22"/>
      <c r="VIN1" s="22"/>
      <c r="VIO1" s="22"/>
      <c r="VIP1" s="22"/>
      <c r="VIQ1" s="22"/>
      <c r="VIR1" s="22"/>
      <c r="VIS1" s="22"/>
      <c r="VIT1" s="22"/>
      <c r="VIU1" s="22"/>
      <c r="VIV1" s="22"/>
      <c r="VIW1" s="22"/>
      <c r="VIX1" s="22"/>
      <c r="VIY1" s="22"/>
      <c r="VIZ1" s="22"/>
      <c r="VJA1" s="22"/>
      <c r="VJB1" s="22"/>
      <c r="VJC1" s="22"/>
      <c r="VJD1" s="22"/>
      <c r="VJE1" s="22"/>
      <c r="VJF1" s="22"/>
      <c r="VJG1" s="22"/>
      <c r="VJH1" s="22"/>
      <c r="VJI1" s="22"/>
      <c r="VJJ1" s="22"/>
      <c r="VJK1" s="22"/>
      <c r="VJL1" s="22"/>
      <c r="VJM1" s="22"/>
      <c r="VJN1" s="22"/>
      <c r="VJO1" s="22"/>
      <c r="VJP1" s="22"/>
      <c r="VJQ1" s="22"/>
      <c r="VJR1" s="22"/>
      <c r="VJS1" s="22"/>
      <c r="VJT1" s="22"/>
      <c r="VJU1" s="22"/>
      <c r="VJV1" s="22"/>
      <c r="VJW1" s="22"/>
      <c r="VJX1" s="22"/>
      <c r="VJY1" s="22"/>
      <c r="VJZ1" s="22"/>
      <c r="VKA1" s="22"/>
      <c r="VKB1" s="22"/>
      <c r="VKC1" s="22"/>
      <c r="VKD1" s="22"/>
      <c r="VKE1" s="22"/>
      <c r="VKF1" s="22"/>
      <c r="VKG1" s="22"/>
      <c r="VKH1" s="22"/>
      <c r="VKI1" s="22"/>
      <c r="VKJ1" s="22"/>
      <c r="VKK1" s="22"/>
      <c r="VKL1" s="22"/>
      <c r="VKM1" s="22"/>
      <c r="VKN1" s="22"/>
      <c r="VKO1" s="22"/>
      <c r="VKP1" s="22"/>
      <c r="VKQ1" s="22"/>
      <c r="VKR1" s="22"/>
      <c r="VKS1" s="22"/>
      <c r="VKT1" s="22"/>
      <c r="VKU1" s="22"/>
      <c r="VKV1" s="22"/>
      <c r="VKW1" s="22"/>
      <c r="VKX1" s="22"/>
      <c r="VKY1" s="22"/>
      <c r="VKZ1" s="22"/>
      <c r="VLA1" s="22"/>
      <c r="VLB1" s="22"/>
      <c r="VLC1" s="22"/>
      <c r="VLD1" s="22"/>
      <c r="VLE1" s="22"/>
      <c r="VLF1" s="22"/>
      <c r="VLG1" s="22"/>
      <c r="VLH1" s="22"/>
      <c r="VLI1" s="22"/>
      <c r="VLJ1" s="22"/>
      <c r="VLK1" s="22"/>
      <c r="VLL1" s="22"/>
      <c r="VLM1" s="22"/>
      <c r="VLN1" s="22"/>
      <c r="VLO1" s="22"/>
      <c r="VLP1" s="22"/>
      <c r="VLQ1" s="22"/>
      <c r="VLR1" s="22"/>
      <c r="VLS1" s="22"/>
      <c r="VLT1" s="22"/>
      <c r="VLU1" s="22"/>
      <c r="VLV1" s="22"/>
      <c r="VLW1" s="22"/>
      <c r="VLX1" s="22"/>
      <c r="VLY1" s="22"/>
      <c r="VLZ1" s="22"/>
      <c r="VMA1" s="22"/>
      <c r="VMB1" s="22"/>
      <c r="VMC1" s="22"/>
      <c r="VMD1" s="22"/>
      <c r="VME1" s="22"/>
      <c r="VMF1" s="22"/>
      <c r="VMG1" s="22"/>
      <c r="VMH1" s="22"/>
      <c r="VMI1" s="22"/>
      <c r="VMJ1" s="22"/>
      <c r="VMK1" s="22"/>
      <c r="VML1" s="22"/>
      <c r="VMM1" s="22"/>
      <c r="VMN1" s="22"/>
      <c r="VMO1" s="22"/>
      <c r="VMP1" s="22"/>
      <c r="VMQ1" s="22"/>
      <c r="VMR1" s="22"/>
      <c r="VMS1" s="22"/>
      <c r="VMT1" s="22"/>
      <c r="VMU1" s="22"/>
      <c r="VMV1" s="22"/>
      <c r="VMW1" s="22"/>
      <c r="VMX1" s="22"/>
      <c r="VMY1" s="22"/>
      <c r="VMZ1" s="22"/>
      <c r="VNA1" s="22"/>
      <c r="VNB1" s="22"/>
      <c r="VNC1" s="22"/>
      <c r="VND1" s="22"/>
      <c r="VNE1" s="22"/>
      <c r="VNF1" s="22"/>
      <c r="VNG1" s="22"/>
      <c r="VNH1" s="22"/>
      <c r="VNI1" s="22"/>
      <c r="VNJ1" s="22"/>
      <c r="VNK1" s="22"/>
      <c r="VNL1" s="22"/>
      <c r="VNM1" s="22"/>
      <c r="VNN1" s="22"/>
      <c r="VNO1" s="22"/>
      <c r="VNP1" s="22"/>
      <c r="VNQ1" s="22"/>
      <c r="VNR1" s="22"/>
      <c r="VNS1" s="22"/>
      <c r="VNT1" s="22"/>
      <c r="VNU1" s="22"/>
      <c r="VNV1" s="22"/>
      <c r="VNW1" s="22"/>
      <c r="VNX1" s="22"/>
      <c r="VNY1" s="22"/>
      <c r="VNZ1" s="22"/>
      <c r="VOA1" s="22"/>
      <c r="VOB1" s="22"/>
      <c r="VOC1" s="22"/>
      <c r="VOD1" s="22"/>
      <c r="VOE1" s="22"/>
      <c r="VOF1" s="22"/>
      <c r="VOG1" s="22"/>
      <c r="VOH1" s="22"/>
      <c r="VOI1" s="22"/>
      <c r="VOJ1" s="22"/>
      <c r="VOK1" s="22"/>
      <c r="VOL1" s="22"/>
      <c r="VOM1" s="22"/>
      <c r="VON1" s="22"/>
      <c r="VOO1" s="22"/>
      <c r="VOP1" s="22"/>
      <c r="VOQ1" s="22"/>
      <c r="VOR1" s="22"/>
      <c r="VOS1" s="22"/>
      <c r="VOT1" s="22"/>
      <c r="VOU1" s="22"/>
      <c r="VOV1" s="22"/>
      <c r="VOW1" s="22"/>
      <c r="VOX1" s="22"/>
      <c r="VOY1" s="22"/>
      <c r="VOZ1" s="22"/>
      <c r="VPA1" s="22"/>
      <c r="VPB1" s="22"/>
      <c r="VPC1" s="22"/>
      <c r="VPD1" s="22"/>
      <c r="VPE1" s="22"/>
      <c r="VPF1" s="22"/>
      <c r="VPG1" s="22"/>
      <c r="VPH1" s="22"/>
      <c r="VPI1" s="22"/>
      <c r="VPJ1" s="22"/>
      <c r="VPK1" s="22"/>
      <c r="VPL1" s="22"/>
      <c r="VPM1" s="22"/>
      <c r="VPN1" s="22"/>
      <c r="VPO1" s="22"/>
      <c r="VPP1" s="22"/>
      <c r="VPQ1" s="22"/>
      <c r="VPR1" s="22"/>
      <c r="VPS1" s="22"/>
      <c r="VPT1" s="22"/>
      <c r="VPU1" s="22"/>
      <c r="VPV1" s="22"/>
      <c r="VPW1" s="22"/>
      <c r="VPX1" s="22"/>
      <c r="VPY1" s="22"/>
      <c r="VPZ1" s="22"/>
      <c r="VQA1" s="22"/>
      <c r="VQB1" s="22"/>
      <c r="VQC1" s="22"/>
      <c r="VQD1" s="22"/>
      <c r="VQE1" s="22"/>
      <c r="VQF1" s="22"/>
      <c r="VQG1" s="22"/>
      <c r="VQH1" s="22"/>
      <c r="VQI1" s="22"/>
      <c r="VQJ1" s="22"/>
      <c r="VQK1" s="22"/>
      <c r="VQL1" s="22"/>
      <c r="VQM1" s="22"/>
      <c r="VQN1" s="22"/>
      <c r="VQO1" s="22"/>
      <c r="VQP1" s="22"/>
      <c r="VQQ1" s="22"/>
      <c r="VQR1" s="22"/>
      <c r="VQS1" s="22"/>
      <c r="VQT1" s="22"/>
      <c r="VQU1" s="22"/>
      <c r="VQV1" s="22"/>
      <c r="VQW1" s="22"/>
      <c r="VQX1" s="22"/>
      <c r="VQY1" s="22"/>
      <c r="VQZ1" s="22"/>
      <c r="VRA1" s="22"/>
      <c r="VRB1" s="22"/>
      <c r="VRC1" s="22"/>
      <c r="VRD1" s="22"/>
      <c r="VRE1" s="22"/>
      <c r="VRF1" s="22"/>
      <c r="VRG1" s="22"/>
      <c r="VRH1" s="22"/>
      <c r="VRI1" s="22"/>
      <c r="VRJ1" s="22"/>
      <c r="VRK1" s="22"/>
      <c r="VRL1" s="22"/>
      <c r="VRM1" s="22"/>
      <c r="VRN1" s="22"/>
      <c r="VRO1" s="22"/>
      <c r="VRP1" s="22"/>
      <c r="VRQ1" s="22"/>
      <c r="VRR1" s="22"/>
      <c r="VRS1" s="22"/>
      <c r="VRT1" s="22"/>
      <c r="VRU1" s="22"/>
      <c r="VRV1" s="22"/>
      <c r="VRW1" s="22"/>
      <c r="VRX1" s="22"/>
      <c r="VRY1" s="22"/>
      <c r="VRZ1" s="22"/>
      <c r="VSA1" s="22"/>
      <c r="VSB1" s="22"/>
      <c r="VSC1" s="22"/>
      <c r="VSD1" s="22"/>
      <c r="VSE1" s="22"/>
      <c r="VSF1" s="22"/>
      <c r="VSG1" s="22"/>
      <c r="VSH1" s="22"/>
      <c r="VSI1" s="22"/>
      <c r="VSJ1" s="22"/>
      <c r="VSK1" s="22"/>
      <c r="VSL1" s="22"/>
      <c r="VSM1" s="22"/>
      <c r="VSN1" s="22"/>
      <c r="VSO1" s="22"/>
      <c r="VSP1" s="22"/>
      <c r="VSQ1" s="22"/>
      <c r="VSR1" s="22"/>
      <c r="VSS1" s="22"/>
      <c r="VST1" s="22"/>
      <c r="VSU1" s="22"/>
      <c r="VSV1" s="22"/>
      <c r="VSW1" s="22"/>
      <c r="VSX1" s="22"/>
      <c r="VSY1" s="22"/>
      <c r="VSZ1" s="22"/>
      <c r="VTA1" s="22"/>
      <c r="VTB1" s="22"/>
      <c r="VTC1" s="22"/>
      <c r="VTD1" s="22"/>
      <c r="VTE1" s="22"/>
      <c r="VTF1" s="22"/>
      <c r="VTG1" s="22"/>
      <c r="VTH1" s="22"/>
      <c r="VTI1" s="22"/>
      <c r="VTJ1" s="22"/>
      <c r="VTK1" s="22"/>
      <c r="VTL1" s="22"/>
      <c r="VTM1" s="22"/>
      <c r="VTN1" s="22"/>
      <c r="VTO1" s="22"/>
      <c r="VTP1" s="22"/>
      <c r="VTQ1" s="22"/>
      <c r="VTR1" s="22"/>
      <c r="VTS1" s="22"/>
      <c r="VTT1" s="22"/>
      <c r="VTU1" s="22"/>
      <c r="VTV1" s="22"/>
      <c r="VTW1" s="22"/>
      <c r="VTX1" s="22"/>
      <c r="VTY1" s="22"/>
      <c r="VTZ1" s="22"/>
      <c r="VUA1" s="22"/>
      <c r="VUB1" s="22"/>
      <c r="VUC1" s="22"/>
      <c r="VUD1" s="22"/>
      <c r="VUE1" s="22"/>
      <c r="VUF1" s="22"/>
      <c r="VUG1" s="22"/>
      <c r="VUH1" s="22"/>
      <c r="VUI1" s="22"/>
      <c r="VUJ1" s="22"/>
      <c r="VUK1" s="22"/>
      <c r="VUL1" s="22"/>
      <c r="VUM1" s="22"/>
      <c r="VUN1" s="22"/>
      <c r="VUO1" s="22"/>
      <c r="VUP1" s="22"/>
      <c r="VUQ1" s="22"/>
      <c r="VUR1" s="22"/>
      <c r="VUS1" s="22"/>
      <c r="VUT1" s="22"/>
      <c r="VUU1" s="22"/>
      <c r="VUV1" s="22"/>
      <c r="VUW1" s="22"/>
      <c r="VUX1" s="22"/>
      <c r="VUY1" s="22"/>
      <c r="VUZ1" s="22"/>
      <c r="VVA1" s="22"/>
      <c r="VVB1" s="22"/>
      <c r="VVC1" s="22"/>
      <c r="VVD1" s="22"/>
      <c r="VVE1" s="22"/>
      <c r="VVF1" s="22"/>
      <c r="VVG1" s="22"/>
      <c r="VVH1" s="22"/>
      <c r="VVI1" s="22"/>
      <c r="VVJ1" s="22"/>
      <c r="VVK1" s="22"/>
      <c r="VVL1" s="22"/>
      <c r="VVM1" s="22"/>
      <c r="VVN1" s="22"/>
      <c r="VVO1" s="22"/>
      <c r="VVP1" s="22"/>
      <c r="VVQ1" s="22"/>
      <c r="VVR1" s="22"/>
      <c r="VVS1" s="22"/>
      <c r="VVT1" s="22"/>
      <c r="VVU1" s="22"/>
      <c r="VVV1" s="22"/>
      <c r="VVW1" s="22"/>
      <c r="VVX1" s="22"/>
      <c r="VVY1" s="22"/>
      <c r="VVZ1" s="22"/>
      <c r="VWA1" s="22"/>
      <c r="VWB1" s="22"/>
      <c r="VWC1" s="22"/>
      <c r="VWD1" s="22"/>
      <c r="VWE1" s="22"/>
      <c r="VWF1" s="22"/>
      <c r="VWG1" s="22"/>
      <c r="VWH1" s="22"/>
      <c r="VWI1" s="22"/>
      <c r="VWJ1" s="22"/>
      <c r="VWK1" s="22"/>
      <c r="VWL1" s="22"/>
      <c r="VWM1" s="22"/>
      <c r="VWN1" s="22"/>
      <c r="VWO1" s="22"/>
      <c r="VWP1" s="22"/>
      <c r="VWQ1" s="22"/>
      <c r="VWR1" s="22"/>
      <c r="VWS1" s="22"/>
      <c r="VWT1" s="22"/>
      <c r="VWU1" s="22"/>
      <c r="VWV1" s="22"/>
      <c r="VWW1" s="22"/>
      <c r="VWX1" s="22"/>
      <c r="VWY1" s="22"/>
      <c r="VWZ1" s="22"/>
      <c r="VXA1" s="22"/>
      <c r="VXB1" s="22"/>
      <c r="VXC1" s="22"/>
      <c r="VXD1" s="22"/>
      <c r="VXE1" s="22"/>
      <c r="VXF1" s="22"/>
      <c r="VXG1" s="22"/>
      <c r="VXH1" s="22"/>
      <c r="VXI1" s="22"/>
      <c r="VXJ1" s="22"/>
      <c r="VXK1" s="22"/>
      <c r="VXL1" s="22"/>
      <c r="VXM1" s="22"/>
      <c r="VXN1" s="22"/>
      <c r="VXO1" s="22"/>
      <c r="VXP1" s="22"/>
      <c r="VXQ1" s="22"/>
      <c r="VXR1" s="22"/>
      <c r="VXS1" s="22"/>
      <c r="VXT1" s="22"/>
      <c r="VXU1" s="22"/>
      <c r="VXV1" s="22"/>
      <c r="VXW1" s="22"/>
      <c r="VXX1" s="22"/>
      <c r="VXY1" s="22"/>
      <c r="VXZ1" s="22"/>
      <c r="VYA1" s="22"/>
      <c r="VYB1" s="22"/>
      <c r="VYC1" s="22"/>
      <c r="VYD1" s="22"/>
      <c r="VYE1" s="22"/>
      <c r="VYF1" s="22"/>
      <c r="VYG1" s="22"/>
      <c r="VYH1" s="22"/>
      <c r="VYI1" s="22"/>
      <c r="VYJ1" s="22"/>
      <c r="VYK1" s="22"/>
      <c r="VYL1" s="22"/>
      <c r="VYM1" s="22"/>
      <c r="VYN1" s="22"/>
      <c r="VYO1" s="22"/>
      <c r="VYP1" s="22"/>
      <c r="VYQ1" s="22"/>
      <c r="VYR1" s="22"/>
      <c r="VYS1" s="22"/>
      <c r="VYT1" s="22"/>
      <c r="VYU1" s="22"/>
      <c r="VYV1" s="22"/>
      <c r="VYW1" s="22"/>
      <c r="VYX1" s="22"/>
      <c r="VYY1" s="22"/>
      <c r="VYZ1" s="22"/>
      <c r="VZA1" s="22"/>
      <c r="VZB1" s="22"/>
      <c r="VZC1" s="22"/>
      <c r="VZD1" s="22"/>
      <c r="VZE1" s="22"/>
      <c r="VZF1" s="22"/>
      <c r="VZG1" s="22"/>
      <c r="VZH1" s="22"/>
      <c r="VZI1" s="22"/>
      <c r="VZJ1" s="22"/>
      <c r="VZK1" s="22"/>
      <c r="VZL1" s="22"/>
      <c r="VZM1" s="22"/>
      <c r="VZN1" s="22"/>
      <c r="VZO1" s="22"/>
      <c r="VZP1" s="22"/>
      <c r="VZQ1" s="22"/>
      <c r="VZR1" s="22"/>
      <c r="VZS1" s="22"/>
      <c r="VZT1" s="22"/>
      <c r="VZU1" s="22"/>
      <c r="VZV1" s="22"/>
      <c r="VZW1" s="22"/>
      <c r="VZX1" s="22"/>
      <c r="VZY1" s="22"/>
      <c r="VZZ1" s="22"/>
      <c r="WAA1" s="22"/>
      <c r="WAB1" s="22"/>
      <c r="WAC1" s="22"/>
      <c r="WAD1" s="22"/>
      <c r="WAE1" s="22"/>
      <c r="WAF1" s="22"/>
      <c r="WAG1" s="22"/>
      <c r="WAH1" s="22"/>
      <c r="WAI1" s="22"/>
      <c r="WAJ1" s="22"/>
      <c r="WAK1" s="22"/>
      <c r="WAL1" s="22"/>
      <c r="WAM1" s="22"/>
      <c r="WAN1" s="22"/>
      <c r="WAO1" s="22"/>
      <c r="WAP1" s="22"/>
      <c r="WAQ1" s="22"/>
      <c r="WAR1" s="22"/>
      <c r="WAS1" s="22"/>
      <c r="WAT1" s="22"/>
      <c r="WAU1" s="22"/>
      <c r="WAV1" s="22"/>
      <c r="WAW1" s="22"/>
      <c r="WAX1" s="22"/>
      <c r="WAY1" s="22"/>
      <c r="WAZ1" s="22"/>
      <c r="WBA1" s="22"/>
      <c r="WBB1" s="22"/>
      <c r="WBC1" s="22"/>
      <c r="WBD1" s="22"/>
      <c r="WBE1" s="22"/>
      <c r="WBF1" s="22"/>
      <c r="WBG1" s="22"/>
      <c r="WBH1" s="22"/>
      <c r="WBI1" s="22"/>
      <c r="WBJ1" s="22"/>
      <c r="WBK1" s="22"/>
      <c r="WBL1" s="22"/>
      <c r="WBM1" s="22"/>
      <c r="WBN1" s="22"/>
      <c r="WBO1" s="22"/>
      <c r="WBP1" s="22"/>
      <c r="WBQ1" s="22"/>
      <c r="WBR1" s="22"/>
      <c r="WBS1" s="22"/>
      <c r="WBT1" s="22"/>
      <c r="WBU1" s="22"/>
      <c r="WBV1" s="22"/>
      <c r="WBW1" s="22"/>
      <c r="WBX1" s="22"/>
      <c r="WBY1" s="22"/>
      <c r="WBZ1" s="22"/>
      <c r="WCA1" s="22"/>
      <c r="WCB1" s="22"/>
      <c r="WCC1" s="22"/>
      <c r="WCD1" s="22"/>
      <c r="WCE1" s="22"/>
      <c r="WCF1" s="22"/>
      <c r="WCG1" s="22"/>
      <c r="WCH1" s="22"/>
      <c r="WCI1" s="22"/>
      <c r="WCJ1" s="22"/>
      <c r="WCK1" s="22"/>
      <c r="WCL1" s="22"/>
      <c r="WCM1" s="22"/>
      <c r="WCN1" s="22"/>
      <c r="WCO1" s="22"/>
      <c r="WCP1" s="22"/>
      <c r="WCQ1" s="22"/>
      <c r="WCR1" s="22"/>
      <c r="WCS1" s="22"/>
      <c r="WCT1" s="22"/>
      <c r="WCU1" s="22"/>
      <c r="WCV1" s="22"/>
      <c r="WCW1" s="22"/>
      <c r="WCX1" s="22"/>
      <c r="WCY1" s="22"/>
      <c r="WCZ1" s="22"/>
      <c r="WDA1" s="22"/>
      <c r="WDB1" s="22"/>
      <c r="WDC1" s="22"/>
      <c r="WDD1" s="22"/>
      <c r="WDE1" s="22"/>
      <c r="WDF1" s="22"/>
      <c r="WDG1" s="22"/>
      <c r="WDH1" s="22"/>
      <c r="WDI1" s="22"/>
      <c r="WDJ1" s="22"/>
      <c r="WDK1" s="22"/>
      <c r="WDL1" s="22"/>
      <c r="WDM1" s="22"/>
      <c r="WDN1" s="22"/>
      <c r="WDO1" s="22"/>
      <c r="WDP1" s="22"/>
      <c r="WDQ1" s="22"/>
      <c r="WDR1" s="22"/>
      <c r="WDS1" s="22"/>
      <c r="WDT1" s="22"/>
      <c r="WDU1" s="22"/>
      <c r="WDV1" s="22"/>
      <c r="WDW1" s="22"/>
      <c r="WDX1" s="22"/>
      <c r="WDY1" s="22"/>
      <c r="WDZ1" s="22"/>
      <c r="WEA1" s="22"/>
      <c r="WEB1" s="22"/>
      <c r="WEC1" s="22"/>
      <c r="WED1" s="22"/>
      <c r="WEE1" s="22"/>
      <c r="WEF1" s="22"/>
      <c r="WEG1" s="22"/>
      <c r="WEH1" s="22"/>
      <c r="WEI1" s="22"/>
      <c r="WEJ1" s="22"/>
      <c r="WEK1" s="22"/>
      <c r="WEL1" s="22"/>
      <c r="WEM1" s="22"/>
      <c r="WEN1" s="22"/>
      <c r="WEO1" s="22"/>
      <c r="WEP1" s="22"/>
      <c r="WEQ1" s="22"/>
      <c r="WER1" s="22"/>
      <c r="WES1" s="22"/>
      <c r="WET1" s="22"/>
      <c r="WEU1" s="22"/>
      <c r="WEV1" s="22"/>
      <c r="WEW1" s="22"/>
      <c r="WEX1" s="22"/>
      <c r="WEY1" s="22"/>
      <c r="WEZ1" s="22"/>
      <c r="WFA1" s="22"/>
      <c r="WFB1" s="22"/>
      <c r="WFC1" s="22"/>
      <c r="WFD1" s="22"/>
      <c r="WFE1" s="22"/>
      <c r="WFF1" s="22"/>
      <c r="WFG1" s="22"/>
      <c r="WFH1" s="22"/>
      <c r="WFI1" s="22"/>
      <c r="WFJ1" s="22"/>
      <c r="WFK1" s="22"/>
      <c r="WFL1" s="22"/>
      <c r="WFM1" s="22"/>
      <c r="WFN1" s="22"/>
      <c r="WFO1" s="22"/>
      <c r="WFP1" s="22"/>
      <c r="WFQ1" s="22"/>
      <c r="WFR1" s="22"/>
      <c r="WFS1" s="22"/>
      <c r="WFT1" s="22"/>
      <c r="WFU1" s="22"/>
      <c r="WFV1" s="22"/>
      <c r="WFW1" s="22"/>
      <c r="WFX1" s="22"/>
      <c r="WFY1" s="22"/>
      <c r="WFZ1" s="22"/>
      <c r="WGA1" s="22"/>
      <c r="WGB1" s="22"/>
      <c r="WGC1" s="22"/>
      <c r="WGD1" s="22"/>
      <c r="WGE1" s="22"/>
      <c r="WGF1" s="22"/>
      <c r="WGG1" s="22"/>
      <c r="WGH1" s="22"/>
      <c r="WGI1" s="22"/>
      <c r="WGJ1" s="22"/>
      <c r="WGK1" s="22"/>
      <c r="WGL1" s="22"/>
      <c r="WGM1" s="22"/>
      <c r="WGN1" s="22"/>
      <c r="WGO1" s="22"/>
      <c r="WGP1" s="22"/>
      <c r="WGQ1" s="22"/>
      <c r="WGR1" s="22"/>
      <c r="WGS1" s="22"/>
      <c r="WGT1" s="22"/>
      <c r="WGU1" s="22"/>
      <c r="WGV1" s="22"/>
      <c r="WGW1" s="22"/>
      <c r="WGX1" s="22"/>
      <c r="WGY1" s="22"/>
      <c r="WGZ1" s="22"/>
      <c r="WHA1" s="22"/>
      <c r="WHB1" s="22"/>
      <c r="WHC1" s="22"/>
      <c r="WHD1" s="22"/>
      <c r="WHE1" s="22"/>
      <c r="WHF1" s="22"/>
      <c r="WHG1" s="22"/>
      <c r="WHH1" s="22"/>
      <c r="WHI1" s="22"/>
      <c r="WHJ1" s="22"/>
      <c r="WHK1" s="22"/>
      <c r="WHL1" s="22"/>
      <c r="WHM1" s="22"/>
      <c r="WHN1" s="22"/>
      <c r="WHO1" s="22"/>
      <c r="WHP1" s="22"/>
      <c r="WHQ1" s="22"/>
      <c r="WHR1" s="22"/>
      <c r="WHS1" s="22"/>
      <c r="WHT1" s="22"/>
      <c r="WHU1" s="22"/>
      <c r="WHV1" s="22"/>
      <c r="WHW1" s="22"/>
      <c r="WHX1" s="22"/>
      <c r="WHY1" s="22"/>
      <c r="WHZ1" s="22"/>
      <c r="WIA1" s="22"/>
      <c r="WIB1" s="22"/>
      <c r="WIC1" s="22"/>
      <c r="WID1" s="22"/>
      <c r="WIE1" s="22"/>
      <c r="WIF1" s="22"/>
      <c r="WIG1" s="22"/>
      <c r="WIH1" s="22"/>
      <c r="WII1" s="22"/>
      <c r="WIJ1" s="22"/>
      <c r="WIK1" s="22"/>
      <c r="WIL1" s="22"/>
      <c r="WIM1" s="22"/>
      <c r="WIN1" s="22"/>
      <c r="WIO1" s="22"/>
      <c r="WIP1" s="22"/>
      <c r="WIQ1" s="22"/>
      <c r="WIR1" s="22"/>
      <c r="WIS1" s="22"/>
      <c r="WIT1" s="22"/>
      <c r="WIU1" s="22"/>
      <c r="WIV1" s="22"/>
      <c r="WIW1" s="22"/>
      <c r="WIX1" s="22"/>
      <c r="WIY1" s="22"/>
      <c r="WIZ1" s="22"/>
      <c r="WJA1" s="22"/>
      <c r="WJB1" s="22"/>
      <c r="WJC1" s="22"/>
      <c r="WJD1" s="22"/>
      <c r="WJE1" s="22"/>
      <c r="WJF1" s="22"/>
      <c r="WJG1" s="22"/>
      <c r="WJH1" s="22"/>
      <c r="WJI1" s="22"/>
      <c r="WJJ1" s="22"/>
      <c r="WJK1" s="22"/>
      <c r="WJL1" s="22"/>
      <c r="WJM1" s="22"/>
      <c r="WJN1" s="22"/>
      <c r="WJO1" s="22"/>
      <c r="WJP1" s="22"/>
      <c r="WJQ1" s="22"/>
      <c r="WJR1" s="22"/>
      <c r="WJS1" s="22"/>
      <c r="WJT1" s="22"/>
      <c r="WJU1" s="22"/>
      <c r="WJV1" s="22"/>
      <c r="WJW1" s="22"/>
      <c r="WJX1" s="22"/>
      <c r="WJY1" s="22"/>
      <c r="WJZ1" s="22"/>
      <c r="WKA1" s="22"/>
      <c r="WKB1" s="22"/>
      <c r="WKC1" s="22"/>
      <c r="WKD1" s="22"/>
      <c r="WKE1" s="22"/>
      <c r="WKF1" s="22"/>
      <c r="WKG1" s="22"/>
      <c r="WKH1" s="22"/>
      <c r="WKI1" s="22"/>
      <c r="WKJ1" s="22"/>
      <c r="WKK1" s="22"/>
      <c r="WKL1" s="22"/>
      <c r="WKM1" s="22"/>
      <c r="WKN1" s="22"/>
      <c r="WKO1" s="22"/>
      <c r="WKP1" s="22"/>
      <c r="WKQ1" s="22"/>
      <c r="WKR1" s="22"/>
      <c r="WKS1" s="22"/>
      <c r="WKT1" s="22"/>
      <c r="WKU1" s="22"/>
      <c r="WKV1" s="22"/>
      <c r="WKW1" s="22"/>
      <c r="WKX1" s="22"/>
      <c r="WKY1" s="22"/>
      <c r="WKZ1" s="22"/>
      <c r="WLA1" s="22"/>
      <c r="WLB1" s="22"/>
      <c r="WLC1" s="22"/>
      <c r="WLD1" s="22"/>
      <c r="WLE1" s="22"/>
      <c r="WLF1" s="22"/>
      <c r="WLG1" s="22"/>
      <c r="WLH1" s="22"/>
      <c r="WLI1" s="22"/>
      <c r="WLJ1" s="22"/>
      <c r="WLK1" s="22"/>
      <c r="WLL1" s="22"/>
      <c r="WLM1" s="22"/>
      <c r="WLN1" s="22"/>
      <c r="WLO1" s="22"/>
      <c r="WLP1" s="22"/>
      <c r="WLQ1" s="22"/>
      <c r="WLR1" s="22"/>
      <c r="WLS1" s="22"/>
      <c r="WLT1" s="22"/>
      <c r="WLU1" s="22"/>
      <c r="WLV1" s="22"/>
      <c r="WLW1" s="22"/>
      <c r="WLX1" s="22"/>
      <c r="WLY1" s="22"/>
      <c r="WLZ1" s="22"/>
      <c r="WMA1" s="22"/>
      <c r="WMB1" s="22"/>
      <c r="WMC1" s="22"/>
      <c r="WMD1" s="22"/>
      <c r="WME1" s="22"/>
      <c r="WMF1" s="22"/>
      <c r="WMG1" s="22"/>
      <c r="WMH1" s="22"/>
      <c r="WMI1" s="22"/>
      <c r="WMJ1" s="22"/>
      <c r="WMK1" s="22"/>
      <c r="WML1" s="22"/>
      <c r="WMM1" s="22"/>
      <c r="WMN1" s="22"/>
      <c r="WMO1" s="22"/>
      <c r="WMP1" s="22"/>
      <c r="WMQ1" s="22"/>
      <c r="WMR1" s="22"/>
      <c r="WMS1" s="22"/>
      <c r="WMT1" s="22"/>
      <c r="WMU1" s="22"/>
      <c r="WMV1" s="22"/>
      <c r="WMW1" s="22"/>
      <c r="WMX1" s="22"/>
      <c r="WMY1" s="22"/>
      <c r="WMZ1" s="22"/>
      <c r="WNA1" s="22"/>
      <c r="WNB1" s="22"/>
      <c r="WNC1" s="22"/>
      <c r="WND1" s="22"/>
      <c r="WNE1" s="22"/>
      <c r="WNF1" s="22"/>
      <c r="WNG1" s="22"/>
      <c r="WNH1" s="22"/>
      <c r="WNI1" s="22"/>
      <c r="WNJ1" s="22"/>
      <c r="WNK1" s="22"/>
      <c r="WNL1" s="22"/>
      <c r="WNM1" s="22"/>
      <c r="WNN1" s="22"/>
      <c r="WNO1" s="22"/>
      <c r="WNP1" s="22"/>
      <c r="WNQ1" s="22"/>
      <c r="WNR1" s="22"/>
      <c r="WNS1" s="22"/>
      <c r="WNT1" s="22"/>
      <c r="WNU1" s="22"/>
      <c r="WNV1" s="22"/>
      <c r="WNW1" s="22"/>
      <c r="WNX1" s="22"/>
      <c r="WNY1" s="22"/>
      <c r="WNZ1" s="22"/>
      <c r="WOA1" s="22"/>
      <c r="WOB1" s="22"/>
      <c r="WOC1" s="22"/>
      <c r="WOD1" s="22"/>
      <c r="WOE1" s="22"/>
      <c r="WOF1" s="22"/>
      <c r="WOG1" s="22"/>
      <c r="WOH1" s="22"/>
      <c r="WOI1" s="22"/>
      <c r="WOJ1" s="22"/>
      <c r="WOK1" s="22"/>
      <c r="WOL1" s="22"/>
      <c r="WOM1" s="22"/>
      <c r="WON1" s="22"/>
      <c r="WOO1" s="22"/>
      <c r="WOP1" s="22"/>
      <c r="WOQ1" s="22"/>
      <c r="WOR1" s="22"/>
      <c r="WOS1" s="22"/>
      <c r="WOT1" s="22"/>
      <c r="WOU1" s="22"/>
      <c r="WOV1" s="22"/>
      <c r="WOW1" s="22"/>
      <c r="WOX1" s="22"/>
      <c r="WOY1" s="22"/>
      <c r="WOZ1" s="22"/>
      <c r="WPA1" s="22"/>
      <c r="WPB1" s="22"/>
      <c r="WPC1" s="22"/>
      <c r="WPD1" s="22"/>
      <c r="WPE1" s="22"/>
      <c r="WPF1" s="22"/>
      <c r="WPG1" s="22"/>
      <c r="WPH1" s="22"/>
      <c r="WPI1" s="22"/>
      <c r="WPJ1" s="22"/>
      <c r="WPK1" s="22"/>
      <c r="WPL1" s="22"/>
      <c r="WPM1" s="22"/>
      <c r="WPN1" s="22"/>
      <c r="WPO1" s="22"/>
      <c r="WPP1" s="22"/>
      <c r="WPQ1" s="22"/>
      <c r="WPR1" s="22"/>
      <c r="WPS1" s="22"/>
      <c r="WPT1" s="22"/>
      <c r="WPU1" s="22"/>
      <c r="WPV1" s="22"/>
      <c r="WPW1" s="22"/>
      <c r="WPX1" s="22"/>
      <c r="WPY1" s="22"/>
      <c r="WPZ1" s="22"/>
      <c r="WQA1" s="22"/>
      <c r="WQB1" s="22"/>
      <c r="WQC1" s="22"/>
      <c r="WQD1" s="22"/>
      <c r="WQE1" s="22"/>
      <c r="WQF1" s="22"/>
      <c r="WQG1" s="22"/>
      <c r="WQH1" s="22"/>
      <c r="WQI1" s="22"/>
      <c r="WQJ1" s="22"/>
      <c r="WQK1" s="22"/>
      <c r="WQL1" s="22"/>
      <c r="WQM1" s="22"/>
      <c r="WQN1" s="22"/>
      <c r="WQO1" s="22"/>
      <c r="WQP1" s="22"/>
      <c r="WQQ1" s="22"/>
      <c r="WQR1" s="22"/>
      <c r="WQS1" s="22"/>
      <c r="WQT1" s="22"/>
      <c r="WQU1" s="22"/>
      <c r="WQV1" s="22"/>
      <c r="WQW1" s="22"/>
      <c r="WQX1" s="22"/>
      <c r="WQY1" s="22"/>
      <c r="WQZ1" s="22"/>
      <c r="WRA1" s="22"/>
      <c r="WRB1" s="22"/>
      <c r="WRC1" s="22"/>
      <c r="WRD1" s="22"/>
      <c r="WRE1" s="22"/>
      <c r="WRF1" s="22"/>
      <c r="WRG1" s="22"/>
      <c r="WRH1" s="22"/>
      <c r="WRI1" s="22"/>
      <c r="WRJ1" s="22"/>
      <c r="WRK1" s="22"/>
      <c r="WRL1" s="22"/>
      <c r="WRM1" s="22"/>
      <c r="WRN1" s="22"/>
      <c r="WRO1" s="22"/>
      <c r="WRP1" s="22"/>
      <c r="WRQ1" s="22"/>
      <c r="WRR1" s="22"/>
      <c r="WRS1" s="22"/>
      <c r="WRT1" s="22"/>
      <c r="WRU1" s="22"/>
      <c r="WRV1" s="22"/>
      <c r="WRW1" s="22"/>
      <c r="WRX1" s="22"/>
      <c r="WRY1" s="22"/>
      <c r="WRZ1" s="22"/>
      <c r="WSA1" s="22"/>
      <c r="WSB1" s="22"/>
      <c r="WSC1" s="22"/>
      <c r="WSD1" s="22"/>
      <c r="WSE1" s="22"/>
      <c r="WSF1" s="22"/>
      <c r="WSG1" s="22"/>
      <c r="WSH1" s="22"/>
      <c r="WSI1" s="22"/>
      <c r="WSJ1" s="22"/>
      <c r="WSK1" s="22"/>
      <c r="WSL1" s="22"/>
      <c r="WSM1" s="22"/>
      <c r="WSN1" s="22"/>
      <c r="WSO1" s="22"/>
      <c r="WSP1" s="22"/>
      <c r="WSQ1" s="22"/>
      <c r="WSR1" s="22"/>
      <c r="WSS1" s="22"/>
      <c r="WST1" s="22"/>
      <c r="WSU1" s="22"/>
      <c r="WSV1" s="22"/>
      <c r="WSW1" s="22"/>
      <c r="WSX1" s="22"/>
      <c r="WSY1" s="22"/>
      <c r="WSZ1" s="22"/>
      <c r="WTA1" s="22"/>
      <c r="WTB1" s="22"/>
      <c r="WTC1" s="22"/>
      <c r="WTD1" s="22"/>
      <c r="WTE1" s="22"/>
      <c r="WTF1" s="22"/>
      <c r="WTG1" s="22"/>
      <c r="WTH1" s="22"/>
      <c r="WTI1" s="22"/>
      <c r="WTJ1" s="22"/>
      <c r="WTK1" s="22"/>
      <c r="WTL1" s="22"/>
      <c r="WTM1" s="22"/>
      <c r="WTN1" s="22"/>
      <c r="WTO1" s="22"/>
      <c r="WTP1" s="22"/>
      <c r="WTQ1" s="22"/>
      <c r="WTR1" s="22"/>
      <c r="WTS1" s="22"/>
      <c r="WTT1" s="22"/>
      <c r="WTU1" s="22"/>
      <c r="WTV1" s="22"/>
      <c r="WTW1" s="22"/>
      <c r="WTX1" s="22"/>
      <c r="WTY1" s="22"/>
      <c r="WTZ1" s="22"/>
      <c r="WUA1" s="22"/>
      <c r="WUB1" s="22"/>
      <c r="WUC1" s="22"/>
      <c r="WUD1" s="22"/>
      <c r="WUE1" s="22"/>
      <c r="WUF1" s="22"/>
      <c r="WUG1" s="22"/>
      <c r="WUH1" s="22"/>
      <c r="WUI1" s="22"/>
      <c r="WUJ1" s="22"/>
      <c r="WUK1" s="22"/>
      <c r="WUL1" s="22"/>
      <c r="WUM1" s="22"/>
      <c r="WUN1" s="22"/>
      <c r="WUO1" s="22"/>
      <c r="WUP1" s="22"/>
      <c r="WUQ1" s="22"/>
      <c r="WUR1" s="22"/>
      <c r="WUS1" s="22"/>
      <c r="WUT1" s="22"/>
      <c r="WUU1" s="22"/>
      <c r="WUV1" s="22"/>
      <c r="WUW1" s="22"/>
      <c r="WUX1" s="22"/>
      <c r="WUY1" s="22"/>
      <c r="WUZ1" s="22"/>
      <c r="WVA1" s="22"/>
      <c r="WVB1" s="22"/>
      <c r="WVC1" s="22"/>
      <c r="WVD1" s="22"/>
      <c r="WVE1" s="22"/>
      <c r="WVF1" s="22"/>
      <c r="WVG1" s="22"/>
      <c r="WVH1" s="22"/>
      <c r="WVI1" s="22"/>
      <c r="WVJ1" s="22"/>
      <c r="WVK1" s="22"/>
      <c r="WVL1" s="22"/>
      <c r="WVM1" s="22"/>
      <c r="WVN1" s="22"/>
      <c r="WVO1" s="22"/>
      <c r="WVP1" s="22"/>
      <c r="WVQ1" s="22"/>
      <c r="WVR1" s="22"/>
      <c r="WVS1" s="22"/>
      <c r="WVT1" s="22"/>
      <c r="WVU1" s="22"/>
      <c r="WVV1" s="22"/>
      <c r="WVW1" s="22"/>
      <c r="WVX1" s="22"/>
      <c r="WVY1" s="22"/>
      <c r="WVZ1" s="22"/>
      <c r="WWA1" s="22"/>
      <c r="WWB1" s="22"/>
      <c r="WWC1" s="22"/>
      <c r="WWD1" s="22"/>
      <c r="WWE1" s="22"/>
      <c r="WWF1" s="22"/>
      <c r="WWG1" s="22"/>
      <c r="WWH1" s="22"/>
      <c r="WWI1" s="22"/>
      <c r="WWJ1" s="22"/>
      <c r="WWK1" s="22"/>
      <c r="WWL1" s="22"/>
      <c r="WWM1" s="22"/>
      <c r="WWN1" s="22"/>
      <c r="WWO1" s="22"/>
      <c r="WWP1" s="22"/>
      <c r="WWQ1" s="22"/>
      <c r="WWR1" s="22"/>
      <c r="WWS1" s="22"/>
      <c r="WWT1" s="22"/>
      <c r="WWU1" s="22"/>
      <c r="WWV1" s="22"/>
      <c r="WWW1" s="22"/>
      <c r="WWX1" s="22"/>
      <c r="WWY1" s="22"/>
      <c r="WWZ1" s="22"/>
      <c r="WXA1" s="22"/>
      <c r="WXB1" s="22"/>
      <c r="WXC1" s="22"/>
      <c r="WXD1" s="22"/>
      <c r="WXE1" s="22"/>
      <c r="WXF1" s="22"/>
      <c r="WXG1" s="22"/>
      <c r="WXH1" s="22"/>
      <c r="WXI1" s="22"/>
      <c r="WXJ1" s="22"/>
      <c r="WXK1" s="22"/>
      <c r="WXL1" s="22"/>
      <c r="WXM1" s="22"/>
      <c r="WXN1" s="22"/>
      <c r="WXO1" s="22"/>
      <c r="WXP1" s="22"/>
      <c r="WXQ1" s="22"/>
      <c r="WXR1" s="22"/>
      <c r="WXS1" s="22"/>
      <c r="WXT1" s="22"/>
      <c r="WXU1" s="22"/>
      <c r="WXV1" s="22"/>
      <c r="WXW1" s="22"/>
      <c r="WXX1" s="22"/>
      <c r="WXY1" s="22"/>
      <c r="WXZ1" s="22"/>
      <c r="WYA1" s="22"/>
      <c r="WYB1" s="22"/>
      <c r="WYC1" s="22"/>
      <c r="WYD1" s="22"/>
      <c r="WYE1" s="22"/>
      <c r="WYF1" s="22"/>
      <c r="WYG1" s="22"/>
      <c r="WYH1" s="22"/>
      <c r="WYI1" s="22"/>
      <c r="WYJ1" s="22"/>
      <c r="WYK1" s="22"/>
      <c r="WYL1" s="22"/>
      <c r="WYM1" s="22"/>
      <c r="WYN1" s="22"/>
      <c r="WYO1" s="22"/>
      <c r="WYP1" s="22"/>
      <c r="WYQ1" s="22"/>
      <c r="WYR1" s="22"/>
      <c r="WYS1" s="22"/>
      <c r="WYT1" s="22"/>
      <c r="WYU1" s="22"/>
      <c r="WYV1" s="22"/>
      <c r="WYW1" s="22"/>
      <c r="WYX1" s="22"/>
      <c r="WYY1" s="22"/>
      <c r="WYZ1" s="22"/>
      <c r="WZA1" s="22"/>
      <c r="WZB1" s="22"/>
      <c r="WZC1" s="22"/>
      <c r="WZD1" s="22"/>
      <c r="WZE1" s="22"/>
      <c r="WZF1" s="22"/>
      <c r="WZG1" s="22"/>
      <c r="WZH1" s="22"/>
      <c r="WZI1" s="22"/>
      <c r="WZJ1" s="22"/>
      <c r="WZK1" s="22"/>
      <c r="WZL1" s="22"/>
      <c r="WZM1" s="22"/>
      <c r="WZN1" s="22"/>
      <c r="WZO1" s="22"/>
      <c r="WZP1" s="22"/>
      <c r="WZQ1" s="22"/>
      <c r="WZR1" s="22"/>
      <c r="WZS1" s="22"/>
      <c r="WZT1" s="22"/>
      <c r="WZU1" s="22"/>
      <c r="WZV1" s="22"/>
      <c r="WZW1" s="22"/>
      <c r="WZX1" s="22"/>
      <c r="WZY1" s="22"/>
      <c r="WZZ1" s="22"/>
      <c r="XAA1" s="22"/>
      <c r="XAB1" s="22"/>
      <c r="XAC1" s="22"/>
      <c r="XAD1" s="22"/>
      <c r="XAE1" s="22"/>
      <c r="XAF1" s="22"/>
      <c r="XAG1" s="22"/>
      <c r="XAH1" s="22"/>
      <c r="XAI1" s="22"/>
      <c r="XAJ1" s="22"/>
      <c r="XAK1" s="22"/>
      <c r="XAL1" s="22"/>
      <c r="XAM1" s="22"/>
      <c r="XAN1" s="22"/>
      <c r="XAO1" s="22"/>
      <c r="XAP1" s="22"/>
      <c r="XAQ1" s="22"/>
      <c r="XAR1" s="22"/>
      <c r="XAS1" s="22"/>
      <c r="XAT1" s="22"/>
      <c r="XAU1" s="22"/>
      <c r="XAV1" s="22"/>
      <c r="XAW1" s="22"/>
      <c r="XAX1" s="22"/>
      <c r="XAY1" s="22"/>
      <c r="XAZ1" s="22"/>
      <c r="XBA1" s="22"/>
      <c r="XBB1" s="22"/>
      <c r="XBC1" s="22"/>
      <c r="XBD1" s="22"/>
      <c r="XBE1" s="22"/>
      <c r="XBF1" s="22"/>
      <c r="XBG1" s="22"/>
      <c r="XBH1" s="22"/>
      <c r="XBI1" s="22"/>
      <c r="XBJ1" s="22"/>
      <c r="XBK1" s="22"/>
      <c r="XBL1" s="22"/>
      <c r="XBM1" s="22"/>
      <c r="XBN1" s="22"/>
      <c r="XBO1" s="22"/>
      <c r="XBP1" s="22"/>
      <c r="XBQ1" s="22"/>
      <c r="XBR1" s="22"/>
      <c r="XBS1" s="22"/>
      <c r="XBT1" s="22"/>
      <c r="XBU1" s="22"/>
      <c r="XBV1" s="22"/>
      <c r="XBW1" s="22"/>
      <c r="XBX1" s="22"/>
      <c r="XBY1" s="22"/>
      <c r="XBZ1" s="22"/>
      <c r="XCA1" s="22"/>
      <c r="XCB1" s="22"/>
      <c r="XCC1" s="22"/>
      <c r="XCD1" s="22"/>
      <c r="XCE1" s="22"/>
      <c r="XCF1" s="22"/>
      <c r="XCG1" s="22"/>
      <c r="XCH1" s="22"/>
      <c r="XCI1" s="22"/>
      <c r="XCJ1" s="22"/>
      <c r="XCK1" s="22"/>
      <c r="XCL1" s="22"/>
      <c r="XCM1" s="22"/>
      <c r="XCN1" s="22"/>
      <c r="XCO1" s="22"/>
      <c r="XCP1" s="22"/>
      <c r="XCQ1" s="22"/>
      <c r="XCR1" s="22"/>
      <c r="XCS1" s="22"/>
      <c r="XCT1" s="22"/>
      <c r="XCU1" s="22"/>
      <c r="XCV1" s="22"/>
      <c r="XCW1" s="22"/>
      <c r="XCX1" s="22"/>
      <c r="XCY1" s="22"/>
      <c r="XCZ1" s="22"/>
      <c r="XDA1" s="22"/>
      <c r="XDB1" s="22"/>
      <c r="XDC1" s="22"/>
      <c r="XDD1" s="22"/>
      <c r="XDE1" s="22"/>
      <c r="XDF1" s="22"/>
      <c r="XDG1" s="22"/>
      <c r="XDH1" s="22"/>
      <c r="XDI1" s="22"/>
      <c r="XDJ1" s="22"/>
      <c r="XDK1" s="22"/>
      <c r="XDL1" s="22"/>
      <c r="XDM1" s="22"/>
      <c r="XDN1" s="22"/>
      <c r="XDO1" s="22"/>
      <c r="XDP1" s="22"/>
      <c r="XDQ1" s="22"/>
      <c r="XDR1" s="22"/>
      <c r="XDS1" s="22"/>
      <c r="XDT1" s="22"/>
      <c r="XDU1" s="22"/>
      <c r="XDV1" s="22"/>
      <c r="XDW1" s="22"/>
      <c r="XDX1" s="22"/>
      <c r="XDY1" s="22"/>
      <c r="XDZ1" s="22"/>
      <c r="XEA1" s="22"/>
      <c r="XEB1" s="22"/>
      <c r="XEC1" s="22"/>
      <c r="XED1" s="22"/>
      <c r="XEE1" s="22"/>
      <c r="XEF1" s="22"/>
      <c r="XEG1" s="22"/>
      <c r="XEH1" s="22"/>
      <c r="XEI1" s="22"/>
      <c r="XEJ1" s="22"/>
      <c r="XEK1" s="22"/>
      <c r="XEL1" s="22"/>
      <c r="XEM1" s="22"/>
      <c r="XEN1" s="22"/>
      <c r="XEO1" s="22"/>
      <c r="XEP1" s="22"/>
      <c r="XEQ1" s="22"/>
      <c r="XER1" s="22"/>
      <c r="XES1" s="22"/>
      <c r="XET1" s="22"/>
      <c r="XEU1" s="22"/>
      <c r="XEV1" s="22"/>
      <c r="XEW1" s="22"/>
    </row>
    <row r="2" spans="1:16377" ht="39" customHeight="1" x14ac:dyDescent="0.35">
      <c r="A2" s="38">
        <v>2026</v>
      </c>
      <c r="B2" s="59" t="s">
        <v>63</v>
      </c>
      <c r="C2" s="58" t="s">
        <v>200</v>
      </c>
      <c r="D2" s="237" t="s">
        <v>114</v>
      </c>
      <c r="E2" s="105"/>
      <c r="F2" s="58" t="s">
        <v>290</v>
      </c>
      <c r="G2" s="237" t="s">
        <v>121</v>
      </c>
      <c r="H2" s="59" t="s">
        <v>126</v>
      </c>
      <c r="I2" s="65"/>
      <c r="J2" s="237" t="s">
        <v>132</v>
      </c>
      <c r="K2" s="237" t="s">
        <v>3</v>
      </c>
      <c r="L2" s="59" t="s">
        <v>6</v>
      </c>
      <c r="M2" s="58" t="s">
        <v>202</v>
      </c>
      <c r="N2" s="130"/>
      <c r="O2" s="172"/>
      <c r="P2" s="172"/>
      <c r="Q2" s="237" t="s">
        <v>140</v>
      </c>
      <c r="R2" s="78"/>
      <c r="S2" s="78"/>
      <c r="T2" s="58" t="s">
        <v>291</v>
      </c>
      <c r="U2" s="237">
        <v>2026</v>
      </c>
      <c r="V2" s="88">
        <v>46022</v>
      </c>
      <c r="W2" s="78"/>
      <c r="X2" s="88">
        <v>46024</v>
      </c>
      <c r="Y2" s="131">
        <v>113142.48</v>
      </c>
      <c r="Z2" s="131">
        <v>0</v>
      </c>
      <c r="AA2" s="131">
        <v>113142.48</v>
      </c>
      <c r="AB2" s="131">
        <v>0</v>
      </c>
      <c r="AC2" s="131">
        <v>113142.48</v>
      </c>
      <c r="AD2" s="131">
        <v>113142.48</v>
      </c>
      <c r="AE2" s="173" t="s">
        <v>102</v>
      </c>
      <c r="AF2" s="177" t="s">
        <v>204</v>
      </c>
      <c r="AG2" s="234" t="s">
        <v>347</v>
      </c>
      <c r="AH2" s="178" t="s">
        <v>292</v>
      </c>
      <c r="AI2" s="179"/>
      <c r="AJ2" s="179"/>
      <c r="AK2" s="24"/>
      <c r="AL2" s="179"/>
    </row>
    <row r="3" spans="1:16377" ht="37" customHeight="1" x14ac:dyDescent="0.35">
      <c r="A3" s="38">
        <v>2026</v>
      </c>
      <c r="B3" s="59" t="s">
        <v>63</v>
      </c>
      <c r="C3" s="58" t="s">
        <v>200</v>
      </c>
      <c r="D3" s="237" t="s">
        <v>114</v>
      </c>
      <c r="E3" s="105"/>
      <c r="F3" s="58" t="s">
        <v>293</v>
      </c>
      <c r="G3" s="237" t="s">
        <v>121</v>
      </c>
      <c r="H3" s="59" t="s">
        <v>126</v>
      </c>
      <c r="I3" s="65"/>
      <c r="J3" s="237" t="s">
        <v>132</v>
      </c>
      <c r="K3" s="237" t="s">
        <v>3</v>
      </c>
      <c r="L3" s="59" t="s">
        <v>6</v>
      </c>
      <c r="M3" s="58" t="s">
        <v>202</v>
      </c>
      <c r="N3" s="130"/>
      <c r="O3" s="172"/>
      <c r="P3" s="172"/>
      <c r="Q3" s="237" t="s">
        <v>140</v>
      </c>
      <c r="R3" s="78"/>
      <c r="S3" s="78"/>
      <c r="T3" s="58" t="s">
        <v>294</v>
      </c>
      <c r="U3" s="237">
        <v>2026</v>
      </c>
      <c r="V3" s="88">
        <v>46022</v>
      </c>
      <c r="W3" s="78"/>
      <c r="X3" s="88">
        <v>46024</v>
      </c>
      <c r="Y3" s="131">
        <v>113142.48</v>
      </c>
      <c r="Z3" s="131">
        <v>0</v>
      </c>
      <c r="AA3" s="131">
        <v>113142.48</v>
      </c>
      <c r="AB3" s="131">
        <v>0</v>
      </c>
      <c r="AC3" s="131">
        <v>113142.48</v>
      </c>
      <c r="AD3" s="131">
        <v>113142.48</v>
      </c>
      <c r="AE3" s="173" t="s">
        <v>102</v>
      </c>
      <c r="AF3" s="177" t="s">
        <v>204</v>
      </c>
      <c r="AG3" s="234" t="s">
        <v>347</v>
      </c>
      <c r="AH3" s="178"/>
      <c r="AI3" s="179"/>
      <c r="AJ3" s="179"/>
      <c r="AK3" s="24"/>
      <c r="AL3" s="179"/>
    </row>
    <row r="4" spans="1:16377" ht="38" customHeight="1" x14ac:dyDescent="0.35">
      <c r="A4" s="38">
        <v>2026</v>
      </c>
      <c r="B4" s="59" t="s">
        <v>63</v>
      </c>
      <c r="C4" s="58" t="s">
        <v>299</v>
      </c>
      <c r="D4" s="237" t="s">
        <v>114</v>
      </c>
      <c r="E4" s="105"/>
      <c r="F4" s="58" t="s">
        <v>300</v>
      </c>
      <c r="G4" s="237" t="s">
        <v>120</v>
      </c>
      <c r="H4" s="59" t="s">
        <v>120</v>
      </c>
      <c r="I4" s="65"/>
      <c r="J4" s="237" t="s">
        <v>132</v>
      </c>
      <c r="K4" s="237" t="s">
        <v>3</v>
      </c>
      <c r="L4" s="59" t="s">
        <v>6</v>
      </c>
      <c r="M4" s="58" t="s">
        <v>202</v>
      </c>
      <c r="N4" s="130"/>
      <c r="O4" s="172"/>
      <c r="P4" s="172"/>
      <c r="Q4" s="237" t="s">
        <v>140</v>
      </c>
      <c r="R4" s="78"/>
      <c r="S4" s="78"/>
      <c r="T4" s="58" t="s">
        <v>301</v>
      </c>
      <c r="U4" s="237">
        <v>2026</v>
      </c>
      <c r="V4" s="82"/>
      <c r="W4" s="78"/>
      <c r="X4" s="88"/>
      <c r="Y4" s="131">
        <v>65999.78</v>
      </c>
      <c r="Z4" s="131"/>
      <c r="AA4" s="131">
        <v>65999.78</v>
      </c>
      <c r="AB4" s="131"/>
      <c r="AC4" s="131">
        <v>65999.78</v>
      </c>
      <c r="AD4" s="131">
        <v>65999.78</v>
      </c>
      <c r="AE4" s="173" t="s">
        <v>101</v>
      </c>
      <c r="AF4" s="177"/>
      <c r="AG4" s="234" t="s">
        <v>347</v>
      </c>
      <c r="AH4" s="178"/>
      <c r="AI4" s="179"/>
      <c r="AJ4" s="179"/>
      <c r="AK4" s="24"/>
      <c r="AL4" s="179"/>
    </row>
    <row r="5" spans="1:16377" ht="38" customHeight="1" x14ac:dyDescent="0.35">
      <c r="A5" s="38">
        <v>2026</v>
      </c>
      <c r="B5" s="59" t="s">
        <v>63</v>
      </c>
      <c r="C5" s="58" t="s">
        <v>299</v>
      </c>
      <c r="D5" s="237" t="s">
        <v>114</v>
      </c>
      <c r="E5" s="105"/>
      <c r="F5" s="58" t="s">
        <v>302</v>
      </c>
      <c r="G5" s="237" t="s">
        <v>120</v>
      </c>
      <c r="H5" s="59" t="s">
        <v>120</v>
      </c>
      <c r="I5" s="65"/>
      <c r="J5" s="237" t="s">
        <v>132</v>
      </c>
      <c r="K5" s="237" t="s">
        <v>3</v>
      </c>
      <c r="L5" s="59" t="s">
        <v>6</v>
      </c>
      <c r="M5" s="58" t="s">
        <v>202</v>
      </c>
      <c r="N5" s="130"/>
      <c r="O5" s="172"/>
      <c r="P5" s="172"/>
      <c r="Q5" s="237" t="s">
        <v>140</v>
      </c>
      <c r="R5" s="78"/>
      <c r="S5" s="78"/>
      <c r="T5" s="58" t="s">
        <v>303</v>
      </c>
      <c r="U5" s="237">
        <v>2026</v>
      </c>
      <c r="V5" s="82"/>
      <c r="W5" s="78"/>
      <c r="X5" s="88"/>
      <c r="Y5" s="131">
        <v>65999.78</v>
      </c>
      <c r="Z5" s="131"/>
      <c r="AA5" s="131">
        <v>65999.78</v>
      </c>
      <c r="AB5" s="131"/>
      <c r="AC5" s="131">
        <v>65999.78</v>
      </c>
      <c r="AD5" s="131">
        <v>65999.78</v>
      </c>
      <c r="AE5" s="173" t="s">
        <v>101</v>
      </c>
      <c r="AF5" s="177"/>
      <c r="AG5" s="234" t="s">
        <v>347</v>
      </c>
      <c r="AH5" s="178"/>
      <c r="AI5" s="179"/>
      <c r="AJ5" s="179"/>
      <c r="AK5" s="24"/>
      <c r="AL5" s="179"/>
    </row>
    <row r="6" spans="1:16377" ht="63.5" customHeight="1" x14ac:dyDescent="0.35">
      <c r="A6" s="38">
        <v>2026</v>
      </c>
      <c r="B6" s="59" t="s">
        <v>63</v>
      </c>
      <c r="C6" s="58" t="s">
        <v>200</v>
      </c>
      <c r="D6" s="237" t="s">
        <v>114</v>
      </c>
      <c r="E6" s="105"/>
      <c r="F6" s="58" t="s">
        <v>306</v>
      </c>
      <c r="G6" s="237" t="s">
        <v>121</v>
      </c>
      <c r="H6" s="59" t="s">
        <v>126</v>
      </c>
      <c r="I6" s="65"/>
      <c r="J6" s="237" t="s">
        <v>132</v>
      </c>
      <c r="K6" s="237" t="s">
        <v>3</v>
      </c>
      <c r="L6" s="59" t="s">
        <v>6</v>
      </c>
      <c r="M6" s="58" t="s">
        <v>202</v>
      </c>
      <c r="N6" s="130"/>
      <c r="O6" s="172"/>
      <c r="P6" s="172"/>
      <c r="Q6" s="237" t="s">
        <v>140</v>
      </c>
      <c r="R6" s="78"/>
      <c r="S6" s="78"/>
      <c r="T6" s="58" t="s">
        <v>307</v>
      </c>
      <c r="U6" s="237">
        <v>2026</v>
      </c>
      <c r="V6" s="88">
        <v>46022</v>
      </c>
      <c r="W6" s="78"/>
      <c r="X6" s="88">
        <v>46024</v>
      </c>
      <c r="Y6" s="131">
        <v>150000</v>
      </c>
      <c r="Z6" s="131">
        <v>0</v>
      </c>
      <c r="AA6" s="131">
        <v>150000</v>
      </c>
      <c r="AB6" s="131">
        <v>0</v>
      </c>
      <c r="AC6" s="131">
        <v>150000</v>
      </c>
      <c r="AD6" s="131">
        <v>150000</v>
      </c>
      <c r="AE6" s="173" t="s">
        <v>102</v>
      </c>
      <c r="AF6" s="177" t="s">
        <v>204</v>
      </c>
      <c r="AG6" s="234" t="s">
        <v>347</v>
      </c>
      <c r="AH6" s="178"/>
      <c r="AI6" s="179"/>
      <c r="AJ6" s="179"/>
      <c r="AK6" s="24"/>
      <c r="AL6" s="179"/>
    </row>
    <row r="7" spans="1:16377" ht="38" customHeight="1" x14ac:dyDescent="0.35">
      <c r="A7" s="38">
        <v>2026</v>
      </c>
      <c r="B7" s="59" t="s">
        <v>64</v>
      </c>
      <c r="C7" s="58" t="s">
        <v>410</v>
      </c>
      <c r="D7" s="237" t="s">
        <v>114</v>
      </c>
      <c r="E7" s="105"/>
      <c r="F7" s="58" t="s">
        <v>415</v>
      </c>
      <c r="G7" s="237" t="s">
        <v>121</v>
      </c>
      <c r="H7" s="59" t="s">
        <v>126</v>
      </c>
      <c r="I7" s="65"/>
      <c r="J7" s="237" t="s">
        <v>132</v>
      </c>
      <c r="K7" s="237" t="s">
        <v>3</v>
      </c>
      <c r="L7" s="59" t="s">
        <v>6</v>
      </c>
      <c r="M7" s="58" t="s">
        <v>372</v>
      </c>
      <c r="N7" s="130"/>
      <c r="O7" s="172"/>
      <c r="P7" s="172"/>
      <c r="Q7" s="237" t="s">
        <v>140</v>
      </c>
      <c r="R7" s="78"/>
      <c r="S7" s="78"/>
      <c r="T7" s="58" t="s">
        <v>416</v>
      </c>
      <c r="U7" s="237">
        <v>2026</v>
      </c>
      <c r="V7" s="88">
        <v>46387</v>
      </c>
      <c r="W7" s="78"/>
      <c r="X7" s="88">
        <v>46024</v>
      </c>
      <c r="Y7" s="131">
        <v>171429.12</v>
      </c>
      <c r="Z7" s="131">
        <v>0</v>
      </c>
      <c r="AA7" s="131">
        <v>171429.12</v>
      </c>
      <c r="AB7" s="131">
        <v>0</v>
      </c>
      <c r="AC7" s="131">
        <v>171429.12</v>
      </c>
      <c r="AD7" s="131">
        <v>171429.12</v>
      </c>
      <c r="AE7" s="173" t="s">
        <v>102</v>
      </c>
      <c r="AF7" s="177" t="s">
        <v>204</v>
      </c>
      <c r="AG7" s="234" t="s">
        <v>347</v>
      </c>
      <c r="AH7" s="178"/>
      <c r="AI7" s="179"/>
      <c r="AJ7" s="179"/>
      <c r="AK7" s="24"/>
      <c r="AL7" s="179"/>
    </row>
    <row r="8" spans="1:16377" ht="48.5" customHeight="1" x14ac:dyDescent="0.35">
      <c r="A8" s="38">
        <v>2026</v>
      </c>
      <c r="B8" s="59" t="s">
        <v>77</v>
      </c>
      <c r="C8" s="171" t="s">
        <v>173</v>
      </c>
      <c r="D8" s="237" t="s">
        <v>114</v>
      </c>
      <c r="E8" s="237"/>
      <c r="F8" s="58" t="s">
        <v>940</v>
      </c>
      <c r="G8" s="237" t="s">
        <v>121</v>
      </c>
      <c r="H8" s="59" t="s">
        <v>126</v>
      </c>
      <c r="I8" s="70" t="s">
        <v>941</v>
      </c>
      <c r="J8" s="237" t="s">
        <v>132</v>
      </c>
      <c r="K8" s="237" t="s">
        <v>3</v>
      </c>
      <c r="L8" s="59" t="s">
        <v>6</v>
      </c>
      <c r="M8" s="58" t="s">
        <v>182</v>
      </c>
      <c r="N8" s="130"/>
      <c r="O8" s="172"/>
      <c r="P8" s="172"/>
      <c r="Q8" s="237" t="s">
        <v>139</v>
      </c>
      <c r="R8" s="79"/>
      <c r="S8" s="79"/>
      <c r="T8" s="58" t="s">
        <v>942</v>
      </c>
      <c r="U8" s="237">
        <v>2026</v>
      </c>
      <c r="V8" s="88">
        <v>46064</v>
      </c>
      <c r="W8" s="79"/>
      <c r="X8" s="88">
        <v>46066</v>
      </c>
      <c r="Y8" s="131">
        <v>317073.17</v>
      </c>
      <c r="Z8" s="131">
        <v>0</v>
      </c>
      <c r="AA8" s="131">
        <v>317073.17</v>
      </c>
      <c r="AB8" s="131">
        <v>0</v>
      </c>
      <c r="AC8" s="131">
        <v>317073.17</v>
      </c>
      <c r="AD8" s="131">
        <v>317073.17</v>
      </c>
      <c r="AE8" s="173" t="s">
        <v>102</v>
      </c>
      <c r="AF8" s="181" t="s">
        <v>184</v>
      </c>
      <c r="AG8" s="134" t="s">
        <v>347</v>
      </c>
      <c r="AH8" s="184"/>
      <c r="AI8" s="167"/>
      <c r="AJ8" s="167"/>
      <c r="AK8" s="239"/>
      <c r="AL8" s="168"/>
    </row>
    <row r="9" spans="1:16377" ht="54.5" customHeight="1" x14ac:dyDescent="0.35">
      <c r="A9" s="38">
        <v>2026</v>
      </c>
      <c r="B9" s="59" t="s">
        <v>77</v>
      </c>
      <c r="C9" s="171" t="s">
        <v>173</v>
      </c>
      <c r="D9" s="237" t="s">
        <v>114</v>
      </c>
      <c r="E9" s="237"/>
      <c r="F9" s="58" t="s">
        <v>940</v>
      </c>
      <c r="G9" s="237" t="s">
        <v>121</v>
      </c>
      <c r="H9" s="59" t="s">
        <v>126</v>
      </c>
      <c r="I9" s="70" t="s">
        <v>943</v>
      </c>
      <c r="J9" s="237" t="s">
        <v>132</v>
      </c>
      <c r="K9" s="237" t="s">
        <v>3</v>
      </c>
      <c r="L9" s="59" t="s">
        <v>6</v>
      </c>
      <c r="M9" s="58" t="s">
        <v>182</v>
      </c>
      <c r="N9" s="130"/>
      <c r="O9" s="172"/>
      <c r="P9" s="172"/>
      <c r="Q9" s="237" t="s">
        <v>139</v>
      </c>
      <c r="R9" s="79"/>
      <c r="S9" s="79"/>
      <c r="T9" s="58" t="s">
        <v>944</v>
      </c>
      <c r="U9" s="237">
        <v>2026</v>
      </c>
      <c r="V9" s="88">
        <v>46064</v>
      </c>
      <c r="W9" s="79"/>
      <c r="X9" s="88">
        <v>46066</v>
      </c>
      <c r="Y9" s="131">
        <v>317073.17</v>
      </c>
      <c r="Z9" s="131">
        <v>0</v>
      </c>
      <c r="AA9" s="131">
        <v>317073.17</v>
      </c>
      <c r="AB9" s="131">
        <v>0</v>
      </c>
      <c r="AC9" s="131">
        <v>317073.17</v>
      </c>
      <c r="AD9" s="131">
        <v>317073.17</v>
      </c>
      <c r="AE9" s="173" t="s">
        <v>102</v>
      </c>
      <c r="AF9" s="181" t="s">
        <v>184</v>
      </c>
      <c r="AG9" s="134" t="s">
        <v>347</v>
      </c>
      <c r="AH9" s="184"/>
      <c r="AI9" s="167"/>
      <c r="AJ9" s="167"/>
      <c r="AK9" s="239"/>
      <c r="AL9" s="168"/>
    </row>
    <row r="10" spans="1:16377" ht="48" customHeight="1" x14ac:dyDescent="0.35">
      <c r="A10" s="38">
        <v>2026</v>
      </c>
      <c r="B10" s="59" t="s">
        <v>77</v>
      </c>
      <c r="C10" s="171" t="s">
        <v>173</v>
      </c>
      <c r="D10" s="237" t="s">
        <v>114</v>
      </c>
      <c r="E10" s="237"/>
      <c r="F10" s="58" t="s">
        <v>940</v>
      </c>
      <c r="G10" s="237" t="s">
        <v>121</v>
      </c>
      <c r="H10" s="59" t="s">
        <v>126</v>
      </c>
      <c r="I10" s="70" t="s">
        <v>945</v>
      </c>
      <c r="J10" s="237" t="s">
        <v>132</v>
      </c>
      <c r="K10" s="237" t="s">
        <v>3</v>
      </c>
      <c r="L10" s="59" t="s">
        <v>6</v>
      </c>
      <c r="M10" s="58" t="s">
        <v>182</v>
      </c>
      <c r="N10" s="130"/>
      <c r="O10" s="172"/>
      <c r="P10" s="172"/>
      <c r="Q10" s="237" t="s">
        <v>139</v>
      </c>
      <c r="R10" s="79"/>
      <c r="S10" s="79"/>
      <c r="T10" s="58" t="s">
        <v>946</v>
      </c>
      <c r="U10" s="237">
        <v>2026</v>
      </c>
      <c r="V10" s="88">
        <v>46064</v>
      </c>
      <c r="W10" s="79"/>
      <c r="X10" s="88">
        <v>46066</v>
      </c>
      <c r="Y10" s="131">
        <v>260000</v>
      </c>
      <c r="Z10" s="131">
        <v>0</v>
      </c>
      <c r="AA10" s="131">
        <v>260000</v>
      </c>
      <c r="AB10" s="131">
        <v>0</v>
      </c>
      <c r="AC10" s="131">
        <v>260000</v>
      </c>
      <c r="AD10" s="131">
        <v>260000</v>
      </c>
      <c r="AE10" s="173" t="s">
        <v>102</v>
      </c>
      <c r="AF10" s="181" t="s">
        <v>184</v>
      </c>
      <c r="AG10" s="134" t="s">
        <v>347</v>
      </c>
      <c r="AH10" s="184"/>
      <c r="AI10" s="167"/>
      <c r="AJ10" s="167"/>
      <c r="AK10" s="239"/>
      <c r="AL10" s="168"/>
    </row>
    <row r="11" spans="1:16377" ht="46" customHeight="1" x14ac:dyDescent="0.35">
      <c r="A11" s="38">
        <v>2026</v>
      </c>
      <c r="B11" s="59" t="s">
        <v>63</v>
      </c>
      <c r="C11" s="171" t="s">
        <v>173</v>
      </c>
      <c r="D11" s="237" t="s">
        <v>114</v>
      </c>
      <c r="E11" s="237"/>
      <c r="F11" s="58" t="s">
        <v>1076</v>
      </c>
      <c r="G11" s="237" t="s">
        <v>121</v>
      </c>
      <c r="H11" s="59" t="s">
        <v>126</v>
      </c>
      <c r="I11" s="58" t="s">
        <v>1077</v>
      </c>
      <c r="J11" s="237" t="s">
        <v>132</v>
      </c>
      <c r="K11" s="237" t="s">
        <v>3</v>
      </c>
      <c r="L11" s="59" t="s">
        <v>6</v>
      </c>
      <c r="M11" s="60" t="s">
        <v>980</v>
      </c>
      <c r="N11" s="130"/>
      <c r="O11" s="172"/>
      <c r="P11" s="172"/>
      <c r="Q11" s="237" t="s">
        <v>138</v>
      </c>
      <c r="R11" s="79"/>
      <c r="S11" s="79"/>
      <c r="T11" s="58" t="s">
        <v>1078</v>
      </c>
      <c r="U11" s="237">
        <v>2026</v>
      </c>
      <c r="V11" s="88">
        <v>46084</v>
      </c>
      <c r="W11" s="79"/>
      <c r="X11" s="88">
        <v>46091</v>
      </c>
      <c r="Y11" s="131">
        <v>777671.4</v>
      </c>
      <c r="Z11" s="131">
        <v>71940</v>
      </c>
      <c r="AA11" s="131">
        <v>777671.4</v>
      </c>
      <c r="AB11" s="131">
        <v>71940</v>
      </c>
      <c r="AC11" s="131">
        <v>777671.4</v>
      </c>
      <c r="AD11" s="131">
        <v>777671.4</v>
      </c>
      <c r="AE11" s="173" t="s">
        <v>102</v>
      </c>
      <c r="AF11" s="181" t="s">
        <v>1030</v>
      </c>
      <c r="AG11" s="234" t="s">
        <v>347</v>
      </c>
      <c r="AH11" s="184"/>
      <c r="AI11" s="167"/>
      <c r="AJ11" s="167"/>
      <c r="AK11" s="239"/>
      <c r="AL11" s="168"/>
    </row>
    <row r="12" spans="1:16377" ht="49" customHeight="1" x14ac:dyDescent="0.35">
      <c r="A12" s="38">
        <v>2023</v>
      </c>
      <c r="B12" s="59" t="s">
        <v>68</v>
      </c>
      <c r="C12" s="171" t="s">
        <v>141</v>
      </c>
      <c r="D12" s="237" t="s">
        <v>114</v>
      </c>
      <c r="E12" s="237"/>
      <c r="F12" s="58" t="s">
        <v>1117</v>
      </c>
      <c r="G12" s="237" t="s">
        <v>121</v>
      </c>
      <c r="H12" s="59" t="s">
        <v>126</v>
      </c>
      <c r="I12" s="70" t="s">
        <v>1118</v>
      </c>
      <c r="J12" s="237" t="s">
        <v>132</v>
      </c>
      <c r="K12" s="237" t="s">
        <v>3</v>
      </c>
      <c r="L12" s="59" t="s">
        <v>6</v>
      </c>
      <c r="M12" s="60" t="s">
        <v>1115</v>
      </c>
      <c r="N12" s="130"/>
      <c r="O12" s="172"/>
      <c r="P12" s="172"/>
      <c r="Q12" s="237" t="s">
        <v>141</v>
      </c>
      <c r="R12" s="79"/>
      <c r="S12" s="79"/>
      <c r="T12" s="58" t="s">
        <v>1119</v>
      </c>
      <c r="U12" s="237">
        <v>2023</v>
      </c>
      <c r="V12" s="88" t="s">
        <v>358</v>
      </c>
      <c r="W12" s="79"/>
      <c r="X12" s="88" t="s">
        <v>358</v>
      </c>
      <c r="Y12" s="131"/>
      <c r="Z12" s="131"/>
      <c r="AA12" s="131"/>
      <c r="AB12" s="131"/>
      <c r="AC12" s="131"/>
      <c r="AD12" s="131">
        <v>1122588</v>
      </c>
      <c r="AE12" s="173" t="s">
        <v>102</v>
      </c>
      <c r="AF12" s="181"/>
      <c r="AG12" s="234" t="s">
        <v>347</v>
      </c>
      <c r="AH12" s="190" t="s">
        <v>1120</v>
      </c>
      <c r="AI12" s="167"/>
      <c r="AJ12" s="167"/>
      <c r="AK12" s="239"/>
      <c r="AL12" s="168"/>
    </row>
    <row r="13" spans="1:16377" ht="73.5" customHeight="1" x14ac:dyDescent="0.35">
      <c r="A13" s="38">
        <v>2023</v>
      </c>
      <c r="B13" s="59" t="s">
        <v>68</v>
      </c>
      <c r="C13" s="171" t="s">
        <v>141</v>
      </c>
      <c r="D13" s="237" t="s">
        <v>114</v>
      </c>
      <c r="E13" s="237"/>
      <c r="F13" s="58" t="s">
        <v>1125</v>
      </c>
      <c r="G13" s="237" t="s">
        <v>121</v>
      </c>
      <c r="H13" s="59" t="s">
        <v>126</v>
      </c>
      <c r="I13" s="70" t="s">
        <v>1126</v>
      </c>
      <c r="J13" s="237" t="s">
        <v>132</v>
      </c>
      <c r="K13" s="237" t="s">
        <v>3</v>
      </c>
      <c r="L13" s="59" t="s">
        <v>6</v>
      </c>
      <c r="M13" s="60" t="s">
        <v>1115</v>
      </c>
      <c r="N13" s="130"/>
      <c r="O13" s="172"/>
      <c r="P13" s="172"/>
      <c r="Q13" s="237" t="s">
        <v>141</v>
      </c>
      <c r="R13" s="79"/>
      <c r="S13" s="79"/>
      <c r="T13" s="58" t="s">
        <v>1127</v>
      </c>
      <c r="U13" s="237">
        <v>2023</v>
      </c>
      <c r="V13" s="88" t="s">
        <v>358</v>
      </c>
      <c r="W13" s="79"/>
      <c r="X13" s="88" t="s">
        <v>358</v>
      </c>
      <c r="Y13" s="131"/>
      <c r="Z13" s="131"/>
      <c r="AA13" s="131"/>
      <c r="AB13" s="131"/>
      <c r="AC13" s="131"/>
      <c r="AD13" s="131">
        <v>240480</v>
      </c>
      <c r="AE13" s="173" t="s">
        <v>102</v>
      </c>
      <c r="AF13" s="181"/>
      <c r="AG13" s="234" t="s">
        <v>347</v>
      </c>
      <c r="AH13" s="184"/>
      <c r="AI13" s="167"/>
      <c r="AJ13" s="167"/>
      <c r="AK13" s="239"/>
      <c r="AL13" s="168"/>
    </row>
    <row r="14" spans="1:16377" ht="57" customHeight="1" x14ac:dyDescent="0.35">
      <c r="A14" s="38">
        <v>2026</v>
      </c>
      <c r="B14" s="59" t="s">
        <v>77</v>
      </c>
      <c r="C14" s="58" t="s">
        <v>1137</v>
      </c>
      <c r="D14" s="237" t="s">
        <v>114</v>
      </c>
      <c r="E14" s="237"/>
      <c r="F14" s="58" t="s">
        <v>1138</v>
      </c>
      <c r="G14" s="237" t="s">
        <v>121</v>
      </c>
      <c r="H14" s="59" t="s">
        <v>126</v>
      </c>
      <c r="I14" s="70" t="s">
        <v>1139</v>
      </c>
      <c r="J14" s="237" t="s">
        <v>132</v>
      </c>
      <c r="K14" s="237" t="s">
        <v>3</v>
      </c>
      <c r="L14" s="59" t="s">
        <v>6</v>
      </c>
      <c r="M14" s="58" t="s">
        <v>182</v>
      </c>
      <c r="N14" s="130"/>
      <c r="O14" s="172"/>
      <c r="P14" s="172"/>
      <c r="Q14" s="237" t="s">
        <v>138</v>
      </c>
      <c r="R14" s="79"/>
      <c r="S14" s="79"/>
      <c r="T14" s="58" t="s">
        <v>1136</v>
      </c>
      <c r="U14" s="237">
        <v>2026</v>
      </c>
      <c r="V14" s="88">
        <v>46119</v>
      </c>
      <c r="W14" s="79"/>
      <c r="X14" s="88">
        <v>46120</v>
      </c>
      <c r="Y14" s="131">
        <v>81900</v>
      </c>
      <c r="Z14" s="131">
        <v>0</v>
      </c>
      <c r="AA14" s="131">
        <v>90090</v>
      </c>
      <c r="AB14" s="131">
        <v>0</v>
      </c>
      <c r="AC14" s="131">
        <v>81900</v>
      </c>
      <c r="AD14" s="131">
        <v>90090</v>
      </c>
      <c r="AE14" s="173" t="s">
        <v>102</v>
      </c>
      <c r="AF14" s="181" t="s">
        <v>1030</v>
      </c>
      <c r="AG14" s="234" t="s">
        <v>347</v>
      </c>
      <c r="AH14" s="184"/>
      <c r="AI14" s="167"/>
      <c r="AJ14" s="167"/>
      <c r="AK14" s="239"/>
      <c r="AL14" s="168"/>
    </row>
    <row r="15" spans="1:16377" ht="66.5" customHeight="1" x14ac:dyDescent="0.35">
      <c r="A15" s="38">
        <v>2022</v>
      </c>
      <c r="B15" s="59" t="s">
        <v>63</v>
      </c>
      <c r="C15" s="171" t="s">
        <v>141</v>
      </c>
      <c r="D15" s="237" t="s">
        <v>114</v>
      </c>
      <c r="E15" s="237"/>
      <c r="F15" s="58" t="s">
        <v>1157</v>
      </c>
      <c r="G15" s="237" t="s">
        <v>121</v>
      </c>
      <c r="H15" s="59" t="s">
        <v>126</v>
      </c>
      <c r="I15" s="58" t="s">
        <v>1158</v>
      </c>
      <c r="J15" s="237" t="s">
        <v>132</v>
      </c>
      <c r="K15" s="237" t="s">
        <v>3</v>
      </c>
      <c r="L15" s="59" t="s">
        <v>6</v>
      </c>
      <c r="M15" s="60" t="s">
        <v>953</v>
      </c>
      <c r="N15" s="130"/>
      <c r="O15" s="172"/>
      <c r="P15" s="172"/>
      <c r="Q15" s="237" t="s">
        <v>141</v>
      </c>
      <c r="R15" s="79"/>
      <c r="S15" s="79"/>
      <c r="T15" s="58" t="s">
        <v>1159</v>
      </c>
      <c r="U15" s="237">
        <v>2022</v>
      </c>
      <c r="V15" s="88" t="s">
        <v>358</v>
      </c>
      <c r="W15" s="79"/>
      <c r="X15" s="88" t="s">
        <v>358</v>
      </c>
      <c r="Y15" s="131">
        <v>155000000</v>
      </c>
      <c r="Z15" s="131">
        <v>0</v>
      </c>
      <c r="AA15" s="131">
        <v>155000000</v>
      </c>
      <c r="AB15" s="131">
        <v>0</v>
      </c>
      <c r="AC15" s="131">
        <v>155000000</v>
      </c>
      <c r="AD15" s="135">
        <v>155000000</v>
      </c>
      <c r="AE15" s="173" t="s">
        <v>102</v>
      </c>
      <c r="AF15" s="181" t="s">
        <v>1030</v>
      </c>
      <c r="AG15" s="234" t="s">
        <v>347</v>
      </c>
      <c r="AH15" s="184"/>
      <c r="AI15" s="167"/>
      <c r="AJ15" s="167"/>
      <c r="AK15" s="239"/>
      <c r="AL15" s="168"/>
    </row>
    <row r="16" spans="1:16377" ht="67" customHeight="1" x14ac:dyDescent="0.35">
      <c r="A16" s="38">
        <v>2026</v>
      </c>
      <c r="B16" s="59" t="s">
        <v>68</v>
      </c>
      <c r="C16" s="70" t="s">
        <v>1217</v>
      </c>
      <c r="D16" s="237" t="s">
        <v>114</v>
      </c>
      <c r="E16" s="237"/>
      <c r="F16" s="58" t="s">
        <v>1218</v>
      </c>
      <c r="G16" s="237" t="s">
        <v>121</v>
      </c>
      <c r="H16" s="59" t="s">
        <v>126</v>
      </c>
      <c r="I16" s="70"/>
      <c r="J16" s="237" t="s">
        <v>132</v>
      </c>
      <c r="K16" s="237" t="s">
        <v>3</v>
      </c>
      <c r="L16" s="59" t="s">
        <v>6</v>
      </c>
      <c r="M16" s="58" t="s">
        <v>372</v>
      </c>
      <c r="N16" s="130"/>
      <c r="O16" s="172"/>
      <c r="P16" s="172"/>
      <c r="Q16" s="237" t="s">
        <v>138</v>
      </c>
      <c r="R16" s="79"/>
      <c r="S16" s="79"/>
      <c r="T16" s="58" t="s">
        <v>1219</v>
      </c>
      <c r="U16" s="237"/>
      <c r="V16" s="88">
        <v>46082</v>
      </c>
      <c r="W16" s="79"/>
      <c r="X16" s="88">
        <v>46083</v>
      </c>
      <c r="Y16" s="131">
        <v>130000</v>
      </c>
      <c r="Z16" s="131">
        <v>0</v>
      </c>
      <c r="AA16" s="131">
        <v>130000</v>
      </c>
      <c r="AB16" s="131">
        <v>0</v>
      </c>
      <c r="AC16" s="131">
        <v>130000</v>
      </c>
      <c r="AD16" s="131">
        <v>130000</v>
      </c>
      <c r="AE16" s="173" t="s">
        <v>102</v>
      </c>
      <c r="AF16" s="181" t="s">
        <v>1030</v>
      </c>
      <c r="AG16" s="234" t="s">
        <v>347</v>
      </c>
      <c r="AH16" s="184"/>
      <c r="AI16" s="167"/>
      <c r="AJ16" s="167"/>
      <c r="AK16" s="239"/>
      <c r="AL16" s="168"/>
    </row>
    <row r="17" spans="1:16377" ht="73.5" customHeight="1" x14ac:dyDescent="0.35">
      <c r="A17" s="38">
        <v>2026</v>
      </c>
      <c r="B17" s="59" t="s">
        <v>68</v>
      </c>
      <c r="C17" s="70" t="s">
        <v>1217</v>
      </c>
      <c r="D17" s="237" t="s">
        <v>114</v>
      </c>
      <c r="E17" s="237"/>
      <c r="F17" s="58" t="s">
        <v>1220</v>
      </c>
      <c r="G17" s="237" t="s">
        <v>121</v>
      </c>
      <c r="H17" s="59" t="s">
        <v>126</v>
      </c>
      <c r="I17" s="70"/>
      <c r="J17" s="237" t="s">
        <v>132</v>
      </c>
      <c r="K17" s="237" t="s">
        <v>3</v>
      </c>
      <c r="L17" s="59" t="s">
        <v>6</v>
      </c>
      <c r="M17" s="58" t="s">
        <v>372</v>
      </c>
      <c r="N17" s="130"/>
      <c r="O17" s="172"/>
      <c r="P17" s="172"/>
      <c r="Q17" s="237" t="s">
        <v>138</v>
      </c>
      <c r="R17" s="79"/>
      <c r="S17" s="79"/>
      <c r="T17" s="58" t="s">
        <v>1221</v>
      </c>
      <c r="U17" s="237"/>
      <c r="V17" s="88">
        <v>46082</v>
      </c>
      <c r="W17" s="79"/>
      <c r="X17" s="88">
        <v>46083</v>
      </c>
      <c r="Y17" s="131">
        <v>130000</v>
      </c>
      <c r="Z17" s="131">
        <v>0</v>
      </c>
      <c r="AA17" s="131">
        <v>130000</v>
      </c>
      <c r="AB17" s="131">
        <v>0</v>
      </c>
      <c r="AC17" s="131">
        <v>130000</v>
      </c>
      <c r="AD17" s="131">
        <v>130000</v>
      </c>
      <c r="AE17" s="173" t="s">
        <v>102</v>
      </c>
      <c r="AF17" s="181" t="s">
        <v>1030</v>
      </c>
      <c r="AG17" s="234" t="s">
        <v>347</v>
      </c>
      <c r="AH17" s="184"/>
      <c r="AI17" s="167"/>
      <c r="AJ17" s="167"/>
      <c r="AK17" s="239"/>
      <c r="AL17" s="168"/>
    </row>
    <row r="18" spans="1:16377" ht="59.5" customHeight="1" x14ac:dyDescent="0.35">
      <c r="A18" s="38">
        <v>2026</v>
      </c>
      <c r="B18" s="59" t="s">
        <v>68</v>
      </c>
      <c r="C18" s="70" t="s">
        <v>1217</v>
      </c>
      <c r="D18" s="237" t="s">
        <v>114</v>
      </c>
      <c r="E18" s="237"/>
      <c r="F18" s="58" t="s">
        <v>1222</v>
      </c>
      <c r="G18" s="237" t="s">
        <v>121</v>
      </c>
      <c r="H18" s="59" t="s">
        <v>126</v>
      </c>
      <c r="I18" s="70"/>
      <c r="J18" s="237" t="s">
        <v>132</v>
      </c>
      <c r="K18" s="237" t="s">
        <v>3</v>
      </c>
      <c r="L18" s="59" t="s">
        <v>6</v>
      </c>
      <c r="M18" s="58" t="s">
        <v>372</v>
      </c>
      <c r="N18" s="130"/>
      <c r="O18" s="172"/>
      <c r="P18" s="172"/>
      <c r="Q18" s="237" t="s">
        <v>138</v>
      </c>
      <c r="R18" s="79"/>
      <c r="S18" s="79"/>
      <c r="T18" s="58" t="s">
        <v>1223</v>
      </c>
      <c r="U18" s="237"/>
      <c r="V18" s="88">
        <v>46082</v>
      </c>
      <c r="W18" s="79"/>
      <c r="X18" s="88">
        <v>46083</v>
      </c>
      <c r="Y18" s="131">
        <v>130000</v>
      </c>
      <c r="Z18" s="131">
        <v>0</v>
      </c>
      <c r="AA18" s="131">
        <v>130000</v>
      </c>
      <c r="AB18" s="131">
        <v>0</v>
      </c>
      <c r="AC18" s="131">
        <v>130000</v>
      </c>
      <c r="AD18" s="131">
        <v>130000</v>
      </c>
      <c r="AE18" s="173" t="s">
        <v>102</v>
      </c>
      <c r="AF18" s="181" t="s">
        <v>1030</v>
      </c>
      <c r="AG18" s="234" t="s">
        <v>347</v>
      </c>
      <c r="AH18" s="184"/>
      <c r="AI18" s="167"/>
      <c r="AJ18" s="167"/>
      <c r="AK18" s="239"/>
      <c r="AL18" s="168"/>
    </row>
    <row r="19" spans="1:16377" ht="65.5" customHeight="1" x14ac:dyDescent="0.35">
      <c r="A19" s="38">
        <v>2025</v>
      </c>
      <c r="B19" s="59" t="s">
        <v>66</v>
      </c>
      <c r="C19" s="171" t="s">
        <v>141</v>
      </c>
      <c r="D19" s="237" t="s">
        <v>114</v>
      </c>
      <c r="E19" s="237"/>
      <c r="F19" s="58" t="s">
        <v>1318</v>
      </c>
      <c r="G19" s="237" t="s">
        <v>121</v>
      </c>
      <c r="H19" s="59" t="s">
        <v>126</v>
      </c>
      <c r="I19" s="70" t="s">
        <v>1319</v>
      </c>
      <c r="J19" s="237" t="s">
        <v>132</v>
      </c>
      <c r="K19" s="237" t="s">
        <v>3</v>
      </c>
      <c r="L19" s="59" t="s">
        <v>6</v>
      </c>
      <c r="M19" s="60" t="s">
        <v>27</v>
      </c>
      <c r="N19" s="130"/>
      <c r="O19" s="172"/>
      <c r="P19" s="172"/>
      <c r="Q19" s="237" t="s">
        <v>141</v>
      </c>
      <c r="R19" s="79"/>
      <c r="S19" s="79"/>
      <c r="T19" s="58" t="s">
        <v>1320</v>
      </c>
      <c r="U19" s="237">
        <v>2025</v>
      </c>
      <c r="V19" s="79"/>
      <c r="W19" s="79"/>
      <c r="X19" s="78"/>
      <c r="Y19" s="131">
        <v>1300000</v>
      </c>
      <c r="Z19" s="131">
        <v>0</v>
      </c>
      <c r="AA19" s="131">
        <v>1560000</v>
      </c>
      <c r="AB19" s="131">
        <v>0</v>
      </c>
      <c r="AC19" s="131">
        <v>1300000</v>
      </c>
      <c r="AD19" s="131">
        <v>1560000</v>
      </c>
      <c r="AE19" s="173" t="s">
        <v>102</v>
      </c>
      <c r="AF19" s="181"/>
      <c r="AG19" s="234" t="s">
        <v>347</v>
      </c>
      <c r="AH19" s="184"/>
      <c r="AI19" s="167"/>
      <c r="AJ19" s="167"/>
      <c r="AK19" s="239"/>
      <c r="AL19" s="168"/>
    </row>
    <row r="20" spans="1:16377" ht="39" customHeight="1" x14ac:dyDescent="0.35">
      <c r="A20" s="38" t="s">
        <v>358</v>
      </c>
      <c r="B20" s="59" t="s">
        <v>55</v>
      </c>
      <c r="C20" s="171" t="s">
        <v>141</v>
      </c>
      <c r="D20" s="237" t="s">
        <v>114</v>
      </c>
      <c r="E20" s="237"/>
      <c r="F20" s="58" t="s">
        <v>1355</v>
      </c>
      <c r="G20" s="237" t="s">
        <v>121</v>
      </c>
      <c r="H20" s="59" t="s">
        <v>126</v>
      </c>
      <c r="I20" s="73"/>
      <c r="J20" s="237" t="s">
        <v>132</v>
      </c>
      <c r="K20" s="237" t="s">
        <v>3</v>
      </c>
      <c r="L20" s="59" t="s">
        <v>6</v>
      </c>
      <c r="M20" s="60" t="s">
        <v>21</v>
      </c>
      <c r="N20" s="130"/>
      <c r="O20" s="172"/>
      <c r="P20" s="172"/>
      <c r="Q20" s="237" t="s">
        <v>141</v>
      </c>
      <c r="R20" s="79"/>
      <c r="S20" s="79"/>
      <c r="T20" s="58" t="s">
        <v>1356</v>
      </c>
      <c r="U20" s="237" t="s">
        <v>358</v>
      </c>
      <c r="V20" s="79"/>
      <c r="W20" s="79"/>
      <c r="X20" s="78"/>
      <c r="Y20" s="131">
        <v>3000000</v>
      </c>
      <c r="Z20" s="131" t="s">
        <v>358</v>
      </c>
      <c r="AA20" s="131">
        <v>3000000</v>
      </c>
      <c r="AB20" s="131" t="s">
        <v>358</v>
      </c>
      <c r="AC20" s="131">
        <v>3000000</v>
      </c>
      <c r="AD20" s="131">
        <v>3000000</v>
      </c>
      <c r="AE20" s="173" t="s">
        <v>102</v>
      </c>
      <c r="AF20" s="181"/>
      <c r="AG20" s="234" t="s">
        <v>347</v>
      </c>
      <c r="AH20" s="184"/>
      <c r="AI20" s="167"/>
      <c r="AJ20" s="167"/>
      <c r="AK20" s="239"/>
      <c r="AL20" s="168"/>
    </row>
    <row r="21" spans="1:16377" ht="39" customHeight="1" x14ac:dyDescent="0.35">
      <c r="A21" s="38" t="s">
        <v>358</v>
      </c>
      <c r="B21" s="59" t="s">
        <v>55</v>
      </c>
      <c r="C21" s="171" t="s">
        <v>141</v>
      </c>
      <c r="D21" s="237" t="s">
        <v>114</v>
      </c>
      <c r="E21" s="237"/>
      <c r="F21" s="58" t="s">
        <v>1357</v>
      </c>
      <c r="G21" s="237" t="s">
        <v>121</v>
      </c>
      <c r="H21" s="59" t="s">
        <v>126</v>
      </c>
      <c r="I21" s="73"/>
      <c r="J21" s="237" t="s">
        <v>132</v>
      </c>
      <c r="K21" s="237" t="s">
        <v>3</v>
      </c>
      <c r="L21" s="59" t="s">
        <v>6</v>
      </c>
      <c r="M21" s="60" t="s">
        <v>21</v>
      </c>
      <c r="N21" s="130"/>
      <c r="O21" s="172"/>
      <c r="P21" s="172"/>
      <c r="Q21" s="237" t="s">
        <v>141</v>
      </c>
      <c r="R21" s="79"/>
      <c r="S21" s="79"/>
      <c r="T21" s="58" t="s">
        <v>1358</v>
      </c>
      <c r="U21" s="237" t="s">
        <v>358</v>
      </c>
      <c r="V21" s="79"/>
      <c r="W21" s="79"/>
      <c r="X21" s="78"/>
      <c r="Y21" s="131">
        <v>2340000</v>
      </c>
      <c r="Z21" s="131" t="s">
        <v>358</v>
      </c>
      <c r="AA21" s="131">
        <v>2340000</v>
      </c>
      <c r="AB21" s="131" t="s">
        <v>358</v>
      </c>
      <c r="AC21" s="131">
        <v>2340000</v>
      </c>
      <c r="AD21" s="131">
        <v>2340000</v>
      </c>
      <c r="AE21" s="173" t="s">
        <v>102</v>
      </c>
      <c r="AF21" s="181"/>
      <c r="AG21" s="234" t="s">
        <v>347</v>
      </c>
      <c r="AH21" s="184"/>
      <c r="AI21" s="167"/>
      <c r="AJ21" s="167"/>
      <c r="AK21" s="239"/>
      <c r="AL21" s="168"/>
    </row>
    <row r="22" spans="1:16377" ht="39" customHeight="1" x14ac:dyDescent="0.35">
      <c r="A22" s="38" t="s">
        <v>358</v>
      </c>
      <c r="B22" s="59" t="s">
        <v>55</v>
      </c>
      <c r="C22" s="171" t="s">
        <v>141</v>
      </c>
      <c r="D22" s="237" t="s">
        <v>114</v>
      </c>
      <c r="E22" s="237"/>
      <c r="F22" s="58" t="s">
        <v>1359</v>
      </c>
      <c r="G22" s="237" t="s">
        <v>121</v>
      </c>
      <c r="H22" s="59" t="s">
        <v>126</v>
      </c>
      <c r="I22" s="73"/>
      <c r="J22" s="237" t="s">
        <v>132</v>
      </c>
      <c r="K22" s="237" t="s">
        <v>3</v>
      </c>
      <c r="L22" s="59" t="s">
        <v>6</v>
      </c>
      <c r="M22" s="60" t="s">
        <v>21</v>
      </c>
      <c r="N22" s="130"/>
      <c r="O22" s="172"/>
      <c r="P22" s="172"/>
      <c r="Q22" s="237" t="s">
        <v>141</v>
      </c>
      <c r="R22" s="79"/>
      <c r="S22" s="79"/>
      <c r="T22" s="58" t="s">
        <v>1360</v>
      </c>
      <c r="U22" s="237" t="s">
        <v>358</v>
      </c>
      <c r="V22" s="79"/>
      <c r="W22" s="79"/>
      <c r="X22" s="78"/>
      <c r="Y22" s="131">
        <v>15800000</v>
      </c>
      <c r="Z22" s="131" t="s">
        <v>358</v>
      </c>
      <c r="AA22" s="131">
        <v>18960000</v>
      </c>
      <c r="AB22" s="131" t="s">
        <v>358</v>
      </c>
      <c r="AC22" s="131">
        <v>15800000</v>
      </c>
      <c r="AD22" s="131">
        <v>18960000</v>
      </c>
      <c r="AE22" s="173" t="s">
        <v>102</v>
      </c>
      <c r="AF22" s="181"/>
      <c r="AG22" s="234" t="s">
        <v>347</v>
      </c>
      <c r="AH22" s="184"/>
      <c r="AI22" s="167"/>
      <c r="AJ22" s="167"/>
      <c r="AK22" s="239"/>
      <c r="AL22" s="168"/>
    </row>
    <row r="23" spans="1:16377" ht="39" customHeight="1" x14ac:dyDescent="0.35">
      <c r="A23" s="38" t="s">
        <v>358</v>
      </c>
      <c r="B23" s="59" t="s">
        <v>55</v>
      </c>
      <c r="C23" s="171" t="s">
        <v>141</v>
      </c>
      <c r="D23" s="237" t="s">
        <v>114</v>
      </c>
      <c r="E23" s="237"/>
      <c r="F23" s="58" t="s">
        <v>1361</v>
      </c>
      <c r="G23" s="237" t="s">
        <v>121</v>
      </c>
      <c r="H23" s="59" t="s">
        <v>126</v>
      </c>
      <c r="I23" s="73"/>
      <c r="J23" s="237" t="s">
        <v>132</v>
      </c>
      <c r="K23" s="237" t="s">
        <v>3</v>
      </c>
      <c r="L23" s="59" t="s">
        <v>6</v>
      </c>
      <c r="M23" s="60" t="s">
        <v>21</v>
      </c>
      <c r="N23" s="130"/>
      <c r="O23" s="172"/>
      <c r="P23" s="172"/>
      <c r="Q23" s="237" t="s">
        <v>141</v>
      </c>
      <c r="R23" s="79"/>
      <c r="S23" s="79"/>
      <c r="T23" s="58" t="s">
        <v>1362</v>
      </c>
      <c r="U23" s="237" t="s">
        <v>358</v>
      </c>
      <c r="V23" s="79"/>
      <c r="W23" s="79"/>
      <c r="X23" s="78"/>
      <c r="Y23" s="131">
        <v>66430944.359999999</v>
      </c>
      <c r="Z23" s="131" t="s">
        <v>358</v>
      </c>
      <c r="AA23" s="131">
        <v>66430944.359999999</v>
      </c>
      <c r="AB23" s="131" t="s">
        <v>358</v>
      </c>
      <c r="AC23" s="131">
        <v>66430944.359999999</v>
      </c>
      <c r="AD23" s="131">
        <v>66430944.359999999</v>
      </c>
      <c r="AE23" s="173" t="s">
        <v>102</v>
      </c>
      <c r="AF23" s="181"/>
      <c r="AG23" s="234" t="s">
        <v>347</v>
      </c>
      <c r="AH23" s="184"/>
      <c r="AI23" s="167"/>
      <c r="AJ23" s="167"/>
      <c r="AK23" s="239"/>
      <c r="AL23" s="168"/>
    </row>
    <row r="24" spans="1:16377" ht="52" customHeight="1" x14ac:dyDescent="0.35">
      <c r="A24" s="38">
        <v>2021</v>
      </c>
      <c r="B24" s="59" t="s">
        <v>55</v>
      </c>
      <c r="C24" s="171" t="s">
        <v>141</v>
      </c>
      <c r="D24" s="237" t="s">
        <v>114</v>
      </c>
      <c r="E24" s="237"/>
      <c r="F24" s="58" t="s">
        <v>1365</v>
      </c>
      <c r="G24" s="237" t="s">
        <v>121</v>
      </c>
      <c r="H24" s="59" t="s">
        <v>126</v>
      </c>
      <c r="I24" s="73"/>
      <c r="J24" s="237" t="s">
        <v>132</v>
      </c>
      <c r="K24" s="237" t="s">
        <v>3</v>
      </c>
      <c r="L24" s="59" t="s">
        <v>6</v>
      </c>
      <c r="M24" s="60" t="s">
        <v>25</v>
      </c>
      <c r="N24" s="130"/>
      <c r="O24" s="172"/>
      <c r="P24" s="172"/>
      <c r="Q24" s="237" t="s">
        <v>141</v>
      </c>
      <c r="R24" s="79"/>
      <c r="S24" s="79"/>
      <c r="T24" s="58" t="s">
        <v>1366</v>
      </c>
      <c r="U24" s="237">
        <v>2021</v>
      </c>
      <c r="V24" s="79"/>
      <c r="W24" s="79"/>
      <c r="X24" s="78"/>
      <c r="Y24" s="131">
        <v>1504920</v>
      </c>
      <c r="Z24" s="131" t="s">
        <v>358</v>
      </c>
      <c r="AA24" s="131">
        <v>1805904</v>
      </c>
      <c r="AB24" s="131" t="s">
        <v>358</v>
      </c>
      <c r="AC24" s="131">
        <v>1504920</v>
      </c>
      <c r="AD24" s="131">
        <v>1805904</v>
      </c>
      <c r="AE24" s="173" t="s">
        <v>102</v>
      </c>
      <c r="AF24" s="181"/>
      <c r="AG24" s="234" t="s">
        <v>347</v>
      </c>
      <c r="AH24" s="184"/>
      <c r="AI24" s="167"/>
      <c r="AJ24" s="167"/>
      <c r="AK24" s="239"/>
      <c r="AL24" s="168"/>
    </row>
    <row r="25" spans="1:16377" ht="77.5" customHeight="1" x14ac:dyDescent="0.35">
      <c r="A25" s="38">
        <v>2021</v>
      </c>
      <c r="B25" s="59" t="s">
        <v>55</v>
      </c>
      <c r="C25" s="171" t="s">
        <v>141</v>
      </c>
      <c r="D25" s="237" t="s">
        <v>114</v>
      </c>
      <c r="E25" s="237"/>
      <c r="F25" s="58" t="s">
        <v>1367</v>
      </c>
      <c r="G25" s="237" t="s">
        <v>121</v>
      </c>
      <c r="H25" s="59" t="s">
        <v>126</v>
      </c>
      <c r="I25" s="73"/>
      <c r="J25" s="237" t="s">
        <v>132</v>
      </c>
      <c r="K25" s="237" t="s">
        <v>3</v>
      </c>
      <c r="L25" s="59" t="s">
        <v>6</v>
      </c>
      <c r="M25" s="60" t="s">
        <v>25</v>
      </c>
      <c r="N25" s="130"/>
      <c r="O25" s="172"/>
      <c r="P25" s="172"/>
      <c r="Q25" s="237" t="s">
        <v>141</v>
      </c>
      <c r="R25" s="79"/>
      <c r="S25" s="79"/>
      <c r="T25" s="58" t="s">
        <v>1368</v>
      </c>
      <c r="U25" s="237">
        <v>2021</v>
      </c>
      <c r="V25" s="79"/>
      <c r="W25" s="79"/>
      <c r="X25" s="78"/>
      <c r="Y25" s="131">
        <v>9302904.1583333332</v>
      </c>
      <c r="Z25" s="131" t="s">
        <v>358</v>
      </c>
      <c r="AA25" s="131">
        <v>11163484.99</v>
      </c>
      <c r="AB25" s="131" t="s">
        <v>358</v>
      </c>
      <c r="AC25" s="131">
        <v>9302904.1583333332</v>
      </c>
      <c r="AD25" s="131">
        <v>11163484.99</v>
      </c>
      <c r="AE25" s="173" t="s">
        <v>102</v>
      </c>
      <c r="AF25" s="181"/>
      <c r="AG25" s="234" t="s">
        <v>347</v>
      </c>
      <c r="AH25" s="184"/>
      <c r="AI25" s="167"/>
      <c r="AJ25" s="167"/>
      <c r="AK25" s="239"/>
      <c r="AL25" s="168"/>
    </row>
    <row r="26" spans="1:16377" ht="73" customHeight="1" x14ac:dyDescent="0.35">
      <c r="A26" s="91">
        <v>2026</v>
      </c>
      <c r="B26" s="92" t="s">
        <v>79</v>
      </c>
      <c r="C26" s="93" t="s">
        <v>1563</v>
      </c>
      <c r="D26" s="95" t="s">
        <v>114</v>
      </c>
      <c r="E26" s="240"/>
      <c r="F26" s="94" t="s">
        <v>1564</v>
      </c>
      <c r="G26" s="95" t="s">
        <v>120</v>
      </c>
      <c r="H26" s="92" t="s">
        <v>120</v>
      </c>
      <c r="I26" s="93" t="s">
        <v>1565</v>
      </c>
      <c r="J26" s="95" t="s">
        <v>132</v>
      </c>
      <c r="K26" s="95" t="s">
        <v>3</v>
      </c>
      <c r="L26" s="92" t="s">
        <v>6</v>
      </c>
      <c r="M26" s="96" t="s">
        <v>202</v>
      </c>
      <c r="N26" s="145"/>
      <c r="O26" s="219"/>
      <c r="P26" s="219"/>
      <c r="Q26" s="95" t="s">
        <v>141</v>
      </c>
      <c r="R26" s="97"/>
      <c r="S26" s="97"/>
      <c r="T26" s="94" t="s">
        <v>1566</v>
      </c>
      <c r="U26" s="240">
        <v>2026</v>
      </c>
      <c r="V26" s="99"/>
      <c r="W26" s="97"/>
      <c r="X26" s="100"/>
      <c r="Y26" s="146">
        <v>48000</v>
      </c>
      <c r="Z26" s="147"/>
      <c r="AA26" s="146">
        <v>48000</v>
      </c>
      <c r="AB26" s="148"/>
      <c r="AC26" s="148"/>
      <c r="AD26" s="146">
        <v>48000</v>
      </c>
      <c r="AE26" s="220" t="s">
        <v>101</v>
      </c>
      <c r="AF26" s="225"/>
      <c r="AG26" s="235" t="s">
        <v>347</v>
      </c>
      <c r="AH26" s="226"/>
      <c r="AI26" s="227"/>
      <c r="AJ26" s="227"/>
      <c r="AK26" s="238"/>
      <c r="AL26" s="228"/>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c r="ET26" s="35"/>
      <c r="EU26" s="35"/>
      <c r="EV26" s="35"/>
      <c r="EW26" s="35"/>
      <c r="EX26" s="35"/>
      <c r="EY26" s="35"/>
      <c r="EZ26" s="35"/>
      <c r="FA26" s="35"/>
      <c r="FB26" s="35"/>
      <c r="FC26" s="35"/>
      <c r="FD26" s="35"/>
      <c r="FE26" s="35"/>
      <c r="FF26" s="35"/>
      <c r="FG26" s="35"/>
      <c r="FH26" s="35"/>
      <c r="FI26" s="35"/>
      <c r="FJ26" s="35"/>
      <c r="FK26" s="35"/>
      <c r="FL26" s="35"/>
      <c r="FM26" s="35"/>
      <c r="FN26" s="35"/>
      <c r="FO26" s="35"/>
      <c r="FP26" s="35"/>
      <c r="FQ26" s="35"/>
      <c r="FR26" s="35"/>
      <c r="FS26" s="35"/>
      <c r="FT26" s="35"/>
      <c r="FU26" s="35"/>
      <c r="FV26" s="35"/>
      <c r="FW26" s="35"/>
      <c r="FX26" s="35"/>
      <c r="FY26" s="35"/>
      <c r="FZ26" s="35"/>
      <c r="GA26" s="35"/>
      <c r="GB26" s="35"/>
      <c r="GC26" s="35"/>
      <c r="GD26" s="35"/>
      <c r="GE26" s="35"/>
      <c r="GF26" s="35"/>
      <c r="GG26" s="35"/>
      <c r="GH26" s="35"/>
      <c r="GI26" s="35"/>
      <c r="GJ26" s="35"/>
      <c r="GK26" s="35"/>
      <c r="GL26" s="35"/>
      <c r="GM26" s="35"/>
      <c r="GN26" s="35"/>
      <c r="GO26" s="35"/>
      <c r="GP26" s="35"/>
      <c r="GQ26" s="35"/>
      <c r="GR26" s="35"/>
      <c r="GS26" s="35"/>
      <c r="GT26" s="35"/>
      <c r="GU26" s="35"/>
      <c r="GV26" s="35"/>
      <c r="GW26" s="35"/>
      <c r="GX26" s="35"/>
      <c r="GY26" s="35"/>
      <c r="GZ26" s="35"/>
      <c r="HA26" s="35"/>
      <c r="HB26" s="35"/>
      <c r="HC26" s="35"/>
      <c r="HD26" s="35"/>
      <c r="HE26" s="35"/>
      <c r="HF26" s="35"/>
      <c r="HG26" s="35"/>
      <c r="HH26" s="35"/>
      <c r="HI26" s="35"/>
      <c r="HJ26" s="35"/>
      <c r="HK26" s="35"/>
      <c r="HL26" s="35"/>
      <c r="HM26" s="35"/>
      <c r="HN26" s="35"/>
      <c r="HO26" s="35"/>
      <c r="HP26" s="35"/>
      <c r="HQ26" s="35"/>
      <c r="HR26" s="35"/>
      <c r="HS26" s="35"/>
      <c r="HT26" s="35"/>
      <c r="HU26" s="35"/>
      <c r="HV26" s="35"/>
      <c r="HW26" s="35"/>
      <c r="HX26" s="35"/>
      <c r="HY26" s="35"/>
      <c r="HZ26" s="35"/>
      <c r="IA26" s="35"/>
      <c r="IB26" s="35"/>
      <c r="IC26" s="35"/>
      <c r="ID26" s="35"/>
      <c r="IE26" s="35"/>
      <c r="IF26" s="35"/>
      <c r="IG26" s="35"/>
      <c r="IH26" s="35"/>
      <c r="II26" s="35"/>
      <c r="IJ26" s="35"/>
      <c r="IK26" s="35"/>
      <c r="IL26" s="35"/>
      <c r="IM26" s="35"/>
      <c r="IN26" s="35"/>
      <c r="IO26" s="35"/>
      <c r="IP26" s="35"/>
      <c r="IQ26" s="35"/>
      <c r="IR26" s="35"/>
      <c r="IS26" s="35"/>
      <c r="IT26" s="35"/>
      <c r="IU26" s="35"/>
      <c r="IV26" s="35"/>
      <c r="IW26" s="35"/>
      <c r="IX26" s="35"/>
      <c r="IY26" s="35"/>
      <c r="IZ26" s="35"/>
      <c r="JA26" s="35"/>
      <c r="JB26" s="35"/>
      <c r="JC26" s="35"/>
      <c r="JD26" s="35"/>
      <c r="JE26" s="35"/>
      <c r="JF26" s="35"/>
      <c r="JG26" s="35"/>
      <c r="JH26" s="35"/>
      <c r="JI26" s="35"/>
      <c r="JJ26" s="35"/>
      <c r="JK26" s="35"/>
      <c r="JL26" s="35"/>
      <c r="JM26" s="35"/>
      <c r="JN26" s="35"/>
      <c r="JO26" s="35"/>
      <c r="JP26" s="35"/>
      <c r="JQ26" s="35"/>
      <c r="JR26" s="35"/>
      <c r="JS26" s="35"/>
      <c r="JT26" s="35"/>
      <c r="JU26" s="35"/>
      <c r="JV26" s="35"/>
      <c r="JW26" s="35"/>
      <c r="JX26" s="35"/>
      <c r="JY26" s="35"/>
      <c r="JZ26" s="35"/>
      <c r="KA26" s="35"/>
      <c r="KB26" s="35"/>
      <c r="KC26" s="35"/>
      <c r="KD26" s="35"/>
      <c r="KE26" s="35"/>
      <c r="KF26" s="35"/>
      <c r="KG26" s="35"/>
      <c r="KH26" s="35"/>
      <c r="KI26" s="35"/>
      <c r="KJ26" s="35"/>
      <c r="KK26" s="35"/>
      <c r="KL26" s="35"/>
      <c r="KM26" s="35"/>
      <c r="KN26" s="35"/>
      <c r="KO26" s="35"/>
      <c r="KP26" s="35"/>
      <c r="KQ26" s="35"/>
      <c r="KR26" s="35"/>
      <c r="KS26" s="35"/>
      <c r="KT26" s="35"/>
      <c r="KU26" s="35"/>
      <c r="KV26" s="35"/>
      <c r="KW26" s="35"/>
      <c r="KX26" s="35"/>
      <c r="KY26" s="35"/>
      <c r="KZ26" s="35"/>
      <c r="LA26" s="35"/>
      <c r="LB26" s="35"/>
      <c r="LC26" s="35"/>
      <c r="LD26" s="35"/>
      <c r="LE26" s="35"/>
      <c r="LF26" s="35"/>
      <c r="LG26" s="35"/>
      <c r="LH26" s="35"/>
      <c r="LI26" s="35"/>
      <c r="LJ26" s="35"/>
      <c r="LK26" s="35"/>
      <c r="LL26" s="35"/>
      <c r="LM26" s="35"/>
      <c r="LN26" s="35"/>
      <c r="LO26" s="35"/>
      <c r="LP26" s="35"/>
      <c r="LQ26" s="35"/>
      <c r="LR26" s="35"/>
      <c r="LS26" s="35"/>
      <c r="LT26" s="35"/>
      <c r="LU26" s="35"/>
      <c r="LV26" s="35"/>
      <c r="LW26" s="35"/>
      <c r="LX26" s="35"/>
      <c r="LY26" s="35"/>
      <c r="LZ26" s="35"/>
      <c r="MA26" s="35"/>
      <c r="MB26" s="35"/>
      <c r="MC26" s="35"/>
      <c r="MD26" s="35"/>
      <c r="ME26" s="35"/>
      <c r="MF26" s="35"/>
      <c r="MG26" s="35"/>
      <c r="MH26" s="35"/>
      <c r="MI26" s="35"/>
      <c r="MJ26" s="35"/>
      <c r="MK26" s="35"/>
      <c r="ML26" s="35"/>
      <c r="MM26" s="35"/>
      <c r="MN26" s="35"/>
      <c r="MO26" s="35"/>
      <c r="MP26" s="35"/>
      <c r="MQ26" s="35"/>
      <c r="MR26" s="35"/>
      <c r="MS26" s="35"/>
      <c r="MT26" s="35"/>
      <c r="MU26" s="35"/>
      <c r="MV26" s="35"/>
      <c r="MW26" s="35"/>
      <c r="MX26" s="35"/>
      <c r="MY26" s="35"/>
      <c r="MZ26" s="35"/>
      <c r="NA26" s="35"/>
      <c r="NB26" s="35"/>
      <c r="NC26" s="35"/>
      <c r="ND26" s="35"/>
      <c r="NE26" s="35"/>
      <c r="NF26" s="35"/>
      <c r="NG26" s="35"/>
      <c r="NH26" s="35"/>
      <c r="NI26" s="35"/>
      <c r="NJ26" s="35"/>
      <c r="NK26" s="35"/>
      <c r="NL26" s="35"/>
      <c r="NM26" s="35"/>
      <c r="NN26" s="35"/>
      <c r="NO26" s="35"/>
      <c r="NP26" s="35"/>
      <c r="NQ26" s="35"/>
      <c r="NR26" s="35"/>
      <c r="NS26" s="35"/>
      <c r="NT26" s="35"/>
      <c r="NU26" s="35"/>
      <c r="NV26" s="35"/>
      <c r="NW26" s="35"/>
      <c r="NX26" s="35"/>
      <c r="NY26" s="35"/>
      <c r="NZ26" s="35"/>
      <c r="OA26" s="35"/>
      <c r="OB26" s="35"/>
      <c r="OC26" s="35"/>
      <c r="OD26" s="35"/>
      <c r="OE26" s="35"/>
      <c r="OF26" s="35"/>
      <c r="OG26" s="35"/>
      <c r="OH26" s="35"/>
      <c r="OI26" s="35"/>
      <c r="OJ26" s="35"/>
      <c r="OK26" s="35"/>
      <c r="OL26" s="35"/>
      <c r="OM26" s="35"/>
      <c r="ON26" s="35"/>
      <c r="OO26" s="35"/>
      <c r="OP26" s="35"/>
      <c r="OQ26" s="35"/>
      <c r="OR26" s="35"/>
      <c r="OS26" s="35"/>
      <c r="OT26" s="35"/>
      <c r="OU26" s="35"/>
      <c r="OV26" s="35"/>
      <c r="OW26" s="35"/>
      <c r="OX26" s="35"/>
      <c r="OY26" s="35"/>
      <c r="OZ26" s="35"/>
      <c r="PA26" s="35"/>
      <c r="PB26" s="35"/>
      <c r="PC26" s="35"/>
      <c r="PD26" s="35"/>
      <c r="PE26" s="35"/>
      <c r="PF26" s="35"/>
      <c r="PG26" s="35"/>
      <c r="PH26" s="35"/>
      <c r="PI26" s="35"/>
      <c r="PJ26" s="35"/>
      <c r="PK26" s="35"/>
      <c r="PL26" s="35"/>
      <c r="PM26" s="35"/>
      <c r="PN26" s="35"/>
      <c r="PO26" s="35"/>
      <c r="PP26" s="35"/>
      <c r="PQ26" s="35"/>
      <c r="PR26" s="35"/>
      <c r="PS26" s="35"/>
      <c r="PT26" s="35"/>
      <c r="PU26" s="35"/>
      <c r="PV26" s="35"/>
      <c r="PW26" s="35"/>
      <c r="PX26" s="35"/>
      <c r="PY26" s="35"/>
      <c r="PZ26" s="35"/>
      <c r="QA26" s="35"/>
      <c r="QB26" s="35"/>
      <c r="QC26" s="35"/>
      <c r="QD26" s="35"/>
      <c r="QE26" s="35"/>
      <c r="QF26" s="35"/>
      <c r="QG26" s="35"/>
      <c r="QH26" s="35"/>
      <c r="QI26" s="35"/>
      <c r="QJ26" s="35"/>
      <c r="QK26" s="35"/>
      <c r="QL26" s="35"/>
      <c r="QM26" s="35"/>
      <c r="QN26" s="35"/>
      <c r="QO26" s="35"/>
      <c r="QP26" s="35"/>
      <c r="QQ26" s="35"/>
      <c r="QR26" s="35"/>
      <c r="QS26" s="35"/>
      <c r="QT26" s="35"/>
      <c r="QU26" s="35"/>
      <c r="QV26" s="35"/>
      <c r="QW26" s="35"/>
      <c r="QX26" s="35"/>
      <c r="QY26" s="35"/>
      <c r="QZ26" s="35"/>
      <c r="RA26" s="35"/>
      <c r="RB26" s="35"/>
      <c r="RC26" s="35"/>
      <c r="RD26" s="35"/>
      <c r="RE26" s="35"/>
      <c r="RF26" s="35"/>
      <c r="RG26" s="35"/>
      <c r="RH26" s="35"/>
      <c r="RI26" s="35"/>
      <c r="RJ26" s="35"/>
      <c r="RK26" s="35"/>
      <c r="RL26" s="35"/>
      <c r="RM26" s="35"/>
      <c r="RN26" s="35"/>
      <c r="RO26" s="35"/>
      <c r="RP26" s="35"/>
      <c r="RQ26" s="35"/>
      <c r="RR26" s="35"/>
      <c r="RS26" s="35"/>
      <c r="RT26" s="35"/>
      <c r="RU26" s="35"/>
      <c r="RV26" s="35"/>
      <c r="RW26" s="35"/>
      <c r="RX26" s="35"/>
      <c r="RY26" s="35"/>
      <c r="RZ26" s="35"/>
      <c r="SA26" s="35"/>
      <c r="SB26" s="35"/>
      <c r="SC26" s="35"/>
      <c r="SD26" s="35"/>
      <c r="SE26" s="35"/>
      <c r="SF26" s="35"/>
      <c r="SG26" s="35"/>
      <c r="SH26" s="35"/>
      <c r="SI26" s="35"/>
      <c r="SJ26" s="35"/>
      <c r="SK26" s="35"/>
      <c r="SL26" s="35"/>
      <c r="SM26" s="35"/>
      <c r="SN26" s="35"/>
      <c r="SO26" s="35"/>
      <c r="SP26" s="35"/>
      <c r="SQ26" s="35"/>
      <c r="SR26" s="35"/>
      <c r="SS26" s="35"/>
      <c r="ST26" s="35"/>
      <c r="SU26" s="35"/>
      <c r="SV26" s="35"/>
      <c r="SW26" s="35"/>
      <c r="SX26" s="35"/>
      <c r="SY26" s="35"/>
      <c r="SZ26" s="35"/>
      <c r="TA26" s="35"/>
      <c r="TB26" s="35"/>
      <c r="TC26" s="35"/>
      <c r="TD26" s="35"/>
      <c r="TE26" s="35"/>
      <c r="TF26" s="35"/>
      <c r="TG26" s="35"/>
      <c r="TH26" s="35"/>
      <c r="TI26" s="35"/>
      <c r="TJ26" s="35"/>
      <c r="TK26" s="35"/>
      <c r="TL26" s="35"/>
      <c r="TM26" s="35"/>
      <c r="TN26" s="35"/>
      <c r="TO26" s="35"/>
      <c r="TP26" s="35"/>
      <c r="TQ26" s="35"/>
      <c r="TR26" s="35"/>
      <c r="TS26" s="35"/>
      <c r="TT26" s="35"/>
      <c r="TU26" s="35"/>
      <c r="TV26" s="35"/>
      <c r="TW26" s="35"/>
      <c r="TX26" s="35"/>
      <c r="TY26" s="35"/>
      <c r="TZ26" s="35"/>
      <c r="UA26" s="35"/>
      <c r="UB26" s="35"/>
      <c r="UC26" s="35"/>
      <c r="UD26" s="35"/>
      <c r="UE26" s="35"/>
      <c r="UF26" s="35"/>
      <c r="UG26" s="35"/>
      <c r="UH26" s="35"/>
      <c r="UI26" s="35"/>
      <c r="UJ26" s="35"/>
      <c r="UK26" s="35"/>
      <c r="UL26" s="35"/>
      <c r="UM26" s="35"/>
      <c r="UN26" s="35"/>
      <c r="UO26" s="35"/>
      <c r="UP26" s="35"/>
      <c r="UQ26" s="35"/>
      <c r="UR26" s="35"/>
      <c r="US26" s="35"/>
      <c r="UT26" s="35"/>
      <c r="UU26" s="35"/>
      <c r="UV26" s="35"/>
      <c r="UW26" s="35"/>
      <c r="UX26" s="35"/>
      <c r="UY26" s="35"/>
      <c r="UZ26" s="35"/>
      <c r="VA26" s="35"/>
      <c r="VB26" s="35"/>
      <c r="VC26" s="35"/>
      <c r="VD26" s="35"/>
      <c r="VE26" s="35"/>
      <c r="VF26" s="35"/>
      <c r="VG26" s="35"/>
      <c r="VH26" s="35"/>
      <c r="VI26" s="35"/>
      <c r="VJ26" s="35"/>
      <c r="VK26" s="35"/>
      <c r="VL26" s="35"/>
      <c r="VM26" s="35"/>
      <c r="VN26" s="35"/>
      <c r="VO26" s="35"/>
      <c r="VP26" s="35"/>
      <c r="VQ26" s="35"/>
      <c r="VR26" s="35"/>
      <c r="VS26" s="35"/>
      <c r="VT26" s="35"/>
      <c r="VU26" s="35"/>
      <c r="VV26" s="35"/>
      <c r="VW26" s="35"/>
      <c r="VX26" s="35"/>
      <c r="VY26" s="35"/>
      <c r="VZ26" s="35"/>
      <c r="WA26" s="35"/>
      <c r="WB26" s="35"/>
      <c r="WC26" s="35"/>
      <c r="WD26" s="35"/>
      <c r="WE26" s="35"/>
      <c r="WF26" s="35"/>
      <c r="WG26" s="35"/>
      <c r="WH26" s="35"/>
      <c r="WI26" s="35"/>
      <c r="WJ26" s="35"/>
      <c r="WK26" s="35"/>
      <c r="WL26" s="35"/>
      <c r="WM26" s="35"/>
      <c r="WN26" s="35"/>
      <c r="WO26" s="35"/>
      <c r="WP26" s="35"/>
      <c r="WQ26" s="35"/>
      <c r="WR26" s="35"/>
      <c r="WS26" s="35"/>
      <c r="WT26" s="35"/>
      <c r="WU26" s="35"/>
      <c r="WV26" s="35"/>
      <c r="WW26" s="35"/>
      <c r="WX26" s="35"/>
      <c r="WY26" s="35"/>
      <c r="WZ26" s="35"/>
      <c r="XA26" s="35"/>
      <c r="XB26" s="35"/>
      <c r="XC26" s="35"/>
      <c r="XD26" s="35"/>
      <c r="XE26" s="35"/>
      <c r="XF26" s="35"/>
      <c r="XG26" s="35"/>
      <c r="XH26" s="35"/>
      <c r="XI26" s="35"/>
      <c r="XJ26" s="35"/>
      <c r="XK26" s="35"/>
      <c r="XL26" s="35"/>
      <c r="XM26" s="35"/>
      <c r="XN26" s="35"/>
      <c r="XO26" s="35"/>
      <c r="XP26" s="35"/>
      <c r="XQ26" s="35"/>
      <c r="XR26" s="35"/>
      <c r="XS26" s="35"/>
      <c r="XT26" s="35"/>
      <c r="XU26" s="35"/>
      <c r="XV26" s="35"/>
      <c r="XW26" s="35"/>
      <c r="XX26" s="35"/>
      <c r="XY26" s="35"/>
      <c r="XZ26" s="35"/>
      <c r="YA26" s="35"/>
      <c r="YB26" s="35"/>
      <c r="YC26" s="35"/>
      <c r="YD26" s="35"/>
      <c r="YE26" s="35"/>
      <c r="YF26" s="35"/>
      <c r="YG26" s="35"/>
      <c r="YH26" s="35"/>
      <c r="YI26" s="35"/>
      <c r="YJ26" s="35"/>
      <c r="YK26" s="35"/>
      <c r="YL26" s="35"/>
      <c r="YM26" s="35"/>
      <c r="YN26" s="35"/>
      <c r="YO26" s="35"/>
      <c r="YP26" s="35"/>
      <c r="YQ26" s="35"/>
      <c r="YR26" s="35"/>
      <c r="YS26" s="35"/>
      <c r="YT26" s="35"/>
      <c r="YU26" s="35"/>
      <c r="YV26" s="35"/>
      <c r="YW26" s="35"/>
      <c r="YX26" s="35"/>
      <c r="YY26" s="35"/>
      <c r="YZ26" s="35"/>
      <c r="ZA26" s="35"/>
      <c r="ZB26" s="35"/>
      <c r="ZC26" s="35"/>
      <c r="ZD26" s="35"/>
      <c r="ZE26" s="35"/>
      <c r="ZF26" s="35"/>
      <c r="ZG26" s="35"/>
      <c r="ZH26" s="35"/>
      <c r="ZI26" s="35"/>
      <c r="ZJ26" s="35"/>
      <c r="ZK26" s="35"/>
      <c r="ZL26" s="35"/>
      <c r="ZM26" s="35"/>
      <c r="ZN26" s="35"/>
      <c r="ZO26" s="35"/>
      <c r="ZP26" s="35"/>
      <c r="ZQ26" s="35"/>
      <c r="ZR26" s="35"/>
      <c r="ZS26" s="35"/>
      <c r="ZT26" s="35"/>
      <c r="ZU26" s="35"/>
      <c r="ZV26" s="35"/>
      <c r="ZW26" s="35"/>
      <c r="ZX26" s="35"/>
      <c r="ZY26" s="35"/>
      <c r="ZZ26" s="35"/>
      <c r="AAA26" s="35"/>
      <c r="AAB26" s="35"/>
      <c r="AAC26" s="35"/>
      <c r="AAD26" s="35"/>
      <c r="AAE26" s="35"/>
      <c r="AAF26" s="35"/>
      <c r="AAG26" s="35"/>
      <c r="AAH26" s="35"/>
      <c r="AAI26" s="35"/>
      <c r="AAJ26" s="35"/>
      <c r="AAK26" s="35"/>
      <c r="AAL26" s="35"/>
      <c r="AAM26" s="35"/>
      <c r="AAN26" s="35"/>
      <c r="AAO26" s="35"/>
      <c r="AAP26" s="35"/>
      <c r="AAQ26" s="35"/>
      <c r="AAR26" s="35"/>
      <c r="AAS26" s="35"/>
      <c r="AAT26" s="35"/>
      <c r="AAU26" s="35"/>
      <c r="AAV26" s="35"/>
      <c r="AAW26" s="35"/>
      <c r="AAX26" s="35"/>
      <c r="AAY26" s="35"/>
      <c r="AAZ26" s="35"/>
      <c r="ABA26" s="35"/>
      <c r="ABB26" s="35"/>
      <c r="ABC26" s="35"/>
      <c r="ABD26" s="35"/>
      <c r="ABE26" s="35"/>
      <c r="ABF26" s="35"/>
      <c r="ABG26" s="35"/>
      <c r="ABH26" s="35"/>
      <c r="ABI26" s="35"/>
      <c r="ABJ26" s="35"/>
      <c r="ABK26" s="35"/>
      <c r="ABL26" s="35"/>
      <c r="ABM26" s="35"/>
      <c r="ABN26" s="35"/>
      <c r="ABO26" s="35"/>
      <c r="ABP26" s="35"/>
      <c r="ABQ26" s="35"/>
      <c r="ABR26" s="35"/>
      <c r="ABS26" s="35"/>
      <c r="ABT26" s="35"/>
      <c r="ABU26" s="35"/>
      <c r="ABV26" s="35"/>
      <c r="ABW26" s="35"/>
      <c r="ABX26" s="35"/>
      <c r="ABY26" s="35"/>
      <c r="ABZ26" s="35"/>
      <c r="ACA26" s="35"/>
      <c r="ACB26" s="35"/>
      <c r="ACC26" s="35"/>
      <c r="ACD26" s="35"/>
      <c r="ACE26" s="35"/>
      <c r="ACF26" s="35"/>
      <c r="ACG26" s="35"/>
      <c r="ACH26" s="35"/>
      <c r="ACI26" s="35"/>
      <c r="ACJ26" s="35"/>
      <c r="ACK26" s="35"/>
      <c r="ACL26" s="35"/>
      <c r="ACM26" s="35"/>
      <c r="ACN26" s="35"/>
      <c r="ACO26" s="35"/>
      <c r="ACP26" s="35"/>
      <c r="ACQ26" s="35"/>
      <c r="ACR26" s="35"/>
      <c r="ACS26" s="35"/>
      <c r="ACT26" s="35"/>
      <c r="ACU26" s="35"/>
      <c r="ACV26" s="35"/>
      <c r="ACW26" s="35"/>
      <c r="ACX26" s="35"/>
      <c r="ACY26" s="35"/>
      <c r="ACZ26" s="35"/>
      <c r="ADA26" s="35"/>
      <c r="ADB26" s="35"/>
      <c r="ADC26" s="35"/>
      <c r="ADD26" s="35"/>
      <c r="ADE26" s="35"/>
      <c r="ADF26" s="35"/>
      <c r="ADG26" s="35"/>
      <c r="ADH26" s="35"/>
      <c r="ADI26" s="35"/>
      <c r="ADJ26" s="35"/>
      <c r="ADK26" s="35"/>
      <c r="ADL26" s="35"/>
      <c r="ADM26" s="35"/>
      <c r="ADN26" s="35"/>
      <c r="ADO26" s="35"/>
      <c r="ADP26" s="35"/>
      <c r="ADQ26" s="35"/>
      <c r="ADR26" s="35"/>
      <c r="ADS26" s="35"/>
      <c r="ADT26" s="35"/>
      <c r="ADU26" s="35"/>
      <c r="ADV26" s="35"/>
      <c r="ADW26" s="35"/>
      <c r="ADX26" s="35"/>
      <c r="ADY26" s="35"/>
      <c r="ADZ26" s="35"/>
      <c r="AEA26" s="35"/>
      <c r="AEB26" s="35"/>
      <c r="AEC26" s="35"/>
      <c r="AED26" s="35"/>
      <c r="AEE26" s="35"/>
      <c r="AEF26" s="35"/>
      <c r="AEG26" s="35"/>
      <c r="AEH26" s="35"/>
      <c r="AEI26" s="35"/>
      <c r="AEJ26" s="35"/>
      <c r="AEK26" s="35"/>
      <c r="AEL26" s="35"/>
      <c r="AEM26" s="35"/>
      <c r="AEN26" s="35"/>
      <c r="AEO26" s="35"/>
      <c r="AEP26" s="35"/>
      <c r="AEQ26" s="35"/>
      <c r="AER26" s="35"/>
      <c r="AES26" s="35"/>
      <c r="AET26" s="35"/>
      <c r="AEU26" s="35"/>
      <c r="AEV26" s="35"/>
      <c r="AEW26" s="35"/>
      <c r="AEX26" s="35"/>
      <c r="AEY26" s="35"/>
      <c r="AEZ26" s="35"/>
      <c r="AFA26" s="35"/>
      <c r="AFB26" s="35"/>
      <c r="AFC26" s="35"/>
      <c r="AFD26" s="35"/>
      <c r="AFE26" s="35"/>
      <c r="AFF26" s="35"/>
      <c r="AFG26" s="35"/>
      <c r="AFH26" s="35"/>
      <c r="AFI26" s="35"/>
      <c r="AFJ26" s="35"/>
      <c r="AFK26" s="35"/>
      <c r="AFL26" s="35"/>
      <c r="AFM26" s="35"/>
      <c r="AFN26" s="35"/>
      <c r="AFO26" s="35"/>
      <c r="AFP26" s="35"/>
      <c r="AFQ26" s="35"/>
      <c r="AFR26" s="35"/>
      <c r="AFS26" s="35"/>
      <c r="AFT26" s="35"/>
      <c r="AFU26" s="35"/>
      <c r="AFV26" s="35"/>
      <c r="AFW26" s="35"/>
      <c r="AFX26" s="35"/>
      <c r="AFY26" s="35"/>
      <c r="AFZ26" s="35"/>
      <c r="AGA26" s="35"/>
      <c r="AGB26" s="35"/>
      <c r="AGC26" s="35"/>
      <c r="AGD26" s="35"/>
      <c r="AGE26" s="35"/>
      <c r="AGF26" s="35"/>
      <c r="AGG26" s="35"/>
      <c r="AGH26" s="35"/>
      <c r="AGI26" s="35"/>
      <c r="AGJ26" s="35"/>
      <c r="AGK26" s="35"/>
      <c r="AGL26" s="35"/>
      <c r="AGM26" s="35"/>
      <c r="AGN26" s="35"/>
      <c r="AGO26" s="35"/>
      <c r="AGP26" s="35"/>
      <c r="AGQ26" s="35"/>
      <c r="AGR26" s="35"/>
      <c r="AGS26" s="35"/>
      <c r="AGT26" s="35"/>
      <c r="AGU26" s="35"/>
      <c r="AGV26" s="35"/>
      <c r="AGW26" s="35"/>
      <c r="AGX26" s="35"/>
      <c r="AGY26" s="35"/>
      <c r="AGZ26" s="35"/>
      <c r="AHA26" s="35"/>
      <c r="AHB26" s="35"/>
      <c r="AHC26" s="35"/>
      <c r="AHD26" s="35"/>
      <c r="AHE26" s="35"/>
      <c r="AHF26" s="35"/>
      <c r="AHG26" s="35"/>
      <c r="AHH26" s="35"/>
      <c r="AHI26" s="35"/>
      <c r="AHJ26" s="35"/>
      <c r="AHK26" s="35"/>
      <c r="AHL26" s="35"/>
      <c r="AHM26" s="35"/>
      <c r="AHN26" s="35"/>
      <c r="AHO26" s="35"/>
      <c r="AHP26" s="35"/>
      <c r="AHQ26" s="35"/>
      <c r="AHR26" s="35"/>
      <c r="AHS26" s="35"/>
      <c r="AHT26" s="35"/>
      <c r="AHU26" s="35"/>
      <c r="AHV26" s="35"/>
      <c r="AHW26" s="35"/>
      <c r="AHX26" s="35"/>
      <c r="AHY26" s="35"/>
      <c r="AHZ26" s="35"/>
      <c r="AIA26" s="35"/>
      <c r="AIB26" s="35"/>
      <c r="AIC26" s="35"/>
      <c r="AID26" s="35"/>
      <c r="AIE26" s="35"/>
      <c r="AIF26" s="35"/>
      <c r="AIG26" s="35"/>
      <c r="AIH26" s="35"/>
      <c r="AII26" s="35"/>
      <c r="AIJ26" s="35"/>
      <c r="AIK26" s="35"/>
      <c r="AIL26" s="35"/>
      <c r="AIM26" s="35"/>
      <c r="AIN26" s="35"/>
      <c r="AIO26" s="35"/>
      <c r="AIP26" s="35"/>
      <c r="AIQ26" s="35"/>
      <c r="AIR26" s="35"/>
      <c r="AIS26" s="35"/>
      <c r="AIT26" s="35"/>
      <c r="AIU26" s="35"/>
      <c r="AIV26" s="35"/>
      <c r="AIW26" s="35"/>
      <c r="AIX26" s="35"/>
      <c r="AIY26" s="35"/>
      <c r="AIZ26" s="35"/>
      <c r="AJA26" s="35"/>
      <c r="AJB26" s="35"/>
      <c r="AJC26" s="35"/>
      <c r="AJD26" s="35"/>
      <c r="AJE26" s="35"/>
      <c r="AJF26" s="35"/>
      <c r="AJG26" s="35"/>
      <c r="AJH26" s="35"/>
      <c r="AJI26" s="35"/>
      <c r="AJJ26" s="35"/>
      <c r="AJK26" s="35"/>
      <c r="AJL26" s="35"/>
      <c r="AJM26" s="35"/>
      <c r="AJN26" s="35"/>
      <c r="AJO26" s="35"/>
      <c r="AJP26" s="35"/>
      <c r="AJQ26" s="35"/>
      <c r="AJR26" s="35"/>
      <c r="AJS26" s="35"/>
      <c r="AJT26" s="35"/>
      <c r="AJU26" s="35"/>
      <c r="AJV26" s="35"/>
      <c r="AJW26" s="35"/>
      <c r="AJX26" s="35"/>
      <c r="AJY26" s="35"/>
      <c r="AJZ26" s="35"/>
      <c r="AKA26" s="35"/>
      <c r="AKB26" s="35"/>
      <c r="AKC26" s="35"/>
      <c r="AKD26" s="35"/>
      <c r="AKE26" s="35"/>
      <c r="AKF26" s="35"/>
      <c r="AKG26" s="35"/>
      <c r="AKH26" s="35"/>
      <c r="AKI26" s="35"/>
      <c r="AKJ26" s="35"/>
      <c r="AKK26" s="35"/>
      <c r="AKL26" s="35"/>
      <c r="AKM26" s="35"/>
      <c r="AKN26" s="35"/>
      <c r="AKO26" s="35"/>
      <c r="AKP26" s="35"/>
      <c r="AKQ26" s="35"/>
      <c r="AKR26" s="35"/>
      <c r="AKS26" s="35"/>
      <c r="AKT26" s="35"/>
      <c r="AKU26" s="35"/>
      <c r="AKV26" s="35"/>
      <c r="AKW26" s="35"/>
      <c r="AKX26" s="35"/>
      <c r="AKY26" s="35"/>
      <c r="AKZ26" s="35"/>
      <c r="ALA26" s="35"/>
      <c r="ALB26" s="35"/>
      <c r="ALC26" s="35"/>
      <c r="ALD26" s="35"/>
      <c r="ALE26" s="35"/>
      <c r="ALF26" s="35"/>
      <c r="ALG26" s="35"/>
      <c r="ALH26" s="35"/>
      <c r="ALI26" s="35"/>
      <c r="ALJ26" s="35"/>
      <c r="ALK26" s="35"/>
      <c r="ALL26" s="35"/>
      <c r="ALM26" s="35"/>
      <c r="ALN26" s="35"/>
      <c r="ALO26" s="35"/>
      <c r="ALP26" s="35"/>
      <c r="ALQ26" s="35"/>
      <c r="ALR26" s="35"/>
      <c r="ALS26" s="35"/>
      <c r="ALT26" s="35"/>
      <c r="ALU26" s="35"/>
      <c r="ALV26" s="35"/>
      <c r="ALW26" s="35"/>
      <c r="ALX26" s="35"/>
      <c r="ALY26" s="35"/>
      <c r="ALZ26" s="35"/>
      <c r="AMA26" s="35"/>
      <c r="AMB26" s="35"/>
      <c r="AMC26" s="35"/>
      <c r="AMD26" s="35"/>
      <c r="AME26" s="35"/>
      <c r="AMF26" s="35"/>
      <c r="AMG26" s="35"/>
      <c r="AMH26" s="35"/>
      <c r="AMI26" s="35"/>
      <c r="AMJ26" s="35"/>
      <c r="AMK26" s="35"/>
      <c r="AML26" s="35"/>
      <c r="AMM26" s="35"/>
      <c r="AMN26" s="35"/>
      <c r="AMO26" s="35"/>
      <c r="AMP26" s="35"/>
      <c r="AMQ26" s="35"/>
      <c r="AMR26" s="35"/>
      <c r="AMS26" s="35"/>
      <c r="AMT26" s="35"/>
      <c r="AMU26" s="35"/>
      <c r="AMV26" s="35"/>
      <c r="AMW26" s="35"/>
      <c r="AMX26" s="35"/>
      <c r="AMY26" s="35"/>
      <c r="AMZ26" s="35"/>
      <c r="ANA26" s="35"/>
      <c r="ANB26" s="35"/>
      <c r="ANC26" s="35"/>
      <c r="AND26" s="35"/>
      <c r="ANE26" s="35"/>
      <c r="ANF26" s="35"/>
      <c r="ANG26" s="35"/>
      <c r="ANH26" s="35"/>
      <c r="ANI26" s="35"/>
      <c r="ANJ26" s="35"/>
      <c r="ANK26" s="35"/>
      <c r="ANL26" s="35"/>
      <c r="ANM26" s="35"/>
      <c r="ANN26" s="35"/>
      <c r="ANO26" s="35"/>
      <c r="ANP26" s="35"/>
      <c r="ANQ26" s="35"/>
      <c r="ANR26" s="35"/>
      <c r="ANS26" s="35"/>
      <c r="ANT26" s="35"/>
      <c r="ANU26" s="35"/>
      <c r="ANV26" s="35"/>
      <c r="ANW26" s="35"/>
      <c r="ANX26" s="35"/>
      <c r="ANY26" s="35"/>
      <c r="ANZ26" s="35"/>
      <c r="AOA26" s="35"/>
      <c r="AOB26" s="35"/>
      <c r="AOC26" s="35"/>
      <c r="AOD26" s="35"/>
      <c r="AOE26" s="35"/>
      <c r="AOF26" s="35"/>
      <c r="AOG26" s="35"/>
      <c r="AOH26" s="35"/>
      <c r="AOI26" s="35"/>
      <c r="AOJ26" s="35"/>
      <c r="AOK26" s="35"/>
      <c r="AOL26" s="35"/>
      <c r="AOM26" s="35"/>
      <c r="AON26" s="35"/>
      <c r="AOO26" s="35"/>
      <c r="AOP26" s="35"/>
      <c r="AOQ26" s="35"/>
      <c r="AOR26" s="35"/>
      <c r="AOS26" s="35"/>
      <c r="AOT26" s="35"/>
      <c r="AOU26" s="35"/>
      <c r="AOV26" s="35"/>
      <c r="AOW26" s="35"/>
      <c r="AOX26" s="35"/>
      <c r="AOY26" s="35"/>
      <c r="AOZ26" s="35"/>
      <c r="APA26" s="35"/>
      <c r="APB26" s="35"/>
      <c r="APC26" s="35"/>
      <c r="APD26" s="35"/>
      <c r="APE26" s="35"/>
      <c r="APF26" s="35"/>
      <c r="APG26" s="35"/>
      <c r="APH26" s="35"/>
      <c r="API26" s="35"/>
      <c r="APJ26" s="35"/>
      <c r="APK26" s="35"/>
      <c r="APL26" s="35"/>
      <c r="APM26" s="35"/>
      <c r="APN26" s="35"/>
      <c r="APO26" s="35"/>
      <c r="APP26" s="35"/>
      <c r="APQ26" s="35"/>
      <c r="APR26" s="35"/>
      <c r="APS26" s="35"/>
      <c r="APT26" s="35"/>
      <c r="APU26" s="35"/>
      <c r="APV26" s="35"/>
      <c r="APW26" s="35"/>
      <c r="APX26" s="35"/>
      <c r="APY26" s="35"/>
      <c r="APZ26" s="35"/>
      <c r="AQA26" s="35"/>
      <c r="AQB26" s="35"/>
      <c r="AQC26" s="35"/>
      <c r="AQD26" s="35"/>
      <c r="AQE26" s="35"/>
      <c r="AQF26" s="35"/>
      <c r="AQG26" s="35"/>
      <c r="AQH26" s="35"/>
      <c r="AQI26" s="35"/>
      <c r="AQJ26" s="35"/>
      <c r="AQK26" s="35"/>
      <c r="AQL26" s="35"/>
      <c r="AQM26" s="35"/>
      <c r="AQN26" s="35"/>
      <c r="AQO26" s="35"/>
      <c r="AQP26" s="35"/>
      <c r="AQQ26" s="35"/>
      <c r="AQR26" s="35"/>
      <c r="AQS26" s="35"/>
      <c r="AQT26" s="35"/>
      <c r="AQU26" s="35"/>
      <c r="AQV26" s="35"/>
      <c r="AQW26" s="35"/>
      <c r="AQX26" s="35"/>
      <c r="AQY26" s="35"/>
      <c r="AQZ26" s="35"/>
      <c r="ARA26" s="35"/>
      <c r="ARB26" s="35"/>
      <c r="ARC26" s="35"/>
      <c r="ARD26" s="35"/>
      <c r="ARE26" s="35"/>
      <c r="ARF26" s="35"/>
      <c r="ARG26" s="35"/>
      <c r="ARH26" s="35"/>
      <c r="ARI26" s="35"/>
      <c r="ARJ26" s="35"/>
      <c r="ARK26" s="35"/>
      <c r="ARL26" s="35"/>
      <c r="ARM26" s="35"/>
      <c r="ARN26" s="35"/>
      <c r="ARO26" s="35"/>
      <c r="ARP26" s="35"/>
      <c r="ARQ26" s="35"/>
      <c r="ARR26" s="35"/>
      <c r="ARS26" s="35"/>
      <c r="ART26" s="35"/>
      <c r="ARU26" s="35"/>
      <c r="ARV26" s="35"/>
      <c r="ARW26" s="35"/>
      <c r="ARX26" s="35"/>
      <c r="ARY26" s="35"/>
      <c r="ARZ26" s="35"/>
      <c r="ASA26" s="35"/>
      <c r="ASB26" s="35"/>
      <c r="ASC26" s="35"/>
      <c r="ASD26" s="35"/>
      <c r="ASE26" s="35"/>
      <c r="ASF26" s="35"/>
      <c r="ASG26" s="35"/>
      <c r="ASH26" s="35"/>
      <c r="ASI26" s="35"/>
      <c r="ASJ26" s="35"/>
      <c r="ASK26" s="35"/>
      <c r="ASL26" s="35"/>
      <c r="ASM26" s="35"/>
      <c r="ASN26" s="35"/>
      <c r="ASO26" s="35"/>
      <c r="ASP26" s="35"/>
      <c r="ASQ26" s="35"/>
      <c r="ASR26" s="35"/>
      <c r="ASS26" s="35"/>
      <c r="AST26" s="35"/>
      <c r="ASU26" s="35"/>
      <c r="ASV26" s="35"/>
      <c r="ASW26" s="35"/>
      <c r="ASX26" s="35"/>
      <c r="ASY26" s="35"/>
      <c r="ASZ26" s="35"/>
      <c r="ATA26" s="35"/>
      <c r="ATB26" s="35"/>
      <c r="ATC26" s="35"/>
      <c r="ATD26" s="35"/>
      <c r="ATE26" s="35"/>
      <c r="ATF26" s="35"/>
      <c r="ATG26" s="35"/>
      <c r="ATH26" s="35"/>
      <c r="ATI26" s="35"/>
      <c r="ATJ26" s="35"/>
      <c r="ATK26" s="35"/>
      <c r="ATL26" s="35"/>
      <c r="ATM26" s="35"/>
      <c r="ATN26" s="35"/>
      <c r="ATO26" s="35"/>
      <c r="ATP26" s="35"/>
      <c r="ATQ26" s="35"/>
      <c r="ATR26" s="35"/>
      <c r="ATS26" s="35"/>
      <c r="ATT26" s="35"/>
      <c r="ATU26" s="35"/>
      <c r="ATV26" s="35"/>
      <c r="ATW26" s="35"/>
      <c r="ATX26" s="35"/>
      <c r="ATY26" s="35"/>
      <c r="ATZ26" s="35"/>
      <c r="AUA26" s="35"/>
      <c r="AUB26" s="35"/>
      <c r="AUC26" s="35"/>
      <c r="AUD26" s="35"/>
      <c r="AUE26" s="35"/>
      <c r="AUF26" s="35"/>
      <c r="AUG26" s="35"/>
      <c r="AUH26" s="35"/>
      <c r="AUI26" s="35"/>
      <c r="AUJ26" s="35"/>
      <c r="AUK26" s="35"/>
      <c r="AUL26" s="35"/>
      <c r="AUM26" s="35"/>
      <c r="AUN26" s="35"/>
      <c r="AUO26" s="35"/>
      <c r="AUP26" s="35"/>
      <c r="AUQ26" s="35"/>
      <c r="AUR26" s="35"/>
      <c r="AUS26" s="35"/>
      <c r="AUT26" s="35"/>
      <c r="AUU26" s="35"/>
      <c r="AUV26" s="35"/>
      <c r="AUW26" s="35"/>
      <c r="AUX26" s="35"/>
      <c r="AUY26" s="35"/>
      <c r="AUZ26" s="35"/>
      <c r="AVA26" s="35"/>
      <c r="AVB26" s="35"/>
      <c r="AVC26" s="35"/>
      <c r="AVD26" s="35"/>
      <c r="AVE26" s="35"/>
      <c r="AVF26" s="35"/>
      <c r="AVG26" s="35"/>
      <c r="AVH26" s="35"/>
      <c r="AVI26" s="35"/>
      <c r="AVJ26" s="35"/>
      <c r="AVK26" s="35"/>
      <c r="AVL26" s="35"/>
      <c r="AVM26" s="35"/>
      <c r="AVN26" s="35"/>
      <c r="AVO26" s="35"/>
      <c r="AVP26" s="35"/>
      <c r="AVQ26" s="35"/>
      <c r="AVR26" s="35"/>
      <c r="AVS26" s="35"/>
      <c r="AVT26" s="35"/>
      <c r="AVU26" s="35"/>
      <c r="AVV26" s="35"/>
      <c r="AVW26" s="35"/>
      <c r="AVX26" s="35"/>
      <c r="AVY26" s="35"/>
      <c r="AVZ26" s="35"/>
      <c r="AWA26" s="35"/>
      <c r="AWB26" s="35"/>
      <c r="AWC26" s="35"/>
      <c r="AWD26" s="35"/>
      <c r="AWE26" s="35"/>
      <c r="AWF26" s="35"/>
      <c r="AWG26" s="35"/>
      <c r="AWH26" s="35"/>
      <c r="AWI26" s="35"/>
      <c r="AWJ26" s="35"/>
      <c r="AWK26" s="35"/>
      <c r="AWL26" s="35"/>
      <c r="AWM26" s="35"/>
      <c r="AWN26" s="35"/>
      <c r="AWO26" s="35"/>
      <c r="AWP26" s="35"/>
      <c r="AWQ26" s="35"/>
      <c r="AWR26" s="35"/>
      <c r="AWS26" s="35"/>
      <c r="AWT26" s="35"/>
      <c r="AWU26" s="35"/>
      <c r="AWV26" s="35"/>
      <c r="AWW26" s="35"/>
      <c r="AWX26" s="35"/>
      <c r="AWY26" s="35"/>
      <c r="AWZ26" s="35"/>
      <c r="AXA26" s="35"/>
      <c r="AXB26" s="35"/>
      <c r="AXC26" s="35"/>
      <c r="AXD26" s="35"/>
      <c r="AXE26" s="35"/>
      <c r="AXF26" s="35"/>
      <c r="AXG26" s="35"/>
      <c r="AXH26" s="35"/>
      <c r="AXI26" s="35"/>
      <c r="AXJ26" s="35"/>
      <c r="AXK26" s="35"/>
      <c r="AXL26" s="35"/>
      <c r="AXM26" s="35"/>
      <c r="AXN26" s="35"/>
      <c r="AXO26" s="35"/>
      <c r="AXP26" s="35"/>
      <c r="AXQ26" s="35"/>
      <c r="AXR26" s="35"/>
      <c r="AXS26" s="35"/>
      <c r="AXT26" s="35"/>
      <c r="AXU26" s="35"/>
      <c r="AXV26" s="35"/>
      <c r="AXW26" s="35"/>
      <c r="AXX26" s="35"/>
      <c r="AXY26" s="35"/>
      <c r="AXZ26" s="35"/>
      <c r="AYA26" s="35"/>
      <c r="AYB26" s="35"/>
      <c r="AYC26" s="35"/>
      <c r="AYD26" s="35"/>
      <c r="AYE26" s="35"/>
      <c r="AYF26" s="35"/>
      <c r="AYG26" s="35"/>
      <c r="AYH26" s="35"/>
      <c r="AYI26" s="35"/>
      <c r="AYJ26" s="35"/>
      <c r="AYK26" s="35"/>
      <c r="AYL26" s="35"/>
      <c r="AYM26" s="35"/>
      <c r="AYN26" s="35"/>
      <c r="AYO26" s="35"/>
      <c r="AYP26" s="35"/>
      <c r="AYQ26" s="35"/>
      <c r="AYR26" s="35"/>
      <c r="AYS26" s="35"/>
      <c r="AYT26" s="35"/>
      <c r="AYU26" s="35"/>
      <c r="AYV26" s="35"/>
      <c r="AYW26" s="35"/>
      <c r="AYX26" s="35"/>
      <c r="AYY26" s="35"/>
      <c r="AYZ26" s="35"/>
      <c r="AZA26" s="35"/>
      <c r="AZB26" s="35"/>
      <c r="AZC26" s="35"/>
      <c r="AZD26" s="35"/>
      <c r="AZE26" s="35"/>
      <c r="AZF26" s="35"/>
      <c r="AZG26" s="35"/>
      <c r="AZH26" s="35"/>
      <c r="AZI26" s="35"/>
      <c r="AZJ26" s="35"/>
      <c r="AZK26" s="35"/>
      <c r="AZL26" s="35"/>
      <c r="AZM26" s="35"/>
      <c r="AZN26" s="35"/>
      <c r="AZO26" s="35"/>
      <c r="AZP26" s="35"/>
      <c r="AZQ26" s="35"/>
      <c r="AZR26" s="35"/>
      <c r="AZS26" s="35"/>
      <c r="AZT26" s="35"/>
      <c r="AZU26" s="35"/>
      <c r="AZV26" s="35"/>
      <c r="AZW26" s="35"/>
      <c r="AZX26" s="35"/>
      <c r="AZY26" s="35"/>
      <c r="AZZ26" s="35"/>
      <c r="BAA26" s="35"/>
      <c r="BAB26" s="35"/>
      <c r="BAC26" s="35"/>
      <c r="BAD26" s="35"/>
      <c r="BAE26" s="35"/>
      <c r="BAF26" s="35"/>
      <c r="BAG26" s="35"/>
      <c r="BAH26" s="35"/>
      <c r="BAI26" s="35"/>
      <c r="BAJ26" s="35"/>
      <c r="BAK26" s="35"/>
      <c r="BAL26" s="35"/>
      <c r="BAM26" s="35"/>
      <c r="BAN26" s="35"/>
      <c r="BAO26" s="35"/>
      <c r="BAP26" s="35"/>
      <c r="BAQ26" s="35"/>
      <c r="BAR26" s="35"/>
      <c r="BAS26" s="35"/>
      <c r="BAT26" s="35"/>
      <c r="BAU26" s="35"/>
      <c r="BAV26" s="35"/>
      <c r="BAW26" s="35"/>
      <c r="BAX26" s="35"/>
      <c r="BAY26" s="35"/>
      <c r="BAZ26" s="35"/>
      <c r="BBA26" s="35"/>
      <c r="BBB26" s="35"/>
      <c r="BBC26" s="35"/>
      <c r="BBD26" s="35"/>
      <c r="BBE26" s="35"/>
      <c r="BBF26" s="35"/>
      <c r="BBG26" s="35"/>
      <c r="BBH26" s="35"/>
      <c r="BBI26" s="35"/>
      <c r="BBJ26" s="35"/>
      <c r="BBK26" s="35"/>
      <c r="BBL26" s="35"/>
      <c r="BBM26" s="35"/>
      <c r="BBN26" s="35"/>
      <c r="BBO26" s="35"/>
      <c r="BBP26" s="35"/>
      <c r="BBQ26" s="35"/>
      <c r="BBR26" s="35"/>
      <c r="BBS26" s="35"/>
      <c r="BBT26" s="35"/>
      <c r="BBU26" s="35"/>
      <c r="BBV26" s="35"/>
      <c r="BBW26" s="35"/>
      <c r="BBX26" s="35"/>
      <c r="BBY26" s="35"/>
      <c r="BBZ26" s="35"/>
      <c r="BCA26" s="35"/>
      <c r="BCB26" s="35"/>
      <c r="BCC26" s="35"/>
      <c r="BCD26" s="35"/>
      <c r="BCE26" s="35"/>
      <c r="BCF26" s="35"/>
      <c r="BCG26" s="35"/>
      <c r="BCH26" s="35"/>
      <c r="BCI26" s="35"/>
      <c r="BCJ26" s="35"/>
      <c r="BCK26" s="35"/>
      <c r="BCL26" s="35"/>
      <c r="BCM26" s="35"/>
      <c r="BCN26" s="35"/>
      <c r="BCO26" s="35"/>
      <c r="BCP26" s="35"/>
      <c r="BCQ26" s="35"/>
      <c r="BCR26" s="35"/>
      <c r="BCS26" s="35"/>
      <c r="BCT26" s="35"/>
      <c r="BCU26" s="35"/>
      <c r="BCV26" s="35"/>
      <c r="BCW26" s="35"/>
      <c r="BCX26" s="35"/>
      <c r="BCY26" s="35"/>
      <c r="BCZ26" s="35"/>
      <c r="BDA26" s="35"/>
      <c r="BDB26" s="35"/>
      <c r="BDC26" s="35"/>
      <c r="BDD26" s="35"/>
      <c r="BDE26" s="35"/>
      <c r="BDF26" s="35"/>
      <c r="BDG26" s="35"/>
      <c r="BDH26" s="35"/>
      <c r="BDI26" s="35"/>
      <c r="BDJ26" s="35"/>
      <c r="BDK26" s="35"/>
      <c r="BDL26" s="35"/>
      <c r="BDM26" s="35"/>
      <c r="BDN26" s="35"/>
      <c r="BDO26" s="35"/>
      <c r="BDP26" s="35"/>
      <c r="BDQ26" s="35"/>
      <c r="BDR26" s="35"/>
      <c r="BDS26" s="35"/>
      <c r="BDT26" s="35"/>
      <c r="BDU26" s="35"/>
      <c r="BDV26" s="35"/>
      <c r="BDW26" s="35"/>
      <c r="BDX26" s="35"/>
      <c r="BDY26" s="35"/>
      <c r="BDZ26" s="35"/>
      <c r="BEA26" s="35"/>
      <c r="BEB26" s="35"/>
      <c r="BEC26" s="35"/>
      <c r="BED26" s="35"/>
      <c r="BEE26" s="35"/>
      <c r="BEF26" s="35"/>
      <c r="BEG26" s="35"/>
      <c r="BEH26" s="35"/>
      <c r="BEI26" s="35"/>
      <c r="BEJ26" s="35"/>
      <c r="BEK26" s="35"/>
      <c r="BEL26" s="35"/>
      <c r="BEM26" s="35"/>
      <c r="BEN26" s="35"/>
      <c r="BEO26" s="35"/>
      <c r="BEP26" s="35"/>
      <c r="BEQ26" s="35"/>
      <c r="BER26" s="35"/>
      <c r="BES26" s="35"/>
      <c r="BET26" s="35"/>
      <c r="BEU26" s="35"/>
      <c r="BEV26" s="35"/>
      <c r="BEW26" s="35"/>
      <c r="BEX26" s="35"/>
      <c r="BEY26" s="35"/>
      <c r="BEZ26" s="35"/>
      <c r="BFA26" s="35"/>
      <c r="BFB26" s="35"/>
      <c r="BFC26" s="35"/>
      <c r="BFD26" s="35"/>
      <c r="BFE26" s="35"/>
      <c r="BFF26" s="35"/>
      <c r="BFG26" s="35"/>
      <c r="BFH26" s="35"/>
      <c r="BFI26" s="35"/>
      <c r="BFJ26" s="35"/>
      <c r="BFK26" s="35"/>
      <c r="BFL26" s="35"/>
      <c r="BFM26" s="35"/>
      <c r="BFN26" s="35"/>
      <c r="BFO26" s="35"/>
      <c r="BFP26" s="35"/>
      <c r="BFQ26" s="35"/>
      <c r="BFR26" s="35"/>
      <c r="BFS26" s="35"/>
      <c r="BFT26" s="35"/>
      <c r="BFU26" s="35"/>
      <c r="BFV26" s="35"/>
      <c r="BFW26" s="35"/>
      <c r="BFX26" s="35"/>
      <c r="BFY26" s="35"/>
      <c r="BFZ26" s="35"/>
      <c r="BGA26" s="35"/>
      <c r="BGB26" s="35"/>
      <c r="BGC26" s="35"/>
      <c r="BGD26" s="35"/>
      <c r="BGE26" s="35"/>
      <c r="BGF26" s="35"/>
      <c r="BGG26" s="35"/>
      <c r="BGH26" s="35"/>
      <c r="BGI26" s="35"/>
      <c r="BGJ26" s="35"/>
      <c r="BGK26" s="35"/>
      <c r="BGL26" s="35"/>
      <c r="BGM26" s="35"/>
      <c r="BGN26" s="35"/>
      <c r="BGO26" s="35"/>
      <c r="BGP26" s="35"/>
      <c r="BGQ26" s="35"/>
      <c r="BGR26" s="35"/>
      <c r="BGS26" s="35"/>
      <c r="BGT26" s="35"/>
      <c r="BGU26" s="35"/>
      <c r="BGV26" s="35"/>
      <c r="BGW26" s="35"/>
      <c r="BGX26" s="35"/>
      <c r="BGY26" s="35"/>
      <c r="BGZ26" s="35"/>
      <c r="BHA26" s="35"/>
      <c r="BHB26" s="35"/>
      <c r="BHC26" s="35"/>
      <c r="BHD26" s="35"/>
      <c r="BHE26" s="35"/>
      <c r="BHF26" s="35"/>
      <c r="BHG26" s="35"/>
      <c r="BHH26" s="35"/>
      <c r="BHI26" s="35"/>
      <c r="BHJ26" s="35"/>
      <c r="BHK26" s="35"/>
      <c r="BHL26" s="35"/>
      <c r="BHM26" s="35"/>
      <c r="BHN26" s="35"/>
      <c r="BHO26" s="35"/>
      <c r="BHP26" s="35"/>
      <c r="BHQ26" s="35"/>
      <c r="BHR26" s="35"/>
      <c r="BHS26" s="35"/>
      <c r="BHT26" s="35"/>
      <c r="BHU26" s="35"/>
      <c r="BHV26" s="35"/>
      <c r="BHW26" s="35"/>
      <c r="BHX26" s="35"/>
      <c r="BHY26" s="35"/>
      <c r="BHZ26" s="35"/>
      <c r="BIA26" s="35"/>
      <c r="BIB26" s="35"/>
      <c r="BIC26" s="35"/>
      <c r="BID26" s="35"/>
      <c r="BIE26" s="35"/>
      <c r="BIF26" s="35"/>
      <c r="BIG26" s="35"/>
      <c r="BIH26" s="35"/>
      <c r="BII26" s="35"/>
      <c r="BIJ26" s="35"/>
      <c r="BIK26" s="35"/>
      <c r="BIL26" s="35"/>
      <c r="BIM26" s="35"/>
      <c r="BIN26" s="35"/>
      <c r="BIO26" s="35"/>
      <c r="BIP26" s="35"/>
      <c r="BIQ26" s="35"/>
      <c r="BIR26" s="35"/>
      <c r="BIS26" s="35"/>
      <c r="BIT26" s="35"/>
      <c r="BIU26" s="35"/>
      <c r="BIV26" s="35"/>
      <c r="BIW26" s="35"/>
      <c r="BIX26" s="35"/>
      <c r="BIY26" s="35"/>
      <c r="BIZ26" s="35"/>
      <c r="BJA26" s="35"/>
      <c r="BJB26" s="35"/>
      <c r="BJC26" s="35"/>
      <c r="BJD26" s="35"/>
      <c r="BJE26" s="35"/>
      <c r="BJF26" s="35"/>
      <c r="BJG26" s="35"/>
      <c r="BJH26" s="35"/>
      <c r="BJI26" s="35"/>
      <c r="BJJ26" s="35"/>
      <c r="BJK26" s="35"/>
      <c r="BJL26" s="35"/>
      <c r="BJM26" s="35"/>
      <c r="BJN26" s="35"/>
      <c r="BJO26" s="35"/>
      <c r="BJP26" s="35"/>
      <c r="BJQ26" s="35"/>
      <c r="BJR26" s="35"/>
      <c r="BJS26" s="35"/>
      <c r="BJT26" s="35"/>
      <c r="BJU26" s="35"/>
      <c r="BJV26" s="35"/>
      <c r="BJW26" s="35"/>
      <c r="BJX26" s="35"/>
      <c r="BJY26" s="35"/>
      <c r="BJZ26" s="35"/>
      <c r="BKA26" s="35"/>
      <c r="BKB26" s="35"/>
      <c r="BKC26" s="35"/>
      <c r="BKD26" s="35"/>
      <c r="BKE26" s="35"/>
      <c r="BKF26" s="35"/>
      <c r="BKG26" s="35"/>
      <c r="BKH26" s="35"/>
      <c r="BKI26" s="35"/>
      <c r="BKJ26" s="35"/>
      <c r="BKK26" s="35"/>
      <c r="BKL26" s="35"/>
      <c r="BKM26" s="35"/>
      <c r="BKN26" s="35"/>
      <c r="BKO26" s="35"/>
      <c r="BKP26" s="35"/>
      <c r="BKQ26" s="35"/>
      <c r="BKR26" s="35"/>
      <c r="BKS26" s="35"/>
      <c r="BKT26" s="35"/>
      <c r="BKU26" s="35"/>
      <c r="BKV26" s="35"/>
      <c r="BKW26" s="35"/>
      <c r="BKX26" s="35"/>
      <c r="BKY26" s="35"/>
      <c r="BKZ26" s="35"/>
      <c r="BLA26" s="35"/>
      <c r="BLB26" s="35"/>
      <c r="BLC26" s="35"/>
      <c r="BLD26" s="35"/>
      <c r="BLE26" s="35"/>
      <c r="BLF26" s="35"/>
      <c r="BLG26" s="35"/>
      <c r="BLH26" s="35"/>
      <c r="BLI26" s="35"/>
      <c r="BLJ26" s="35"/>
      <c r="BLK26" s="35"/>
      <c r="BLL26" s="35"/>
      <c r="BLM26" s="35"/>
      <c r="BLN26" s="35"/>
      <c r="BLO26" s="35"/>
      <c r="BLP26" s="35"/>
      <c r="BLQ26" s="35"/>
      <c r="BLR26" s="35"/>
      <c r="BLS26" s="35"/>
      <c r="BLT26" s="35"/>
      <c r="BLU26" s="35"/>
      <c r="BLV26" s="35"/>
      <c r="BLW26" s="35"/>
      <c r="BLX26" s="35"/>
      <c r="BLY26" s="35"/>
      <c r="BLZ26" s="35"/>
      <c r="BMA26" s="35"/>
      <c r="BMB26" s="35"/>
      <c r="BMC26" s="35"/>
      <c r="BMD26" s="35"/>
      <c r="BME26" s="35"/>
      <c r="BMF26" s="35"/>
      <c r="BMG26" s="35"/>
      <c r="BMH26" s="35"/>
      <c r="BMI26" s="35"/>
      <c r="BMJ26" s="35"/>
      <c r="BMK26" s="35"/>
      <c r="BML26" s="35"/>
      <c r="BMM26" s="35"/>
      <c r="BMN26" s="35"/>
      <c r="BMO26" s="35"/>
      <c r="BMP26" s="35"/>
      <c r="BMQ26" s="35"/>
      <c r="BMR26" s="35"/>
      <c r="BMS26" s="35"/>
      <c r="BMT26" s="35"/>
      <c r="BMU26" s="35"/>
      <c r="BMV26" s="35"/>
      <c r="BMW26" s="35"/>
      <c r="BMX26" s="35"/>
      <c r="BMY26" s="35"/>
      <c r="BMZ26" s="35"/>
      <c r="BNA26" s="35"/>
      <c r="BNB26" s="35"/>
      <c r="BNC26" s="35"/>
      <c r="BND26" s="35"/>
      <c r="BNE26" s="35"/>
      <c r="BNF26" s="35"/>
      <c r="BNG26" s="35"/>
      <c r="BNH26" s="35"/>
      <c r="BNI26" s="35"/>
      <c r="BNJ26" s="35"/>
      <c r="BNK26" s="35"/>
      <c r="BNL26" s="35"/>
      <c r="BNM26" s="35"/>
      <c r="BNN26" s="35"/>
      <c r="BNO26" s="35"/>
      <c r="BNP26" s="35"/>
      <c r="BNQ26" s="35"/>
      <c r="BNR26" s="35"/>
      <c r="BNS26" s="35"/>
      <c r="BNT26" s="35"/>
      <c r="BNU26" s="35"/>
      <c r="BNV26" s="35"/>
      <c r="BNW26" s="35"/>
      <c r="BNX26" s="35"/>
      <c r="BNY26" s="35"/>
      <c r="BNZ26" s="35"/>
      <c r="BOA26" s="35"/>
      <c r="BOB26" s="35"/>
      <c r="BOC26" s="35"/>
      <c r="BOD26" s="35"/>
      <c r="BOE26" s="35"/>
      <c r="BOF26" s="35"/>
      <c r="BOG26" s="35"/>
      <c r="BOH26" s="35"/>
      <c r="BOI26" s="35"/>
      <c r="BOJ26" s="35"/>
      <c r="BOK26" s="35"/>
      <c r="BOL26" s="35"/>
      <c r="BOM26" s="35"/>
      <c r="BON26" s="35"/>
      <c r="BOO26" s="35"/>
      <c r="BOP26" s="35"/>
      <c r="BOQ26" s="35"/>
      <c r="BOR26" s="35"/>
      <c r="BOS26" s="35"/>
      <c r="BOT26" s="35"/>
      <c r="BOU26" s="35"/>
      <c r="BOV26" s="35"/>
      <c r="BOW26" s="35"/>
      <c r="BOX26" s="35"/>
      <c r="BOY26" s="35"/>
      <c r="BOZ26" s="35"/>
      <c r="BPA26" s="35"/>
      <c r="BPB26" s="35"/>
      <c r="BPC26" s="35"/>
      <c r="BPD26" s="35"/>
      <c r="BPE26" s="35"/>
      <c r="BPF26" s="35"/>
      <c r="BPG26" s="35"/>
      <c r="BPH26" s="35"/>
      <c r="BPI26" s="35"/>
      <c r="BPJ26" s="35"/>
      <c r="BPK26" s="35"/>
      <c r="BPL26" s="35"/>
      <c r="BPM26" s="35"/>
      <c r="BPN26" s="35"/>
      <c r="BPO26" s="35"/>
      <c r="BPP26" s="35"/>
      <c r="BPQ26" s="35"/>
      <c r="BPR26" s="35"/>
      <c r="BPS26" s="35"/>
      <c r="BPT26" s="35"/>
      <c r="BPU26" s="35"/>
      <c r="BPV26" s="35"/>
      <c r="BPW26" s="35"/>
      <c r="BPX26" s="35"/>
      <c r="BPY26" s="35"/>
      <c r="BPZ26" s="35"/>
      <c r="BQA26" s="35"/>
      <c r="BQB26" s="35"/>
      <c r="BQC26" s="35"/>
      <c r="BQD26" s="35"/>
      <c r="BQE26" s="35"/>
      <c r="BQF26" s="35"/>
      <c r="BQG26" s="35"/>
      <c r="BQH26" s="35"/>
      <c r="BQI26" s="35"/>
      <c r="BQJ26" s="35"/>
      <c r="BQK26" s="35"/>
      <c r="BQL26" s="35"/>
      <c r="BQM26" s="35"/>
      <c r="BQN26" s="35"/>
      <c r="BQO26" s="35"/>
      <c r="BQP26" s="35"/>
      <c r="BQQ26" s="35"/>
      <c r="BQR26" s="35"/>
      <c r="BQS26" s="35"/>
      <c r="BQT26" s="35"/>
      <c r="BQU26" s="35"/>
      <c r="BQV26" s="35"/>
      <c r="BQW26" s="35"/>
      <c r="BQX26" s="35"/>
      <c r="BQY26" s="35"/>
      <c r="BQZ26" s="35"/>
      <c r="BRA26" s="35"/>
      <c r="BRB26" s="35"/>
      <c r="BRC26" s="35"/>
      <c r="BRD26" s="35"/>
      <c r="BRE26" s="35"/>
      <c r="BRF26" s="35"/>
      <c r="BRG26" s="35"/>
      <c r="BRH26" s="35"/>
      <c r="BRI26" s="35"/>
      <c r="BRJ26" s="35"/>
      <c r="BRK26" s="35"/>
      <c r="BRL26" s="35"/>
      <c r="BRM26" s="35"/>
      <c r="BRN26" s="35"/>
      <c r="BRO26" s="35"/>
      <c r="BRP26" s="35"/>
      <c r="BRQ26" s="35"/>
      <c r="BRR26" s="35"/>
      <c r="BRS26" s="35"/>
      <c r="BRT26" s="35"/>
      <c r="BRU26" s="35"/>
      <c r="BRV26" s="35"/>
      <c r="BRW26" s="35"/>
      <c r="BRX26" s="35"/>
      <c r="BRY26" s="35"/>
      <c r="BRZ26" s="35"/>
      <c r="BSA26" s="35"/>
      <c r="BSB26" s="35"/>
      <c r="BSC26" s="35"/>
      <c r="BSD26" s="35"/>
      <c r="BSE26" s="35"/>
      <c r="BSF26" s="35"/>
      <c r="BSG26" s="35"/>
      <c r="BSH26" s="35"/>
      <c r="BSI26" s="35"/>
      <c r="BSJ26" s="35"/>
      <c r="BSK26" s="35"/>
      <c r="BSL26" s="35"/>
      <c r="BSM26" s="35"/>
      <c r="BSN26" s="35"/>
      <c r="BSO26" s="35"/>
      <c r="BSP26" s="35"/>
      <c r="BSQ26" s="35"/>
      <c r="BSR26" s="35"/>
      <c r="BSS26" s="35"/>
      <c r="BST26" s="35"/>
      <c r="BSU26" s="35"/>
      <c r="BSV26" s="35"/>
      <c r="BSW26" s="35"/>
      <c r="BSX26" s="35"/>
      <c r="BSY26" s="35"/>
      <c r="BSZ26" s="35"/>
      <c r="BTA26" s="35"/>
      <c r="BTB26" s="35"/>
      <c r="BTC26" s="35"/>
      <c r="BTD26" s="35"/>
      <c r="BTE26" s="35"/>
      <c r="BTF26" s="35"/>
      <c r="BTG26" s="35"/>
      <c r="BTH26" s="35"/>
      <c r="BTI26" s="35"/>
      <c r="BTJ26" s="35"/>
      <c r="BTK26" s="35"/>
      <c r="BTL26" s="35"/>
      <c r="BTM26" s="35"/>
      <c r="BTN26" s="35"/>
      <c r="BTO26" s="35"/>
      <c r="BTP26" s="35"/>
      <c r="BTQ26" s="35"/>
      <c r="BTR26" s="35"/>
      <c r="BTS26" s="35"/>
      <c r="BTT26" s="35"/>
      <c r="BTU26" s="35"/>
      <c r="BTV26" s="35"/>
      <c r="BTW26" s="35"/>
      <c r="BTX26" s="35"/>
      <c r="BTY26" s="35"/>
      <c r="BTZ26" s="35"/>
      <c r="BUA26" s="35"/>
      <c r="BUB26" s="35"/>
      <c r="BUC26" s="35"/>
      <c r="BUD26" s="35"/>
      <c r="BUE26" s="35"/>
      <c r="BUF26" s="35"/>
      <c r="BUG26" s="35"/>
      <c r="BUH26" s="35"/>
      <c r="BUI26" s="35"/>
      <c r="BUJ26" s="35"/>
      <c r="BUK26" s="35"/>
      <c r="BUL26" s="35"/>
      <c r="BUM26" s="35"/>
      <c r="BUN26" s="35"/>
      <c r="BUO26" s="35"/>
      <c r="BUP26" s="35"/>
      <c r="BUQ26" s="35"/>
      <c r="BUR26" s="35"/>
      <c r="BUS26" s="35"/>
      <c r="BUT26" s="35"/>
      <c r="BUU26" s="35"/>
      <c r="BUV26" s="35"/>
      <c r="BUW26" s="35"/>
      <c r="BUX26" s="35"/>
      <c r="BUY26" s="35"/>
      <c r="BUZ26" s="35"/>
      <c r="BVA26" s="35"/>
      <c r="BVB26" s="35"/>
      <c r="BVC26" s="35"/>
      <c r="BVD26" s="35"/>
      <c r="BVE26" s="35"/>
      <c r="BVF26" s="35"/>
      <c r="BVG26" s="35"/>
      <c r="BVH26" s="35"/>
      <c r="BVI26" s="35"/>
      <c r="BVJ26" s="35"/>
      <c r="BVK26" s="35"/>
      <c r="BVL26" s="35"/>
      <c r="BVM26" s="35"/>
      <c r="BVN26" s="35"/>
      <c r="BVO26" s="35"/>
      <c r="BVP26" s="35"/>
      <c r="BVQ26" s="35"/>
      <c r="BVR26" s="35"/>
      <c r="BVS26" s="35"/>
      <c r="BVT26" s="35"/>
      <c r="BVU26" s="35"/>
      <c r="BVV26" s="35"/>
      <c r="BVW26" s="35"/>
      <c r="BVX26" s="35"/>
      <c r="BVY26" s="35"/>
      <c r="BVZ26" s="35"/>
      <c r="BWA26" s="35"/>
      <c r="BWB26" s="35"/>
      <c r="BWC26" s="35"/>
      <c r="BWD26" s="35"/>
      <c r="BWE26" s="35"/>
      <c r="BWF26" s="35"/>
      <c r="BWG26" s="35"/>
      <c r="BWH26" s="35"/>
      <c r="BWI26" s="35"/>
      <c r="BWJ26" s="35"/>
      <c r="BWK26" s="35"/>
      <c r="BWL26" s="35"/>
      <c r="BWM26" s="35"/>
      <c r="BWN26" s="35"/>
      <c r="BWO26" s="35"/>
      <c r="BWP26" s="35"/>
      <c r="BWQ26" s="35"/>
      <c r="BWR26" s="35"/>
      <c r="BWS26" s="35"/>
      <c r="BWT26" s="35"/>
      <c r="BWU26" s="35"/>
      <c r="BWV26" s="35"/>
      <c r="BWW26" s="35"/>
      <c r="BWX26" s="35"/>
      <c r="BWY26" s="35"/>
      <c r="BWZ26" s="35"/>
      <c r="BXA26" s="35"/>
      <c r="BXB26" s="35"/>
      <c r="BXC26" s="35"/>
      <c r="BXD26" s="35"/>
      <c r="BXE26" s="35"/>
      <c r="BXF26" s="35"/>
      <c r="BXG26" s="35"/>
      <c r="BXH26" s="35"/>
      <c r="BXI26" s="35"/>
      <c r="BXJ26" s="35"/>
      <c r="BXK26" s="35"/>
      <c r="BXL26" s="35"/>
      <c r="BXM26" s="35"/>
      <c r="BXN26" s="35"/>
      <c r="BXO26" s="35"/>
      <c r="BXP26" s="35"/>
      <c r="BXQ26" s="35"/>
      <c r="BXR26" s="35"/>
      <c r="BXS26" s="35"/>
      <c r="BXT26" s="35"/>
      <c r="BXU26" s="35"/>
      <c r="BXV26" s="35"/>
      <c r="BXW26" s="35"/>
      <c r="BXX26" s="35"/>
      <c r="BXY26" s="35"/>
      <c r="BXZ26" s="35"/>
      <c r="BYA26" s="35"/>
      <c r="BYB26" s="35"/>
      <c r="BYC26" s="35"/>
      <c r="BYD26" s="35"/>
      <c r="BYE26" s="35"/>
      <c r="BYF26" s="35"/>
      <c r="BYG26" s="35"/>
      <c r="BYH26" s="35"/>
      <c r="BYI26" s="35"/>
      <c r="BYJ26" s="35"/>
      <c r="BYK26" s="35"/>
      <c r="BYL26" s="35"/>
      <c r="BYM26" s="35"/>
      <c r="BYN26" s="35"/>
      <c r="BYO26" s="35"/>
      <c r="BYP26" s="35"/>
      <c r="BYQ26" s="35"/>
      <c r="BYR26" s="35"/>
      <c r="BYS26" s="35"/>
      <c r="BYT26" s="35"/>
      <c r="BYU26" s="35"/>
      <c r="BYV26" s="35"/>
      <c r="BYW26" s="35"/>
      <c r="BYX26" s="35"/>
      <c r="BYY26" s="35"/>
      <c r="BYZ26" s="35"/>
      <c r="BZA26" s="35"/>
      <c r="BZB26" s="35"/>
      <c r="BZC26" s="35"/>
      <c r="BZD26" s="35"/>
      <c r="BZE26" s="35"/>
      <c r="BZF26" s="35"/>
      <c r="BZG26" s="35"/>
      <c r="BZH26" s="35"/>
      <c r="BZI26" s="35"/>
      <c r="BZJ26" s="35"/>
      <c r="BZK26" s="35"/>
      <c r="BZL26" s="35"/>
      <c r="BZM26" s="35"/>
      <c r="BZN26" s="35"/>
      <c r="BZO26" s="35"/>
      <c r="BZP26" s="35"/>
      <c r="BZQ26" s="35"/>
      <c r="BZR26" s="35"/>
      <c r="BZS26" s="35"/>
      <c r="BZT26" s="35"/>
      <c r="BZU26" s="35"/>
      <c r="BZV26" s="35"/>
      <c r="BZW26" s="35"/>
      <c r="BZX26" s="35"/>
      <c r="BZY26" s="35"/>
      <c r="BZZ26" s="35"/>
      <c r="CAA26" s="35"/>
      <c r="CAB26" s="35"/>
      <c r="CAC26" s="35"/>
      <c r="CAD26" s="35"/>
      <c r="CAE26" s="35"/>
      <c r="CAF26" s="35"/>
      <c r="CAG26" s="35"/>
      <c r="CAH26" s="35"/>
      <c r="CAI26" s="35"/>
      <c r="CAJ26" s="35"/>
      <c r="CAK26" s="35"/>
      <c r="CAL26" s="35"/>
      <c r="CAM26" s="35"/>
      <c r="CAN26" s="35"/>
      <c r="CAO26" s="35"/>
      <c r="CAP26" s="35"/>
      <c r="CAQ26" s="35"/>
      <c r="CAR26" s="35"/>
      <c r="CAS26" s="35"/>
      <c r="CAT26" s="35"/>
      <c r="CAU26" s="35"/>
      <c r="CAV26" s="35"/>
      <c r="CAW26" s="35"/>
      <c r="CAX26" s="35"/>
      <c r="CAY26" s="35"/>
      <c r="CAZ26" s="35"/>
      <c r="CBA26" s="35"/>
      <c r="CBB26" s="35"/>
      <c r="CBC26" s="35"/>
      <c r="CBD26" s="35"/>
      <c r="CBE26" s="35"/>
      <c r="CBF26" s="35"/>
      <c r="CBG26" s="35"/>
      <c r="CBH26" s="35"/>
      <c r="CBI26" s="35"/>
      <c r="CBJ26" s="35"/>
      <c r="CBK26" s="35"/>
      <c r="CBL26" s="35"/>
      <c r="CBM26" s="35"/>
      <c r="CBN26" s="35"/>
      <c r="CBO26" s="35"/>
      <c r="CBP26" s="35"/>
      <c r="CBQ26" s="35"/>
      <c r="CBR26" s="35"/>
      <c r="CBS26" s="35"/>
      <c r="CBT26" s="35"/>
      <c r="CBU26" s="35"/>
      <c r="CBV26" s="35"/>
      <c r="CBW26" s="35"/>
      <c r="CBX26" s="35"/>
      <c r="CBY26" s="35"/>
      <c r="CBZ26" s="35"/>
      <c r="CCA26" s="35"/>
      <c r="CCB26" s="35"/>
      <c r="CCC26" s="35"/>
      <c r="CCD26" s="35"/>
      <c r="CCE26" s="35"/>
      <c r="CCF26" s="35"/>
      <c r="CCG26" s="35"/>
      <c r="CCH26" s="35"/>
      <c r="CCI26" s="35"/>
      <c r="CCJ26" s="35"/>
      <c r="CCK26" s="35"/>
      <c r="CCL26" s="35"/>
      <c r="CCM26" s="35"/>
      <c r="CCN26" s="35"/>
      <c r="CCO26" s="35"/>
      <c r="CCP26" s="35"/>
      <c r="CCQ26" s="35"/>
      <c r="CCR26" s="35"/>
      <c r="CCS26" s="35"/>
      <c r="CCT26" s="35"/>
      <c r="CCU26" s="35"/>
      <c r="CCV26" s="35"/>
      <c r="CCW26" s="35"/>
      <c r="CCX26" s="35"/>
      <c r="CCY26" s="35"/>
      <c r="CCZ26" s="35"/>
      <c r="CDA26" s="35"/>
      <c r="CDB26" s="35"/>
      <c r="CDC26" s="35"/>
      <c r="CDD26" s="35"/>
      <c r="CDE26" s="35"/>
      <c r="CDF26" s="35"/>
      <c r="CDG26" s="35"/>
      <c r="CDH26" s="35"/>
      <c r="CDI26" s="35"/>
      <c r="CDJ26" s="35"/>
      <c r="CDK26" s="35"/>
      <c r="CDL26" s="35"/>
      <c r="CDM26" s="35"/>
      <c r="CDN26" s="35"/>
      <c r="CDO26" s="35"/>
      <c r="CDP26" s="35"/>
      <c r="CDQ26" s="35"/>
      <c r="CDR26" s="35"/>
      <c r="CDS26" s="35"/>
      <c r="CDT26" s="35"/>
      <c r="CDU26" s="35"/>
      <c r="CDV26" s="35"/>
      <c r="CDW26" s="35"/>
      <c r="CDX26" s="35"/>
      <c r="CDY26" s="35"/>
      <c r="CDZ26" s="35"/>
      <c r="CEA26" s="35"/>
      <c r="CEB26" s="35"/>
      <c r="CEC26" s="35"/>
      <c r="CED26" s="35"/>
      <c r="CEE26" s="35"/>
      <c r="CEF26" s="35"/>
      <c r="CEG26" s="35"/>
      <c r="CEH26" s="35"/>
      <c r="CEI26" s="35"/>
      <c r="CEJ26" s="35"/>
      <c r="CEK26" s="35"/>
      <c r="CEL26" s="35"/>
      <c r="CEM26" s="35"/>
      <c r="CEN26" s="35"/>
      <c r="CEO26" s="35"/>
      <c r="CEP26" s="35"/>
      <c r="CEQ26" s="35"/>
      <c r="CER26" s="35"/>
      <c r="CES26" s="35"/>
      <c r="CET26" s="35"/>
      <c r="CEU26" s="35"/>
      <c r="CEV26" s="35"/>
      <c r="CEW26" s="35"/>
      <c r="CEX26" s="35"/>
      <c r="CEY26" s="35"/>
      <c r="CEZ26" s="35"/>
      <c r="CFA26" s="35"/>
      <c r="CFB26" s="35"/>
      <c r="CFC26" s="35"/>
      <c r="CFD26" s="35"/>
      <c r="CFE26" s="35"/>
      <c r="CFF26" s="35"/>
      <c r="CFG26" s="35"/>
      <c r="CFH26" s="35"/>
      <c r="CFI26" s="35"/>
      <c r="CFJ26" s="35"/>
      <c r="CFK26" s="35"/>
      <c r="CFL26" s="35"/>
      <c r="CFM26" s="35"/>
      <c r="CFN26" s="35"/>
      <c r="CFO26" s="35"/>
      <c r="CFP26" s="35"/>
      <c r="CFQ26" s="35"/>
      <c r="CFR26" s="35"/>
      <c r="CFS26" s="35"/>
      <c r="CFT26" s="35"/>
      <c r="CFU26" s="35"/>
      <c r="CFV26" s="35"/>
      <c r="CFW26" s="35"/>
      <c r="CFX26" s="35"/>
      <c r="CFY26" s="35"/>
      <c r="CFZ26" s="35"/>
      <c r="CGA26" s="35"/>
      <c r="CGB26" s="35"/>
      <c r="CGC26" s="35"/>
      <c r="CGD26" s="35"/>
      <c r="CGE26" s="35"/>
      <c r="CGF26" s="35"/>
      <c r="CGG26" s="35"/>
      <c r="CGH26" s="35"/>
      <c r="CGI26" s="35"/>
      <c r="CGJ26" s="35"/>
      <c r="CGK26" s="35"/>
      <c r="CGL26" s="35"/>
      <c r="CGM26" s="35"/>
      <c r="CGN26" s="35"/>
      <c r="CGO26" s="35"/>
      <c r="CGP26" s="35"/>
      <c r="CGQ26" s="35"/>
      <c r="CGR26" s="35"/>
      <c r="CGS26" s="35"/>
      <c r="CGT26" s="35"/>
      <c r="CGU26" s="35"/>
      <c r="CGV26" s="35"/>
      <c r="CGW26" s="35"/>
      <c r="CGX26" s="35"/>
      <c r="CGY26" s="35"/>
      <c r="CGZ26" s="35"/>
      <c r="CHA26" s="35"/>
      <c r="CHB26" s="35"/>
      <c r="CHC26" s="35"/>
      <c r="CHD26" s="35"/>
      <c r="CHE26" s="35"/>
      <c r="CHF26" s="35"/>
      <c r="CHG26" s="35"/>
      <c r="CHH26" s="35"/>
      <c r="CHI26" s="35"/>
      <c r="CHJ26" s="35"/>
      <c r="CHK26" s="35"/>
      <c r="CHL26" s="35"/>
      <c r="CHM26" s="35"/>
      <c r="CHN26" s="35"/>
      <c r="CHO26" s="35"/>
      <c r="CHP26" s="35"/>
      <c r="CHQ26" s="35"/>
      <c r="CHR26" s="35"/>
      <c r="CHS26" s="35"/>
      <c r="CHT26" s="35"/>
      <c r="CHU26" s="35"/>
      <c r="CHV26" s="35"/>
      <c r="CHW26" s="35"/>
      <c r="CHX26" s="35"/>
      <c r="CHY26" s="35"/>
      <c r="CHZ26" s="35"/>
      <c r="CIA26" s="35"/>
      <c r="CIB26" s="35"/>
      <c r="CIC26" s="35"/>
      <c r="CID26" s="35"/>
      <c r="CIE26" s="35"/>
      <c r="CIF26" s="35"/>
      <c r="CIG26" s="35"/>
      <c r="CIH26" s="35"/>
      <c r="CII26" s="35"/>
      <c r="CIJ26" s="35"/>
      <c r="CIK26" s="35"/>
      <c r="CIL26" s="35"/>
      <c r="CIM26" s="35"/>
      <c r="CIN26" s="35"/>
      <c r="CIO26" s="35"/>
      <c r="CIP26" s="35"/>
      <c r="CIQ26" s="35"/>
      <c r="CIR26" s="35"/>
      <c r="CIS26" s="35"/>
      <c r="CIT26" s="35"/>
      <c r="CIU26" s="35"/>
      <c r="CIV26" s="35"/>
      <c r="CIW26" s="35"/>
      <c r="CIX26" s="35"/>
      <c r="CIY26" s="35"/>
      <c r="CIZ26" s="35"/>
      <c r="CJA26" s="35"/>
      <c r="CJB26" s="35"/>
      <c r="CJC26" s="35"/>
      <c r="CJD26" s="35"/>
      <c r="CJE26" s="35"/>
      <c r="CJF26" s="35"/>
      <c r="CJG26" s="35"/>
      <c r="CJH26" s="35"/>
      <c r="CJI26" s="35"/>
      <c r="CJJ26" s="35"/>
      <c r="CJK26" s="35"/>
      <c r="CJL26" s="35"/>
      <c r="CJM26" s="35"/>
      <c r="CJN26" s="35"/>
      <c r="CJO26" s="35"/>
      <c r="CJP26" s="35"/>
      <c r="CJQ26" s="35"/>
      <c r="CJR26" s="35"/>
      <c r="CJS26" s="35"/>
      <c r="CJT26" s="35"/>
      <c r="CJU26" s="35"/>
      <c r="CJV26" s="35"/>
      <c r="CJW26" s="35"/>
      <c r="CJX26" s="35"/>
      <c r="CJY26" s="35"/>
      <c r="CJZ26" s="35"/>
      <c r="CKA26" s="35"/>
      <c r="CKB26" s="35"/>
      <c r="CKC26" s="35"/>
      <c r="CKD26" s="35"/>
      <c r="CKE26" s="35"/>
      <c r="CKF26" s="35"/>
      <c r="CKG26" s="35"/>
      <c r="CKH26" s="35"/>
      <c r="CKI26" s="35"/>
      <c r="CKJ26" s="35"/>
      <c r="CKK26" s="35"/>
      <c r="CKL26" s="35"/>
      <c r="CKM26" s="35"/>
      <c r="CKN26" s="35"/>
      <c r="CKO26" s="35"/>
      <c r="CKP26" s="35"/>
      <c r="CKQ26" s="35"/>
      <c r="CKR26" s="35"/>
      <c r="CKS26" s="35"/>
      <c r="CKT26" s="35"/>
      <c r="CKU26" s="35"/>
      <c r="CKV26" s="35"/>
      <c r="CKW26" s="35"/>
      <c r="CKX26" s="35"/>
      <c r="CKY26" s="35"/>
      <c r="CKZ26" s="35"/>
      <c r="CLA26" s="35"/>
      <c r="CLB26" s="35"/>
      <c r="CLC26" s="35"/>
      <c r="CLD26" s="35"/>
      <c r="CLE26" s="35"/>
      <c r="CLF26" s="35"/>
      <c r="CLG26" s="35"/>
      <c r="CLH26" s="35"/>
      <c r="CLI26" s="35"/>
      <c r="CLJ26" s="35"/>
      <c r="CLK26" s="35"/>
      <c r="CLL26" s="35"/>
      <c r="CLM26" s="35"/>
      <c r="CLN26" s="35"/>
      <c r="CLO26" s="35"/>
      <c r="CLP26" s="35"/>
      <c r="CLQ26" s="35"/>
      <c r="CLR26" s="35"/>
      <c r="CLS26" s="35"/>
      <c r="CLT26" s="35"/>
      <c r="CLU26" s="35"/>
      <c r="CLV26" s="35"/>
      <c r="CLW26" s="35"/>
      <c r="CLX26" s="35"/>
      <c r="CLY26" s="35"/>
      <c r="CLZ26" s="35"/>
      <c r="CMA26" s="35"/>
      <c r="CMB26" s="35"/>
      <c r="CMC26" s="35"/>
      <c r="CMD26" s="35"/>
      <c r="CME26" s="35"/>
      <c r="CMF26" s="35"/>
      <c r="CMG26" s="35"/>
      <c r="CMH26" s="35"/>
      <c r="CMI26" s="35"/>
      <c r="CMJ26" s="35"/>
      <c r="CMK26" s="35"/>
      <c r="CML26" s="35"/>
      <c r="CMM26" s="35"/>
      <c r="CMN26" s="35"/>
      <c r="CMO26" s="35"/>
      <c r="CMP26" s="35"/>
      <c r="CMQ26" s="35"/>
      <c r="CMR26" s="35"/>
      <c r="CMS26" s="35"/>
      <c r="CMT26" s="35"/>
      <c r="CMU26" s="35"/>
      <c r="CMV26" s="35"/>
      <c r="CMW26" s="35"/>
      <c r="CMX26" s="35"/>
      <c r="CMY26" s="35"/>
      <c r="CMZ26" s="35"/>
      <c r="CNA26" s="35"/>
      <c r="CNB26" s="35"/>
      <c r="CNC26" s="35"/>
      <c r="CND26" s="35"/>
      <c r="CNE26" s="35"/>
      <c r="CNF26" s="35"/>
      <c r="CNG26" s="35"/>
      <c r="CNH26" s="35"/>
      <c r="CNI26" s="35"/>
      <c r="CNJ26" s="35"/>
      <c r="CNK26" s="35"/>
      <c r="CNL26" s="35"/>
      <c r="CNM26" s="35"/>
      <c r="CNN26" s="35"/>
      <c r="CNO26" s="35"/>
      <c r="CNP26" s="35"/>
      <c r="CNQ26" s="35"/>
      <c r="CNR26" s="35"/>
      <c r="CNS26" s="35"/>
      <c r="CNT26" s="35"/>
      <c r="CNU26" s="35"/>
      <c r="CNV26" s="35"/>
      <c r="CNW26" s="35"/>
      <c r="CNX26" s="35"/>
      <c r="CNY26" s="35"/>
      <c r="CNZ26" s="35"/>
      <c r="COA26" s="35"/>
      <c r="COB26" s="35"/>
      <c r="COC26" s="35"/>
      <c r="COD26" s="35"/>
      <c r="COE26" s="35"/>
      <c r="COF26" s="35"/>
      <c r="COG26" s="35"/>
      <c r="COH26" s="35"/>
      <c r="COI26" s="35"/>
      <c r="COJ26" s="35"/>
      <c r="COK26" s="35"/>
      <c r="COL26" s="35"/>
      <c r="COM26" s="35"/>
      <c r="CON26" s="35"/>
      <c r="COO26" s="35"/>
      <c r="COP26" s="35"/>
      <c r="COQ26" s="35"/>
      <c r="COR26" s="35"/>
      <c r="COS26" s="35"/>
      <c r="COT26" s="35"/>
      <c r="COU26" s="35"/>
      <c r="COV26" s="35"/>
      <c r="COW26" s="35"/>
      <c r="COX26" s="35"/>
      <c r="COY26" s="35"/>
      <c r="COZ26" s="35"/>
      <c r="CPA26" s="35"/>
      <c r="CPB26" s="35"/>
      <c r="CPC26" s="35"/>
      <c r="CPD26" s="35"/>
      <c r="CPE26" s="35"/>
      <c r="CPF26" s="35"/>
      <c r="CPG26" s="35"/>
      <c r="CPH26" s="35"/>
      <c r="CPI26" s="35"/>
      <c r="CPJ26" s="35"/>
      <c r="CPK26" s="35"/>
      <c r="CPL26" s="35"/>
      <c r="CPM26" s="35"/>
      <c r="CPN26" s="35"/>
      <c r="CPO26" s="35"/>
      <c r="CPP26" s="35"/>
      <c r="CPQ26" s="35"/>
      <c r="CPR26" s="35"/>
      <c r="CPS26" s="35"/>
      <c r="CPT26" s="35"/>
      <c r="CPU26" s="35"/>
      <c r="CPV26" s="35"/>
      <c r="CPW26" s="35"/>
      <c r="CPX26" s="35"/>
      <c r="CPY26" s="35"/>
      <c r="CPZ26" s="35"/>
      <c r="CQA26" s="35"/>
      <c r="CQB26" s="35"/>
      <c r="CQC26" s="35"/>
      <c r="CQD26" s="35"/>
      <c r="CQE26" s="35"/>
      <c r="CQF26" s="35"/>
      <c r="CQG26" s="35"/>
      <c r="CQH26" s="35"/>
      <c r="CQI26" s="35"/>
      <c r="CQJ26" s="35"/>
      <c r="CQK26" s="35"/>
      <c r="CQL26" s="35"/>
      <c r="CQM26" s="35"/>
      <c r="CQN26" s="35"/>
      <c r="CQO26" s="35"/>
      <c r="CQP26" s="35"/>
      <c r="CQQ26" s="35"/>
      <c r="CQR26" s="35"/>
      <c r="CQS26" s="35"/>
      <c r="CQT26" s="35"/>
      <c r="CQU26" s="35"/>
      <c r="CQV26" s="35"/>
      <c r="CQW26" s="35"/>
      <c r="CQX26" s="35"/>
      <c r="CQY26" s="35"/>
      <c r="CQZ26" s="35"/>
      <c r="CRA26" s="35"/>
      <c r="CRB26" s="35"/>
      <c r="CRC26" s="35"/>
      <c r="CRD26" s="35"/>
      <c r="CRE26" s="35"/>
      <c r="CRF26" s="35"/>
      <c r="CRG26" s="35"/>
      <c r="CRH26" s="35"/>
      <c r="CRI26" s="35"/>
      <c r="CRJ26" s="35"/>
      <c r="CRK26" s="35"/>
      <c r="CRL26" s="35"/>
      <c r="CRM26" s="35"/>
      <c r="CRN26" s="35"/>
      <c r="CRO26" s="35"/>
      <c r="CRP26" s="35"/>
      <c r="CRQ26" s="35"/>
      <c r="CRR26" s="35"/>
      <c r="CRS26" s="35"/>
      <c r="CRT26" s="35"/>
      <c r="CRU26" s="35"/>
      <c r="CRV26" s="35"/>
      <c r="CRW26" s="35"/>
      <c r="CRX26" s="35"/>
      <c r="CRY26" s="35"/>
      <c r="CRZ26" s="35"/>
      <c r="CSA26" s="35"/>
      <c r="CSB26" s="35"/>
      <c r="CSC26" s="35"/>
      <c r="CSD26" s="35"/>
      <c r="CSE26" s="35"/>
      <c r="CSF26" s="35"/>
      <c r="CSG26" s="35"/>
      <c r="CSH26" s="35"/>
      <c r="CSI26" s="35"/>
      <c r="CSJ26" s="35"/>
      <c r="CSK26" s="35"/>
      <c r="CSL26" s="35"/>
      <c r="CSM26" s="35"/>
      <c r="CSN26" s="35"/>
      <c r="CSO26" s="35"/>
      <c r="CSP26" s="35"/>
      <c r="CSQ26" s="35"/>
      <c r="CSR26" s="35"/>
      <c r="CSS26" s="35"/>
      <c r="CST26" s="35"/>
      <c r="CSU26" s="35"/>
      <c r="CSV26" s="35"/>
      <c r="CSW26" s="35"/>
      <c r="CSX26" s="35"/>
      <c r="CSY26" s="35"/>
      <c r="CSZ26" s="35"/>
      <c r="CTA26" s="35"/>
      <c r="CTB26" s="35"/>
      <c r="CTC26" s="35"/>
      <c r="CTD26" s="35"/>
      <c r="CTE26" s="35"/>
      <c r="CTF26" s="35"/>
      <c r="CTG26" s="35"/>
      <c r="CTH26" s="35"/>
      <c r="CTI26" s="35"/>
      <c r="CTJ26" s="35"/>
      <c r="CTK26" s="35"/>
      <c r="CTL26" s="35"/>
      <c r="CTM26" s="35"/>
      <c r="CTN26" s="35"/>
      <c r="CTO26" s="35"/>
      <c r="CTP26" s="35"/>
      <c r="CTQ26" s="35"/>
      <c r="CTR26" s="35"/>
      <c r="CTS26" s="35"/>
      <c r="CTT26" s="35"/>
      <c r="CTU26" s="35"/>
      <c r="CTV26" s="35"/>
      <c r="CTW26" s="35"/>
      <c r="CTX26" s="35"/>
      <c r="CTY26" s="35"/>
      <c r="CTZ26" s="35"/>
      <c r="CUA26" s="35"/>
      <c r="CUB26" s="35"/>
      <c r="CUC26" s="35"/>
      <c r="CUD26" s="35"/>
      <c r="CUE26" s="35"/>
      <c r="CUF26" s="35"/>
      <c r="CUG26" s="35"/>
      <c r="CUH26" s="35"/>
      <c r="CUI26" s="35"/>
      <c r="CUJ26" s="35"/>
      <c r="CUK26" s="35"/>
      <c r="CUL26" s="35"/>
      <c r="CUM26" s="35"/>
      <c r="CUN26" s="35"/>
      <c r="CUO26" s="35"/>
      <c r="CUP26" s="35"/>
      <c r="CUQ26" s="35"/>
      <c r="CUR26" s="35"/>
      <c r="CUS26" s="35"/>
      <c r="CUT26" s="35"/>
      <c r="CUU26" s="35"/>
      <c r="CUV26" s="35"/>
      <c r="CUW26" s="35"/>
      <c r="CUX26" s="35"/>
      <c r="CUY26" s="35"/>
      <c r="CUZ26" s="35"/>
      <c r="CVA26" s="35"/>
      <c r="CVB26" s="35"/>
      <c r="CVC26" s="35"/>
      <c r="CVD26" s="35"/>
      <c r="CVE26" s="35"/>
      <c r="CVF26" s="35"/>
      <c r="CVG26" s="35"/>
      <c r="CVH26" s="35"/>
      <c r="CVI26" s="35"/>
      <c r="CVJ26" s="35"/>
      <c r="CVK26" s="35"/>
      <c r="CVL26" s="35"/>
      <c r="CVM26" s="35"/>
      <c r="CVN26" s="35"/>
      <c r="CVO26" s="35"/>
      <c r="CVP26" s="35"/>
      <c r="CVQ26" s="35"/>
      <c r="CVR26" s="35"/>
      <c r="CVS26" s="35"/>
      <c r="CVT26" s="35"/>
      <c r="CVU26" s="35"/>
      <c r="CVV26" s="35"/>
      <c r="CVW26" s="35"/>
      <c r="CVX26" s="35"/>
      <c r="CVY26" s="35"/>
      <c r="CVZ26" s="35"/>
      <c r="CWA26" s="35"/>
      <c r="CWB26" s="35"/>
      <c r="CWC26" s="35"/>
      <c r="CWD26" s="35"/>
      <c r="CWE26" s="35"/>
      <c r="CWF26" s="35"/>
      <c r="CWG26" s="35"/>
      <c r="CWH26" s="35"/>
      <c r="CWI26" s="35"/>
      <c r="CWJ26" s="35"/>
      <c r="CWK26" s="35"/>
      <c r="CWL26" s="35"/>
      <c r="CWM26" s="35"/>
      <c r="CWN26" s="35"/>
      <c r="CWO26" s="35"/>
      <c r="CWP26" s="35"/>
      <c r="CWQ26" s="35"/>
      <c r="CWR26" s="35"/>
      <c r="CWS26" s="35"/>
      <c r="CWT26" s="35"/>
      <c r="CWU26" s="35"/>
      <c r="CWV26" s="35"/>
      <c r="CWW26" s="35"/>
      <c r="CWX26" s="35"/>
      <c r="CWY26" s="35"/>
      <c r="CWZ26" s="35"/>
      <c r="CXA26" s="35"/>
      <c r="CXB26" s="35"/>
      <c r="CXC26" s="35"/>
      <c r="CXD26" s="35"/>
      <c r="CXE26" s="35"/>
      <c r="CXF26" s="35"/>
      <c r="CXG26" s="35"/>
      <c r="CXH26" s="35"/>
      <c r="CXI26" s="35"/>
      <c r="CXJ26" s="35"/>
      <c r="CXK26" s="35"/>
      <c r="CXL26" s="35"/>
      <c r="CXM26" s="35"/>
      <c r="CXN26" s="35"/>
      <c r="CXO26" s="35"/>
      <c r="CXP26" s="35"/>
      <c r="CXQ26" s="35"/>
      <c r="CXR26" s="35"/>
      <c r="CXS26" s="35"/>
      <c r="CXT26" s="35"/>
      <c r="CXU26" s="35"/>
      <c r="CXV26" s="35"/>
      <c r="CXW26" s="35"/>
      <c r="CXX26" s="35"/>
      <c r="CXY26" s="35"/>
      <c r="CXZ26" s="35"/>
      <c r="CYA26" s="35"/>
      <c r="CYB26" s="35"/>
      <c r="CYC26" s="35"/>
      <c r="CYD26" s="35"/>
      <c r="CYE26" s="35"/>
      <c r="CYF26" s="35"/>
      <c r="CYG26" s="35"/>
      <c r="CYH26" s="35"/>
      <c r="CYI26" s="35"/>
      <c r="CYJ26" s="35"/>
      <c r="CYK26" s="35"/>
      <c r="CYL26" s="35"/>
      <c r="CYM26" s="35"/>
      <c r="CYN26" s="35"/>
      <c r="CYO26" s="35"/>
      <c r="CYP26" s="35"/>
      <c r="CYQ26" s="35"/>
      <c r="CYR26" s="35"/>
      <c r="CYS26" s="35"/>
      <c r="CYT26" s="35"/>
      <c r="CYU26" s="35"/>
      <c r="CYV26" s="35"/>
      <c r="CYW26" s="35"/>
      <c r="CYX26" s="35"/>
      <c r="CYY26" s="35"/>
      <c r="CYZ26" s="35"/>
      <c r="CZA26" s="35"/>
      <c r="CZB26" s="35"/>
      <c r="CZC26" s="35"/>
      <c r="CZD26" s="35"/>
      <c r="CZE26" s="35"/>
      <c r="CZF26" s="35"/>
      <c r="CZG26" s="35"/>
      <c r="CZH26" s="35"/>
      <c r="CZI26" s="35"/>
      <c r="CZJ26" s="35"/>
      <c r="CZK26" s="35"/>
      <c r="CZL26" s="35"/>
      <c r="CZM26" s="35"/>
      <c r="CZN26" s="35"/>
      <c r="CZO26" s="35"/>
      <c r="CZP26" s="35"/>
      <c r="CZQ26" s="35"/>
      <c r="CZR26" s="35"/>
      <c r="CZS26" s="35"/>
      <c r="CZT26" s="35"/>
      <c r="CZU26" s="35"/>
      <c r="CZV26" s="35"/>
      <c r="CZW26" s="35"/>
      <c r="CZX26" s="35"/>
      <c r="CZY26" s="35"/>
      <c r="CZZ26" s="35"/>
      <c r="DAA26" s="35"/>
      <c r="DAB26" s="35"/>
      <c r="DAC26" s="35"/>
      <c r="DAD26" s="35"/>
      <c r="DAE26" s="35"/>
      <c r="DAF26" s="35"/>
      <c r="DAG26" s="35"/>
      <c r="DAH26" s="35"/>
      <c r="DAI26" s="35"/>
      <c r="DAJ26" s="35"/>
      <c r="DAK26" s="35"/>
      <c r="DAL26" s="35"/>
      <c r="DAM26" s="35"/>
      <c r="DAN26" s="35"/>
      <c r="DAO26" s="35"/>
      <c r="DAP26" s="35"/>
      <c r="DAQ26" s="35"/>
      <c r="DAR26" s="35"/>
      <c r="DAS26" s="35"/>
      <c r="DAT26" s="35"/>
      <c r="DAU26" s="35"/>
      <c r="DAV26" s="35"/>
      <c r="DAW26" s="35"/>
      <c r="DAX26" s="35"/>
      <c r="DAY26" s="35"/>
      <c r="DAZ26" s="35"/>
      <c r="DBA26" s="35"/>
      <c r="DBB26" s="35"/>
      <c r="DBC26" s="35"/>
      <c r="DBD26" s="35"/>
      <c r="DBE26" s="35"/>
      <c r="DBF26" s="35"/>
      <c r="DBG26" s="35"/>
      <c r="DBH26" s="35"/>
      <c r="DBI26" s="35"/>
      <c r="DBJ26" s="35"/>
      <c r="DBK26" s="35"/>
      <c r="DBL26" s="35"/>
      <c r="DBM26" s="35"/>
      <c r="DBN26" s="35"/>
      <c r="DBO26" s="35"/>
      <c r="DBP26" s="35"/>
      <c r="DBQ26" s="35"/>
      <c r="DBR26" s="35"/>
      <c r="DBS26" s="35"/>
      <c r="DBT26" s="35"/>
      <c r="DBU26" s="35"/>
      <c r="DBV26" s="35"/>
      <c r="DBW26" s="35"/>
      <c r="DBX26" s="35"/>
      <c r="DBY26" s="35"/>
      <c r="DBZ26" s="35"/>
      <c r="DCA26" s="35"/>
      <c r="DCB26" s="35"/>
      <c r="DCC26" s="35"/>
      <c r="DCD26" s="35"/>
      <c r="DCE26" s="35"/>
      <c r="DCF26" s="35"/>
      <c r="DCG26" s="35"/>
      <c r="DCH26" s="35"/>
      <c r="DCI26" s="35"/>
      <c r="DCJ26" s="35"/>
      <c r="DCK26" s="35"/>
      <c r="DCL26" s="35"/>
      <c r="DCM26" s="35"/>
      <c r="DCN26" s="35"/>
      <c r="DCO26" s="35"/>
      <c r="DCP26" s="35"/>
      <c r="DCQ26" s="35"/>
      <c r="DCR26" s="35"/>
      <c r="DCS26" s="35"/>
      <c r="DCT26" s="35"/>
      <c r="DCU26" s="35"/>
      <c r="DCV26" s="35"/>
      <c r="DCW26" s="35"/>
      <c r="DCX26" s="35"/>
      <c r="DCY26" s="35"/>
      <c r="DCZ26" s="35"/>
      <c r="DDA26" s="35"/>
      <c r="DDB26" s="35"/>
      <c r="DDC26" s="35"/>
      <c r="DDD26" s="35"/>
      <c r="DDE26" s="35"/>
      <c r="DDF26" s="35"/>
      <c r="DDG26" s="35"/>
      <c r="DDH26" s="35"/>
      <c r="DDI26" s="35"/>
      <c r="DDJ26" s="35"/>
      <c r="DDK26" s="35"/>
      <c r="DDL26" s="35"/>
      <c r="DDM26" s="35"/>
      <c r="DDN26" s="35"/>
      <c r="DDO26" s="35"/>
      <c r="DDP26" s="35"/>
      <c r="DDQ26" s="35"/>
      <c r="DDR26" s="35"/>
      <c r="DDS26" s="35"/>
      <c r="DDT26" s="35"/>
      <c r="DDU26" s="35"/>
      <c r="DDV26" s="35"/>
      <c r="DDW26" s="35"/>
      <c r="DDX26" s="35"/>
      <c r="DDY26" s="35"/>
      <c r="DDZ26" s="35"/>
      <c r="DEA26" s="35"/>
      <c r="DEB26" s="35"/>
      <c r="DEC26" s="35"/>
      <c r="DED26" s="35"/>
      <c r="DEE26" s="35"/>
      <c r="DEF26" s="35"/>
      <c r="DEG26" s="35"/>
      <c r="DEH26" s="35"/>
      <c r="DEI26" s="35"/>
      <c r="DEJ26" s="35"/>
      <c r="DEK26" s="35"/>
      <c r="DEL26" s="35"/>
      <c r="DEM26" s="35"/>
      <c r="DEN26" s="35"/>
      <c r="DEO26" s="35"/>
      <c r="DEP26" s="35"/>
      <c r="DEQ26" s="35"/>
      <c r="DER26" s="35"/>
      <c r="DES26" s="35"/>
      <c r="DET26" s="35"/>
      <c r="DEU26" s="35"/>
      <c r="DEV26" s="35"/>
      <c r="DEW26" s="35"/>
      <c r="DEX26" s="35"/>
      <c r="DEY26" s="35"/>
      <c r="DEZ26" s="35"/>
      <c r="DFA26" s="35"/>
      <c r="DFB26" s="35"/>
      <c r="DFC26" s="35"/>
      <c r="DFD26" s="35"/>
      <c r="DFE26" s="35"/>
      <c r="DFF26" s="35"/>
      <c r="DFG26" s="35"/>
      <c r="DFH26" s="35"/>
      <c r="DFI26" s="35"/>
      <c r="DFJ26" s="35"/>
      <c r="DFK26" s="35"/>
      <c r="DFL26" s="35"/>
      <c r="DFM26" s="35"/>
      <c r="DFN26" s="35"/>
      <c r="DFO26" s="35"/>
      <c r="DFP26" s="35"/>
      <c r="DFQ26" s="35"/>
      <c r="DFR26" s="35"/>
      <c r="DFS26" s="35"/>
      <c r="DFT26" s="35"/>
      <c r="DFU26" s="35"/>
      <c r="DFV26" s="35"/>
      <c r="DFW26" s="35"/>
      <c r="DFX26" s="35"/>
      <c r="DFY26" s="35"/>
      <c r="DFZ26" s="35"/>
      <c r="DGA26" s="35"/>
      <c r="DGB26" s="35"/>
      <c r="DGC26" s="35"/>
      <c r="DGD26" s="35"/>
      <c r="DGE26" s="35"/>
      <c r="DGF26" s="35"/>
      <c r="DGG26" s="35"/>
      <c r="DGH26" s="35"/>
      <c r="DGI26" s="35"/>
      <c r="DGJ26" s="35"/>
      <c r="DGK26" s="35"/>
      <c r="DGL26" s="35"/>
      <c r="DGM26" s="35"/>
      <c r="DGN26" s="35"/>
      <c r="DGO26" s="35"/>
      <c r="DGP26" s="35"/>
      <c r="DGQ26" s="35"/>
      <c r="DGR26" s="35"/>
      <c r="DGS26" s="35"/>
      <c r="DGT26" s="35"/>
      <c r="DGU26" s="35"/>
      <c r="DGV26" s="35"/>
      <c r="DGW26" s="35"/>
      <c r="DGX26" s="35"/>
      <c r="DGY26" s="35"/>
      <c r="DGZ26" s="35"/>
      <c r="DHA26" s="35"/>
      <c r="DHB26" s="35"/>
      <c r="DHC26" s="35"/>
      <c r="DHD26" s="35"/>
      <c r="DHE26" s="35"/>
      <c r="DHF26" s="35"/>
      <c r="DHG26" s="35"/>
      <c r="DHH26" s="35"/>
      <c r="DHI26" s="35"/>
      <c r="DHJ26" s="35"/>
      <c r="DHK26" s="35"/>
      <c r="DHL26" s="35"/>
      <c r="DHM26" s="35"/>
      <c r="DHN26" s="35"/>
      <c r="DHO26" s="35"/>
      <c r="DHP26" s="35"/>
      <c r="DHQ26" s="35"/>
      <c r="DHR26" s="35"/>
      <c r="DHS26" s="35"/>
      <c r="DHT26" s="35"/>
      <c r="DHU26" s="35"/>
      <c r="DHV26" s="35"/>
      <c r="DHW26" s="35"/>
      <c r="DHX26" s="35"/>
      <c r="DHY26" s="35"/>
      <c r="DHZ26" s="35"/>
      <c r="DIA26" s="35"/>
      <c r="DIB26" s="35"/>
      <c r="DIC26" s="35"/>
      <c r="DID26" s="35"/>
      <c r="DIE26" s="35"/>
      <c r="DIF26" s="35"/>
      <c r="DIG26" s="35"/>
      <c r="DIH26" s="35"/>
      <c r="DII26" s="35"/>
      <c r="DIJ26" s="35"/>
      <c r="DIK26" s="35"/>
      <c r="DIL26" s="35"/>
      <c r="DIM26" s="35"/>
      <c r="DIN26" s="35"/>
      <c r="DIO26" s="35"/>
      <c r="DIP26" s="35"/>
      <c r="DIQ26" s="35"/>
      <c r="DIR26" s="35"/>
      <c r="DIS26" s="35"/>
      <c r="DIT26" s="35"/>
      <c r="DIU26" s="35"/>
      <c r="DIV26" s="35"/>
      <c r="DIW26" s="35"/>
      <c r="DIX26" s="35"/>
      <c r="DIY26" s="35"/>
      <c r="DIZ26" s="35"/>
      <c r="DJA26" s="35"/>
      <c r="DJB26" s="35"/>
      <c r="DJC26" s="35"/>
      <c r="DJD26" s="35"/>
      <c r="DJE26" s="35"/>
      <c r="DJF26" s="35"/>
      <c r="DJG26" s="35"/>
      <c r="DJH26" s="35"/>
      <c r="DJI26" s="35"/>
      <c r="DJJ26" s="35"/>
      <c r="DJK26" s="35"/>
      <c r="DJL26" s="35"/>
      <c r="DJM26" s="35"/>
      <c r="DJN26" s="35"/>
      <c r="DJO26" s="35"/>
      <c r="DJP26" s="35"/>
      <c r="DJQ26" s="35"/>
      <c r="DJR26" s="35"/>
      <c r="DJS26" s="35"/>
      <c r="DJT26" s="35"/>
      <c r="DJU26" s="35"/>
      <c r="DJV26" s="35"/>
      <c r="DJW26" s="35"/>
      <c r="DJX26" s="35"/>
      <c r="DJY26" s="35"/>
      <c r="DJZ26" s="35"/>
      <c r="DKA26" s="35"/>
      <c r="DKB26" s="35"/>
      <c r="DKC26" s="35"/>
      <c r="DKD26" s="35"/>
      <c r="DKE26" s="35"/>
      <c r="DKF26" s="35"/>
      <c r="DKG26" s="35"/>
      <c r="DKH26" s="35"/>
      <c r="DKI26" s="35"/>
      <c r="DKJ26" s="35"/>
      <c r="DKK26" s="35"/>
      <c r="DKL26" s="35"/>
      <c r="DKM26" s="35"/>
      <c r="DKN26" s="35"/>
      <c r="DKO26" s="35"/>
      <c r="DKP26" s="35"/>
      <c r="DKQ26" s="35"/>
      <c r="DKR26" s="35"/>
      <c r="DKS26" s="35"/>
      <c r="DKT26" s="35"/>
      <c r="DKU26" s="35"/>
      <c r="DKV26" s="35"/>
      <c r="DKW26" s="35"/>
      <c r="DKX26" s="35"/>
      <c r="DKY26" s="35"/>
      <c r="DKZ26" s="35"/>
      <c r="DLA26" s="35"/>
      <c r="DLB26" s="35"/>
      <c r="DLC26" s="35"/>
      <c r="DLD26" s="35"/>
      <c r="DLE26" s="35"/>
      <c r="DLF26" s="35"/>
      <c r="DLG26" s="35"/>
      <c r="DLH26" s="35"/>
      <c r="DLI26" s="35"/>
      <c r="DLJ26" s="35"/>
      <c r="DLK26" s="35"/>
      <c r="DLL26" s="35"/>
      <c r="DLM26" s="35"/>
      <c r="DLN26" s="35"/>
      <c r="DLO26" s="35"/>
      <c r="DLP26" s="35"/>
      <c r="DLQ26" s="35"/>
      <c r="DLR26" s="35"/>
      <c r="DLS26" s="35"/>
      <c r="DLT26" s="35"/>
      <c r="DLU26" s="35"/>
      <c r="DLV26" s="35"/>
      <c r="DLW26" s="35"/>
      <c r="DLX26" s="35"/>
      <c r="DLY26" s="35"/>
      <c r="DLZ26" s="35"/>
      <c r="DMA26" s="35"/>
      <c r="DMB26" s="35"/>
      <c r="DMC26" s="35"/>
      <c r="DMD26" s="35"/>
      <c r="DME26" s="35"/>
      <c r="DMF26" s="35"/>
      <c r="DMG26" s="35"/>
      <c r="DMH26" s="35"/>
      <c r="DMI26" s="35"/>
      <c r="DMJ26" s="35"/>
      <c r="DMK26" s="35"/>
      <c r="DML26" s="35"/>
      <c r="DMM26" s="35"/>
      <c r="DMN26" s="35"/>
      <c r="DMO26" s="35"/>
      <c r="DMP26" s="35"/>
      <c r="DMQ26" s="35"/>
      <c r="DMR26" s="35"/>
      <c r="DMS26" s="35"/>
      <c r="DMT26" s="35"/>
      <c r="DMU26" s="35"/>
      <c r="DMV26" s="35"/>
      <c r="DMW26" s="35"/>
      <c r="DMX26" s="35"/>
      <c r="DMY26" s="35"/>
      <c r="DMZ26" s="35"/>
      <c r="DNA26" s="35"/>
      <c r="DNB26" s="35"/>
      <c r="DNC26" s="35"/>
      <c r="DND26" s="35"/>
      <c r="DNE26" s="35"/>
      <c r="DNF26" s="35"/>
      <c r="DNG26" s="35"/>
      <c r="DNH26" s="35"/>
      <c r="DNI26" s="35"/>
      <c r="DNJ26" s="35"/>
      <c r="DNK26" s="35"/>
      <c r="DNL26" s="35"/>
      <c r="DNM26" s="35"/>
      <c r="DNN26" s="35"/>
      <c r="DNO26" s="35"/>
      <c r="DNP26" s="35"/>
      <c r="DNQ26" s="35"/>
      <c r="DNR26" s="35"/>
      <c r="DNS26" s="35"/>
      <c r="DNT26" s="35"/>
      <c r="DNU26" s="35"/>
      <c r="DNV26" s="35"/>
      <c r="DNW26" s="35"/>
      <c r="DNX26" s="35"/>
      <c r="DNY26" s="35"/>
      <c r="DNZ26" s="35"/>
      <c r="DOA26" s="35"/>
      <c r="DOB26" s="35"/>
      <c r="DOC26" s="35"/>
      <c r="DOD26" s="35"/>
      <c r="DOE26" s="35"/>
      <c r="DOF26" s="35"/>
      <c r="DOG26" s="35"/>
      <c r="DOH26" s="35"/>
      <c r="DOI26" s="35"/>
      <c r="DOJ26" s="35"/>
      <c r="DOK26" s="35"/>
      <c r="DOL26" s="35"/>
      <c r="DOM26" s="35"/>
      <c r="DON26" s="35"/>
      <c r="DOO26" s="35"/>
      <c r="DOP26" s="35"/>
      <c r="DOQ26" s="35"/>
      <c r="DOR26" s="35"/>
      <c r="DOS26" s="35"/>
      <c r="DOT26" s="35"/>
      <c r="DOU26" s="35"/>
      <c r="DOV26" s="35"/>
      <c r="DOW26" s="35"/>
      <c r="DOX26" s="35"/>
      <c r="DOY26" s="35"/>
      <c r="DOZ26" s="35"/>
      <c r="DPA26" s="35"/>
      <c r="DPB26" s="35"/>
      <c r="DPC26" s="35"/>
      <c r="DPD26" s="35"/>
      <c r="DPE26" s="35"/>
      <c r="DPF26" s="35"/>
      <c r="DPG26" s="35"/>
      <c r="DPH26" s="35"/>
      <c r="DPI26" s="35"/>
      <c r="DPJ26" s="35"/>
      <c r="DPK26" s="35"/>
      <c r="DPL26" s="35"/>
      <c r="DPM26" s="35"/>
      <c r="DPN26" s="35"/>
      <c r="DPO26" s="35"/>
      <c r="DPP26" s="35"/>
      <c r="DPQ26" s="35"/>
      <c r="DPR26" s="35"/>
      <c r="DPS26" s="35"/>
      <c r="DPT26" s="35"/>
      <c r="DPU26" s="35"/>
      <c r="DPV26" s="35"/>
      <c r="DPW26" s="35"/>
      <c r="DPX26" s="35"/>
      <c r="DPY26" s="35"/>
      <c r="DPZ26" s="35"/>
      <c r="DQA26" s="35"/>
      <c r="DQB26" s="35"/>
      <c r="DQC26" s="35"/>
      <c r="DQD26" s="35"/>
      <c r="DQE26" s="35"/>
      <c r="DQF26" s="35"/>
      <c r="DQG26" s="35"/>
      <c r="DQH26" s="35"/>
      <c r="DQI26" s="35"/>
      <c r="DQJ26" s="35"/>
      <c r="DQK26" s="35"/>
      <c r="DQL26" s="35"/>
      <c r="DQM26" s="35"/>
      <c r="DQN26" s="35"/>
      <c r="DQO26" s="35"/>
      <c r="DQP26" s="35"/>
      <c r="DQQ26" s="35"/>
      <c r="DQR26" s="35"/>
      <c r="DQS26" s="35"/>
      <c r="DQT26" s="35"/>
      <c r="DQU26" s="35"/>
      <c r="DQV26" s="35"/>
      <c r="DQW26" s="35"/>
      <c r="DQX26" s="35"/>
      <c r="DQY26" s="35"/>
      <c r="DQZ26" s="35"/>
      <c r="DRA26" s="35"/>
      <c r="DRB26" s="35"/>
      <c r="DRC26" s="35"/>
      <c r="DRD26" s="35"/>
      <c r="DRE26" s="35"/>
      <c r="DRF26" s="35"/>
      <c r="DRG26" s="35"/>
      <c r="DRH26" s="35"/>
      <c r="DRI26" s="35"/>
      <c r="DRJ26" s="35"/>
      <c r="DRK26" s="35"/>
      <c r="DRL26" s="35"/>
      <c r="DRM26" s="35"/>
      <c r="DRN26" s="35"/>
      <c r="DRO26" s="35"/>
      <c r="DRP26" s="35"/>
      <c r="DRQ26" s="35"/>
      <c r="DRR26" s="35"/>
      <c r="DRS26" s="35"/>
      <c r="DRT26" s="35"/>
      <c r="DRU26" s="35"/>
      <c r="DRV26" s="35"/>
      <c r="DRW26" s="35"/>
      <c r="DRX26" s="35"/>
      <c r="DRY26" s="35"/>
      <c r="DRZ26" s="35"/>
      <c r="DSA26" s="35"/>
      <c r="DSB26" s="35"/>
      <c r="DSC26" s="35"/>
      <c r="DSD26" s="35"/>
      <c r="DSE26" s="35"/>
      <c r="DSF26" s="35"/>
      <c r="DSG26" s="35"/>
      <c r="DSH26" s="35"/>
      <c r="DSI26" s="35"/>
      <c r="DSJ26" s="35"/>
      <c r="DSK26" s="35"/>
      <c r="DSL26" s="35"/>
      <c r="DSM26" s="35"/>
      <c r="DSN26" s="35"/>
      <c r="DSO26" s="35"/>
      <c r="DSP26" s="35"/>
      <c r="DSQ26" s="35"/>
      <c r="DSR26" s="35"/>
      <c r="DSS26" s="35"/>
      <c r="DST26" s="35"/>
      <c r="DSU26" s="35"/>
      <c r="DSV26" s="35"/>
      <c r="DSW26" s="35"/>
      <c r="DSX26" s="35"/>
      <c r="DSY26" s="35"/>
      <c r="DSZ26" s="35"/>
      <c r="DTA26" s="35"/>
      <c r="DTB26" s="35"/>
      <c r="DTC26" s="35"/>
      <c r="DTD26" s="35"/>
      <c r="DTE26" s="35"/>
      <c r="DTF26" s="35"/>
      <c r="DTG26" s="35"/>
      <c r="DTH26" s="35"/>
      <c r="DTI26" s="35"/>
      <c r="DTJ26" s="35"/>
      <c r="DTK26" s="35"/>
      <c r="DTL26" s="35"/>
      <c r="DTM26" s="35"/>
      <c r="DTN26" s="35"/>
      <c r="DTO26" s="35"/>
      <c r="DTP26" s="35"/>
      <c r="DTQ26" s="35"/>
      <c r="DTR26" s="35"/>
      <c r="DTS26" s="35"/>
      <c r="DTT26" s="35"/>
      <c r="DTU26" s="35"/>
      <c r="DTV26" s="35"/>
      <c r="DTW26" s="35"/>
      <c r="DTX26" s="35"/>
      <c r="DTY26" s="35"/>
      <c r="DTZ26" s="35"/>
      <c r="DUA26" s="35"/>
      <c r="DUB26" s="35"/>
      <c r="DUC26" s="35"/>
      <c r="DUD26" s="35"/>
      <c r="DUE26" s="35"/>
      <c r="DUF26" s="35"/>
      <c r="DUG26" s="35"/>
      <c r="DUH26" s="35"/>
      <c r="DUI26" s="35"/>
      <c r="DUJ26" s="35"/>
      <c r="DUK26" s="35"/>
      <c r="DUL26" s="35"/>
      <c r="DUM26" s="35"/>
      <c r="DUN26" s="35"/>
      <c r="DUO26" s="35"/>
      <c r="DUP26" s="35"/>
      <c r="DUQ26" s="35"/>
      <c r="DUR26" s="35"/>
      <c r="DUS26" s="35"/>
      <c r="DUT26" s="35"/>
      <c r="DUU26" s="35"/>
      <c r="DUV26" s="35"/>
      <c r="DUW26" s="35"/>
      <c r="DUX26" s="35"/>
      <c r="DUY26" s="35"/>
      <c r="DUZ26" s="35"/>
      <c r="DVA26" s="35"/>
      <c r="DVB26" s="35"/>
      <c r="DVC26" s="35"/>
      <c r="DVD26" s="35"/>
      <c r="DVE26" s="35"/>
      <c r="DVF26" s="35"/>
      <c r="DVG26" s="35"/>
      <c r="DVH26" s="35"/>
      <c r="DVI26" s="35"/>
      <c r="DVJ26" s="35"/>
      <c r="DVK26" s="35"/>
      <c r="DVL26" s="35"/>
      <c r="DVM26" s="35"/>
      <c r="DVN26" s="35"/>
      <c r="DVO26" s="35"/>
      <c r="DVP26" s="35"/>
      <c r="DVQ26" s="35"/>
      <c r="DVR26" s="35"/>
      <c r="DVS26" s="35"/>
      <c r="DVT26" s="35"/>
      <c r="DVU26" s="35"/>
      <c r="DVV26" s="35"/>
      <c r="DVW26" s="35"/>
      <c r="DVX26" s="35"/>
      <c r="DVY26" s="35"/>
      <c r="DVZ26" s="35"/>
      <c r="DWA26" s="35"/>
      <c r="DWB26" s="35"/>
      <c r="DWC26" s="35"/>
      <c r="DWD26" s="35"/>
      <c r="DWE26" s="35"/>
      <c r="DWF26" s="35"/>
      <c r="DWG26" s="35"/>
      <c r="DWH26" s="35"/>
      <c r="DWI26" s="35"/>
      <c r="DWJ26" s="35"/>
      <c r="DWK26" s="35"/>
      <c r="DWL26" s="35"/>
      <c r="DWM26" s="35"/>
      <c r="DWN26" s="35"/>
      <c r="DWO26" s="35"/>
      <c r="DWP26" s="35"/>
      <c r="DWQ26" s="35"/>
      <c r="DWR26" s="35"/>
      <c r="DWS26" s="35"/>
      <c r="DWT26" s="35"/>
      <c r="DWU26" s="35"/>
      <c r="DWV26" s="35"/>
      <c r="DWW26" s="35"/>
      <c r="DWX26" s="35"/>
      <c r="DWY26" s="35"/>
      <c r="DWZ26" s="35"/>
      <c r="DXA26" s="35"/>
      <c r="DXB26" s="35"/>
      <c r="DXC26" s="35"/>
      <c r="DXD26" s="35"/>
      <c r="DXE26" s="35"/>
      <c r="DXF26" s="35"/>
      <c r="DXG26" s="35"/>
      <c r="DXH26" s="35"/>
      <c r="DXI26" s="35"/>
      <c r="DXJ26" s="35"/>
      <c r="DXK26" s="35"/>
      <c r="DXL26" s="35"/>
      <c r="DXM26" s="35"/>
      <c r="DXN26" s="35"/>
      <c r="DXO26" s="35"/>
      <c r="DXP26" s="35"/>
      <c r="DXQ26" s="35"/>
      <c r="DXR26" s="35"/>
      <c r="DXS26" s="35"/>
      <c r="DXT26" s="35"/>
      <c r="DXU26" s="35"/>
      <c r="DXV26" s="35"/>
      <c r="DXW26" s="35"/>
      <c r="DXX26" s="35"/>
      <c r="DXY26" s="35"/>
      <c r="DXZ26" s="35"/>
      <c r="DYA26" s="35"/>
      <c r="DYB26" s="35"/>
      <c r="DYC26" s="35"/>
      <c r="DYD26" s="35"/>
      <c r="DYE26" s="35"/>
      <c r="DYF26" s="35"/>
      <c r="DYG26" s="35"/>
      <c r="DYH26" s="35"/>
      <c r="DYI26" s="35"/>
      <c r="DYJ26" s="35"/>
      <c r="DYK26" s="35"/>
      <c r="DYL26" s="35"/>
      <c r="DYM26" s="35"/>
      <c r="DYN26" s="35"/>
      <c r="DYO26" s="35"/>
      <c r="DYP26" s="35"/>
      <c r="DYQ26" s="35"/>
      <c r="DYR26" s="35"/>
      <c r="DYS26" s="35"/>
      <c r="DYT26" s="35"/>
      <c r="DYU26" s="35"/>
      <c r="DYV26" s="35"/>
      <c r="DYW26" s="35"/>
      <c r="DYX26" s="35"/>
      <c r="DYY26" s="35"/>
      <c r="DYZ26" s="35"/>
      <c r="DZA26" s="35"/>
      <c r="DZB26" s="35"/>
      <c r="DZC26" s="35"/>
      <c r="DZD26" s="35"/>
      <c r="DZE26" s="35"/>
      <c r="DZF26" s="35"/>
      <c r="DZG26" s="35"/>
      <c r="DZH26" s="35"/>
      <c r="DZI26" s="35"/>
      <c r="DZJ26" s="35"/>
      <c r="DZK26" s="35"/>
      <c r="DZL26" s="35"/>
      <c r="DZM26" s="35"/>
      <c r="DZN26" s="35"/>
      <c r="DZO26" s="35"/>
      <c r="DZP26" s="35"/>
      <c r="DZQ26" s="35"/>
      <c r="DZR26" s="35"/>
      <c r="DZS26" s="35"/>
      <c r="DZT26" s="35"/>
      <c r="DZU26" s="35"/>
      <c r="DZV26" s="35"/>
      <c r="DZW26" s="35"/>
      <c r="DZX26" s="35"/>
      <c r="DZY26" s="35"/>
      <c r="DZZ26" s="35"/>
      <c r="EAA26" s="35"/>
      <c r="EAB26" s="35"/>
      <c r="EAC26" s="35"/>
      <c r="EAD26" s="35"/>
      <c r="EAE26" s="35"/>
      <c r="EAF26" s="35"/>
      <c r="EAG26" s="35"/>
      <c r="EAH26" s="35"/>
      <c r="EAI26" s="35"/>
      <c r="EAJ26" s="35"/>
      <c r="EAK26" s="35"/>
      <c r="EAL26" s="35"/>
      <c r="EAM26" s="35"/>
      <c r="EAN26" s="35"/>
      <c r="EAO26" s="35"/>
      <c r="EAP26" s="35"/>
      <c r="EAQ26" s="35"/>
      <c r="EAR26" s="35"/>
      <c r="EAS26" s="35"/>
      <c r="EAT26" s="35"/>
      <c r="EAU26" s="35"/>
      <c r="EAV26" s="35"/>
      <c r="EAW26" s="35"/>
      <c r="EAX26" s="35"/>
      <c r="EAY26" s="35"/>
      <c r="EAZ26" s="35"/>
      <c r="EBA26" s="35"/>
      <c r="EBB26" s="35"/>
      <c r="EBC26" s="35"/>
      <c r="EBD26" s="35"/>
      <c r="EBE26" s="35"/>
      <c r="EBF26" s="35"/>
      <c r="EBG26" s="35"/>
      <c r="EBH26" s="35"/>
      <c r="EBI26" s="35"/>
      <c r="EBJ26" s="35"/>
      <c r="EBK26" s="35"/>
      <c r="EBL26" s="35"/>
      <c r="EBM26" s="35"/>
      <c r="EBN26" s="35"/>
      <c r="EBO26" s="35"/>
      <c r="EBP26" s="35"/>
      <c r="EBQ26" s="35"/>
      <c r="EBR26" s="35"/>
      <c r="EBS26" s="35"/>
      <c r="EBT26" s="35"/>
      <c r="EBU26" s="35"/>
      <c r="EBV26" s="35"/>
      <c r="EBW26" s="35"/>
      <c r="EBX26" s="35"/>
      <c r="EBY26" s="35"/>
      <c r="EBZ26" s="35"/>
      <c r="ECA26" s="35"/>
      <c r="ECB26" s="35"/>
      <c r="ECC26" s="35"/>
      <c r="ECD26" s="35"/>
      <c r="ECE26" s="35"/>
      <c r="ECF26" s="35"/>
      <c r="ECG26" s="35"/>
      <c r="ECH26" s="35"/>
      <c r="ECI26" s="35"/>
      <c r="ECJ26" s="35"/>
      <c r="ECK26" s="35"/>
      <c r="ECL26" s="35"/>
      <c r="ECM26" s="35"/>
      <c r="ECN26" s="35"/>
      <c r="ECO26" s="35"/>
      <c r="ECP26" s="35"/>
      <c r="ECQ26" s="35"/>
      <c r="ECR26" s="35"/>
      <c r="ECS26" s="35"/>
      <c r="ECT26" s="35"/>
      <c r="ECU26" s="35"/>
      <c r="ECV26" s="35"/>
      <c r="ECW26" s="35"/>
      <c r="ECX26" s="35"/>
      <c r="ECY26" s="35"/>
      <c r="ECZ26" s="35"/>
      <c r="EDA26" s="35"/>
      <c r="EDB26" s="35"/>
      <c r="EDC26" s="35"/>
      <c r="EDD26" s="35"/>
      <c r="EDE26" s="35"/>
      <c r="EDF26" s="35"/>
      <c r="EDG26" s="35"/>
      <c r="EDH26" s="35"/>
      <c r="EDI26" s="35"/>
      <c r="EDJ26" s="35"/>
      <c r="EDK26" s="35"/>
      <c r="EDL26" s="35"/>
      <c r="EDM26" s="35"/>
      <c r="EDN26" s="35"/>
      <c r="EDO26" s="35"/>
      <c r="EDP26" s="35"/>
      <c r="EDQ26" s="35"/>
      <c r="EDR26" s="35"/>
      <c r="EDS26" s="35"/>
      <c r="EDT26" s="35"/>
      <c r="EDU26" s="35"/>
      <c r="EDV26" s="35"/>
      <c r="EDW26" s="35"/>
      <c r="EDX26" s="35"/>
      <c r="EDY26" s="35"/>
      <c r="EDZ26" s="35"/>
      <c r="EEA26" s="35"/>
      <c r="EEB26" s="35"/>
      <c r="EEC26" s="35"/>
      <c r="EED26" s="35"/>
      <c r="EEE26" s="35"/>
      <c r="EEF26" s="35"/>
      <c r="EEG26" s="35"/>
      <c r="EEH26" s="35"/>
      <c r="EEI26" s="35"/>
      <c r="EEJ26" s="35"/>
      <c r="EEK26" s="35"/>
      <c r="EEL26" s="35"/>
      <c r="EEM26" s="35"/>
      <c r="EEN26" s="35"/>
      <c r="EEO26" s="35"/>
      <c r="EEP26" s="35"/>
      <c r="EEQ26" s="35"/>
      <c r="EER26" s="35"/>
      <c r="EES26" s="35"/>
      <c r="EET26" s="35"/>
      <c r="EEU26" s="35"/>
      <c r="EEV26" s="35"/>
      <c r="EEW26" s="35"/>
      <c r="EEX26" s="35"/>
      <c r="EEY26" s="35"/>
      <c r="EEZ26" s="35"/>
      <c r="EFA26" s="35"/>
      <c r="EFB26" s="35"/>
      <c r="EFC26" s="35"/>
      <c r="EFD26" s="35"/>
      <c r="EFE26" s="35"/>
      <c r="EFF26" s="35"/>
      <c r="EFG26" s="35"/>
      <c r="EFH26" s="35"/>
      <c r="EFI26" s="35"/>
      <c r="EFJ26" s="35"/>
      <c r="EFK26" s="35"/>
      <c r="EFL26" s="35"/>
      <c r="EFM26" s="35"/>
      <c r="EFN26" s="35"/>
      <c r="EFO26" s="35"/>
      <c r="EFP26" s="35"/>
      <c r="EFQ26" s="35"/>
      <c r="EFR26" s="35"/>
      <c r="EFS26" s="35"/>
      <c r="EFT26" s="35"/>
      <c r="EFU26" s="35"/>
      <c r="EFV26" s="35"/>
      <c r="EFW26" s="35"/>
      <c r="EFX26" s="35"/>
      <c r="EFY26" s="35"/>
      <c r="EFZ26" s="35"/>
      <c r="EGA26" s="35"/>
      <c r="EGB26" s="35"/>
      <c r="EGC26" s="35"/>
      <c r="EGD26" s="35"/>
      <c r="EGE26" s="35"/>
      <c r="EGF26" s="35"/>
      <c r="EGG26" s="35"/>
      <c r="EGH26" s="35"/>
      <c r="EGI26" s="35"/>
      <c r="EGJ26" s="35"/>
      <c r="EGK26" s="35"/>
      <c r="EGL26" s="35"/>
      <c r="EGM26" s="35"/>
      <c r="EGN26" s="35"/>
      <c r="EGO26" s="35"/>
      <c r="EGP26" s="35"/>
      <c r="EGQ26" s="35"/>
      <c r="EGR26" s="35"/>
      <c r="EGS26" s="35"/>
      <c r="EGT26" s="35"/>
      <c r="EGU26" s="35"/>
      <c r="EGV26" s="35"/>
      <c r="EGW26" s="35"/>
      <c r="EGX26" s="35"/>
      <c r="EGY26" s="35"/>
      <c r="EGZ26" s="35"/>
      <c r="EHA26" s="35"/>
      <c r="EHB26" s="35"/>
      <c r="EHC26" s="35"/>
      <c r="EHD26" s="35"/>
      <c r="EHE26" s="35"/>
      <c r="EHF26" s="35"/>
      <c r="EHG26" s="35"/>
      <c r="EHH26" s="35"/>
      <c r="EHI26" s="35"/>
      <c r="EHJ26" s="35"/>
      <c r="EHK26" s="35"/>
      <c r="EHL26" s="35"/>
      <c r="EHM26" s="35"/>
      <c r="EHN26" s="35"/>
      <c r="EHO26" s="35"/>
      <c r="EHP26" s="35"/>
      <c r="EHQ26" s="35"/>
      <c r="EHR26" s="35"/>
      <c r="EHS26" s="35"/>
      <c r="EHT26" s="35"/>
      <c r="EHU26" s="35"/>
      <c r="EHV26" s="35"/>
      <c r="EHW26" s="35"/>
      <c r="EHX26" s="35"/>
      <c r="EHY26" s="35"/>
      <c r="EHZ26" s="35"/>
      <c r="EIA26" s="35"/>
      <c r="EIB26" s="35"/>
      <c r="EIC26" s="35"/>
      <c r="EID26" s="35"/>
      <c r="EIE26" s="35"/>
      <c r="EIF26" s="35"/>
      <c r="EIG26" s="35"/>
      <c r="EIH26" s="35"/>
      <c r="EII26" s="35"/>
      <c r="EIJ26" s="35"/>
      <c r="EIK26" s="35"/>
      <c r="EIL26" s="35"/>
      <c r="EIM26" s="35"/>
      <c r="EIN26" s="35"/>
      <c r="EIO26" s="35"/>
      <c r="EIP26" s="35"/>
      <c r="EIQ26" s="35"/>
      <c r="EIR26" s="35"/>
      <c r="EIS26" s="35"/>
      <c r="EIT26" s="35"/>
      <c r="EIU26" s="35"/>
      <c r="EIV26" s="35"/>
      <c r="EIW26" s="35"/>
      <c r="EIX26" s="35"/>
      <c r="EIY26" s="35"/>
      <c r="EIZ26" s="35"/>
      <c r="EJA26" s="35"/>
      <c r="EJB26" s="35"/>
      <c r="EJC26" s="35"/>
      <c r="EJD26" s="35"/>
      <c r="EJE26" s="35"/>
      <c r="EJF26" s="35"/>
      <c r="EJG26" s="35"/>
      <c r="EJH26" s="35"/>
      <c r="EJI26" s="35"/>
      <c r="EJJ26" s="35"/>
      <c r="EJK26" s="35"/>
      <c r="EJL26" s="35"/>
      <c r="EJM26" s="35"/>
      <c r="EJN26" s="35"/>
      <c r="EJO26" s="35"/>
      <c r="EJP26" s="35"/>
      <c r="EJQ26" s="35"/>
      <c r="EJR26" s="35"/>
      <c r="EJS26" s="35"/>
      <c r="EJT26" s="35"/>
      <c r="EJU26" s="35"/>
      <c r="EJV26" s="35"/>
      <c r="EJW26" s="35"/>
      <c r="EJX26" s="35"/>
      <c r="EJY26" s="35"/>
      <c r="EJZ26" s="35"/>
      <c r="EKA26" s="35"/>
      <c r="EKB26" s="35"/>
      <c r="EKC26" s="35"/>
      <c r="EKD26" s="35"/>
      <c r="EKE26" s="35"/>
      <c r="EKF26" s="35"/>
      <c r="EKG26" s="35"/>
      <c r="EKH26" s="35"/>
      <c r="EKI26" s="35"/>
      <c r="EKJ26" s="35"/>
      <c r="EKK26" s="35"/>
      <c r="EKL26" s="35"/>
      <c r="EKM26" s="35"/>
      <c r="EKN26" s="35"/>
      <c r="EKO26" s="35"/>
      <c r="EKP26" s="35"/>
      <c r="EKQ26" s="35"/>
      <c r="EKR26" s="35"/>
      <c r="EKS26" s="35"/>
      <c r="EKT26" s="35"/>
      <c r="EKU26" s="35"/>
      <c r="EKV26" s="35"/>
      <c r="EKW26" s="35"/>
      <c r="EKX26" s="35"/>
      <c r="EKY26" s="35"/>
      <c r="EKZ26" s="35"/>
      <c r="ELA26" s="35"/>
      <c r="ELB26" s="35"/>
      <c r="ELC26" s="35"/>
      <c r="ELD26" s="35"/>
      <c r="ELE26" s="35"/>
      <c r="ELF26" s="35"/>
      <c r="ELG26" s="35"/>
      <c r="ELH26" s="35"/>
      <c r="ELI26" s="35"/>
      <c r="ELJ26" s="35"/>
      <c r="ELK26" s="35"/>
      <c r="ELL26" s="35"/>
      <c r="ELM26" s="35"/>
      <c r="ELN26" s="35"/>
      <c r="ELO26" s="35"/>
      <c r="ELP26" s="35"/>
      <c r="ELQ26" s="35"/>
      <c r="ELR26" s="35"/>
      <c r="ELS26" s="35"/>
      <c r="ELT26" s="35"/>
      <c r="ELU26" s="35"/>
      <c r="ELV26" s="35"/>
      <c r="ELW26" s="35"/>
      <c r="ELX26" s="35"/>
      <c r="ELY26" s="35"/>
      <c r="ELZ26" s="35"/>
      <c r="EMA26" s="35"/>
      <c r="EMB26" s="35"/>
      <c r="EMC26" s="35"/>
      <c r="EMD26" s="35"/>
      <c r="EME26" s="35"/>
      <c r="EMF26" s="35"/>
      <c r="EMG26" s="35"/>
      <c r="EMH26" s="35"/>
      <c r="EMI26" s="35"/>
      <c r="EMJ26" s="35"/>
      <c r="EMK26" s="35"/>
      <c r="EML26" s="35"/>
      <c r="EMM26" s="35"/>
      <c r="EMN26" s="35"/>
      <c r="EMO26" s="35"/>
      <c r="EMP26" s="35"/>
      <c r="EMQ26" s="35"/>
      <c r="EMR26" s="35"/>
      <c r="EMS26" s="35"/>
      <c r="EMT26" s="35"/>
      <c r="EMU26" s="35"/>
      <c r="EMV26" s="35"/>
      <c r="EMW26" s="35"/>
      <c r="EMX26" s="35"/>
      <c r="EMY26" s="35"/>
      <c r="EMZ26" s="35"/>
      <c r="ENA26" s="35"/>
      <c r="ENB26" s="35"/>
      <c r="ENC26" s="35"/>
      <c r="END26" s="35"/>
      <c r="ENE26" s="35"/>
      <c r="ENF26" s="35"/>
      <c r="ENG26" s="35"/>
      <c r="ENH26" s="35"/>
      <c r="ENI26" s="35"/>
      <c r="ENJ26" s="35"/>
      <c r="ENK26" s="35"/>
      <c r="ENL26" s="35"/>
      <c r="ENM26" s="35"/>
      <c r="ENN26" s="35"/>
      <c r="ENO26" s="35"/>
      <c r="ENP26" s="35"/>
      <c r="ENQ26" s="35"/>
      <c r="ENR26" s="35"/>
      <c r="ENS26" s="35"/>
      <c r="ENT26" s="35"/>
      <c r="ENU26" s="35"/>
      <c r="ENV26" s="35"/>
      <c r="ENW26" s="35"/>
      <c r="ENX26" s="35"/>
      <c r="ENY26" s="35"/>
      <c r="ENZ26" s="35"/>
      <c r="EOA26" s="35"/>
      <c r="EOB26" s="35"/>
      <c r="EOC26" s="35"/>
      <c r="EOD26" s="35"/>
      <c r="EOE26" s="35"/>
      <c r="EOF26" s="35"/>
      <c r="EOG26" s="35"/>
      <c r="EOH26" s="35"/>
      <c r="EOI26" s="35"/>
      <c r="EOJ26" s="35"/>
      <c r="EOK26" s="35"/>
      <c r="EOL26" s="35"/>
      <c r="EOM26" s="35"/>
      <c r="EON26" s="35"/>
      <c r="EOO26" s="35"/>
      <c r="EOP26" s="35"/>
      <c r="EOQ26" s="35"/>
      <c r="EOR26" s="35"/>
      <c r="EOS26" s="35"/>
      <c r="EOT26" s="35"/>
      <c r="EOU26" s="35"/>
      <c r="EOV26" s="35"/>
      <c r="EOW26" s="35"/>
      <c r="EOX26" s="35"/>
      <c r="EOY26" s="35"/>
      <c r="EOZ26" s="35"/>
      <c r="EPA26" s="35"/>
      <c r="EPB26" s="35"/>
      <c r="EPC26" s="35"/>
      <c r="EPD26" s="35"/>
      <c r="EPE26" s="35"/>
      <c r="EPF26" s="35"/>
      <c r="EPG26" s="35"/>
      <c r="EPH26" s="35"/>
      <c r="EPI26" s="35"/>
      <c r="EPJ26" s="35"/>
      <c r="EPK26" s="35"/>
      <c r="EPL26" s="35"/>
      <c r="EPM26" s="35"/>
      <c r="EPN26" s="35"/>
      <c r="EPO26" s="35"/>
      <c r="EPP26" s="35"/>
      <c r="EPQ26" s="35"/>
      <c r="EPR26" s="35"/>
      <c r="EPS26" s="35"/>
      <c r="EPT26" s="35"/>
      <c r="EPU26" s="35"/>
      <c r="EPV26" s="35"/>
      <c r="EPW26" s="35"/>
      <c r="EPX26" s="35"/>
      <c r="EPY26" s="35"/>
      <c r="EPZ26" s="35"/>
      <c r="EQA26" s="35"/>
      <c r="EQB26" s="35"/>
      <c r="EQC26" s="35"/>
      <c r="EQD26" s="35"/>
      <c r="EQE26" s="35"/>
      <c r="EQF26" s="35"/>
      <c r="EQG26" s="35"/>
      <c r="EQH26" s="35"/>
      <c r="EQI26" s="35"/>
      <c r="EQJ26" s="35"/>
      <c r="EQK26" s="35"/>
      <c r="EQL26" s="35"/>
      <c r="EQM26" s="35"/>
      <c r="EQN26" s="35"/>
      <c r="EQO26" s="35"/>
      <c r="EQP26" s="35"/>
      <c r="EQQ26" s="35"/>
      <c r="EQR26" s="35"/>
      <c r="EQS26" s="35"/>
      <c r="EQT26" s="35"/>
      <c r="EQU26" s="35"/>
      <c r="EQV26" s="35"/>
      <c r="EQW26" s="35"/>
      <c r="EQX26" s="35"/>
      <c r="EQY26" s="35"/>
      <c r="EQZ26" s="35"/>
      <c r="ERA26" s="35"/>
      <c r="ERB26" s="35"/>
      <c r="ERC26" s="35"/>
      <c r="ERD26" s="35"/>
      <c r="ERE26" s="35"/>
      <c r="ERF26" s="35"/>
      <c r="ERG26" s="35"/>
      <c r="ERH26" s="35"/>
      <c r="ERI26" s="35"/>
      <c r="ERJ26" s="35"/>
      <c r="ERK26" s="35"/>
      <c r="ERL26" s="35"/>
      <c r="ERM26" s="35"/>
      <c r="ERN26" s="35"/>
      <c r="ERO26" s="35"/>
      <c r="ERP26" s="35"/>
      <c r="ERQ26" s="35"/>
      <c r="ERR26" s="35"/>
      <c r="ERS26" s="35"/>
      <c r="ERT26" s="35"/>
      <c r="ERU26" s="35"/>
      <c r="ERV26" s="35"/>
      <c r="ERW26" s="35"/>
      <c r="ERX26" s="35"/>
      <c r="ERY26" s="35"/>
      <c r="ERZ26" s="35"/>
      <c r="ESA26" s="35"/>
      <c r="ESB26" s="35"/>
      <c r="ESC26" s="35"/>
      <c r="ESD26" s="35"/>
      <c r="ESE26" s="35"/>
      <c r="ESF26" s="35"/>
      <c r="ESG26" s="35"/>
      <c r="ESH26" s="35"/>
      <c r="ESI26" s="35"/>
      <c r="ESJ26" s="35"/>
      <c r="ESK26" s="35"/>
      <c r="ESL26" s="35"/>
      <c r="ESM26" s="35"/>
      <c r="ESN26" s="35"/>
      <c r="ESO26" s="35"/>
      <c r="ESP26" s="35"/>
      <c r="ESQ26" s="35"/>
      <c r="ESR26" s="35"/>
      <c r="ESS26" s="35"/>
      <c r="EST26" s="35"/>
      <c r="ESU26" s="35"/>
      <c r="ESV26" s="35"/>
      <c r="ESW26" s="35"/>
      <c r="ESX26" s="35"/>
      <c r="ESY26" s="35"/>
      <c r="ESZ26" s="35"/>
      <c r="ETA26" s="35"/>
      <c r="ETB26" s="35"/>
      <c r="ETC26" s="35"/>
      <c r="ETD26" s="35"/>
      <c r="ETE26" s="35"/>
      <c r="ETF26" s="35"/>
      <c r="ETG26" s="35"/>
      <c r="ETH26" s="35"/>
      <c r="ETI26" s="35"/>
      <c r="ETJ26" s="35"/>
      <c r="ETK26" s="35"/>
      <c r="ETL26" s="35"/>
      <c r="ETM26" s="35"/>
      <c r="ETN26" s="35"/>
      <c r="ETO26" s="35"/>
      <c r="ETP26" s="35"/>
      <c r="ETQ26" s="35"/>
      <c r="ETR26" s="35"/>
      <c r="ETS26" s="35"/>
      <c r="ETT26" s="35"/>
      <c r="ETU26" s="35"/>
      <c r="ETV26" s="35"/>
      <c r="ETW26" s="35"/>
      <c r="ETX26" s="35"/>
      <c r="ETY26" s="35"/>
      <c r="ETZ26" s="35"/>
      <c r="EUA26" s="35"/>
      <c r="EUB26" s="35"/>
      <c r="EUC26" s="35"/>
      <c r="EUD26" s="35"/>
      <c r="EUE26" s="35"/>
      <c r="EUF26" s="35"/>
      <c r="EUG26" s="35"/>
      <c r="EUH26" s="35"/>
      <c r="EUI26" s="35"/>
      <c r="EUJ26" s="35"/>
      <c r="EUK26" s="35"/>
      <c r="EUL26" s="35"/>
      <c r="EUM26" s="35"/>
      <c r="EUN26" s="35"/>
      <c r="EUO26" s="35"/>
      <c r="EUP26" s="35"/>
      <c r="EUQ26" s="35"/>
      <c r="EUR26" s="35"/>
      <c r="EUS26" s="35"/>
      <c r="EUT26" s="35"/>
      <c r="EUU26" s="35"/>
      <c r="EUV26" s="35"/>
      <c r="EUW26" s="35"/>
      <c r="EUX26" s="35"/>
      <c r="EUY26" s="35"/>
      <c r="EUZ26" s="35"/>
      <c r="EVA26" s="35"/>
      <c r="EVB26" s="35"/>
      <c r="EVC26" s="35"/>
      <c r="EVD26" s="35"/>
      <c r="EVE26" s="35"/>
      <c r="EVF26" s="35"/>
      <c r="EVG26" s="35"/>
      <c r="EVH26" s="35"/>
      <c r="EVI26" s="35"/>
      <c r="EVJ26" s="35"/>
      <c r="EVK26" s="35"/>
      <c r="EVL26" s="35"/>
      <c r="EVM26" s="35"/>
      <c r="EVN26" s="35"/>
      <c r="EVO26" s="35"/>
      <c r="EVP26" s="35"/>
      <c r="EVQ26" s="35"/>
      <c r="EVR26" s="35"/>
      <c r="EVS26" s="35"/>
      <c r="EVT26" s="35"/>
      <c r="EVU26" s="35"/>
      <c r="EVV26" s="35"/>
      <c r="EVW26" s="35"/>
      <c r="EVX26" s="35"/>
      <c r="EVY26" s="35"/>
      <c r="EVZ26" s="35"/>
      <c r="EWA26" s="35"/>
      <c r="EWB26" s="35"/>
      <c r="EWC26" s="35"/>
      <c r="EWD26" s="35"/>
      <c r="EWE26" s="35"/>
      <c r="EWF26" s="35"/>
      <c r="EWG26" s="35"/>
      <c r="EWH26" s="35"/>
      <c r="EWI26" s="35"/>
      <c r="EWJ26" s="35"/>
      <c r="EWK26" s="35"/>
      <c r="EWL26" s="35"/>
      <c r="EWM26" s="35"/>
      <c r="EWN26" s="35"/>
      <c r="EWO26" s="35"/>
      <c r="EWP26" s="35"/>
      <c r="EWQ26" s="35"/>
      <c r="EWR26" s="35"/>
      <c r="EWS26" s="35"/>
      <c r="EWT26" s="35"/>
      <c r="EWU26" s="35"/>
      <c r="EWV26" s="35"/>
      <c r="EWW26" s="35"/>
      <c r="EWX26" s="35"/>
      <c r="EWY26" s="35"/>
      <c r="EWZ26" s="35"/>
      <c r="EXA26" s="35"/>
      <c r="EXB26" s="35"/>
      <c r="EXC26" s="35"/>
      <c r="EXD26" s="35"/>
      <c r="EXE26" s="35"/>
      <c r="EXF26" s="35"/>
      <c r="EXG26" s="35"/>
      <c r="EXH26" s="35"/>
      <c r="EXI26" s="35"/>
      <c r="EXJ26" s="35"/>
      <c r="EXK26" s="35"/>
      <c r="EXL26" s="35"/>
      <c r="EXM26" s="35"/>
      <c r="EXN26" s="35"/>
      <c r="EXO26" s="35"/>
      <c r="EXP26" s="35"/>
      <c r="EXQ26" s="35"/>
      <c r="EXR26" s="35"/>
      <c r="EXS26" s="35"/>
      <c r="EXT26" s="35"/>
      <c r="EXU26" s="35"/>
      <c r="EXV26" s="35"/>
      <c r="EXW26" s="35"/>
      <c r="EXX26" s="35"/>
      <c r="EXY26" s="35"/>
      <c r="EXZ26" s="35"/>
      <c r="EYA26" s="35"/>
      <c r="EYB26" s="35"/>
      <c r="EYC26" s="35"/>
      <c r="EYD26" s="35"/>
      <c r="EYE26" s="35"/>
      <c r="EYF26" s="35"/>
      <c r="EYG26" s="35"/>
      <c r="EYH26" s="35"/>
      <c r="EYI26" s="35"/>
      <c r="EYJ26" s="35"/>
      <c r="EYK26" s="35"/>
      <c r="EYL26" s="35"/>
      <c r="EYM26" s="35"/>
      <c r="EYN26" s="35"/>
      <c r="EYO26" s="35"/>
      <c r="EYP26" s="35"/>
      <c r="EYQ26" s="35"/>
      <c r="EYR26" s="35"/>
      <c r="EYS26" s="35"/>
      <c r="EYT26" s="35"/>
      <c r="EYU26" s="35"/>
      <c r="EYV26" s="35"/>
      <c r="EYW26" s="35"/>
      <c r="EYX26" s="35"/>
      <c r="EYY26" s="35"/>
      <c r="EYZ26" s="35"/>
      <c r="EZA26" s="35"/>
      <c r="EZB26" s="35"/>
      <c r="EZC26" s="35"/>
      <c r="EZD26" s="35"/>
      <c r="EZE26" s="35"/>
      <c r="EZF26" s="35"/>
      <c r="EZG26" s="35"/>
      <c r="EZH26" s="35"/>
      <c r="EZI26" s="35"/>
      <c r="EZJ26" s="35"/>
      <c r="EZK26" s="35"/>
      <c r="EZL26" s="35"/>
      <c r="EZM26" s="35"/>
      <c r="EZN26" s="35"/>
      <c r="EZO26" s="35"/>
      <c r="EZP26" s="35"/>
      <c r="EZQ26" s="35"/>
      <c r="EZR26" s="35"/>
      <c r="EZS26" s="35"/>
      <c r="EZT26" s="35"/>
      <c r="EZU26" s="35"/>
      <c r="EZV26" s="35"/>
      <c r="EZW26" s="35"/>
      <c r="EZX26" s="35"/>
      <c r="EZY26" s="35"/>
      <c r="EZZ26" s="35"/>
      <c r="FAA26" s="35"/>
      <c r="FAB26" s="35"/>
      <c r="FAC26" s="35"/>
      <c r="FAD26" s="35"/>
      <c r="FAE26" s="35"/>
      <c r="FAF26" s="35"/>
      <c r="FAG26" s="35"/>
      <c r="FAH26" s="35"/>
      <c r="FAI26" s="35"/>
      <c r="FAJ26" s="35"/>
      <c r="FAK26" s="35"/>
      <c r="FAL26" s="35"/>
      <c r="FAM26" s="35"/>
      <c r="FAN26" s="35"/>
      <c r="FAO26" s="35"/>
      <c r="FAP26" s="35"/>
      <c r="FAQ26" s="35"/>
      <c r="FAR26" s="35"/>
      <c r="FAS26" s="35"/>
      <c r="FAT26" s="35"/>
      <c r="FAU26" s="35"/>
      <c r="FAV26" s="35"/>
      <c r="FAW26" s="35"/>
      <c r="FAX26" s="35"/>
      <c r="FAY26" s="35"/>
      <c r="FAZ26" s="35"/>
      <c r="FBA26" s="35"/>
      <c r="FBB26" s="35"/>
      <c r="FBC26" s="35"/>
      <c r="FBD26" s="35"/>
      <c r="FBE26" s="35"/>
      <c r="FBF26" s="35"/>
      <c r="FBG26" s="35"/>
      <c r="FBH26" s="35"/>
      <c r="FBI26" s="35"/>
      <c r="FBJ26" s="35"/>
      <c r="FBK26" s="35"/>
      <c r="FBL26" s="35"/>
      <c r="FBM26" s="35"/>
      <c r="FBN26" s="35"/>
      <c r="FBO26" s="35"/>
      <c r="FBP26" s="35"/>
      <c r="FBQ26" s="35"/>
      <c r="FBR26" s="35"/>
      <c r="FBS26" s="35"/>
      <c r="FBT26" s="35"/>
      <c r="FBU26" s="35"/>
      <c r="FBV26" s="35"/>
      <c r="FBW26" s="35"/>
      <c r="FBX26" s="35"/>
      <c r="FBY26" s="35"/>
      <c r="FBZ26" s="35"/>
      <c r="FCA26" s="35"/>
      <c r="FCB26" s="35"/>
      <c r="FCC26" s="35"/>
      <c r="FCD26" s="35"/>
      <c r="FCE26" s="35"/>
      <c r="FCF26" s="35"/>
      <c r="FCG26" s="35"/>
      <c r="FCH26" s="35"/>
      <c r="FCI26" s="35"/>
      <c r="FCJ26" s="35"/>
      <c r="FCK26" s="35"/>
      <c r="FCL26" s="35"/>
      <c r="FCM26" s="35"/>
      <c r="FCN26" s="35"/>
      <c r="FCO26" s="35"/>
      <c r="FCP26" s="35"/>
      <c r="FCQ26" s="35"/>
      <c r="FCR26" s="35"/>
      <c r="FCS26" s="35"/>
      <c r="FCT26" s="35"/>
      <c r="FCU26" s="35"/>
      <c r="FCV26" s="35"/>
      <c r="FCW26" s="35"/>
      <c r="FCX26" s="35"/>
      <c r="FCY26" s="35"/>
      <c r="FCZ26" s="35"/>
      <c r="FDA26" s="35"/>
      <c r="FDB26" s="35"/>
      <c r="FDC26" s="35"/>
      <c r="FDD26" s="35"/>
      <c r="FDE26" s="35"/>
      <c r="FDF26" s="35"/>
      <c r="FDG26" s="35"/>
      <c r="FDH26" s="35"/>
      <c r="FDI26" s="35"/>
      <c r="FDJ26" s="35"/>
      <c r="FDK26" s="35"/>
      <c r="FDL26" s="35"/>
      <c r="FDM26" s="35"/>
      <c r="FDN26" s="35"/>
      <c r="FDO26" s="35"/>
      <c r="FDP26" s="35"/>
      <c r="FDQ26" s="35"/>
      <c r="FDR26" s="35"/>
      <c r="FDS26" s="35"/>
      <c r="FDT26" s="35"/>
      <c r="FDU26" s="35"/>
      <c r="FDV26" s="35"/>
      <c r="FDW26" s="35"/>
      <c r="FDX26" s="35"/>
      <c r="FDY26" s="35"/>
      <c r="FDZ26" s="35"/>
      <c r="FEA26" s="35"/>
      <c r="FEB26" s="35"/>
      <c r="FEC26" s="35"/>
      <c r="FED26" s="35"/>
      <c r="FEE26" s="35"/>
      <c r="FEF26" s="35"/>
      <c r="FEG26" s="35"/>
      <c r="FEH26" s="35"/>
      <c r="FEI26" s="35"/>
      <c r="FEJ26" s="35"/>
      <c r="FEK26" s="35"/>
      <c r="FEL26" s="35"/>
      <c r="FEM26" s="35"/>
      <c r="FEN26" s="35"/>
      <c r="FEO26" s="35"/>
      <c r="FEP26" s="35"/>
      <c r="FEQ26" s="35"/>
      <c r="FER26" s="35"/>
      <c r="FES26" s="35"/>
      <c r="FET26" s="35"/>
      <c r="FEU26" s="35"/>
      <c r="FEV26" s="35"/>
      <c r="FEW26" s="35"/>
      <c r="FEX26" s="35"/>
      <c r="FEY26" s="35"/>
      <c r="FEZ26" s="35"/>
      <c r="FFA26" s="35"/>
      <c r="FFB26" s="35"/>
      <c r="FFC26" s="35"/>
      <c r="FFD26" s="35"/>
      <c r="FFE26" s="35"/>
      <c r="FFF26" s="35"/>
      <c r="FFG26" s="35"/>
      <c r="FFH26" s="35"/>
      <c r="FFI26" s="35"/>
      <c r="FFJ26" s="35"/>
      <c r="FFK26" s="35"/>
      <c r="FFL26" s="35"/>
      <c r="FFM26" s="35"/>
      <c r="FFN26" s="35"/>
      <c r="FFO26" s="35"/>
      <c r="FFP26" s="35"/>
      <c r="FFQ26" s="35"/>
      <c r="FFR26" s="35"/>
      <c r="FFS26" s="35"/>
      <c r="FFT26" s="35"/>
      <c r="FFU26" s="35"/>
      <c r="FFV26" s="35"/>
      <c r="FFW26" s="35"/>
      <c r="FFX26" s="35"/>
      <c r="FFY26" s="35"/>
      <c r="FFZ26" s="35"/>
      <c r="FGA26" s="35"/>
      <c r="FGB26" s="35"/>
      <c r="FGC26" s="35"/>
      <c r="FGD26" s="35"/>
      <c r="FGE26" s="35"/>
      <c r="FGF26" s="35"/>
      <c r="FGG26" s="35"/>
      <c r="FGH26" s="35"/>
      <c r="FGI26" s="35"/>
      <c r="FGJ26" s="35"/>
      <c r="FGK26" s="35"/>
      <c r="FGL26" s="35"/>
      <c r="FGM26" s="35"/>
      <c r="FGN26" s="35"/>
      <c r="FGO26" s="35"/>
      <c r="FGP26" s="35"/>
      <c r="FGQ26" s="35"/>
      <c r="FGR26" s="35"/>
      <c r="FGS26" s="35"/>
      <c r="FGT26" s="35"/>
      <c r="FGU26" s="35"/>
      <c r="FGV26" s="35"/>
      <c r="FGW26" s="35"/>
      <c r="FGX26" s="35"/>
      <c r="FGY26" s="35"/>
      <c r="FGZ26" s="35"/>
      <c r="FHA26" s="35"/>
      <c r="FHB26" s="35"/>
      <c r="FHC26" s="35"/>
      <c r="FHD26" s="35"/>
      <c r="FHE26" s="35"/>
      <c r="FHF26" s="35"/>
      <c r="FHG26" s="35"/>
      <c r="FHH26" s="35"/>
      <c r="FHI26" s="35"/>
      <c r="FHJ26" s="35"/>
      <c r="FHK26" s="35"/>
      <c r="FHL26" s="35"/>
      <c r="FHM26" s="35"/>
      <c r="FHN26" s="35"/>
      <c r="FHO26" s="35"/>
      <c r="FHP26" s="35"/>
      <c r="FHQ26" s="35"/>
      <c r="FHR26" s="35"/>
      <c r="FHS26" s="35"/>
      <c r="FHT26" s="35"/>
      <c r="FHU26" s="35"/>
      <c r="FHV26" s="35"/>
      <c r="FHW26" s="35"/>
      <c r="FHX26" s="35"/>
      <c r="FHY26" s="35"/>
      <c r="FHZ26" s="35"/>
      <c r="FIA26" s="35"/>
      <c r="FIB26" s="35"/>
      <c r="FIC26" s="35"/>
      <c r="FID26" s="35"/>
      <c r="FIE26" s="35"/>
      <c r="FIF26" s="35"/>
      <c r="FIG26" s="35"/>
      <c r="FIH26" s="35"/>
      <c r="FII26" s="35"/>
      <c r="FIJ26" s="35"/>
      <c r="FIK26" s="35"/>
      <c r="FIL26" s="35"/>
      <c r="FIM26" s="35"/>
      <c r="FIN26" s="35"/>
      <c r="FIO26" s="35"/>
      <c r="FIP26" s="35"/>
      <c r="FIQ26" s="35"/>
      <c r="FIR26" s="35"/>
      <c r="FIS26" s="35"/>
      <c r="FIT26" s="35"/>
      <c r="FIU26" s="35"/>
      <c r="FIV26" s="35"/>
      <c r="FIW26" s="35"/>
      <c r="FIX26" s="35"/>
      <c r="FIY26" s="35"/>
      <c r="FIZ26" s="35"/>
      <c r="FJA26" s="35"/>
      <c r="FJB26" s="35"/>
      <c r="FJC26" s="35"/>
      <c r="FJD26" s="35"/>
      <c r="FJE26" s="35"/>
      <c r="FJF26" s="35"/>
      <c r="FJG26" s="35"/>
      <c r="FJH26" s="35"/>
      <c r="FJI26" s="35"/>
      <c r="FJJ26" s="35"/>
      <c r="FJK26" s="35"/>
      <c r="FJL26" s="35"/>
      <c r="FJM26" s="35"/>
      <c r="FJN26" s="35"/>
      <c r="FJO26" s="35"/>
      <c r="FJP26" s="35"/>
      <c r="FJQ26" s="35"/>
      <c r="FJR26" s="35"/>
      <c r="FJS26" s="35"/>
      <c r="FJT26" s="35"/>
      <c r="FJU26" s="35"/>
      <c r="FJV26" s="35"/>
      <c r="FJW26" s="35"/>
      <c r="FJX26" s="35"/>
      <c r="FJY26" s="35"/>
      <c r="FJZ26" s="35"/>
      <c r="FKA26" s="35"/>
      <c r="FKB26" s="35"/>
      <c r="FKC26" s="35"/>
      <c r="FKD26" s="35"/>
      <c r="FKE26" s="35"/>
      <c r="FKF26" s="35"/>
      <c r="FKG26" s="35"/>
      <c r="FKH26" s="35"/>
      <c r="FKI26" s="35"/>
      <c r="FKJ26" s="35"/>
      <c r="FKK26" s="35"/>
      <c r="FKL26" s="35"/>
      <c r="FKM26" s="35"/>
      <c r="FKN26" s="35"/>
      <c r="FKO26" s="35"/>
      <c r="FKP26" s="35"/>
      <c r="FKQ26" s="35"/>
      <c r="FKR26" s="35"/>
      <c r="FKS26" s="35"/>
      <c r="FKT26" s="35"/>
      <c r="FKU26" s="35"/>
      <c r="FKV26" s="35"/>
      <c r="FKW26" s="35"/>
      <c r="FKX26" s="35"/>
      <c r="FKY26" s="35"/>
      <c r="FKZ26" s="35"/>
      <c r="FLA26" s="35"/>
      <c r="FLB26" s="35"/>
      <c r="FLC26" s="35"/>
      <c r="FLD26" s="35"/>
      <c r="FLE26" s="35"/>
      <c r="FLF26" s="35"/>
      <c r="FLG26" s="35"/>
      <c r="FLH26" s="35"/>
      <c r="FLI26" s="35"/>
      <c r="FLJ26" s="35"/>
      <c r="FLK26" s="35"/>
      <c r="FLL26" s="35"/>
      <c r="FLM26" s="35"/>
      <c r="FLN26" s="35"/>
      <c r="FLO26" s="35"/>
      <c r="FLP26" s="35"/>
      <c r="FLQ26" s="35"/>
      <c r="FLR26" s="35"/>
      <c r="FLS26" s="35"/>
      <c r="FLT26" s="35"/>
      <c r="FLU26" s="35"/>
      <c r="FLV26" s="35"/>
      <c r="FLW26" s="35"/>
      <c r="FLX26" s="35"/>
      <c r="FLY26" s="35"/>
      <c r="FLZ26" s="35"/>
      <c r="FMA26" s="35"/>
      <c r="FMB26" s="35"/>
      <c r="FMC26" s="35"/>
      <c r="FMD26" s="35"/>
      <c r="FME26" s="35"/>
      <c r="FMF26" s="35"/>
      <c r="FMG26" s="35"/>
      <c r="FMH26" s="35"/>
      <c r="FMI26" s="35"/>
      <c r="FMJ26" s="35"/>
      <c r="FMK26" s="35"/>
      <c r="FML26" s="35"/>
      <c r="FMM26" s="35"/>
      <c r="FMN26" s="35"/>
      <c r="FMO26" s="35"/>
      <c r="FMP26" s="35"/>
      <c r="FMQ26" s="35"/>
      <c r="FMR26" s="35"/>
      <c r="FMS26" s="35"/>
      <c r="FMT26" s="35"/>
      <c r="FMU26" s="35"/>
      <c r="FMV26" s="35"/>
      <c r="FMW26" s="35"/>
      <c r="FMX26" s="35"/>
      <c r="FMY26" s="35"/>
      <c r="FMZ26" s="35"/>
      <c r="FNA26" s="35"/>
      <c r="FNB26" s="35"/>
      <c r="FNC26" s="35"/>
      <c r="FND26" s="35"/>
      <c r="FNE26" s="35"/>
      <c r="FNF26" s="35"/>
      <c r="FNG26" s="35"/>
      <c r="FNH26" s="35"/>
      <c r="FNI26" s="35"/>
      <c r="FNJ26" s="35"/>
      <c r="FNK26" s="35"/>
      <c r="FNL26" s="35"/>
      <c r="FNM26" s="35"/>
      <c r="FNN26" s="35"/>
      <c r="FNO26" s="35"/>
      <c r="FNP26" s="35"/>
      <c r="FNQ26" s="35"/>
      <c r="FNR26" s="35"/>
      <c r="FNS26" s="35"/>
      <c r="FNT26" s="35"/>
      <c r="FNU26" s="35"/>
      <c r="FNV26" s="35"/>
      <c r="FNW26" s="35"/>
      <c r="FNX26" s="35"/>
      <c r="FNY26" s="35"/>
      <c r="FNZ26" s="35"/>
      <c r="FOA26" s="35"/>
      <c r="FOB26" s="35"/>
      <c r="FOC26" s="35"/>
      <c r="FOD26" s="35"/>
      <c r="FOE26" s="35"/>
      <c r="FOF26" s="35"/>
      <c r="FOG26" s="35"/>
      <c r="FOH26" s="35"/>
      <c r="FOI26" s="35"/>
      <c r="FOJ26" s="35"/>
      <c r="FOK26" s="35"/>
      <c r="FOL26" s="35"/>
      <c r="FOM26" s="35"/>
      <c r="FON26" s="35"/>
      <c r="FOO26" s="35"/>
      <c r="FOP26" s="35"/>
      <c r="FOQ26" s="35"/>
      <c r="FOR26" s="35"/>
      <c r="FOS26" s="35"/>
      <c r="FOT26" s="35"/>
      <c r="FOU26" s="35"/>
      <c r="FOV26" s="35"/>
      <c r="FOW26" s="35"/>
      <c r="FOX26" s="35"/>
      <c r="FOY26" s="35"/>
      <c r="FOZ26" s="35"/>
      <c r="FPA26" s="35"/>
      <c r="FPB26" s="35"/>
      <c r="FPC26" s="35"/>
      <c r="FPD26" s="35"/>
      <c r="FPE26" s="35"/>
      <c r="FPF26" s="35"/>
      <c r="FPG26" s="35"/>
      <c r="FPH26" s="35"/>
      <c r="FPI26" s="35"/>
      <c r="FPJ26" s="35"/>
      <c r="FPK26" s="35"/>
      <c r="FPL26" s="35"/>
      <c r="FPM26" s="35"/>
      <c r="FPN26" s="35"/>
      <c r="FPO26" s="35"/>
      <c r="FPP26" s="35"/>
      <c r="FPQ26" s="35"/>
      <c r="FPR26" s="35"/>
      <c r="FPS26" s="35"/>
      <c r="FPT26" s="35"/>
      <c r="FPU26" s="35"/>
      <c r="FPV26" s="35"/>
      <c r="FPW26" s="35"/>
      <c r="FPX26" s="35"/>
      <c r="FPY26" s="35"/>
      <c r="FPZ26" s="35"/>
      <c r="FQA26" s="35"/>
      <c r="FQB26" s="35"/>
      <c r="FQC26" s="35"/>
      <c r="FQD26" s="35"/>
      <c r="FQE26" s="35"/>
      <c r="FQF26" s="35"/>
      <c r="FQG26" s="35"/>
      <c r="FQH26" s="35"/>
      <c r="FQI26" s="35"/>
      <c r="FQJ26" s="35"/>
      <c r="FQK26" s="35"/>
      <c r="FQL26" s="35"/>
      <c r="FQM26" s="35"/>
      <c r="FQN26" s="35"/>
      <c r="FQO26" s="35"/>
      <c r="FQP26" s="35"/>
      <c r="FQQ26" s="35"/>
      <c r="FQR26" s="35"/>
      <c r="FQS26" s="35"/>
      <c r="FQT26" s="35"/>
      <c r="FQU26" s="35"/>
      <c r="FQV26" s="35"/>
      <c r="FQW26" s="35"/>
      <c r="FQX26" s="35"/>
      <c r="FQY26" s="35"/>
      <c r="FQZ26" s="35"/>
      <c r="FRA26" s="35"/>
      <c r="FRB26" s="35"/>
      <c r="FRC26" s="35"/>
      <c r="FRD26" s="35"/>
      <c r="FRE26" s="35"/>
      <c r="FRF26" s="35"/>
      <c r="FRG26" s="35"/>
      <c r="FRH26" s="35"/>
      <c r="FRI26" s="35"/>
      <c r="FRJ26" s="35"/>
      <c r="FRK26" s="35"/>
      <c r="FRL26" s="35"/>
      <c r="FRM26" s="35"/>
      <c r="FRN26" s="35"/>
      <c r="FRO26" s="35"/>
      <c r="FRP26" s="35"/>
      <c r="FRQ26" s="35"/>
      <c r="FRR26" s="35"/>
      <c r="FRS26" s="35"/>
      <c r="FRT26" s="35"/>
      <c r="FRU26" s="35"/>
      <c r="FRV26" s="35"/>
      <c r="FRW26" s="35"/>
      <c r="FRX26" s="35"/>
      <c r="FRY26" s="35"/>
      <c r="FRZ26" s="35"/>
      <c r="FSA26" s="35"/>
      <c r="FSB26" s="35"/>
      <c r="FSC26" s="35"/>
      <c r="FSD26" s="35"/>
      <c r="FSE26" s="35"/>
      <c r="FSF26" s="35"/>
      <c r="FSG26" s="35"/>
      <c r="FSH26" s="35"/>
      <c r="FSI26" s="35"/>
      <c r="FSJ26" s="35"/>
      <c r="FSK26" s="35"/>
      <c r="FSL26" s="35"/>
      <c r="FSM26" s="35"/>
      <c r="FSN26" s="35"/>
      <c r="FSO26" s="35"/>
      <c r="FSP26" s="35"/>
      <c r="FSQ26" s="35"/>
      <c r="FSR26" s="35"/>
      <c r="FSS26" s="35"/>
      <c r="FST26" s="35"/>
      <c r="FSU26" s="35"/>
      <c r="FSV26" s="35"/>
      <c r="FSW26" s="35"/>
      <c r="FSX26" s="35"/>
      <c r="FSY26" s="35"/>
      <c r="FSZ26" s="35"/>
      <c r="FTA26" s="35"/>
      <c r="FTB26" s="35"/>
      <c r="FTC26" s="35"/>
      <c r="FTD26" s="35"/>
      <c r="FTE26" s="35"/>
      <c r="FTF26" s="35"/>
      <c r="FTG26" s="35"/>
      <c r="FTH26" s="35"/>
      <c r="FTI26" s="35"/>
      <c r="FTJ26" s="35"/>
      <c r="FTK26" s="35"/>
      <c r="FTL26" s="35"/>
      <c r="FTM26" s="35"/>
      <c r="FTN26" s="35"/>
      <c r="FTO26" s="35"/>
      <c r="FTP26" s="35"/>
      <c r="FTQ26" s="35"/>
      <c r="FTR26" s="35"/>
      <c r="FTS26" s="35"/>
      <c r="FTT26" s="35"/>
      <c r="FTU26" s="35"/>
      <c r="FTV26" s="35"/>
      <c r="FTW26" s="35"/>
      <c r="FTX26" s="35"/>
      <c r="FTY26" s="35"/>
      <c r="FTZ26" s="35"/>
      <c r="FUA26" s="35"/>
      <c r="FUB26" s="35"/>
      <c r="FUC26" s="35"/>
      <c r="FUD26" s="35"/>
      <c r="FUE26" s="35"/>
      <c r="FUF26" s="35"/>
      <c r="FUG26" s="35"/>
      <c r="FUH26" s="35"/>
      <c r="FUI26" s="35"/>
      <c r="FUJ26" s="35"/>
      <c r="FUK26" s="35"/>
      <c r="FUL26" s="35"/>
      <c r="FUM26" s="35"/>
      <c r="FUN26" s="35"/>
      <c r="FUO26" s="35"/>
      <c r="FUP26" s="35"/>
      <c r="FUQ26" s="35"/>
      <c r="FUR26" s="35"/>
      <c r="FUS26" s="35"/>
      <c r="FUT26" s="35"/>
      <c r="FUU26" s="35"/>
      <c r="FUV26" s="35"/>
      <c r="FUW26" s="35"/>
      <c r="FUX26" s="35"/>
      <c r="FUY26" s="35"/>
      <c r="FUZ26" s="35"/>
      <c r="FVA26" s="35"/>
      <c r="FVB26" s="35"/>
      <c r="FVC26" s="35"/>
      <c r="FVD26" s="35"/>
      <c r="FVE26" s="35"/>
      <c r="FVF26" s="35"/>
      <c r="FVG26" s="35"/>
      <c r="FVH26" s="35"/>
      <c r="FVI26" s="35"/>
      <c r="FVJ26" s="35"/>
      <c r="FVK26" s="35"/>
      <c r="FVL26" s="35"/>
      <c r="FVM26" s="35"/>
      <c r="FVN26" s="35"/>
      <c r="FVO26" s="35"/>
      <c r="FVP26" s="35"/>
      <c r="FVQ26" s="35"/>
      <c r="FVR26" s="35"/>
      <c r="FVS26" s="35"/>
      <c r="FVT26" s="35"/>
      <c r="FVU26" s="35"/>
      <c r="FVV26" s="35"/>
      <c r="FVW26" s="35"/>
      <c r="FVX26" s="35"/>
      <c r="FVY26" s="35"/>
      <c r="FVZ26" s="35"/>
      <c r="FWA26" s="35"/>
      <c r="FWB26" s="35"/>
      <c r="FWC26" s="35"/>
      <c r="FWD26" s="35"/>
      <c r="FWE26" s="35"/>
      <c r="FWF26" s="35"/>
      <c r="FWG26" s="35"/>
      <c r="FWH26" s="35"/>
      <c r="FWI26" s="35"/>
      <c r="FWJ26" s="35"/>
      <c r="FWK26" s="35"/>
      <c r="FWL26" s="35"/>
      <c r="FWM26" s="35"/>
      <c r="FWN26" s="35"/>
      <c r="FWO26" s="35"/>
      <c r="FWP26" s="35"/>
      <c r="FWQ26" s="35"/>
      <c r="FWR26" s="35"/>
      <c r="FWS26" s="35"/>
      <c r="FWT26" s="35"/>
      <c r="FWU26" s="35"/>
      <c r="FWV26" s="35"/>
      <c r="FWW26" s="35"/>
      <c r="FWX26" s="35"/>
      <c r="FWY26" s="35"/>
      <c r="FWZ26" s="35"/>
      <c r="FXA26" s="35"/>
      <c r="FXB26" s="35"/>
      <c r="FXC26" s="35"/>
      <c r="FXD26" s="35"/>
      <c r="FXE26" s="35"/>
      <c r="FXF26" s="35"/>
      <c r="FXG26" s="35"/>
      <c r="FXH26" s="35"/>
      <c r="FXI26" s="35"/>
      <c r="FXJ26" s="35"/>
      <c r="FXK26" s="35"/>
      <c r="FXL26" s="35"/>
      <c r="FXM26" s="35"/>
      <c r="FXN26" s="35"/>
      <c r="FXO26" s="35"/>
      <c r="FXP26" s="35"/>
      <c r="FXQ26" s="35"/>
      <c r="FXR26" s="35"/>
      <c r="FXS26" s="35"/>
      <c r="FXT26" s="35"/>
      <c r="FXU26" s="35"/>
      <c r="FXV26" s="35"/>
      <c r="FXW26" s="35"/>
      <c r="FXX26" s="35"/>
      <c r="FXY26" s="35"/>
      <c r="FXZ26" s="35"/>
      <c r="FYA26" s="35"/>
      <c r="FYB26" s="35"/>
      <c r="FYC26" s="35"/>
      <c r="FYD26" s="35"/>
      <c r="FYE26" s="35"/>
      <c r="FYF26" s="35"/>
      <c r="FYG26" s="35"/>
      <c r="FYH26" s="35"/>
      <c r="FYI26" s="35"/>
      <c r="FYJ26" s="35"/>
      <c r="FYK26" s="35"/>
      <c r="FYL26" s="35"/>
      <c r="FYM26" s="35"/>
      <c r="FYN26" s="35"/>
      <c r="FYO26" s="35"/>
      <c r="FYP26" s="35"/>
      <c r="FYQ26" s="35"/>
      <c r="FYR26" s="35"/>
      <c r="FYS26" s="35"/>
      <c r="FYT26" s="35"/>
      <c r="FYU26" s="35"/>
      <c r="FYV26" s="35"/>
      <c r="FYW26" s="35"/>
      <c r="FYX26" s="35"/>
      <c r="FYY26" s="35"/>
      <c r="FYZ26" s="35"/>
      <c r="FZA26" s="35"/>
      <c r="FZB26" s="35"/>
      <c r="FZC26" s="35"/>
      <c r="FZD26" s="35"/>
      <c r="FZE26" s="35"/>
      <c r="FZF26" s="35"/>
      <c r="FZG26" s="35"/>
      <c r="FZH26" s="35"/>
      <c r="FZI26" s="35"/>
      <c r="FZJ26" s="35"/>
      <c r="FZK26" s="35"/>
      <c r="FZL26" s="35"/>
      <c r="FZM26" s="35"/>
      <c r="FZN26" s="35"/>
      <c r="FZO26" s="35"/>
      <c r="FZP26" s="35"/>
      <c r="FZQ26" s="35"/>
      <c r="FZR26" s="35"/>
      <c r="FZS26" s="35"/>
      <c r="FZT26" s="35"/>
      <c r="FZU26" s="35"/>
      <c r="FZV26" s="35"/>
      <c r="FZW26" s="35"/>
      <c r="FZX26" s="35"/>
      <c r="FZY26" s="35"/>
      <c r="FZZ26" s="35"/>
      <c r="GAA26" s="35"/>
      <c r="GAB26" s="35"/>
      <c r="GAC26" s="35"/>
      <c r="GAD26" s="35"/>
      <c r="GAE26" s="35"/>
      <c r="GAF26" s="35"/>
      <c r="GAG26" s="35"/>
      <c r="GAH26" s="35"/>
      <c r="GAI26" s="35"/>
      <c r="GAJ26" s="35"/>
      <c r="GAK26" s="35"/>
      <c r="GAL26" s="35"/>
      <c r="GAM26" s="35"/>
      <c r="GAN26" s="35"/>
      <c r="GAO26" s="35"/>
      <c r="GAP26" s="35"/>
      <c r="GAQ26" s="35"/>
      <c r="GAR26" s="35"/>
      <c r="GAS26" s="35"/>
      <c r="GAT26" s="35"/>
      <c r="GAU26" s="35"/>
      <c r="GAV26" s="35"/>
      <c r="GAW26" s="35"/>
      <c r="GAX26" s="35"/>
      <c r="GAY26" s="35"/>
      <c r="GAZ26" s="35"/>
      <c r="GBA26" s="35"/>
      <c r="GBB26" s="35"/>
      <c r="GBC26" s="35"/>
      <c r="GBD26" s="35"/>
      <c r="GBE26" s="35"/>
      <c r="GBF26" s="35"/>
      <c r="GBG26" s="35"/>
      <c r="GBH26" s="35"/>
      <c r="GBI26" s="35"/>
      <c r="GBJ26" s="35"/>
      <c r="GBK26" s="35"/>
      <c r="GBL26" s="35"/>
      <c r="GBM26" s="35"/>
      <c r="GBN26" s="35"/>
      <c r="GBO26" s="35"/>
      <c r="GBP26" s="35"/>
      <c r="GBQ26" s="35"/>
      <c r="GBR26" s="35"/>
      <c r="GBS26" s="35"/>
      <c r="GBT26" s="35"/>
      <c r="GBU26" s="35"/>
      <c r="GBV26" s="35"/>
      <c r="GBW26" s="35"/>
      <c r="GBX26" s="35"/>
      <c r="GBY26" s="35"/>
      <c r="GBZ26" s="35"/>
      <c r="GCA26" s="35"/>
      <c r="GCB26" s="35"/>
      <c r="GCC26" s="35"/>
      <c r="GCD26" s="35"/>
      <c r="GCE26" s="35"/>
      <c r="GCF26" s="35"/>
      <c r="GCG26" s="35"/>
      <c r="GCH26" s="35"/>
      <c r="GCI26" s="35"/>
      <c r="GCJ26" s="35"/>
      <c r="GCK26" s="35"/>
      <c r="GCL26" s="35"/>
      <c r="GCM26" s="35"/>
      <c r="GCN26" s="35"/>
      <c r="GCO26" s="35"/>
      <c r="GCP26" s="35"/>
      <c r="GCQ26" s="35"/>
      <c r="GCR26" s="35"/>
      <c r="GCS26" s="35"/>
      <c r="GCT26" s="35"/>
      <c r="GCU26" s="35"/>
      <c r="GCV26" s="35"/>
      <c r="GCW26" s="35"/>
      <c r="GCX26" s="35"/>
      <c r="GCY26" s="35"/>
      <c r="GCZ26" s="35"/>
      <c r="GDA26" s="35"/>
      <c r="GDB26" s="35"/>
      <c r="GDC26" s="35"/>
      <c r="GDD26" s="35"/>
      <c r="GDE26" s="35"/>
      <c r="GDF26" s="35"/>
      <c r="GDG26" s="35"/>
      <c r="GDH26" s="35"/>
      <c r="GDI26" s="35"/>
      <c r="GDJ26" s="35"/>
      <c r="GDK26" s="35"/>
      <c r="GDL26" s="35"/>
      <c r="GDM26" s="35"/>
      <c r="GDN26" s="35"/>
      <c r="GDO26" s="35"/>
      <c r="GDP26" s="35"/>
      <c r="GDQ26" s="35"/>
      <c r="GDR26" s="35"/>
      <c r="GDS26" s="35"/>
      <c r="GDT26" s="35"/>
      <c r="GDU26" s="35"/>
      <c r="GDV26" s="35"/>
      <c r="GDW26" s="35"/>
      <c r="GDX26" s="35"/>
      <c r="GDY26" s="35"/>
      <c r="GDZ26" s="35"/>
      <c r="GEA26" s="35"/>
      <c r="GEB26" s="35"/>
      <c r="GEC26" s="35"/>
      <c r="GED26" s="35"/>
      <c r="GEE26" s="35"/>
      <c r="GEF26" s="35"/>
      <c r="GEG26" s="35"/>
      <c r="GEH26" s="35"/>
      <c r="GEI26" s="35"/>
      <c r="GEJ26" s="35"/>
      <c r="GEK26" s="35"/>
      <c r="GEL26" s="35"/>
      <c r="GEM26" s="35"/>
      <c r="GEN26" s="35"/>
      <c r="GEO26" s="35"/>
      <c r="GEP26" s="35"/>
      <c r="GEQ26" s="35"/>
      <c r="GER26" s="35"/>
      <c r="GES26" s="35"/>
      <c r="GET26" s="35"/>
      <c r="GEU26" s="35"/>
      <c r="GEV26" s="35"/>
      <c r="GEW26" s="35"/>
      <c r="GEX26" s="35"/>
      <c r="GEY26" s="35"/>
      <c r="GEZ26" s="35"/>
      <c r="GFA26" s="35"/>
      <c r="GFB26" s="35"/>
      <c r="GFC26" s="35"/>
      <c r="GFD26" s="35"/>
      <c r="GFE26" s="35"/>
      <c r="GFF26" s="35"/>
      <c r="GFG26" s="35"/>
      <c r="GFH26" s="35"/>
      <c r="GFI26" s="35"/>
      <c r="GFJ26" s="35"/>
      <c r="GFK26" s="35"/>
      <c r="GFL26" s="35"/>
      <c r="GFM26" s="35"/>
      <c r="GFN26" s="35"/>
      <c r="GFO26" s="35"/>
      <c r="GFP26" s="35"/>
      <c r="GFQ26" s="35"/>
      <c r="GFR26" s="35"/>
      <c r="GFS26" s="35"/>
      <c r="GFT26" s="35"/>
      <c r="GFU26" s="35"/>
      <c r="GFV26" s="35"/>
      <c r="GFW26" s="35"/>
      <c r="GFX26" s="35"/>
      <c r="GFY26" s="35"/>
      <c r="GFZ26" s="35"/>
      <c r="GGA26" s="35"/>
      <c r="GGB26" s="35"/>
      <c r="GGC26" s="35"/>
      <c r="GGD26" s="35"/>
      <c r="GGE26" s="35"/>
      <c r="GGF26" s="35"/>
      <c r="GGG26" s="35"/>
      <c r="GGH26" s="35"/>
      <c r="GGI26" s="35"/>
      <c r="GGJ26" s="35"/>
      <c r="GGK26" s="35"/>
      <c r="GGL26" s="35"/>
      <c r="GGM26" s="35"/>
      <c r="GGN26" s="35"/>
      <c r="GGO26" s="35"/>
      <c r="GGP26" s="35"/>
      <c r="GGQ26" s="35"/>
      <c r="GGR26" s="35"/>
      <c r="GGS26" s="35"/>
      <c r="GGT26" s="35"/>
      <c r="GGU26" s="35"/>
      <c r="GGV26" s="35"/>
      <c r="GGW26" s="35"/>
      <c r="GGX26" s="35"/>
      <c r="GGY26" s="35"/>
      <c r="GGZ26" s="35"/>
      <c r="GHA26" s="35"/>
      <c r="GHB26" s="35"/>
      <c r="GHC26" s="35"/>
      <c r="GHD26" s="35"/>
      <c r="GHE26" s="35"/>
      <c r="GHF26" s="35"/>
      <c r="GHG26" s="35"/>
      <c r="GHH26" s="35"/>
      <c r="GHI26" s="35"/>
      <c r="GHJ26" s="35"/>
      <c r="GHK26" s="35"/>
      <c r="GHL26" s="35"/>
      <c r="GHM26" s="35"/>
      <c r="GHN26" s="35"/>
      <c r="GHO26" s="35"/>
      <c r="GHP26" s="35"/>
      <c r="GHQ26" s="35"/>
      <c r="GHR26" s="35"/>
      <c r="GHS26" s="35"/>
      <c r="GHT26" s="35"/>
      <c r="GHU26" s="35"/>
      <c r="GHV26" s="35"/>
      <c r="GHW26" s="35"/>
      <c r="GHX26" s="35"/>
      <c r="GHY26" s="35"/>
      <c r="GHZ26" s="35"/>
      <c r="GIA26" s="35"/>
      <c r="GIB26" s="35"/>
      <c r="GIC26" s="35"/>
      <c r="GID26" s="35"/>
      <c r="GIE26" s="35"/>
      <c r="GIF26" s="35"/>
      <c r="GIG26" s="35"/>
      <c r="GIH26" s="35"/>
      <c r="GII26" s="35"/>
      <c r="GIJ26" s="35"/>
      <c r="GIK26" s="35"/>
      <c r="GIL26" s="35"/>
      <c r="GIM26" s="35"/>
      <c r="GIN26" s="35"/>
      <c r="GIO26" s="35"/>
      <c r="GIP26" s="35"/>
      <c r="GIQ26" s="35"/>
      <c r="GIR26" s="35"/>
      <c r="GIS26" s="35"/>
      <c r="GIT26" s="35"/>
      <c r="GIU26" s="35"/>
      <c r="GIV26" s="35"/>
      <c r="GIW26" s="35"/>
      <c r="GIX26" s="35"/>
      <c r="GIY26" s="35"/>
      <c r="GIZ26" s="35"/>
      <c r="GJA26" s="35"/>
      <c r="GJB26" s="35"/>
      <c r="GJC26" s="35"/>
      <c r="GJD26" s="35"/>
      <c r="GJE26" s="35"/>
      <c r="GJF26" s="35"/>
      <c r="GJG26" s="35"/>
      <c r="GJH26" s="35"/>
      <c r="GJI26" s="35"/>
      <c r="GJJ26" s="35"/>
      <c r="GJK26" s="35"/>
      <c r="GJL26" s="35"/>
      <c r="GJM26" s="35"/>
      <c r="GJN26" s="35"/>
      <c r="GJO26" s="35"/>
      <c r="GJP26" s="35"/>
      <c r="GJQ26" s="35"/>
      <c r="GJR26" s="35"/>
      <c r="GJS26" s="35"/>
      <c r="GJT26" s="35"/>
      <c r="GJU26" s="35"/>
      <c r="GJV26" s="35"/>
      <c r="GJW26" s="35"/>
      <c r="GJX26" s="35"/>
      <c r="GJY26" s="35"/>
      <c r="GJZ26" s="35"/>
      <c r="GKA26" s="35"/>
      <c r="GKB26" s="35"/>
      <c r="GKC26" s="35"/>
      <c r="GKD26" s="35"/>
      <c r="GKE26" s="35"/>
      <c r="GKF26" s="35"/>
      <c r="GKG26" s="35"/>
      <c r="GKH26" s="35"/>
      <c r="GKI26" s="35"/>
      <c r="GKJ26" s="35"/>
      <c r="GKK26" s="35"/>
      <c r="GKL26" s="35"/>
      <c r="GKM26" s="35"/>
      <c r="GKN26" s="35"/>
      <c r="GKO26" s="35"/>
      <c r="GKP26" s="35"/>
      <c r="GKQ26" s="35"/>
      <c r="GKR26" s="35"/>
      <c r="GKS26" s="35"/>
      <c r="GKT26" s="35"/>
      <c r="GKU26" s="35"/>
      <c r="GKV26" s="35"/>
      <c r="GKW26" s="35"/>
      <c r="GKX26" s="35"/>
      <c r="GKY26" s="35"/>
      <c r="GKZ26" s="35"/>
      <c r="GLA26" s="35"/>
      <c r="GLB26" s="35"/>
      <c r="GLC26" s="35"/>
      <c r="GLD26" s="35"/>
      <c r="GLE26" s="35"/>
      <c r="GLF26" s="35"/>
      <c r="GLG26" s="35"/>
      <c r="GLH26" s="35"/>
      <c r="GLI26" s="35"/>
      <c r="GLJ26" s="35"/>
      <c r="GLK26" s="35"/>
      <c r="GLL26" s="35"/>
      <c r="GLM26" s="35"/>
      <c r="GLN26" s="35"/>
      <c r="GLO26" s="35"/>
      <c r="GLP26" s="35"/>
      <c r="GLQ26" s="35"/>
      <c r="GLR26" s="35"/>
      <c r="GLS26" s="35"/>
      <c r="GLT26" s="35"/>
      <c r="GLU26" s="35"/>
      <c r="GLV26" s="35"/>
      <c r="GLW26" s="35"/>
      <c r="GLX26" s="35"/>
      <c r="GLY26" s="35"/>
      <c r="GLZ26" s="35"/>
      <c r="GMA26" s="35"/>
      <c r="GMB26" s="35"/>
      <c r="GMC26" s="35"/>
      <c r="GMD26" s="35"/>
      <c r="GME26" s="35"/>
      <c r="GMF26" s="35"/>
      <c r="GMG26" s="35"/>
      <c r="GMH26" s="35"/>
      <c r="GMI26" s="35"/>
      <c r="GMJ26" s="35"/>
      <c r="GMK26" s="35"/>
      <c r="GML26" s="35"/>
      <c r="GMM26" s="35"/>
      <c r="GMN26" s="35"/>
      <c r="GMO26" s="35"/>
      <c r="GMP26" s="35"/>
      <c r="GMQ26" s="35"/>
      <c r="GMR26" s="35"/>
      <c r="GMS26" s="35"/>
      <c r="GMT26" s="35"/>
      <c r="GMU26" s="35"/>
      <c r="GMV26" s="35"/>
      <c r="GMW26" s="35"/>
      <c r="GMX26" s="35"/>
      <c r="GMY26" s="35"/>
      <c r="GMZ26" s="35"/>
      <c r="GNA26" s="35"/>
      <c r="GNB26" s="35"/>
      <c r="GNC26" s="35"/>
      <c r="GND26" s="35"/>
      <c r="GNE26" s="35"/>
      <c r="GNF26" s="35"/>
      <c r="GNG26" s="35"/>
      <c r="GNH26" s="35"/>
      <c r="GNI26" s="35"/>
      <c r="GNJ26" s="35"/>
      <c r="GNK26" s="35"/>
      <c r="GNL26" s="35"/>
      <c r="GNM26" s="35"/>
      <c r="GNN26" s="35"/>
      <c r="GNO26" s="35"/>
      <c r="GNP26" s="35"/>
      <c r="GNQ26" s="35"/>
      <c r="GNR26" s="35"/>
      <c r="GNS26" s="35"/>
      <c r="GNT26" s="35"/>
      <c r="GNU26" s="35"/>
      <c r="GNV26" s="35"/>
      <c r="GNW26" s="35"/>
      <c r="GNX26" s="35"/>
      <c r="GNY26" s="35"/>
      <c r="GNZ26" s="35"/>
      <c r="GOA26" s="35"/>
      <c r="GOB26" s="35"/>
      <c r="GOC26" s="35"/>
      <c r="GOD26" s="35"/>
      <c r="GOE26" s="35"/>
      <c r="GOF26" s="35"/>
      <c r="GOG26" s="35"/>
      <c r="GOH26" s="35"/>
      <c r="GOI26" s="35"/>
      <c r="GOJ26" s="35"/>
      <c r="GOK26" s="35"/>
      <c r="GOL26" s="35"/>
      <c r="GOM26" s="35"/>
      <c r="GON26" s="35"/>
      <c r="GOO26" s="35"/>
      <c r="GOP26" s="35"/>
      <c r="GOQ26" s="35"/>
      <c r="GOR26" s="35"/>
      <c r="GOS26" s="35"/>
      <c r="GOT26" s="35"/>
      <c r="GOU26" s="35"/>
      <c r="GOV26" s="35"/>
      <c r="GOW26" s="35"/>
      <c r="GOX26" s="35"/>
      <c r="GOY26" s="35"/>
      <c r="GOZ26" s="35"/>
      <c r="GPA26" s="35"/>
      <c r="GPB26" s="35"/>
      <c r="GPC26" s="35"/>
      <c r="GPD26" s="35"/>
      <c r="GPE26" s="35"/>
      <c r="GPF26" s="35"/>
      <c r="GPG26" s="35"/>
      <c r="GPH26" s="35"/>
      <c r="GPI26" s="35"/>
      <c r="GPJ26" s="35"/>
      <c r="GPK26" s="35"/>
      <c r="GPL26" s="35"/>
      <c r="GPM26" s="35"/>
      <c r="GPN26" s="35"/>
      <c r="GPO26" s="35"/>
      <c r="GPP26" s="35"/>
      <c r="GPQ26" s="35"/>
      <c r="GPR26" s="35"/>
      <c r="GPS26" s="35"/>
      <c r="GPT26" s="35"/>
      <c r="GPU26" s="35"/>
      <c r="GPV26" s="35"/>
      <c r="GPW26" s="35"/>
      <c r="GPX26" s="35"/>
      <c r="GPY26" s="35"/>
      <c r="GPZ26" s="35"/>
      <c r="GQA26" s="35"/>
      <c r="GQB26" s="35"/>
      <c r="GQC26" s="35"/>
      <c r="GQD26" s="35"/>
      <c r="GQE26" s="35"/>
      <c r="GQF26" s="35"/>
      <c r="GQG26" s="35"/>
      <c r="GQH26" s="35"/>
      <c r="GQI26" s="35"/>
      <c r="GQJ26" s="35"/>
      <c r="GQK26" s="35"/>
      <c r="GQL26" s="35"/>
      <c r="GQM26" s="35"/>
      <c r="GQN26" s="35"/>
      <c r="GQO26" s="35"/>
      <c r="GQP26" s="35"/>
      <c r="GQQ26" s="35"/>
      <c r="GQR26" s="35"/>
      <c r="GQS26" s="35"/>
      <c r="GQT26" s="35"/>
      <c r="GQU26" s="35"/>
      <c r="GQV26" s="35"/>
      <c r="GQW26" s="35"/>
      <c r="GQX26" s="35"/>
      <c r="GQY26" s="35"/>
      <c r="GQZ26" s="35"/>
      <c r="GRA26" s="35"/>
      <c r="GRB26" s="35"/>
      <c r="GRC26" s="35"/>
      <c r="GRD26" s="35"/>
      <c r="GRE26" s="35"/>
      <c r="GRF26" s="35"/>
      <c r="GRG26" s="35"/>
      <c r="GRH26" s="35"/>
      <c r="GRI26" s="35"/>
      <c r="GRJ26" s="35"/>
      <c r="GRK26" s="35"/>
      <c r="GRL26" s="35"/>
      <c r="GRM26" s="35"/>
      <c r="GRN26" s="35"/>
      <c r="GRO26" s="35"/>
      <c r="GRP26" s="35"/>
      <c r="GRQ26" s="35"/>
      <c r="GRR26" s="35"/>
      <c r="GRS26" s="35"/>
      <c r="GRT26" s="35"/>
      <c r="GRU26" s="35"/>
      <c r="GRV26" s="35"/>
      <c r="GRW26" s="35"/>
      <c r="GRX26" s="35"/>
      <c r="GRY26" s="35"/>
      <c r="GRZ26" s="35"/>
      <c r="GSA26" s="35"/>
      <c r="GSB26" s="35"/>
      <c r="GSC26" s="35"/>
      <c r="GSD26" s="35"/>
      <c r="GSE26" s="35"/>
      <c r="GSF26" s="35"/>
      <c r="GSG26" s="35"/>
      <c r="GSH26" s="35"/>
      <c r="GSI26" s="35"/>
      <c r="GSJ26" s="35"/>
      <c r="GSK26" s="35"/>
      <c r="GSL26" s="35"/>
      <c r="GSM26" s="35"/>
      <c r="GSN26" s="35"/>
      <c r="GSO26" s="35"/>
      <c r="GSP26" s="35"/>
      <c r="GSQ26" s="35"/>
      <c r="GSR26" s="35"/>
      <c r="GSS26" s="35"/>
      <c r="GST26" s="35"/>
      <c r="GSU26" s="35"/>
      <c r="GSV26" s="35"/>
      <c r="GSW26" s="35"/>
      <c r="GSX26" s="35"/>
      <c r="GSY26" s="35"/>
      <c r="GSZ26" s="35"/>
      <c r="GTA26" s="35"/>
      <c r="GTB26" s="35"/>
      <c r="GTC26" s="35"/>
      <c r="GTD26" s="35"/>
      <c r="GTE26" s="35"/>
      <c r="GTF26" s="35"/>
      <c r="GTG26" s="35"/>
      <c r="GTH26" s="35"/>
      <c r="GTI26" s="35"/>
      <c r="GTJ26" s="35"/>
      <c r="GTK26" s="35"/>
      <c r="GTL26" s="35"/>
      <c r="GTM26" s="35"/>
      <c r="GTN26" s="35"/>
      <c r="GTO26" s="35"/>
      <c r="GTP26" s="35"/>
      <c r="GTQ26" s="35"/>
      <c r="GTR26" s="35"/>
      <c r="GTS26" s="35"/>
      <c r="GTT26" s="35"/>
      <c r="GTU26" s="35"/>
      <c r="GTV26" s="35"/>
      <c r="GTW26" s="35"/>
      <c r="GTX26" s="35"/>
      <c r="GTY26" s="35"/>
      <c r="GTZ26" s="35"/>
      <c r="GUA26" s="35"/>
      <c r="GUB26" s="35"/>
      <c r="GUC26" s="35"/>
      <c r="GUD26" s="35"/>
      <c r="GUE26" s="35"/>
      <c r="GUF26" s="35"/>
      <c r="GUG26" s="35"/>
      <c r="GUH26" s="35"/>
      <c r="GUI26" s="35"/>
      <c r="GUJ26" s="35"/>
      <c r="GUK26" s="35"/>
      <c r="GUL26" s="35"/>
      <c r="GUM26" s="35"/>
      <c r="GUN26" s="35"/>
      <c r="GUO26" s="35"/>
      <c r="GUP26" s="35"/>
      <c r="GUQ26" s="35"/>
      <c r="GUR26" s="35"/>
      <c r="GUS26" s="35"/>
      <c r="GUT26" s="35"/>
      <c r="GUU26" s="35"/>
      <c r="GUV26" s="35"/>
      <c r="GUW26" s="35"/>
      <c r="GUX26" s="35"/>
      <c r="GUY26" s="35"/>
      <c r="GUZ26" s="35"/>
      <c r="GVA26" s="35"/>
      <c r="GVB26" s="35"/>
      <c r="GVC26" s="35"/>
      <c r="GVD26" s="35"/>
      <c r="GVE26" s="35"/>
      <c r="GVF26" s="35"/>
      <c r="GVG26" s="35"/>
      <c r="GVH26" s="35"/>
      <c r="GVI26" s="35"/>
      <c r="GVJ26" s="35"/>
      <c r="GVK26" s="35"/>
      <c r="GVL26" s="35"/>
      <c r="GVM26" s="35"/>
      <c r="GVN26" s="35"/>
      <c r="GVO26" s="35"/>
      <c r="GVP26" s="35"/>
      <c r="GVQ26" s="35"/>
      <c r="GVR26" s="35"/>
      <c r="GVS26" s="35"/>
      <c r="GVT26" s="35"/>
      <c r="GVU26" s="35"/>
      <c r="GVV26" s="35"/>
      <c r="GVW26" s="35"/>
      <c r="GVX26" s="35"/>
      <c r="GVY26" s="35"/>
      <c r="GVZ26" s="35"/>
      <c r="GWA26" s="35"/>
      <c r="GWB26" s="35"/>
      <c r="GWC26" s="35"/>
      <c r="GWD26" s="35"/>
      <c r="GWE26" s="35"/>
      <c r="GWF26" s="35"/>
      <c r="GWG26" s="35"/>
      <c r="GWH26" s="35"/>
      <c r="GWI26" s="35"/>
      <c r="GWJ26" s="35"/>
      <c r="GWK26" s="35"/>
      <c r="GWL26" s="35"/>
      <c r="GWM26" s="35"/>
      <c r="GWN26" s="35"/>
      <c r="GWO26" s="35"/>
      <c r="GWP26" s="35"/>
      <c r="GWQ26" s="35"/>
      <c r="GWR26" s="35"/>
      <c r="GWS26" s="35"/>
      <c r="GWT26" s="35"/>
      <c r="GWU26" s="35"/>
      <c r="GWV26" s="35"/>
      <c r="GWW26" s="35"/>
      <c r="GWX26" s="35"/>
      <c r="GWY26" s="35"/>
      <c r="GWZ26" s="35"/>
      <c r="GXA26" s="35"/>
      <c r="GXB26" s="35"/>
      <c r="GXC26" s="35"/>
      <c r="GXD26" s="35"/>
      <c r="GXE26" s="35"/>
      <c r="GXF26" s="35"/>
      <c r="GXG26" s="35"/>
      <c r="GXH26" s="35"/>
      <c r="GXI26" s="35"/>
      <c r="GXJ26" s="35"/>
      <c r="GXK26" s="35"/>
      <c r="GXL26" s="35"/>
      <c r="GXM26" s="35"/>
      <c r="GXN26" s="35"/>
      <c r="GXO26" s="35"/>
      <c r="GXP26" s="35"/>
      <c r="GXQ26" s="35"/>
      <c r="GXR26" s="35"/>
      <c r="GXS26" s="35"/>
      <c r="GXT26" s="35"/>
      <c r="GXU26" s="35"/>
      <c r="GXV26" s="35"/>
      <c r="GXW26" s="35"/>
      <c r="GXX26" s="35"/>
      <c r="GXY26" s="35"/>
      <c r="GXZ26" s="35"/>
      <c r="GYA26" s="35"/>
      <c r="GYB26" s="35"/>
      <c r="GYC26" s="35"/>
      <c r="GYD26" s="35"/>
      <c r="GYE26" s="35"/>
      <c r="GYF26" s="35"/>
      <c r="GYG26" s="35"/>
      <c r="GYH26" s="35"/>
      <c r="GYI26" s="35"/>
      <c r="GYJ26" s="35"/>
      <c r="GYK26" s="35"/>
      <c r="GYL26" s="35"/>
      <c r="GYM26" s="35"/>
      <c r="GYN26" s="35"/>
      <c r="GYO26" s="35"/>
      <c r="GYP26" s="35"/>
      <c r="GYQ26" s="35"/>
      <c r="GYR26" s="35"/>
      <c r="GYS26" s="35"/>
      <c r="GYT26" s="35"/>
      <c r="GYU26" s="35"/>
      <c r="GYV26" s="35"/>
      <c r="GYW26" s="35"/>
      <c r="GYX26" s="35"/>
      <c r="GYY26" s="35"/>
      <c r="GYZ26" s="35"/>
      <c r="GZA26" s="35"/>
      <c r="GZB26" s="35"/>
      <c r="GZC26" s="35"/>
      <c r="GZD26" s="35"/>
      <c r="GZE26" s="35"/>
      <c r="GZF26" s="35"/>
      <c r="GZG26" s="35"/>
      <c r="GZH26" s="35"/>
      <c r="GZI26" s="35"/>
      <c r="GZJ26" s="35"/>
      <c r="GZK26" s="35"/>
      <c r="GZL26" s="35"/>
      <c r="GZM26" s="35"/>
      <c r="GZN26" s="35"/>
      <c r="GZO26" s="35"/>
      <c r="GZP26" s="35"/>
      <c r="GZQ26" s="35"/>
      <c r="GZR26" s="35"/>
      <c r="GZS26" s="35"/>
      <c r="GZT26" s="35"/>
      <c r="GZU26" s="35"/>
      <c r="GZV26" s="35"/>
      <c r="GZW26" s="35"/>
      <c r="GZX26" s="35"/>
      <c r="GZY26" s="35"/>
      <c r="GZZ26" s="35"/>
      <c r="HAA26" s="35"/>
      <c r="HAB26" s="35"/>
      <c r="HAC26" s="35"/>
      <c r="HAD26" s="35"/>
      <c r="HAE26" s="35"/>
      <c r="HAF26" s="35"/>
      <c r="HAG26" s="35"/>
      <c r="HAH26" s="35"/>
      <c r="HAI26" s="35"/>
      <c r="HAJ26" s="35"/>
      <c r="HAK26" s="35"/>
      <c r="HAL26" s="35"/>
      <c r="HAM26" s="35"/>
      <c r="HAN26" s="35"/>
      <c r="HAO26" s="35"/>
      <c r="HAP26" s="35"/>
      <c r="HAQ26" s="35"/>
      <c r="HAR26" s="35"/>
      <c r="HAS26" s="35"/>
      <c r="HAT26" s="35"/>
      <c r="HAU26" s="35"/>
      <c r="HAV26" s="35"/>
      <c r="HAW26" s="35"/>
      <c r="HAX26" s="35"/>
      <c r="HAY26" s="35"/>
      <c r="HAZ26" s="35"/>
      <c r="HBA26" s="35"/>
      <c r="HBB26" s="35"/>
      <c r="HBC26" s="35"/>
      <c r="HBD26" s="35"/>
      <c r="HBE26" s="35"/>
      <c r="HBF26" s="35"/>
      <c r="HBG26" s="35"/>
      <c r="HBH26" s="35"/>
      <c r="HBI26" s="35"/>
      <c r="HBJ26" s="35"/>
      <c r="HBK26" s="35"/>
      <c r="HBL26" s="35"/>
      <c r="HBM26" s="35"/>
      <c r="HBN26" s="35"/>
      <c r="HBO26" s="35"/>
      <c r="HBP26" s="35"/>
      <c r="HBQ26" s="35"/>
      <c r="HBR26" s="35"/>
      <c r="HBS26" s="35"/>
      <c r="HBT26" s="35"/>
      <c r="HBU26" s="35"/>
      <c r="HBV26" s="35"/>
      <c r="HBW26" s="35"/>
      <c r="HBX26" s="35"/>
      <c r="HBY26" s="35"/>
      <c r="HBZ26" s="35"/>
      <c r="HCA26" s="35"/>
      <c r="HCB26" s="35"/>
      <c r="HCC26" s="35"/>
      <c r="HCD26" s="35"/>
      <c r="HCE26" s="35"/>
      <c r="HCF26" s="35"/>
      <c r="HCG26" s="35"/>
      <c r="HCH26" s="35"/>
      <c r="HCI26" s="35"/>
      <c r="HCJ26" s="35"/>
      <c r="HCK26" s="35"/>
      <c r="HCL26" s="35"/>
      <c r="HCM26" s="35"/>
      <c r="HCN26" s="35"/>
      <c r="HCO26" s="35"/>
      <c r="HCP26" s="35"/>
      <c r="HCQ26" s="35"/>
      <c r="HCR26" s="35"/>
      <c r="HCS26" s="35"/>
      <c r="HCT26" s="35"/>
      <c r="HCU26" s="35"/>
      <c r="HCV26" s="35"/>
      <c r="HCW26" s="35"/>
      <c r="HCX26" s="35"/>
      <c r="HCY26" s="35"/>
      <c r="HCZ26" s="35"/>
      <c r="HDA26" s="35"/>
      <c r="HDB26" s="35"/>
      <c r="HDC26" s="35"/>
      <c r="HDD26" s="35"/>
      <c r="HDE26" s="35"/>
      <c r="HDF26" s="35"/>
      <c r="HDG26" s="35"/>
      <c r="HDH26" s="35"/>
      <c r="HDI26" s="35"/>
      <c r="HDJ26" s="35"/>
      <c r="HDK26" s="35"/>
      <c r="HDL26" s="35"/>
      <c r="HDM26" s="35"/>
      <c r="HDN26" s="35"/>
      <c r="HDO26" s="35"/>
      <c r="HDP26" s="35"/>
      <c r="HDQ26" s="35"/>
      <c r="HDR26" s="35"/>
      <c r="HDS26" s="35"/>
      <c r="HDT26" s="35"/>
      <c r="HDU26" s="35"/>
      <c r="HDV26" s="35"/>
      <c r="HDW26" s="35"/>
      <c r="HDX26" s="35"/>
      <c r="HDY26" s="35"/>
      <c r="HDZ26" s="35"/>
      <c r="HEA26" s="35"/>
      <c r="HEB26" s="35"/>
      <c r="HEC26" s="35"/>
      <c r="HED26" s="35"/>
      <c r="HEE26" s="35"/>
      <c r="HEF26" s="35"/>
      <c r="HEG26" s="35"/>
      <c r="HEH26" s="35"/>
      <c r="HEI26" s="35"/>
      <c r="HEJ26" s="35"/>
      <c r="HEK26" s="35"/>
      <c r="HEL26" s="35"/>
      <c r="HEM26" s="35"/>
      <c r="HEN26" s="35"/>
      <c r="HEO26" s="35"/>
      <c r="HEP26" s="35"/>
      <c r="HEQ26" s="35"/>
      <c r="HER26" s="35"/>
      <c r="HES26" s="35"/>
      <c r="HET26" s="35"/>
      <c r="HEU26" s="35"/>
      <c r="HEV26" s="35"/>
      <c r="HEW26" s="35"/>
      <c r="HEX26" s="35"/>
      <c r="HEY26" s="35"/>
      <c r="HEZ26" s="35"/>
      <c r="HFA26" s="35"/>
      <c r="HFB26" s="35"/>
      <c r="HFC26" s="35"/>
      <c r="HFD26" s="35"/>
      <c r="HFE26" s="35"/>
      <c r="HFF26" s="35"/>
      <c r="HFG26" s="35"/>
      <c r="HFH26" s="35"/>
      <c r="HFI26" s="35"/>
      <c r="HFJ26" s="35"/>
      <c r="HFK26" s="35"/>
      <c r="HFL26" s="35"/>
      <c r="HFM26" s="35"/>
      <c r="HFN26" s="35"/>
      <c r="HFO26" s="35"/>
      <c r="HFP26" s="35"/>
      <c r="HFQ26" s="35"/>
      <c r="HFR26" s="35"/>
      <c r="HFS26" s="35"/>
      <c r="HFT26" s="35"/>
      <c r="HFU26" s="35"/>
      <c r="HFV26" s="35"/>
      <c r="HFW26" s="35"/>
      <c r="HFX26" s="35"/>
      <c r="HFY26" s="35"/>
      <c r="HFZ26" s="35"/>
      <c r="HGA26" s="35"/>
      <c r="HGB26" s="35"/>
      <c r="HGC26" s="35"/>
      <c r="HGD26" s="35"/>
      <c r="HGE26" s="35"/>
      <c r="HGF26" s="35"/>
      <c r="HGG26" s="35"/>
      <c r="HGH26" s="35"/>
      <c r="HGI26" s="35"/>
      <c r="HGJ26" s="35"/>
      <c r="HGK26" s="35"/>
      <c r="HGL26" s="35"/>
      <c r="HGM26" s="35"/>
      <c r="HGN26" s="35"/>
      <c r="HGO26" s="35"/>
      <c r="HGP26" s="35"/>
      <c r="HGQ26" s="35"/>
      <c r="HGR26" s="35"/>
      <c r="HGS26" s="35"/>
      <c r="HGT26" s="35"/>
      <c r="HGU26" s="35"/>
      <c r="HGV26" s="35"/>
      <c r="HGW26" s="35"/>
      <c r="HGX26" s="35"/>
      <c r="HGY26" s="35"/>
      <c r="HGZ26" s="35"/>
      <c r="HHA26" s="35"/>
      <c r="HHB26" s="35"/>
      <c r="HHC26" s="35"/>
      <c r="HHD26" s="35"/>
      <c r="HHE26" s="35"/>
      <c r="HHF26" s="35"/>
      <c r="HHG26" s="35"/>
      <c r="HHH26" s="35"/>
      <c r="HHI26" s="35"/>
      <c r="HHJ26" s="35"/>
      <c r="HHK26" s="35"/>
      <c r="HHL26" s="35"/>
      <c r="HHM26" s="35"/>
      <c r="HHN26" s="35"/>
      <c r="HHO26" s="35"/>
      <c r="HHP26" s="35"/>
      <c r="HHQ26" s="35"/>
      <c r="HHR26" s="35"/>
      <c r="HHS26" s="35"/>
      <c r="HHT26" s="35"/>
      <c r="HHU26" s="35"/>
      <c r="HHV26" s="35"/>
      <c r="HHW26" s="35"/>
      <c r="HHX26" s="35"/>
      <c r="HHY26" s="35"/>
      <c r="HHZ26" s="35"/>
      <c r="HIA26" s="35"/>
      <c r="HIB26" s="35"/>
      <c r="HIC26" s="35"/>
      <c r="HID26" s="35"/>
      <c r="HIE26" s="35"/>
      <c r="HIF26" s="35"/>
      <c r="HIG26" s="35"/>
      <c r="HIH26" s="35"/>
      <c r="HII26" s="35"/>
      <c r="HIJ26" s="35"/>
      <c r="HIK26" s="35"/>
      <c r="HIL26" s="35"/>
      <c r="HIM26" s="35"/>
      <c r="HIN26" s="35"/>
      <c r="HIO26" s="35"/>
      <c r="HIP26" s="35"/>
      <c r="HIQ26" s="35"/>
      <c r="HIR26" s="35"/>
      <c r="HIS26" s="35"/>
      <c r="HIT26" s="35"/>
      <c r="HIU26" s="35"/>
      <c r="HIV26" s="35"/>
      <c r="HIW26" s="35"/>
      <c r="HIX26" s="35"/>
      <c r="HIY26" s="35"/>
      <c r="HIZ26" s="35"/>
      <c r="HJA26" s="35"/>
      <c r="HJB26" s="35"/>
      <c r="HJC26" s="35"/>
      <c r="HJD26" s="35"/>
      <c r="HJE26" s="35"/>
      <c r="HJF26" s="35"/>
      <c r="HJG26" s="35"/>
      <c r="HJH26" s="35"/>
      <c r="HJI26" s="35"/>
      <c r="HJJ26" s="35"/>
      <c r="HJK26" s="35"/>
      <c r="HJL26" s="35"/>
      <c r="HJM26" s="35"/>
      <c r="HJN26" s="35"/>
      <c r="HJO26" s="35"/>
      <c r="HJP26" s="35"/>
      <c r="HJQ26" s="35"/>
      <c r="HJR26" s="35"/>
      <c r="HJS26" s="35"/>
      <c r="HJT26" s="35"/>
      <c r="HJU26" s="35"/>
      <c r="HJV26" s="35"/>
      <c r="HJW26" s="35"/>
      <c r="HJX26" s="35"/>
      <c r="HJY26" s="35"/>
      <c r="HJZ26" s="35"/>
      <c r="HKA26" s="35"/>
      <c r="HKB26" s="35"/>
      <c r="HKC26" s="35"/>
      <c r="HKD26" s="35"/>
      <c r="HKE26" s="35"/>
      <c r="HKF26" s="35"/>
      <c r="HKG26" s="35"/>
      <c r="HKH26" s="35"/>
      <c r="HKI26" s="35"/>
      <c r="HKJ26" s="35"/>
      <c r="HKK26" s="35"/>
      <c r="HKL26" s="35"/>
      <c r="HKM26" s="35"/>
      <c r="HKN26" s="35"/>
      <c r="HKO26" s="35"/>
      <c r="HKP26" s="35"/>
      <c r="HKQ26" s="35"/>
      <c r="HKR26" s="35"/>
      <c r="HKS26" s="35"/>
      <c r="HKT26" s="35"/>
      <c r="HKU26" s="35"/>
      <c r="HKV26" s="35"/>
      <c r="HKW26" s="35"/>
      <c r="HKX26" s="35"/>
      <c r="HKY26" s="35"/>
      <c r="HKZ26" s="35"/>
      <c r="HLA26" s="35"/>
      <c r="HLB26" s="35"/>
      <c r="HLC26" s="35"/>
      <c r="HLD26" s="35"/>
      <c r="HLE26" s="35"/>
      <c r="HLF26" s="35"/>
      <c r="HLG26" s="35"/>
      <c r="HLH26" s="35"/>
      <c r="HLI26" s="35"/>
      <c r="HLJ26" s="35"/>
      <c r="HLK26" s="35"/>
      <c r="HLL26" s="35"/>
      <c r="HLM26" s="35"/>
      <c r="HLN26" s="35"/>
      <c r="HLO26" s="35"/>
      <c r="HLP26" s="35"/>
      <c r="HLQ26" s="35"/>
      <c r="HLR26" s="35"/>
      <c r="HLS26" s="35"/>
      <c r="HLT26" s="35"/>
      <c r="HLU26" s="35"/>
      <c r="HLV26" s="35"/>
      <c r="HLW26" s="35"/>
      <c r="HLX26" s="35"/>
      <c r="HLY26" s="35"/>
      <c r="HLZ26" s="35"/>
      <c r="HMA26" s="35"/>
      <c r="HMB26" s="35"/>
      <c r="HMC26" s="35"/>
      <c r="HMD26" s="35"/>
      <c r="HME26" s="35"/>
      <c r="HMF26" s="35"/>
      <c r="HMG26" s="35"/>
      <c r="HMH26" s="35"/>
      <c r="HMI26" s="35"/>
      <c r="HMJ26" s="35"/>
      <c r="HMK26" s="35"/>
      <c r="HML26" s="35"/>
      <c r="HMM26" s="35"/>
      <c r="HMN26" s="35"/>
      <c r="HMO26" s="35"/>
      <c r="HMP26" s="35"/>
      <c r="HMQ26" s="35"/>
      <c r="HMR26" s="35"/>
      <c r="HMS26" s="35"/>
      <c r="HMT26" s="35"/>
      <c r="HMU26" s="35"/>
      <c r="HMV26" s="35"/>
      <c r="HMW26" s="35"/>
      <c r="HMX26" s="35"/>
      <c r="HMY26" s="35"/>
      <c r="HMZ26" s="35"/>
      <c r="HNA26" s="35"/>
      <c r="HNB26" s="35"/>
      <c r="HNC26" s="35"/>
      <c r="HND26" s="35"/>
      <c r="HNE26" s="35"/>
      <c r="HNF26" s="35"/>
      <c r="HNG26" s="35"/>
      <c r="HNH26" s="35"/>
      <c r="HNI26" s="35"/>
      <c r="HNJ26" s="35"/>
      <c r="HNK26" s="35"/>
      <c r="HNL26" s="35"/>
      <c r="HNM26" s="35"/>
      <c r="HNN26" s="35"/>
      <c r="HNO26" s="35"/>
      <c r="HNP26" s="35"/>
      <c r="HNQ26" s="35"/>
      <c r="HNR26" s="35"/>
      <c r="HNS26" s="35"/>
      <c r="HNT26" s="35"/>
      <c r="HNU26" s="35"/>
      <c r="HNV26" s="35"/>
      <c r="HNW26" s="35"/>
      <c r="HNX26" s="35"/>
      <c r="HNY26" s="35"/>
      <c r="HNZ26" s="35"/>
      <c r="HOA26" s="35"/>
      <c r="HOB26" s="35"/>
      <c r="HOC26" s="35"/>
      <c r="HOD26" s="35"/>
      <c r="HOE26" s="35"/>
      <c r="HOF26" s="35"/>
      <c r="HOG26" s="35"/>
      <c r="HOH26" s="35"/>
      <c r="HOI26" s="35"/>
      <c r="HOJ26" s="35"/>
      <c r="HOK26" s="35"/>
      <c r="HOL26" s="35"/>
      <c r="HOM26" s="35"/>
      <c r="HON26" s="35"/>
      <c r="HOO26" s="35"/>
      <c r="HOP26" s="35"/>
      <c r="HOQ26" s="35"/>
      <c r="HOR26" s="35"/>
      <c r="HOS26" s="35"/>
      <c r="HOT26" s="35"/>
      <c r="HOU26" s="35"/>
      <c r="HOV26" s="35"/>
      <c r="HOW26" s="35"/>
      <c r="HOX26" s="35"/>
      <c r="HOY26" s="35"/>
      <c r="HOZ26" s="35"/>
      <c r="HPA26" s="35"/>
      <c r="HPB26" s="35"/>
      <c r="HPC26" s="35"/>
      <c r="HPD26" s="35"/>
      <c r="HPE26" s="35"/>
      <c r="HPF26" s="35"/>
      <c r="HPG26" s="35"/>
      <c r="HPH26" s="35"/>
      <c r="HPI26" s="35"/>
      <c r="HPJ26" s="35"/>
      <c r="HPK26" s="35"/>
      <c r="HPL26" s="35"/>
      <c r="HPM26" s="35"/>
      <c r="HPN26" s="35"/>
      <c r="HPO26" s="35"/>
      <c r="HPP26" s="35"/>
      <c r="HPQ26" s="35"/>
      <c r="HPR26" s="35"/>
      <c r="HPS26" s="35"/>
      <c r="HPT26" s="35"/>
      <c r="HPU26" s="35"/>
      <c r="HPV26" s="35"/>
      <c r="HPW26" s="35"/>
      <c r="HPX26" s="35"/>
      <c r="HPY26" s="35"/>
      <c r="HPZ26" s="35"/>
      <c r="HQA26" s="35"/>
      <c r="HQB26" s="35"/>
      <c r="HQC26" s="35"/>
      <c r="HQD26" s="35"/>
      <c r="HQE26" s="35"/>
      <c r="HQF26" s="35"/>
      <c r="HQG26" s="35"/>
      <c r="HQH26" s="35"/>
      <c r="HQI26" s="35"/>
      <c r="HQJ26" s="35"/>
      <c r="HQK26" s="35"/>
      <c r="HQL26" s="35"/>
      <c r="HQM26" s="35"/>
      <c r="HQN26" s="35"/>
      <c r="HQO26" s="35"/>
      <c r="HQP26" s="35"/>
      <c r="HQQ26" s="35"/>
      <c r="HQR26" s="35"/>
      <c r="HQS26" s="35"/>
      <c r="HQT26" s="35"/>
      <c r="HQU26" s="35"/>
      <c r="HQV26" s="35"/>
      <c r="HQW26" s="35"/>
      <c r="HQX26" s="35"/>
      <c r="HQY26" s="35"/>
      <c r="HQZ26" s="35"/>
      <c r="HRA26" s="35"/>
      <c r="HRB26" s="35"/>
      <c r="HRC26" s="35"/>
      <c r="HRD26" s="35"/>
      <c r="HRE26" s="35"/>
      <c r="HRF26" s="35"/>
      <c r="HRG26" s="35"/>
      <c r="HRH26" s="35"/>
      <c r="HRI26" s="35"/>
      <c r="HRJ26" s="35"/>
      <c r="HRK26" s="35"/>
      <c r="HRL26" s="35"/>
      <c r="HRM26" s="35"/>
      <c r="HRN26" s="35"/>
      <c r="HRO26" s="35"/>
      <c r="HRP26" s="35"/>
      <c r="HRQ26" s="35"/>
      <c r="HRR26" s="35"/>
      <c r="HRS26" s="35"/>
      <c r="HRT26" s="35"/>
      <c r="HRU26" s="35"/>
      <c r="HRV26" s="35"/>
      <c r="HRW26" s="35"/>
      <c r="HRX26" s="35"/>
      <c r="HRY26" s="35"/>
      <c r="HRZ26" s="35"/>
      <c r="HSA26" s="35"/>
      <c r="HSB26" s="35"/>
      <c r="HSC26" s="35"/>
      <c r="HSD26" s="35"/>
      <c r="HSE26" s="35"/>
      <c r="HSF26" s="35"/>
      <c r="HSG26" s="35"/>
      <c r="HSH26" s="35"/>
      <c r="HSI26" s="35"/>
      <c r="HSJ26" s="35"/>
      <c r="HSK26" s="35"/>
      <c r="HSL26" s="35"/>
      <c r="HSM26" s="35"/>
      <c r="HSN26" s="35"/>
      <c r="HSO26" s="35"/>
      <c r="HSP26" s="35"/>
      <c r="HSQ26" s="35"/>
      <c r="HSR26" s="35"/>
      <c r="HSS26" s="35"/>
      <c r="HST26" s="35"/>
      <c r="HSU26" s="35"/>
      <c r="HSV26" s="35"/>
      <c r="HSW26" s="35"/>
      <c r="HSX26" s="35"/>
      <c r="HSY26" s="35"/>
      <c r="HSZ26" s="35"/>
      <c r="HTA26" s="35"/>
      <c r="HTB26" s="35"/>
      <c r="HTC26" s="35"/>
      <c r="HTD26" s="35"/>
      <c r="HTE26" s="35"/>
      <c r="HTF26" s="35"/>
      <c r="HTG26" s="35"/>
      <c r="HTH26" s="35"/>
      <c r="HTI26" s="35"/>
      <c r="HTJ26" s="35"/>
      <c r="HTK26" s="35"/>
      <c r="HTL26" s="35"/>
      <c r="HTM26" s="35"/>
      <c r="HTN26" s="35"/>
      <c r="HTO26" s="35"/>
      <c r="HTP26" s="35"/>
      <c r="HTQ26" s="35"/>
      <c r="HTR26" s="35"/>
      <c r="HTS26" s="35"/>
      <c r="HTT26" s="35"/>
      <c r="HTU26" s="35"/>
      <c r="HTV26" s="35"/>
      <c r="HTW26" s="35"/>
      <c r="HTX26" s="35"/>
      <c r="HTY26" s="35"/>
      <c r="HTZ26" s="35"/>
      <c r="HUA26" s="35"/>
      <c r="HUB26" s="35"/>
      <c r="HUC26" s="35"/>
      <c r="HUD26" s="35"/>
      <c r="HUE26" s="35"/>
      <c r="HUF26" s="35"/>
      <c r="HUG26" s="35"/>
      <c r="HUH26" s="35"/>
      <c r="HUI26" s="35"/>
      <c r="HUJ26" s="35"/>
      <c r="HUK26" s="35"/>
      <c r="HUL26" s="35"/>
      <c r="HUM26" s="35"/>
      <c r="HUN26" s="35"/>
      <c r="HUO26" s="35"/>
      <c r="HUP26" s="35"/>
      <c r="HUQ26" s="35"/>
      <c r="HUR26" s="35"/>
      <c r="HUS26" s="35"/>
      <c r="HUT26" s="35"/>
      <c r="HUU26" s="35"/>
      <c r="HUV26" s="35"/>
      <c r="HUW26" s="35"/>
      <c r="HUX26" s="35"/>
      <c r="HUY26" s="35"/>
      <c r="HUZ26" s="35"/>
      <c r="HVA26" s="35"/>
      <c r="HVB26" s="35"/>
      <c r="HVC26" s="35"/>
      <c r="HVD26" s="35"/>
      <c r="HVE26" s="35"/>
      <c r="HVF26" s="35"/>
      <c r="HVG26" s="35"/>
      <c r="HVH26" s="35"/>
      <c r="HVI26" s="35"/>
      <c r="HVJ26" s="35"/>
      <c r="HVK26" s="35"/>
      <c r="HVL26" s="35"/>
      <c r="HVM26" s="35"/>
      <c r="HVN26" s="35"/>
      <c r="HVO26" s="35"/>
      <c r="HVP26" s="35"/>
      <c r="HVQ26" s="35"/>
      <c r="HVR26" s="35"/>
      <c r="HVS26" s="35"/>
      <c r="HVT26" s="35"/>
      <c r="HVU26" s="35"/>
      <c r="HVV26" s="35"/>
      <c r="HVW26" s="35"/>
      <c r="HVX26" s="35"/>
      <c r="HVY26" s="35"/>
      <c r="HVZ26" s="35"/>
      <c r="HWA26" s="35"/>
      <c r="HWB26" s="35"/>
      <c r="HWC26" s="35"/>
      <c r="HWD26" s="35"/>
      <c r="HWE26" s="35"/>
      <c r="HWF26" s="35"/>
      <c r="HWG26" s="35"/>
      <c r="HWH26" s="35"/>
      <c r="HWI26" s="35"/>
      <c r="HWJ26" s="35"/>
      <c r="HWK26" s="35"/>
      <c r="HWL26" s="35"/>
      <c r="HWM26" s="35"/>
      <c r="HWN26" s="35"/>
      <c r="HWO26" s="35"/>
      <c r="HWP26" s="35"/>
      <c r="HWQ26" s="35"/>
      <c r="HWR26" s="35"/>
      <c r="HWS26" s="35"/>
      <c r="HWT26" s="35"/>
      <c r="HWU26" s="35"/>
      <c r="HWV26" s="35"/>
      <c r="HWW26" s="35"/>
      <c r="HWX26" s="35"/>
      <c r="HWY26" s="35"/>
      <c r="HWZ26" s="35"/>
      <c r="HXA26" s="35"/>
      <c r="HXB26" s="35"/>
      <c r="HXC26" s="35"/>
      <c r="HXD26" s="35"/>
      <c r="HXE26" s="35"/>
      <c r="HXF26" s="35"/>
      <c r="HXG26" s="35"/>
      <c r="HXH26" s="35"/>
      <c r="HXI26" s="35"/>
      <c r="HXJ26" s="35"/>
      <c r="HXK26" s="35"/>
      <c r="HXL26" s="35"/>
      <c r="HXM26" s="35"/>
      <c r="HXN26" s="35"/>
      <c r="HXO26" s="35"/>
      <c r="HXP26" s="35"/>
      <c r="HXQ26" s="35"/>
      <c r="HXR26" s="35"/>
      <c r="HXS26" s="35"/>
      <c r="HXT26" s="35"/>
      <c r="HXU26" s="35"/>
      <c r="HXV26" s="35"/>
      <c r="HXW26" s="35"/>
      <c r="HXX26" s="35"/>
      <c r="HXY26" s="35"/>
      <c r="HXZ26" s="35"/>
      <c r="HYA26" s="35"/>
      <c r="HYB26" s="35"/>
      <c r="HYC26" s="35"/>
      <c r="HYD26" s="35"/>
      <c r="HYE26" s="35"/>
      <c r="HYF26" s="35"/>
      <c r="HYG26" s="35"/>
      <c r="HYH26" s="35"/>
      <c r="HYI26" s="35"/>
      <c r="HYJ26" s="35"/>
      <c r="HYK26" s="35"/>
      <c r="HYL26" s="35"/>
      <c r="HYM26" s="35"/>
      <c r="HYN26" s="35"/>
      <c r="HYO26" s="35"/>
      <c r="HYP26" s="35"/>
      <c r="HYQ26" s="35"/>
      <c r="HYR26" s="35"/>
      <c r="HYS26" s="35"/>
      <c r="HYT26" s="35"/>
      <c r="HYU26" s="35"/>
      <c r="HYV26" s="35"/>
      <c r="HYW26" s="35"/>
      <c r="HYX26" s="35"/>
      <c r="HYY26" s="35"/>
      <c r="HYZ26" s="35"/>
      <c r="HZA26" s="35"/>
      <c r="HZB26" s="35"/>
      <c r="HZC26" s="35"/>
      <c r="HZD26" s="35"/>
      <c r="HZE26" s="35"/>
      <c r="HZF26" s="35"/>
      <c r="HZG26" s="35"/>
      <c r="HZH26" s="35"/>
      <c r="HZI26" s="35"/>
      <c r="HZJ26" s="35"/>
      <c r="HZK26" s="35"/>
      <c r="HZL26" s="35"/>
      <c r="HZM26" s="35"/>
      <c r="HZN26" s="35"/>
      <c r="HZO26" s="35"/>
      <c r="HZP26" s="35"/>
      <c r="HZQ26" s="35"/>
      <c r="HZR26" s="35"/>
      <c r="HZS26" s="35"/>
      <c r="HZT26" s="35"/>
      <c r="HZU26" s="35"/>
      <c r="HZV26" s="35"/>
      <c r="HZW26" s="35"/>
      <c r="HZX26" s="35"/>
      <c r="HZY26" s="35"/>
      <c r="HZZ26" s="35"/>
      <c r="IAA26" s="35"/>
      <c r="IAB26" s="35"/>
      <c r="IAC26" s="35"/>
      <c r="IAD26" s="35"/>
      <c r="IAE26" s="35"/>
      <c r="IAF26" s="35"/>
      <c r="IAG26" s="35"/>
      <c r="IAH26" s="35"/>
      <c r="IAI26" s="35"/>
      <c r="IAJ26" s="35"/>
      <c r="IAK26" s="35"/>
      <c r="IAL26" s="35"/>
      <c r="IAM26" s="35"/>
      <c r="IAN26" s="35"/>
      <c r="IAO26" s="35"/>
      <c r="IAP26" s="35"/>
      <c r="IAQ26" s="35"/>
      <c r="IAR26" s="35"/>
      <c r="IAS26" s="35"/>
      <c r="IAT26" s="35"/>
      <c r="IAU26" s="35"/>
      <c r="IAV26" s="35"/>
      <c r="IAW26" s="35"/>
      <c r="IAX26" s="35"/>
      <c r="IAY26" s="35"/>
      <c r="IAZ26" s="35"/>
      <c r="IBA26" s="35"/>
      <c r="IBB26" s="35"/>
      <c r="IBC26" s="35"/>
      <c r="IBD26" s="35"/>
      <c r="IBE26" s="35"/>
      <c r="IBF26" s="35"/>
      <c r="IBG26" s="35"/>
      <c r="IBH26" s="35"/>
      <c r="IBI26" s="35"/>
      <c r="IBJ26" s="35"/>
      <c r="IBK26" s="35"/>
      <c r="IBL26" s="35"/>
      <c r="IBM26" s="35"/>
      <c r="IBN26" s="35"/>
      <c r="IBO26" s="35"/>
      <c r="IBP26" s="35"/>
      <c r="IBQ26" s="35"/>
      <c r="IBR26" s="35"/>
      <c r="IBS26" s="35"/>
      <c r="IBT26" s="35"/>
      <c r="IBU26" s="35"/>
      <c r="IBV26" s="35"/>
      <c r="IBW26" s="35"/>
      <c r="IBX26" s="35"/>
      <c r="IBY26" s="35"/>
      <c r="IBZ26" s="35"/>
      <c r="ICA26" s="35"/>
      <c r="ICB26" s="35"/>
      <c r="ICC26" s="35"/>
      <c r="ICD26" s="35"/>
      <c r="ICE26" s="35"/>
      <c r="ICF26" s="35"/>
      <c r="ICG26" s="35"/>
      <c r="ICH26" s="35"/>
      <c r="ICI26" s="35"/>
      <c r="ICJ26" s="35"/>
      <c r="ICK26" s="35"/>
      <c r="ICL26" s="35"/>
      <c r="ICM26" s="35"/>
      <c r="ICN26" s="35"/>
      <c r="ICO26" s="35"/>
      <c r="ICP26" s="35"/>
      <c r="ICQ26" s="35"/>
      <c r="ICR26" s="35"/>
      <c r="ICS26" s="35"/>
      <c r="ICT26" s="35"/>
      <c r="ICU26" s="35"/>
      <c r="ICV26" s="35"/>
      <c r="ICW26" s="35"/>
      <c r="ICX26" s="35"/>
      <c r="ICY26" s="35"/>
      <c r="ICZ26" s="35"/>
      <c r="IDA26" s="35"/>
      <c r="IDB26" s="35"/>
      <c r="IDC26" s="35"/>
      <c r="IDD26" s="35"/>
      <c r="IDE26" s="35"/>
      <c r="IDF26" s="35"/>
      <c r="IDG26" s="35"/>
      <c r="IDH26" s="35"/>
      <c r="IDI26" s="35"/>
      <c r="IDJ26" s="35"/>
      <c r="IDK26" s="35"/>
      <c r="IDL26" s="35"/>
      <c r="IDM26" s="35"/>
      <c r="IDN26" s="35"/>
      <c r="IDO26" s="35"/>
      <c r="IDP26" s="35"/>
      <c r="IDQ26" s="35"/>
      <c r="IDR26" s="35"/>
      <c r="IDS26" s="35"/>
      <c r="IDT26" s="35"/>
      <c r="IDU26" s="35"/>
      <c r="IDV26" s="35"/>
      <c r="IDW26" s="35"/>
      <c r="IDX26" s="35"/>
      <c r="IDY26" s="35"/>
      <c r="IDZ26" s="35"/>
      <c r="IEA26" s="35"/>
      <c r="IEB26" s="35"/>
      <c r="IEC26" s="35"/>
      <c r="IED26" s="35"/>
      <c r="IEE26" s="35"/>
      <c r="IEF26" s="35"/>
      <c r="IEG26" s="35"/>
      <c r="IEH26" s="35"/>
      <c r="IEI26" s="35"/>
      <c r="IEJ26" s="35"/>
      <c r="IEK26" s="35"/>
      <c r="IEL26" s="35"/>
      <c r="IEM26" s="35"/>
      <c r="IEN26" s="35"/>
      <c r="IEO26" s="35"/>
      <c r="IEP26" s="35"/>
      <c r="IEQ26" s="35"/>
      <c r="IER26" s="35"/>
      <c r="IES26" s="35"/>
      <c r="IET26" s="35"/>
      <c r="IEU26" s="35"/>
      <c r="IEV26" s="35"/>
      <c r="IEW26" s="35"/>
      <c r="IEX26" s="35"/>
      <c r="IEY26" s="35"/>
      <c r="IEZ26" s="35"/>
      <c r="IFA26" s="35"/>
      <c r="IFB26" s="35"/>
      <c r="IFC26" s="35"/>
      <c r="IFD26" s="35"/>
      <c r="IFE26" s="35"/>
      <c r="IFF26" s="35"/>
      <c r="IFG26" s="35"/>
      <c r="IFH26" s="35"/>
      <c r="IFI26" s="35"/>
      <c r="IFJ26" s="35"/>
      <c r="IFK26" s="35"/>
      <c r="IFL26" s="35"/>
      <c r="IFM26" s="35"/>
      <c r="IFN26" s="35"/>
      <c r="IFO26" s="35"/>
      <c r="IFP26" s="35"/>
      <c r="IFQ26" s="35"/>
      <c r="IFR26" s="35"/>
      <c r="IFS26" s="35"/>
      <c r="IFT26" s="35"/>
      <c r="IFU26" s="35"/>
      <c r="IFV26" s="35"/>
      <c r="IFW26" s="35"/>
      <c r="IFX26" s="35"/>
      <c r="IFY26" s="35"/>
      <c r="IFZ26" s="35"/>
      <c r="IGA26" s="35"/>
      <c r="IGB26" s="35"/>
      <c r="IGC26" s="35"/>
      <c r="IGD26" s="35"/>
      <c r="IGE26" s="35"/>
      <c r="IGF26" s="35"/>
      <c r="IGG26" s="35"/>
      <c r="IGH26" s="35"/>
      <c r="IGI26" s="35"/>
      <c r="IGJ26" s="35"/>
      <c r="IGK26" s="35"/>
      <c r="IGL26" s="35"/>
      <c r="IGM26" s="35"/>
      <c r="IGN26" s="35"/>
      <c r="IGO26" s="35"/>
      <c r="IGP26" s="35"/>
      <c r="IGQ26" s="35"/>
      <c r="IGR26" s="35"/>
      <c r="IGS26" s="35"/>
      <c r="IGT26" s="35"/>
      <c r="IGU26" s="35"/>
      <c r="IGV26" s="35"/>
      <c r="IGW26" s="35"/>
      <c r="IGX26" s="35"/>
      <c r="IGY26" s="35"/>
      <c r="IGZ26" s="35"/>
      <c r="IHA26" s="35"/>
      <c r="IHB26" s="35"/>
      <c r="IHC26" s="35"/>
      <c r="IHD26" s="35"/>
      <c r="IHE26" s="35"/>
      <c r="IHF26" s="35"/>
      <c r="IHG26" s="35"/>
      <c r="IHH26" s="35"/>
      <c r="IHI26" s="35"/>
      <c r="IHJ26" s="35"/>
      <c r="IHK26" s="35"/>
      <c r="IHL26" s="35"/>
      <c r="IHM26" s="35"/>
      <c r="IHN26" s="35"/>
      <c r="IHO26" s="35"/>
      <c r="IHP26" s="35"/>
      <c r="IHQ26" s="35"/>
      <c r="IHR26" s="35"/>
      <c r="IHS26" s="35"/>
      <c r="IHT26" s="35"/>
      <c r="IHU26" s="35"/>
      <c r="IHV26" s="35"/>
      <c r="IHW26" s="35"/>
      <c r="IHX26" s="35"/>
      <c r="IHY26" s="35"/>
      <c r="IHZ26" s="35"/>
      <c r="IIA26" s="35"/>
      <c r="IIB26" s="35"/>
      <c r="IIC26" s="35"/>
      <c r="IID26" s="35"/>
      <c r="IIE26" s="35"/>
      <c r="IIF26" s="35"/>
      <c r="IIG26" s="35"/>
      <c r="IIH26" s="35"/>
      <c r="III26" s="35"/>
      <c r="IIJ26" s="35"/>
      <c r="IIK26" s="35"/>
      <c r="IIL26" s="35"/>
      <c r="IIM26" s="35"/>
      <c r="IIN26" s="35"/>
      <c r="IIO26" s="35"/>
      <c r="IIP26" s="35"/>
      <c r="IIQ26" s="35"/>
      <c r="IIR26" s="35"/>
      <c r="IIS26" s="35"/>
      <c r="IIT26" s="35"/>
      <c r="IIU26" s="35"/>
      <c r="IIV26" s="35"/>
      <c r="IIW26" s="35"/>
      <c r="IIX26" s="35"/>
      <c r="IIY26" s="35"/>
      <c r="IIZ26" s="35"/>
      <c r="IJA26" s="35"/>
      <c r="IJB26" s="35"/>
      <c r="IJC26" s="35"/>
      <c r="IJD26" s="35"/>
      <c r="IJE26" s="35"/>
      <c r="IJF26" s="35"/>
      <c r="IJG26" s="35"/>
      <c r="IJH26" s="35"/>
      <c r="IJI26" s="35"/>
      <c r="IJJ26" s="35"/>
      <c r="IJK26" s="35"/>
      <c r="IJL26" s="35"/>
      <c r="IJM26" s="35"/>
      <c r="IJN26" s="35"/>
      <c r="IJO26" s="35"/>
      <c r="IJP26" s="35"/>
      <c r="IJQ26" s="35"/>
      <c r="IJR26" s="35"/>
      <c r="IJS26" s="35"/>
      <c r="IJT26" s="35"/>
      <c r="IJU26" s="35"/>
      <c r="IJV26" s="35"/>
      <c r="IJW26" s="35"/>
      <c r="IJX26" s="35"/>
      <c r="IJY26" s="35"/>
      <c r="IJZ26" s="35"/>
      <c r="IKA26" s="35"/>
      <c r="IKB26" s="35"/>
      <c r="IKC26" s="35"/>
      <c r="IKD26" s="35"/>
      <c r="IKE26" s="35"/>
      <c r="IKF26" s="35"/>
      <c r="IKG26" s="35"/>
      <c r="IKH26" s="35"/>
      <c r="IKI26" s="35"/>
      <c r="IKJ26" s="35"/>
      <c r="IKK26" s="35"/>
      <c r="IKL26" s="35"/>
      <c r="IKM26" s="35"/>
      <c r="IKN26" s="35"/>
      <c r="IKO26" s="35"/>
      <c r="IKP26" s="35"/>
      <c r="IKQ26" s="35"/>
      <c r="IKR26" s="35"/>
      <c r="IKS26" s="35"/>
      <c r="IKT26" s="35"/>
      <c r="IKU26" s="35"/>
      <c r="IKV26" s="35"/>
      <c r="IKW26" s="35"/>
      <c r="IKX26" s="35"/>
      <c r="IKY26" s="35"/>
      <c r="IKZ26" s="35"/>
      <c r="ILA26" s="35"/>
      <c r="ILB26" s="35"/>
      <c r="ILC26" s="35"/>
      <c r="ILD26" s="35"/>
      <c r="ILE26" s="35"/>
      <c r="ILF26" s="35"/>
      <c r="ILG26" s="35"/>
      <c r="ILH26" s="35"/>
      <c r="ILI26" s="35"/>
      <c r="ILJ26" s="35"/>
      <c r="ILK26" s="35"/>
      <c r="ILL26" s="35"/>
      <c r="ILM26" s="35"/>
      <c r="ILN26" s="35"/>
      <c r="ILO26" s="35"/>
      <c r="ILP26" s="35"/>
      <c r="ILQ26" s="35"/>
      <c r="ILR26" s="35"/>
      <c r="ILS26" s="35"/>
      <c r="ILT26" s="35"/>
      <c r="ILU26" s="35"/>
      <c r="ILV26" s="35"/>
      <c r="ILW26" s="35"/>
      <c r="ILX26" s="35"/>
      <c r="ILY26" s="35"/>
      <c r="ILZ26" s="35"/>
      <c r="IMA26" s="35"/>
      <c r="IMB26" s="35"/>
      <c r="IMC26" s="35"/>
      <c r="IMD26" s="35"/>
      <c r="IME26" s="35"/>
      <c r="IMF26" s="35"/>
      <c r="IMG26" s="35"/>
      <c r="IMH26" s="35"/>
      <c r="IMI26" s="35"/>
      <c r="IMJ26" s="35"/>
      <c r="IMK26" s="35"/>
      <c r="IML26" s="35"/>
      <c r="IMM26" s="35"/>
      <c r="IMN26" s="35"/>
      <c r="IMO26" s="35"/>
      <c r="IMP26" s="35"/>
      <c r="IMQ26" s="35"/>
      <c r="IMR26" s="35"/>
      <c r="IMS26" s="35"/>
      <c r="IMT26" s="35"/>
      <c r="IMU26" s="35"/>
      <c r="IMV26" s="35"/>
      <c r="IMW26" s="35"/>
      <c r="IMX26" s="35"/>
      <c r="IMY26" s="35"/>
      <c r="IMZ26" s="35"/>
      <c r="INA26" s="35"/>
      <c r="INB26" s="35"/>
      <c r="INC26" s="35"/>
      <c r="IND26" s="35"/>
      <c r="INE26" s="35"/>
      <c r="INF26" s="35"/>
      <c r="ING26" s="35"/>
      <c r="INH26" s="35"/>
      <c r="INI26" s="35"/>
      <c r="INJ26" s="35"/>
      <c r="INK26" s="35"/>
      <c r="INL26" s="35"/>
      <c r="INM26" s="35"/>
      <c r="INN26" s="35"/>
      <c r="INO26" s="35"/>
      <c r="INP26" s="35"/>
      <c r="INQ26" s="35"/>
      <c r="INR26" s="35"/>
      <c r="INS26" s="35"/>
      <c r="INT26" s="35"/>
      <c r="INU26" s="35"/>
      <c r="INV26" s="35"/>
      <c r="INW26" s="35"/>
      <c r="INX26" s="35"/>
      <c r="INY26" s="35"/>
      <c r="INZ26" s="35"/>
      <c r="IOA26" s="35"/>
      <c r="IOB26" s="35"/>
      <c r="IOC26" s="35"/>
      <c r="IOD26" s="35"/>
      <c r="IOE26" s="35"/>
      <c r="IOF26" s="35"/>
      <c r="IOG26" s="35"/>
      <c r="IOH26" s="35"/>
      <c r="IOI26" s="35"/>
      <c r="IOJ26" s="35"/>
      <c r="IOK26" s="35"/>
      <c r="IOL26" s="35"/>
      <c r="IOM26" s="35"/>
      <c r="ION26" s="35"/>
      <c r="IOO26" s="35"/>
      <c r="IOP26" s="35"/>
      <c r="IOQ26" s="35"/>
      <c r="IOR26" s="35"/>
      <c r="IOS26" s="35"/>
      <c r="IOT26" s="35"/>
      <c r="IOU26" s="35"/>
      <c r="IOV26" s="35"/>
      <c r="IOW26" s="35"/>
      <c r="IOX26" s="35"/>
      <c r="IOY26" s="35"/>
      <c r="IOZ26" s="35"/>
      <c r="IPA26" s="35"/>
      <c r="IPB26" s="35"/>
      <c r="IPC26" s="35"/>
      <c r="IPD26" s="35"/>
      <c r="IPE26" s="35"/>
      <c r="IPF26" s="35"/>
      <c r="IPG26" s="35"/>
      <c r="IPH26" s="35"/>
      <c r="IPI26" s="35"/>
      <c r="IPJ26" s="35"/>
      <c r="IPK26" s="35"/>
      <c r="IPL26" s="35"/>
      <c r="IPM26" s="35"/>
      <c r="IPN26" s="35"/>
      <c r="IPO26" s="35"/>
      <c r="IPP26" s="35"/>
      <c r="IPQ26" s="35"/>
      <c r="IPR26" s="35"/>
      <c r="IPS26" s="35"/>
      <c r="IPT26" s="35"/>
      <c r="IPU26" s="35"/>
      <c r="IPV26" s="35"/>
      <c r="IPW26" s="35"/>
      <c r="IPX26" s="35"/>
      <c r="IPY26" s="35"/>
      <c r="IPZ26" s="35"/>
      <c r="IQA26" s="35"/>
      <c r="IQB26" s="35"/>
      <c r="IQC26" s="35"/>
      <c r="IQD26" s="35"/>
      <c r="IQE26" s="35"/>
      <c r="IQF26" s="35"/>
      <c r="IQG26" s="35"/>
      <c r="IQH26" s="35"/>
      <c r="IQI26" s="35"/>
      <c r="IQJ26" s="35"/>
      <c r="IQK26" s="35"/>
      <c r="IQL26" s="35"/>
      <c r="IQM26" s="35"/>
      <c r="IQN26" s="35"/>
      <c r="IQO26" s="35"/>
      <c r="IQP26" s="35"/>
      <c r="IQQ26" s="35"/>
      <c r="IQR26" s="35"/>
      <c r="IQS26" s="35"/>
      <c r="IQT26" s="35"/>
      <c r="IQU26" s="35"/>
      <c r="IQV26" s="35"/>
      <c r="IQW26" s="35"/>
      <c r="IQX26" s="35"/>
      <c r="IQY26" s="35"/>
      <c r="IQZ26" s="35"/>
      <c r="IRA26" s="35"/>
      <c r="IRB26" s="35"/>
      <c r="IRC26" s="35"/>
      <c r="IRD26" s="35"/>
      <c r="IRE26" s="35"/>
      <c r="IRF26" s="35"/>
      <c r="IRG26" s="35"/>
      <c r="IRH26" s="35"/>
      <c r="IRI26" s="35"/>
      <c r="IRJ26" s="35"/>
      <c r="IRK26" s="35"/>
      <c r="IRL26" s="35"/>
      <c r="IRM26" s="35"/>
      <c r="IRN26" s="35"/>
      <c r="IRO26" s="35"/>
      <c r="IRP26" s="35"/>
      <c r="IRQ26" s="35"/>
      <c r="IRR26" s="35"/>
      <c r="IRS26" s="35"/>
      <c r="IRT26" s="35"/>
      <c r="IRU26" s="35"/>
      <c r="IRV26" s="35"/>
      <c r="IRW26" s="35"/>
      <c r="IRX26" s="35"/>
      <c r="IRY26" s="35"/>
      <c r="IRZ26" s="35"/>
      <c r="ISA26" s="35"/>
      <c r="ISB26" s="35"/>
      <c r="ISC26" s="35"/>
      <c r="ISD26" s="35"/>
      <c r="ISE26" s="35"/>
      <c r="ISF26" s="35"/>
      <c r="ISG26" s="35"/>
      <c r="ISH26" s="35"/>
      <c r="ISI26" s="35"/>
      <c r="ISJ26" s="35"/>
      <c r="ISK26" s="35"/>
      <c r="ISL26" s="35"/>
      <c r="ISM26" s="35"/>
      <c r="ISN26" s="35"/>
      <c r="ISO26" s="35"/>
      <c r="ISP26" s="35"/>
      <c r="ISQ26" s="35"/>
      <c r="ISR26" s="35"/>
      <c r="ISS26" s="35"/>
      <c r="IST26" s="35"/>
      <c r="ISU26" s="35"/>
      <c r="ISV26" s="35"/>
      <c r="ISW26" s="35"/>
      <c r="ISX26" s="35"/>
      <c r="ISY26" s="35"/>
      <c r="ISZ26" s="35"/>
      <c r="ITA26" s="35"/>
      <c r="ITB26" s="35"/>
      <c r="ITC26" s="35"/>
      <c r="ITD26" s="35"/>
      <c r="ITE26" s="35"/>
      <c r="ITF26" s="35"/>
      <c r="ITG26" s="35"/>
      <c r="ITH26" s="35"/>
      <c r="ITI26" s="35"/>
      <c r="ITJ26" s="35"/>
      <c r="ITK26" s="35"/>
      <c r="ITL26" s="35"/>
      <c r="ITM26" s="35"/>
      <c r="ITN26" s="35"/>
      <c r="ITO26" s="35"/>
      <c r="ITP26" s="35"/>
      <c r="ITQ26" s="35"/>
      <c r="ITR26" s="35"/>
      <c r="ITS26" s="35"/>
      <c r="ITT26" s="35"/>
      <c r="ITU26" s="35"/>
      <c r="ITV26" s="35"/>
      <c r="ITW26" s="35"/>
      <c r="ITX26" s="35"/>
      <c r="ITY26" s="35"/>
      <c r="ITZ26" s="35"/>
      <c r="IUA26" s="35"/>
      <c r="IUB26" s="35"/>
      <c r="IUC26" s="35"/>
      <c r="IUD26" s="35"/>
      <c r="IUE26" s="35"/>
      <c r="IUF26" s="35"/>
      <c r="IUG26" s="35"/>
      <c r="IUH26" s="35"/>
      <c r="IUI26" s="35"/>
      <c r="IUJ26" s="35"/>
      <c r="IUK26" s="35"/>
      <c r="IUL26" s="35"/>
      <c r="IUM26" s="35"/>
      <c r="IUN26" s="35"/>
      <c r="IUO26" s="35"/>
      <c r="IUP26" s="35"/>
      <c r="IUQ26" s="35"/>
      <c r="IUR26" s="35"/>
      <c r="IUS26" s="35"/>
      <c r="IUT26" s="35"/>
      <c r="IUU26" s="35"/>
      <c r="IUV26" s="35"/>
      <c r="IUW26" s="35"/>
      <c r="IUX26" s="35"/>
      <c r="IUY26" s="35"/>
      <c r="IUZ26" s="35"/>
      <c r="IVA26" s="35"/>
      <c r="IVB26" s="35"/>
      <c r="IVC26" s="35"/>
      <c r="IVD26" s="35"/>
      <c r="IVE26" s="35"/>
      <c r="IVF26" s="35"/>
      <c r="IVG26" s="35"/>
      <c r="IVH26" s="35"/>
      <c r="IVI26" s="35"/>
      <c r="IVJ26" s="35"/>
      <c r="IVK26" s="35"/>
      <c r="IVL26" s="35"/>
      <c r="IVM26" s="35"/>
      <c r="IVN26" s="35"/>
      <c r="IVO26" s="35"/>
      <c r="IVP26" s="35"/>
      <c r="IVQ26" s="35"/>
      <c r="IVR26" s="35"/>
      <c r="IVS26" s="35"/>
      <c r="IVT26" s="35"/>
      <c r="IVU26" s="35"/>
      <c r="IVV26" s="35"/>
      <c r="IVW26" s="35"/>
      <c r="IVX26" s="35"/>
      <c r="IVY26" s="35"/>
      <c r="IVZ26" s="35"/>
      <c r="IWA26" s="35"/>
      <c r="IWB26" s="35"/>
      <c r="IWC26" s="35"/>
      <c r="IWD26" s="35"/>
      <c r="IWE26" s="35"/>
      <c r="IWF26" s="35"/>
      <c r="IWG26" s="35"/>
      <c r="IWH26" s="35"/>
      <c r="IWI26" s="35"/>
      <c r="IWJ26" s="35"/>
      <c r="IWK26" s="35"/>
      <c r="IWL26" s="35"/>
      <c r="IWM26" s="35"/>
      <c r="IWN26" s="35"/>
      <c r="IWO26" s="35"/>
      <c r="IWP26" s="35"/>
      <c r="IWQ26" s="35"/>
      <c r="IWR26" s="35"/>
      <c r="IWS26" s="35"/>
      <c r="IWT26" s="35"/>
      <c r="IWU26" s="35"/>
      <c r="IWV26" s="35"/>
      <c r="IWW26" s="35"/>
      <c r="IWX26" s="35"/>
      <c r="IWY26" s="35"/>
      <c r="IWZ26" s="35"/>
      <c r="IXA26" s="35"/>
      <c r="IXB26" s="35"/>
      <c r="IXC26" s="35"/>
      <c r="IXD26" s="35"/>
      <c r="IXE26" s="35"/>
      <c r="IXF26" s="35"/>
      <c r="IXG26" s="35"/>
      <c r="IXH26" s="35"/>
      <c r="IXI26" s="35"/>
      <c r="IXJ26" s="35"/>
      <c r="IXK26" s="35"/>
      <c r="IXL26" s="35"/>
      <c r="IXM26" s="35"/>
      <c r="IXN26" s="35"/>
      <c r="IXO26" s="35"/>
      <c r="IXP26" s="35"/>
      <c r="IXQ26" s="35"/>
      <c r="IXR26" s="35"/>
      <c r="IXS26" s="35"/>
      <c r="IXT26" s="35"/>
      <c r="IXU26" s="35"/>
      <c r="IXV26" s="35"/>
      <c r="IXW26" s="35"/>
      <c r="IXX26" s="35"/>
      <c r="IXY26" s="35"/>
      <c r="IXZ26" s="35"/>
      <c r="IYA26" s="35"/>
      <c r="IYB26" s="35"/>
      <c r="IYC26" s="35"/>
      <c r="IYD26" s="35"/>
      <c r="IYE26" s="35"/>
      <c r="IYF26" s="35"/>
      <c r="IYG26" s="35"/>
      <c r="IYH26" s="35"/>
      <c r="IYI26" s="35"/>
      <c r="IYJ26" s="35"/>
      <c r="IYK26" s="35"/>
      <c r="IYL26" s="35"/>
      <c r="IYM26" s="35"/>
      <c r="IYN26" s="35"/>
      <c r="IYO26" s="35"/>
      <c r="IYP26" s="35"/>
      <c r="IYQ26" s="35"/>
      <c r="IYR26" s="35"/>
      <c r="IYS26" s="35"/>
      <c r="IYT26" s="35"/>
      <c r="IYU26" s="35"/>
      <c r="IYV26" s="35"/>
      <c r="IYW26" s="35"/>
      <c r="IYX26" s="35"/>
      <c r="IYY26" s="35"/>
      <c r="IYZ26" s="35"/>
      <c r="IZA26" s="35"/>
      <c r="IZB26" s="35"/>
      <c r="IZC26" s="35"/>
      <c r="IZD26" s="35"/>
      <c r="IZE26" s="35"/>
      <c r="IZF26" s="35"/>
      <c r="IZG26" s="35"/>
      <c r="IZH26" s="35"/>
      <c r="IZI26" s="35"/>
      <c r="IZJ26" s="35"/>
      <c r="IZK26" s="35"/>
      <c r="IZL26" s="35"/>
      <c r="IZM26" s="35"/>
      <c r="IZN26" s="35"/>
      <c r="IZO26" s="35"/>
      <c r="IZP26" s="35"/>
      <c r="IZQ26" s="35"/>
      <c r="IZR26" s="35"/>
      <c r="IZS26" s="35"/>
      <c r="IZT26" s="35"/>
      <c r="IZU26" s="35"/>
      <c r="IZV26" s="35"/>
      <c r="IZW26" s="35"/>
      <c r="IZX26" s="35"/>
      <c r="IZY26" s="35"/>
      <c r="IZZ26" s="35"/>
      <c r="JAA26" s="35"/>
      <c r="JAB26" s="35"/>
      <c r="JAC26" s="35"/>
      <c r="JAD26" s="35"/>
      <c r="JAE26" s="35"/>
      <c r="JAF26" s="35"/>
      <c r="JAG26" s="35"/>
      <c r="JAH26" s="35"/>
      <c r="JAI26" s="35"/>
      <c r="JAJ26" s="35"/>
      <c r="JAK26" s="35"/>
      <c r="JAL26" s="35"/>
      <c r="JAM26" s="35"/>
      <c r="JAN26" s="35"/>
      <c r="JAO26" s="35"/>
      <c r="JAP26" s="35"/>
      <c r="JAQ26" s="35"/>
      <c r="JAR26" s="35"/>
      <c r="JAS26" s="35"/>
      <c r="JAT26" s="35"/>
      <c r="JAU26" s="35"/>
      <c r="JAV26" s="35"/>
      <c r="JAW26" s="35"/>
      <c r="JAX26" s="35"/>
      <c r="JAY26" s="35"/>
      <c r="JAZ26" s="35"/>
      <c r="JBA26" s="35"/>
      <c r="JBB26" s="35"/>
      <c r="JBC26" s="35"/>
      <c r="JBD26" s="35"/>
      <c r="JBE26" s="35"/>
      <c r="JBF26" s="35"/>
      <c r="JBG26" s="35"/>
      <c r="JBH26" s="35"/>
      <c r="JBI26" s="35"/>
      <c r="JBJ26" s="35"/>
      <c r="JBK26" s="35"/>
      <c r="JBL26" s="35"/>
      <c r="JBM26" s="35"/>
      <c r="JBN26" s="35"/>
      <c r="JBO26" s="35"/>
      <c r="JBP26" s="35"/>
      <c r="JBQ26" s="35"/>
      <c r="JBR26" s="35"/>
      <c r="JBS26" s="35"/>
      <c r="JBT26" s="35"/>
      <c r="JBU26" s="35"/>
      <c r="JBV26" s="35"/>
      <c r="JBW26" s="35"/>
      <c r="JBX26" s="35"/>
      <c r="JBY26" s="35"/>
      <c r="JBZ26" s="35"/>
      <c r="JCA26" s="35"/>
      <c r="JCB26" s="35"/>
      <c r="JCC26" s="35"/>
      <c r="JCD26" s="35"/>
      <c r="JCE26" s="35"/>
      <c r="JCF26" s="35"/>
      <c r="JCG26" s="35"/>
      <c r="JCH26" s="35"/>
      <c r="JCI26" s="35"/>
      <c r="JCJ26" s="35"/>
      <c r="JCK26" s="35"/>
      <c r="JCL26" s="35"/>
      <c r="JCM26" s="35"/>
      <c r="JCN26" s="35"/>
      <c r="JCO26" s="35"/>
      <c r="JCP26" s="35"/>
      <c r="JCQ26" s="35"/>
      <c r="JCR26" s="35"/>
      <c r="JCS26" s="35"/>
      <c r="JCT26" s="35"/>
      <c r="JCU26" s="35"/>
      <c r="JCV26" s="35"/>
      <c r="JCW26" s="35"/>
      <c r="JCX26" s="35"/>
      <c r="JCY26" s="35"/>
      <c r="JCZ26" s="35"/>
      <c r="JDA26" s="35"/>
      <c r="JDB26" s="35"/>
      <c r="JDC26" s="35"/>
      <c r="JDD26" s="35"/>
      <c r="JDE26" s="35"/>
      <c r="JDF26" s="35"/>
      <c r="JDG26" s="35"/>
      <c r="JDH26" s="35"/>
      <c r="JDI26" s="35"/>
      <c r="JDJ26" s="35"/>
      <c r="JDK26" s="35"/>
      <c r="JDL26" s="35"/>
      <c r="JDM26" s="35"/>
      <c r="JDN26" s="35"/>
      <c r="JDO26" s="35"/>
      <c r="JDP26" s="35"/>
      <c r="JDQ26" s="35"/>
      <c r="JDR26" s="35"/>
      <c r="JDS26" s="35"/>
      <c r="JDT26" s="35"/>
      <c r="JDU26" s="35"/>
      <c r="JDV26" s="35"/>
      <c r="JDW26" s="35"/>
      <c r="JDX26" s="35"/>
      <c r="JDY26" s="35"/>
      <c r="JDZ26" s="35"/>
      <c r="JEA26" s="35"/>
      <c r="JEB26" s="35"/>
      <c r="JEC26" s="35"/>
      <c r="JED26" s="35"/>
      <c r="JEE26" s="35"/>
      <c r="JEF26" s="35"/>
      <c r="JEG26" s="35"/>
      <c r="JEH26" s="35"/>
      <c r="JEI26" s="35"/>
      <c r="JEJ26" s="35"/>
      <c r="JEK26" s="35"/>
      <c r="JEL26" s="35"/>
      <c r="JEM26" s="35"/>
      <c r="JEN26" s="35"/>
      <c r="JEO26" s="35"/>
      <c r="JEP26" s="35"/>
      <c r="JEQ26" s="35"/>
      <c r="JER26" s="35"/>
      <c r="JES26" s="35"/>
      <c r="JET26" s="35"/>
      <c r="JEU26" s="35"/>
      <c r="JEV26" s="35"/>
      <c r="JEW26" s="35"/>
      <c r="JEX26" s="35"/>
      <c r="JEY26" s="35"/>
      <c r="JEZ26" s="35"/>
      <c r="JFA26" s="35"/>
      <c r="JFB26" s="35"/>
      <c r="JFC26" s="35"/>
      <c r="JFD26" s="35"/>
      <c r="JFE26" s="35"/>
      <c r="JFF26" s="35"/>
      <c r="JFG26" s="35"/>
      <c r="JFH26" s="35"/>
      <c r="JFI26" s="35"/>
      <c r="JFJ26" s="35"/>
      <c r="JFK26" s="35"/>
      <c r="JFL26" s="35"/>
      <c r="JFM26" s="35"/>
      <c r="JFN26" s="35"/>
      <c r="JFO26" s="35"/>
      <c r="JFP26" s="35"/>
      <c r="JFQ26" s="35"/>
      <c r="JFR26" s="35"/>
      <c r="JFS26" s="35"/>
      <c r="JFT26" s="35"/>
      <c r="JFU26" s="35"/>
      <c r="JFV26" s="35"/>
      <c r="JFW26" s="35"/>
      <c r="JFX26" s="35"/>
      <c r="JFY26" s="35"/>
      <c r="JFZ26" s="35"/>
      <c r="JGA26" s="35"/>
      <c r="JGB26" s="35"/>
      <c r="JGC26" s="35"/>
      <c r="JGD26" s="35"/>
      <c r="JGE26" s="35"/>
      <c r="JGF26" s="35"/>
      <c r="JGG26" s="35"/>
      <c r="JGH26" s="35"/>
      <c r="JGI26" s="35"/>
      <c r="JGJ26" s="35"/>
      <c r="JGK26" s="35"/>
      <c r="JGL26" s="35"/>
      <c r="JGM26" s="35"/>
      <c r="JGN26" s="35"/>
      <c r="JGO26" s="35"/>
      <c r="JGP26" s="35"/>
      <c r="JGQ26" s="35"/>
      <c r="JGR26" s="35"/>
      <c r="JGS26" s="35"/>
      <c r="JGT26" s="35"/>
      <c r="JGU26" s="35"/>
      <c r="JGV26" s="35"/>
      <c r="JGW26" s="35"/>
      <c r="JGX26" s="35"/>
      <c r="JGY26" s="35"/>
      <c r="JGZ26" s="35"/>
      <c r="JHA26" s="35"/>
      <c r="JHB26" s="35"/>
      <c r="JHC26" s="35"/>
      <c r="JHD26" s="35"/>
      <c r="JHE26" s="35"/>
      <c r="JHF26" s="35"/>
      <c r="JHG26" s="35"/>
      <c r="JHH26" s="35"/>
      <c r="JHI26" s="35"/>
      <c r="JHJ26" s="35"/>
      <c r="JHK26" s="35"/>
      <c r="JHL26" s="35"/>
      <c r="JHM26" s="35"/>
      <c r="JHN26" s="35"/>
      <c r="JHO26" s="35"/>
      <c r="JHP26" s="35"/>
      <c r="JHQ26" s="35"/>
      <c r="JHR26" s="35"/>
      <c r="JHS26" s="35"/>
      <c r="JHT26" s="35"/>
      <c r="JHU26" s="35"/>
      <c r="JHV26" s="35"/>
      <c r="JHW26" s="35"/>
      <c r="JHX26" s="35"/>
      <c r="JHY26" s="35"/>
      <c r="JHZ26" s="35"/>
      <c r="JIA26" s="35"/>
      <c r="JIB26" s="35"/>
      <c r="JIC26" s="35"/>
      <c r="JID26" s="35"/>
      <c r="JIE26" s="35"/>
      <c r="JIF26" s="35"/>
      <c r="JIG26" s="35"/>
      <c r="JIH26" s="35"/>
      <c r="JII26" s="35"/>
      <c r="JIJ26" s="35"/>
      <c r="JIK26" s="35"/>
      <c r="JIL26" s="35"/>
      <c r="JIM26" s="35"/>
      <c r="JIN26" s="35"/>
      <c r="JIO26" s="35"/>
      <c r="JIP26" s="35"/>
      <c r="JIQ26" s="35"/>
      <c r="JIR26" s="35"/>
      <c r="JIS26" s="35"/>
      <c r="JIT26" s="35"/>
      <c r="JIU26" s="35"/>
      <c r="JIV26" s="35"/>
      <c r="JIW26" s="35"/>
      <c r="JIX26" s="35"/>
      <c r="JIY26" s="35"/>
      <c r="JIZ26" s="35"/>
      <c r="JJA26" s="35"/>
      <c r="JJB26" s="35"/>
      <c r="JJC26" s="35"/>
      <c r="JJD26" s="35"/>
      <c r="JJE26" s="35"/>
      <c r="JJF26" s="35"/>
      <c r="JJG26" s="35"/>
      <c r="JJH26" s="35"/>
      <c r="JJI26" s="35"/>
      <c r="JJJ26" s="35"/>
      <c r="JJK26" s="35"/>
      <c r="JJL26" s="35"/>
      <c r="JJM26" s="35"/>
      <c r="JJN26" s="35"/>
      <c r="JJO26" s="35"/>
      <c r="JJP26" s="35"/>
      <c r="JJQ26" s="35"/>
      <c r="JJR26" s="35"/>
      <c r="JJS26" s="35"/>
      <c r="JJT26" s="35"/>
      <c r="JJU26" s="35"/>
      <c r="JJV26" s="35"/>
      <c r="JJW26" s="35"/>
      <c r="JJX26" s="35"/>
      <c r="JJY26" s="35"/>
      <c r="JJZ26" s="35"/>
      <c r="JKA26" s="35"/>
      <c r="JKB26" s="35"/>
      <c r="JKC26" s="35"/>
      <c r="JKD26" s="35"/>
      <c r="JKE26" s="35"/>
      <c r="JKF26" s="35"/>
      <c r="JKG26" s="35"/>
      <c r="JKH26" s="35"/>
      <c r="JKI26" s="35"/>
      <c r="JKJ26" s="35"/>
      <c r="JKK26" s="35"/>
      <c r="JKL26" s="35"/>
      <c r="JKM26" s="35"/>
      <c r="JKN26" s="35"/>
      <c r="JKO26" s="35"/>
      <c r="JKP26" s="35"/>
      <c r="JKQ26" s="35"/>
      <c r="JKR26" s="35"/>
      <c r="JKS26" s="35"/>
      <c r="JKT26" s="35"/>
      <c r="JKU26" s="35"/>
      <c r="JKV26" s="35"/>
      <c r="JKW26" s="35"/>
      <c r="JKX26" s="35"/>
      <c r="JKY26" s="35"/>
      <c r="JKZ26" s="35"/>
      <c r="JLA26" s="35"/>
      <c r="JLB26" s="35"/>
      <c r="JLC26" s="35"/>
      <c r="JLD26" s="35"/>
      <c r="JLE26" s="35"/>
      <c r="JLF26" s="35"/>
      <c r="JLG26" s="35"/>
      <c r="JLH26" s="35"/>
      <c r="JLI26" s="35"/>
      <c r="JLJ26" s="35"/>
      <c r="JLK26" s="35"/>
      <c r="JLL26" s="35"/>
      <c r="JLM26" s="35"/>
      <c r="JLN26" s="35"/>
      <c r="JLO26" s="35"/>
      <c r="JLP26" s="35"/>
      <c r="JLQ26" s="35"/>
      <c r="JLR26" s="35"/>
      <c r="JLS26" s="35"/>
      <c r="JLT26" s="35"/>
      <c r="JLU26" s="35"/>
      <c r="JLV26" s="35"/>
      <c r="JLW26" s="35"/>
      <c r="JLX26" s="35"/>
      <c r="JLY26" s="35"/>
      <c r="JLZ26" s="35"/>
      <c r="JMA26" s="35"/>
      <c r="JMB26" s="35"/>
      <c r="JMC26" s="35"/>
      <c r="JMD26" s="35"/>
      <c r="JME26" s="35"/>
      <c r="JMF26" s="35"/>
      <c r="JMG26" s="35"/>
      <c r="JMH26" s="35"/>
      <c r="JMI26" s="35"/>
      <c r="JMJ26" s="35"/>
      <c r="JMK26" s="35"/>
      <c r="JML26" s="35"/>
      <c r="JMM26" s="35"/>
      <c r="JMN26" s="35"/>
      <c r="JMO26" s="35"/>
      <c r="JMP26" s="35"/>
      <c r="JMQ26" s="35"/>
      <c r="JMR26" s="35"/>
      <c r="JMS26" s="35"/>
      <c r="JMT26" s="35"/>
      <c r="JMU26" s="35"/>
      <c r="JMV26" s="35"/>
      <c r="JMW26" s="35"/>
      <c r="JMX26" s="35"/>
      <c r="JMY26" s="35"/>
      <c r="JMZ26" s="35"/>
      <c r="JNA26" s="35"/>
      <c r="JNB26" s="35"/>
      <c r="JNC26" s="35"/>
      <c r="JND26" s="35"/>
      <c r="JNE26" s="35"/>
      <c r="JNF26" s="35"/>
      <c r="JNG26" s="35"/>
      <c r="JNH26" s="35"/>
      <c r="JNI26" s="35"/>
      <c r="JNJ26" s="35"/>
      <c r="JNK26" s="35"/>
      <c r="JNL26" s="35"/>
      <c r="JNM26" s="35"/>
      <c r="JNN26" s="35"/>
      <c r="JNO26" s="35"/>
      <c r="JNP26" s="35"/>
      <c r="JNQ26" s="35"/>
      <c r="JNR26" s="35"/>
      <c r="JNS26" s="35"/>
      <c r="JNT26" s="35"/>
      <c r="JNU26" s="35"/>
      <c r="JNV26" s="35"/>
      <c r="JNW26" s="35"/>
      <c r="JNX26" s="35"/>
      <c r="JNY26" s="35"/>
      <c r="JNZ26" s="35"/>
      <c r="JOA26" s="35"/>
      <c r="JOB26" s="35"/>
      <c r="JOC26" s="35"/>
      <c r="JOD26" s="35"/>
      <c r="JOE26" s="35"/>
      <c r="JOF26" s="35"/>
      <c r="JOG26" s="35"/>
      <c r="JOH26" s="35"/>
      <c r="JOI26" s="35"/>
      <c r="JOJ26" s="35"/>
      <c r="JOK26" s="35"/>
      <c r="JOL26" s="35"/>
      <c r="JOM26" s="35"/>
      <c r="JON26" s="35"/>
      <c r="JOO26" s="35"/>
      <c r="JOP26" s="35"/>
      <c r="JOQ26" s="35"/>
      <c r="JOR26" s="35"/>
      <c r="JOS26" s="35"/>
      <c r="JOT26" s="35"/>
      <c r="JOU26" s="35"/>
      <c r="JOV26" s="35"/>
      <c r="JOW26" s="35"/>
      <c r="JOX26" s="35"/>
      <c r="JOY26" s="35"/>
      <c r="JOZ26" s="35"/>
      <c r="JPA26" s="35"/>
      <c r="JPB26" s="35"/>
      <c r="JPC26" s="35"/>
      <c r="JPD26" s="35"/>
      <c r="JPE26" s="35"/>
      <c r="JPF26" s="35"/>
      <c r="JPG26" s="35"/>
      <c r="JPH26" s="35"/>
      <c r="JPI26" s="35"/>
      <c r="JPJ26" s="35"/>
      <c r="JPK26" s="35"/>
      <c r="JPL26" s="35"/>
      <c r="JPM26" s="35"/>
      <c r="JPN26" s="35"/>
      <c r="JPO26" s="35"/>
      <c r="JPP26" s="35"/>
      <c r="JPQ26" s="35"/>
      <c r="JPR26" s="35"/>
      <c r="JPS26" s="35"/>
      <c r="JPT26" s="35"/>
      <c r="JPU26" s="35"/>
      <c r="JPV26" s="35"/>
      <c r="JPW26" s="35"/>
      <c r="JPX26" s="35"/>
      <c r="JPY26" s="35"/>
      <c r="JPZ26" s="35"/>
      <c r="JQA26" s="35"/>
      <c r="JQB26" s="35"/>
      <c r="JQC26" s="35"/>
      <c r="JQD26" s="35"/>
      <c r="JQE26" s="35"/>
      <c r="JQF26" s="35"/>
      <c r="JQG26" s="35"/>
      <c r="JQH26" s="35"/>
      <c r="JQI26" s="35"/>
      <c r="JQJ26" s="35"/>
      <c r="JQK26" s="35"/>
      <c r="JQL26" s="35"/>
      <c r="JQM26" s="35"/>
      <c r="JQN26" s="35"/>
      <c r="JQO26" s="35"/>
      <c r="JQP26" s="35"/>
      <c r="JQQ26" s="35"/>
      <c r="JQR26" s="35"/>
      <c r="JQS26" s="35"/>
      <c r="JQT26" s="35"/>
      <c r="JQU26" s="35"/>
      <c r="JQV26" s="35"/>
      <c r="JQW26" s="35"/>
      <c r="JQX26" s="35"/>
      <c r="JQY26" s="35"/>
      <c r="JQZ26" s="35"/>
      <c r="JRA26" s="35"/>
      <c r="JRB26" s="35"/>
      <c r="JRC26" s="35"/>
      <c r="JRD26" s="35"/>
      <c r="JRE26" s="35"/>
      <c r="JRF26" s="35"/>
      <c r="JRG26" s="35"/>
      <c r="JRH26" s="35"/>
      <c r="JRI26" s="35"/>
      <c r="JRJ26" s="35"/>
      <c r="JRK26" s="35"/>
      <c r="JRL26" s="35"/>
      <c r="JRM26" s="35"/>
      <c r="JRN26" s="35"/>
      <c r="JRO26" s="35"/>
      <c r="JRP26" s="35"/>
      <c r="JRQ26" s="35"/>
      <c r="JRR26" s="35"/>
      <c r="JRS26" s="35"/>
      <c r="JRT26" s="35"/>
      <c r="JRU26" s="35"/>
      <c r="JRV26" s="35"/>
      <c r="JRW26" s="35"/>
      <c r="JRX26" s="35"/>
      <c r="JRY26" s="35"/>
      <c r="JRZ26" s="35"/>
      <c r="JSA26" s="35"/>
      <c r="JSB26" s="35"/>
      <c r="JSC26" s="35"/>
      <c r="JSD26" s="35"/>
      <c r="JSE26" s="35"/>
      <c r="JSF26" s="35"/>
      <c r="JSG26" s="35"/>
      <c r="JSH26" s="35"/>
      <c r="JSI26" s="35"/>
      <c r="JSJ26" s="35"/>
      <c r="JSK26" s="35"/>
      <c r="JSL26" s="35"/>
      <c r="JSM26" s="35"/>
      <c r="JSN26" s="35"/>
      <c r="JSO26" s="35"/>
      <c r="JSP26" s="35"/>
      <c r="JSQ26" s="35"/>
      <c r="JSR26" s="35"/>
      <c r="JSS26" s="35"/>
      <c r="JST26" s="35"/>
      <c r="JSU26" s="35"/>
      <c r="JSV26" s="35"/>
      <c r="JSW26" s="35"/>
      <c r="JSX26" s="35"/>
      <c r="JSY26" s="35"/>
      <c r="JSZ26" s="35"/>
      <c r="JTA26" s="35"/>
      <c r="JTB26" s="35"/>
      <c r="JTC26" s="35"/>
      <c r="JTD26" s="35"/>
      <c r="JTE26" s="35"/>
      <c r="JTF26" s="35"/>
      <c r="JTG26" s="35"/>
      <c r="JTH26" s="35"/>
      <c r="JTI26" s="35"/>
      <c r="JTJ26" s="35"/>
      <c r="JTK26" s="35"/>
      <c r="JTL26" s="35"/>
      <c r="JTM26" s="35"/>
      <c r="JTN26" s="35"/>
      <c r="JTO26" s="35"/>
      <c r="JTP26" s="35"/>
      <c r="JTQ26" s="35"/>
      <c r="JTR26" s="35"/>
      <c r="JTS26" s="35"/>
      <c r="JTT26" s="35"/>
      <c r="JTU26" s="35"/>
      <c r="JTV26" s="35"/>
      <c r="JTW26" s="35"/>
      <c r="JTX26" s="35"/>
      <c r="JTY26" s="35"/>
      <c r="JTZ26" s="35"/>
      <c r="JUA26" s="35"/>
      <c r="JUB26" s="35"/>
      <c r="JUC26" s="35"/>
      <c r="JUD26" s="35"/>
      <c r="JUE26" s="35"/>
      <c r="JUF26" s="35"/>
      <c r="JUG26" s="35"/>
      <c r="JUH26" s="35"/>
      <c r="JUI26" s="35"/>
      <c r="JUJ26" s="35"/>
      <c r="JUK26" s="35"/>
      <c r="JUL26" s="35"/>
      <c r="JUM26" s="35"/>
      <c r="JUN26" s="35"/>
      <c r="JUO26" s="35"/>
      <c r="JUP26" s="35"/>
      <c r="JUQ26" s="35"/>
      <c r="JUR26" s="35"/>
      <c r="JUS26" s="35"/>
      <c r="JUT26" s="35"/>
      <c r="JUU26" s="35"/>
      <c r="JUV26" s="35"/>
      <c r="JUW26" s="35"/>
      <c r="JUX26" s="35"/>
      <c r="JUY26" s="35"/>
      <c r="JUZ26" s="35"/>
      <c r="JVA26" s="35"/>
      <c r="JVB26" s="35"/>
      <c r="JVC26" s="35"/>
      <c r="JVD26" s="35"/>
      <c r="JVE26" s="35"/>
      <c r="JVF26" s="35"/>
      <c r="JVG26" s="35"/>
      <c r="JVH26" s="35"/>
      <c r="JVI26" s="35"/>
      <c r="JVJ26" s="35"/>
      <c r="JVK26" s="35"/>
      <c r="JVL26" s="35"/>
      <c r="JVM26" s="35"/>
      <c r="JVN26" s="35"/>
      <c r="JVO26" s="35"/>
      <c r="JVP26" s="35"/>
      <c r="JVQ26" s="35"/>
      <c r="JVR26" s="35"/>
      <c r="JVS26" s="35"/>
      <c r="JVT26" s="35"/>
      <c r="JVU26" s="35"/>
      <c r="JVV26" s="35"/>
      <c r="JVW26" s="35"/>
      <c r="JVX26" s="35"/>
      <c r="JVY26" s="35"/>
      <c r="JVZ26" s="35"/>
      <c r="JWA26" s="35"/>
      <c r="JWB26" s="35"/>
      <c r="JWC26" s="35"/>
      <c r="JWD26" s="35"/>
      <c r="JWE26" s="35"/>
      <c r="JWF26" s="35"/>
      <c r="JWG26" s="35"/>
      <c r="JWH26" s="35"/>
      <c r="JWI26" s="35"/>
      <c r="JWJ26" s="35"/>
      <c r="JWK26" s="35"/>
      <c r="JWL26" s="35"/>
      <c r="JWM26" s="35"/>
      <c r="JWN26" s="35"/>
      <c r="JWO26" s="35"/>
      <c r="JWP26" s="35"/>
      <c r="JWQ26" s="35"/>
      <c r="JWR26" s="35"/>
      <c r="JWS26" s="35"/>
      <c r="JWT26" s="35"/>
      <c r="JWU26" s="35"/>
      <c r="JWV26" s="35"/>
      <c r="JWW26" s="35"/>
      <c r="JWX26" s="35"/>
      <c r="JWY26" s="35"/>
      <c r="JWZ26" s="35"/>
      <c r="JXA26" s="35"/>
      <c r="JXB26" s="35"/>
      <c r="JXC26" s="35"/>
      <c r="JXD26" s="35"/>
      <c r="JXE26" s="35"/>
      <c r="JXF26" s="35"/>
      <c r="JXG26" s="35"/>
      <c r="JXH26" s="35"/>
      <c r="JXI26" s="35"/>
      <c r="JXJ26" s="35"/>
      <c r="JXK26" s="35"/>
      <c r="JXL26" s="35"/>
      <c r="JXM26" s="35"/>
      <c r="JXN26" s="35"/>
      <c r="JXO26" s="35"/>
      <c r="JXP26" s="35"/>
      <c r="JXQ26" s="35"/>
      <c r="JXR26" s="35"/>
      <c r="JXS26" s="35"/>
      <c r="JXT26" s="35"/>
      <c r="JXU26" s="35"/>
      <c r="JXV26" s="35"/>
      <c r="JXW26" s="35"/>
      <c r="JXX26" s="35"/>
      <c r="JXY26" s="35"/>
      <c r="JXZ26" s="35"/>
      <c r="JYA26" s="35"/>
      <c r="JYB26" s="35"/>
      <c r="JYC26" s="35"/>
      <c r="JYD26" s="35"/>
      <c r="JYE26" s="35"/>
      <c r="JYF26" s="35"/>
      <c r="JYG26" s="35"/>
      <c r="JYH26" s="35"/>
      <c r="JYI26" s="35"/>
      <c r="JYJ26" s="35"/>
      <c r="JYK26" s="35"/>
      <c r="JYL26" s="35"/>
      <c r="JYM26" s="35"/>
      <c r="JYN26" s="35"/>
      <c r="JYO26" s="35"/>
      <c r="JYP26" s="35"/>
      <c r="JYQ26" s="35"/>
      <c r="JYR26" s="35"/>
      <c r="JYS26" s="35"/>
      <c r="JYT26" s="35"/>
      <c r="JYU26" s="35"/>
      <c r="JYV26" s="35"/>
      <c r="JYW26" s="35"/>
      <c r="JYX26" s="35"/>
      <c r="JYY26" s="35"/>
      <c r="JYZ26" s="35"/>
      <c r="JZA26" s="35"/>
      <c r="JZB26" s="35"/>
      <c r="JZC26" s="35"/>
      <c r="JZD26" s="35"/>
      <c r="JZE26" s="35"/>
      <c r="JZF26" s="35"/>
      <c r="JZG26" s="35"/>
      <c r="JZH26" s="35"/>
      <c r="JZI26" s="35"/>
      <c r="JZJ26" s="35"/>
      <c r="JZK26" s="35"/>
      <c r="JZL26" s="35"/>
      <c r="JZM26" s="35"/>
      <c r="JZN26" s="35"/>
      <c r="JZO26" s="35"/>
      <c r="JZP26" s="35"/>
      <c r="JZQ26" s="35"/>
      <c r="JZR26" s="35"/>
      <c r="JZS26" s="35"/>
      <c r="JZT26" s="35"/>
      <c r="JZU26" s="35"/>
      <c r="JZV26" s="35"/>
      <c r="JZW26" s="35"/>
      <c r="JZX26" s="35"/>
      <c r="JZY26" s="35"/>
      <c r="JZZ26" s="35"/>
      <c r="KAA26" s="35"/>
      <c r="KAB26" s="35"/>
      <c r="KAC26" s="35"/>
      <c r="KAD26" s="35"/>
      <c r="KAE26" s="35"/>
      <c r="KAF26" s="35"/>
      <c r="KAG26" s="35"/>
      <c r="KAH26" s="35"/>
      <c r="KAI26" s="35"/>
      <c r="KAJ26" s="35"/>
      <c r="KAK26" s="35"/>
      <c r="KAL26" s="35"/>
      <c r="KAM26" s="35"/>
      <c r="KAN26" s="35"/>
      <c r="KAO26" s="35"/>
      <c r="KAP26" s="35"/>
      <c r="KAQ26" s="35"/>
      <c r="KAR26" s="35"/>
      <c r="KAS26" s="35"/>
      <c r="KAT26" s="35"/>
      <c r="KAU26" s="35"/>
      <c r="KAV26" s="35"/>
      <c r="KAW26" s="35"/>
      <c r="KAX26" s="35"/>
      <c r="KAY26" s="35"/>
      <c r="KAZ26" s="35"/>
      <c r="KBA26" s="35"/>
      <c r="KBB26" s="35"/>
      <c r="KBC26" s="35"/>
      <c r="KBD26" s="35"/>
      <c r="KBE26" s="35"/>
      <c r="KBF26" s="35"/>
      <c r="KBG26" s="35"/>
      <c r="KBH26" s="35"/>
      <c r="KBI26" s="35"/>
      <c r="KBJ26" s="35"/>
      <c r="KBK26" s="35"/>
      <c r="KBL26" s="35"/>
      <c r="KBM26" s="35"/>
      <c r="KBN26" s="35"/>
      <c r="KBO26" s="35"/>
      <c r="KBP26" s="35"/>
      <c r="KBQ26" s="35"/>
      <c r="KBR26" s="35"/>
      <c r="KBS26" s="35"/>
      <c r="KBT26" s="35"/>
      <c r="KBU26" s="35"/>
      <c r="KBV26" s="35"/>
      <c r="KBW26" s="35"/>
      <c r="KBX26" s="35"/>
      <c r="KBY26" s="35"/>
      <c r="KBZ26" s="35"/>
      <c r="KCA26" s="35"/>
      <c r="KCB26" s="35"/>
      <c r="KCC26" s="35"/>
      <c r="KCD26" s="35"/>
      <c r="KCE26" s="35"/>
      <c r="KCF26" s="35"/>
      <c r="KCG26" s="35"/>
      <c r="KCH26" s="35"/>
      <c r="KCI26" s="35"/>
      <c r="KCJ26" s="35"/>
      <c r="KCK26" s="35"/>
      <c r="KCL26" s="35"/>
      <c r="KCM26" s="35"/>
      <c r="KCN26" s="35"/>
      <c r="KCO26" s="35"/>
      <c r="KCP26" s="35"/>
      <c r="KCQ26" s="35"/>
      <c r="KCR26" s="35"/>
      <c r="KCS26" s="35"/>
      <c r="KCT26" s="35"/>
      <c r="KCU26" s="35"/>
      <c r="KCV26" s="35"/>
      <c r="KCW26" s="35"/>
      <c r="KCX26" s="35"/>
      <c r="KCY26" s="35"/>
      <c r="KCZ26" s="35"/>
      <c r="KDA26" s="35"/>
      <c r="KDB26" s="35"/>
      <c r="KDC26" s="35"/>
      <c r="KDD26" s="35"/>
      <c r="KDE26" s="35"/>
      <c r="KDF26" s="35"/>
      <c r="KDG26" s="35"/>
      <c r="KDH26" s="35"/>
      <c r="KDI26" s="35"/>
      <c r="KDJ26" s="35"/>
      <c r="KDK26" s="35"/>
      <c r="KDL26" s="35"/>
      <c r="KDM26" s="35"/>
      <c r="KDN26" s="35"/>
      <c r="KDO26" s="35"/>
      <c r="KDP26" s="35"/>
      <c r="KDQ26" s="35"/>
      <c r="KDR26" s="35"/>
      <c r="KDS26" s="35"/>
      <c r="KDT26" s="35"/>
      <c r="KDU26" s="35"/>
      <c r="KDV26" s="35"/>
      <c r="KDW26" s="35"/>
      <c r="KDX26" s="35"/>
      <c r="KDY26" s="35"/>
      <c r="KDZ26" s="35"/>
      <c r="KEA26" s="35"/>
      <c r="KEB26" s="35"/>
      <c r="KEC26" s="35"/>
      <c r="KED26" s="35"/>
      <c r="KEE26" s="35"/>
      <c r="KEF26" s="35"/>
      <c r="KEG26" s="35"/>
      <c r="KEH26" s="35"/>
      <c r="KEI26" s="35"/>
      <c r="KEJ26" s="35"/>
      <c r="KEK26" s="35"/>
      <c r="KEL26" s="35"/>
      <c r="KEM26" s="35"/>
      <c r="KEN26" s="35"/>
      <c r="KEO26" s="35"/>
      <c r="KEP26" s="35"/>
      <c r="KEQ26" s="35"/>
      <c r="KER26" s="35"/>
      <c r="KES26" s="35"/>
      <c r="KET26" s="35"/>
      <c r="KEU26" s="35"/>
      <c r="KEV26" s="35"/>
      <c r="KEW26" s="35"/>
      <c r="KEX26" s="35"/>
      <c r="KEY26" s="35"/>
      <c r="KEZ26" s="35"/>
      <c r="KFA26" s="35"/>
      <c r="KFB26" s="35"/>
      <c r="KFC26" s="35"/>
      <c r="KFD26" s="35"/>
      <c r="KFE26" s="35"/>
      <c r="KFF26" s="35"/>
      <c r="KFG26" s="35"/>
      <c r="KFH26" s="35"/>
      <c r="KFI26" s="35"/>
      <c r="KFJ26" s="35"/>
      <c r="KFK26" s="35"/>
      <c r="KFL26" s="35"/>
      <c r="KFM26" s="35"/>
      <c r="KFN26" s="35"/>
      <c r="KFO26" s="35"/>
      <c r="KFP26" s="35"/>
      <c r="KFQ26" s="35"/>
      <c r="KFR26" s="35"/>
      <c r="KFS26" s="35"/>
      <c r="KFT26" s="35"/>
      <c r="KFU26" s="35"/>
      <c r="KFV26" s="35"/>
      <c r="KFW26" s="35"/>
      <c r="KFX26" s="35"/>
      <c r="KFY26" s="35"/>
      <c r="KFZ26" s="35"/>
      <c r="KGA26" s="35"/>
      <c r="KGB26" s="35"/>
      <c r="KGC26" s="35"/>
      <c r="KGD26" s="35"/>
      <c r="KGE26" s="35"/>
      <c r="KGF26" s="35"/>
      <c r="KGG26" s="35"/>
      <c r="KGH26" s="35"/>
      <c r="KGI26" s="35"/>
      <c r="KGJ26" s="35"/>
      <c r="KGK26" s="35"/>
      <c r="KGL26" s="35"/>
      <c r="KGM26" s="35"/>
      <c r="KGN26" s="35"/>
      <c r="KGO26" s="35"/>
      <c r="KGP26" s="35"/>
      <c r="KGQ26" s="35"/>
      <c r="KGR26" s="35"/>
      <c r="KGS26" s="35"/>
      <c r="KGT26" s="35"/>
      <c r="KGU26" s="35"/>
      <c r="KGV26" s="35"/>
      <c r="KGW26" s="35"/>
      <c r="KGX26" s="35"/>
      <c r="KGY26" s="35"/>
      <c r="KGZ26" s="35"/>
      <c r="KHA26" s="35"/>
      <c r="KHB26" s="35"/>
      <c r="KHC26" s="35"/>
      <c r="KHD26" s="35"/>
      <c r="KHE26" s="35"/>
      <c r="KHF26" s="35"/>
      <c r="KHG26" s="35"/>
      <c r="KHH26" s="35"/>
      <c r="KHI26" s="35"/>
      <c r="KHJ26" s="35"/>
      <c r="KHK26" s="35"/>
      <c r="KHL26" s="35"/>
      <c r="KHM26" s="35"/>
      <c r="KHN26" s="35"/>
      <c r="KHO26" s="35"/>
      <c r="KHP26" s="35"/>
      <c r="KHQ26" s="35"/>
      <c r="KHR26" s="35"/>
      <c r="KHS26" s="35"/>
      <c r="KHT26" s="35"/>
      <c r="KHU26" s="35"/>
      <c r="KHV26" s="35"/>
      <c r="KHW26" s="35"/>
      <c r="KHX26" s="35"/>
      <c r="KHY26" s="35"/>
      <c r="KHZ26" s="35"/>
      <c r="KIA26" s="35"/>
      <c r="KIB26" s="35"/>
      <c r="KIC26" s="35"/>
      <c r="KID26" s="35"/>
      <c r="KIE26" s="35"/>
      <c r="KIF26" s="35"/>
      <c r="KIG26" s="35"/>
      <c r="KIH26" s="35"/>
      <c r="KII26" s="35"/>
      <c r="KIJ26" s="35"/>
      <c r="KIK26" s="35"/>
      <c r="KIL26" s="35"/>
      <c r="KIM26" s="35"/>
      <c r="KIN26" s="35"/>
      <c r="KIO26" s="35"/>
      <c r="KIP26" s="35"/>
      <c r="KIQ26" s="35"/>
      <c r="KIR26" s="35"/>
      <c r="KIS26" s="35"/>
      <c r="KIT26" s="35"/>
      <c r="KIU26" s="35"/>
      <c r="KIV26" s="35"/>
      <c r="KIW26" s="35"/>
      <c r="KIX26" s="35"/>
      <c r="KIY26" s="35"/>
      <c r="KIZ26" s="35"/>
      <c r="KJA26" s="35"/>
      <c r="KJB26" s="35"/>
      <c r="KJC26" s="35"/>
      <c r="KJD26" s="35"/>
      <c r="KJE26" s="35"/>
      <c r="KJF26" s="35"/>
      <c r="KJG26" s="35"/>
      <c r="KJH26" s="35"/>
      <c r="KJI26" s="35"/>
      <c r="KJJ26" s="35"/>
      <c r="KJK26" s="35"/>
      <c r="KJL26" s="35"/>
      <c r="KJM26" s="35"/>
      <c r="KJN26" s="35"/>
      <c r="KJO26" s="35"/>
      <c r="KJP26" s="35"/>
      <c r="KJQ26" s="35"/>
      <c r="KJR26" s="35"/>
      <c r="KJS26" s="35"/>
      <c r="KJT26" s="35"/>
      <c r="KJU26" s="35"/>
      <c r="KJV26" s="35"/>
      <c r="KJW26" s="35"/>
      <c r="KJX26" s="35"/>
      <c r="KJY26" s="35"/>
      <c r="KJZ26" s="35"/>
      <c r="KKA26" s="35"/>
      <c r="KKB26" s="35"/>
      <c r="KKC26" s="35"/>
      <c r="KKD26" s="35"/>
      <c r="KKE26" s="35"/>
      <c r="KKF26" s="35"/>
      <c r="KKG26" s="35"/>
      <c r="KKH26" s="35"/>
      <c r="KKI26" s="35"/>
      <c r="KKJ26" s="35"/>
      <c r="KKK26" s="35"/>
      <c r="KKL26" s="35"/>
      <c r="KKM26" s="35"/>
      <c r="KKN26" s="35"/>
      <c r="KKO26" s="35"/>
      <c r="KKP26" s="35"/>
      <c r="KKQ26" s="35"/>
      <c r="KKR26" s="35"/>
      <c r="KKS26" s="35"/>
      <c r="KKT26" s="35"/>
      <c r="KKU26" s="35"/>
      <c r="KKV26" s="35"/>
      <c r="KKW26" s="35"/>
      <c r="KKX26" s="35"/>
      <c r="KKY26" s="35"/>
      <c r="KKZ26" s="35"/>
      <c r="KLA26" s="35"/>
      <c r="KLB26" s="35"/>
      <c r="KLC26" s="35"/>
      <c r="KLD26" s="35"/>
      <c r="KLE26" s="35"/>
      <c r="KLF26" s="35"/>
      <c r="KLG26" s="35"/>
      <c r="KLH26" s="35"/>
      <c r="KLI26" s="35"/>
      <c r="KLJ26" s="35"/>
      <c r="KLK26" s="35"/>
      <c r="KLL26" s="35"/>
      <c r="KLM26" s="35"/>
      <c r="KLN26" s="35"/>
      <c r="KLO26" s="35"/>
      <c r="KLP26" s="35"/>
      <c r="KLQ26" s="35"/>
      <c r="KLR26" s="35"/>
      <c r="KLS26" s="35"/>
      <c r="KLT26" s="35"/>
      <c r="KLU26" s="35"/>
      <c r="KLV26" s="35"/>
      <c r="KLW26" s="35"/>
      <c r="KLX26" s="35"/>
      <c r="KLY26" s="35"/>
      <c r="KLZ26" s="35"/>
      <c r="KMA26" s="35"/>
      <c r="KMB26" s="35"/>
      <c r="KMC26" s="35"/>
      <c r="KMD26" s="35"/>
      <c r="KME26" s="35"/>
      <c r="KMF26" s="35"/>
      <c r="KMG26" s="35"/>
      <c r="KMH26" s="35"/>
      <c r="KMI26" s="35"/>
      <c r="KMJ26" s="35"/>
      <c r="KMK26" s="35"/>
      <c r="KML26" s="35"/>
      <c r="KMM26" s="35"/>
      <c r="KMN26" s="35"/>
      <c r="KMO26" s="35"/>
      <c r="KMP26" s="35"/>
      <c r="KMQ26" s="35"/>
      <c r="KMR26" s="35"/>
      <c r="KMS26" s="35"/>
      <c r="KMT26" s="35"/>
      <c r="KMU26" s="35"/>
      <c r="KMV26" s="35"/>
      <c r="KMW26" s="35"/>
      <c r="KMX26" s="35"/>
      <c r="KMY26" s="35"/>
      <c r="KMZ26" s="35"/>
      <c r="KNA26" s="35"/>
      <c r="KNB26" s="35"/>
      <c r="KNC26" s="35"/>
      <c r="KND26" s="35"/>
      <c r="KNE26" s="35"/>
      <c r="KNF26" s="35"/>
      <c r="KNG26" s="35"/>
      <c r="KNH26" s="35"/>
      <c r="KNI26" s="35"/>
      <c r="KNJ26" s="35"/>
      <c r="KNK26" s="35"/>
      <c r="KNL26" s="35"/>
      <c r="KNM26" s="35"/>
      <c r="KNN26" s="35"/>
      <c r="KNO26" s="35"/>
      <c r="KNP26" s="35"/>
      <c r="KNQ26" s="35"/>
      <c r="KNR26" s="35"/>
      <c r="KNS26" s="35"/>
      <c r="KNT26" s="35"/>
      <c r="KNU26" s="35"/>
      <c r="KNV26" s="35"/>
      <c r="KNW26" s="35"/>
      <c r="KNX26" s="35"/>
      <c r="KNY26" s="35"/>
      <c r="KNZ26" s="35"/>
      <c r="KOA26" s="35"/>
      <c r="KOB26" s="35"/>
      <c r="KOC26" s="35"/>
      <c r="KOD26" s="35"/>
      <c r="KOE26" s="35"/>
      <c r="KOF26" s="35"/>
      <c r="KOG26" s="35"/>
      <c r="KOH26" s="35"/>
      <c r="KOI26" s="35"/>
      <c r="KOJ26" s="35"/>
      <c r="KOK26" s="35"/>
      <c r="KOL26" s="35"/>
      <c r="KOM26" s="35"/>
      <c r="KON26" s="35"/>
      <c r="KOO26" s="35"/>
      <c r="KOP26" s="35"/>
      <c r="KOQ26" s="35"/>
      <c r="KOR26" s="35"/>
      <c r="KOS26" s="35"/>
      <c r="KOT26" s="35"/>
      <c r="KOU26" s="35"/>
      <c r="KOV26" s="35"/>
      <c r="KOW26" s="35"/>
      <c r="KOX26" s="35"/>
      <c r="KOY26" s="35"/>
      <c r="KOZ26" s="35"/>
      <c r="KPA26" s="35"/>
      <c r="KPB26" s="35"/>
      <c r="KPC26" s="35"/>
      <c r="KPD26" s="35"/>
      <c r="KPE26" s="35"/>
      <c r="KPF26" s="35"/>
      <c r="KPG26" s="35"/>
      <c r="KPH26" s="35"/>
      <c r="KPI26" s="35"/>
      <c r="KPJ26" s="35"/>
      <c r="KPK26" s="35"/>
      <c r="KPL26" s="35"/>
      <c r="KPM26" s="35"/>
      <c r="KPN26" s="35"/>
      <c r="KPO26" s="35"/>
      <c r="KPP26" s="35"/>
      <c r="KPQ26" s="35"/>
      <c r="KPR26" s="35"/>
      <c r="KPS26" s="35"/>
      <c r="KPT26" s="35"/>
      <c r="KPU26" s="35"/>
      <c r="KPV26" s="35"/>
      <c r="KPW26" s="35"/>
      <c r="KPX26" s="35"/>
      <c r="KPY26" s="35"/>
      <c r="KPZ26" s="35"/>
      <c r="KQA26" s="35"/>
      <c r="KQB26" s="35"/>
      <c r="KQC26" s="35"/>
      <c r="KQD26" s="35"/>
      <c r="KQE26" s="35"/>
      <c r="KQF26" s="35"/>
      <c r="KQG26" s="35"/>
      <c r="KQH26" s="35"/>
      <c r="KQI26" s="35"/>
      <c r="KQJ26" s="35"/>
      <c r="KQK26" s="35"/>
      <c r="KQL26" s="35"/>
      <c r="KQM26" s="35"/>
      <c r="KQN26" s="35"/>
      <c r="KQO26" s="35"/>
      <c r="KQP26" s="35"/>
      <c r="KQQ26" s="35"/>
      <c r="KQR26" s="35"/>
      <c r="KQS26" s="35"/>
      <c r="KQT26" s="35"/>
      <c r="KQU26" s="35"/>
      <c r="KQV26" s="35"/>
      <c r="KQW26" s="35"/>
      <c r="KQX26" s="35"/>
      <c r="KQY26" s="35"/>
      <c r="KQZ26" s="35"/>
      <c r="KRA26" s="35"/>
      <c r="KRB26" s="35"/>
      <c r="KRC26" s="35"/>
      <c r="KRD26" s="35"/>
      <c r="KRE26" s="35"/>
      <c r="KRF26" s="35"/>
      <c r="KRG26" s="35"/>
      <c r="KRH26" s="35"/>
      <c r="KRI26" s="35"/>
      <c r="KRJ26" s="35"/>
      <c r="KRK26" s="35"/>
      <c r="KRL26" s="35"/>
      <c r="KRM26" s="35"/>
      <c r="KRN26" s="35"/>
      <c r="KRO26" s="35"/>
      <c r="KRP26" s="35"/>
      <c r="KRQ26" s="35"/>
      <c r="KRR26" s="35"/>
      <c r="KRS26" s="35"/>
      <c r="KRT26" s="35"/>
      <c r="KRU26" s="35"/>
      <c r="KRV26" s="35"/>
      <c r="KRW26" s="35"/>
      <c r="KRX26" s="35"/>
      <c r="KRY26" s="35"/>
      <c r="KRZ26" s="35"/>
      <c r="KSA26" s="35"/>
      <c r="KSB26" s="35"/>
      <c r="KSC26" s="35"/>
      <c r="KSD26" s="35"/>
      <c r="KSE26" s="35"/>
      <c r="KSF26" s="35"/>
      <c r="KSG26" s="35"/>
      <c r="KSH26" s="35"/>
      <c r="KSI26" s="35"/>
      <c r="KSJ26" s="35"/>
      <c r="KSK26" s="35"/>
      <c r="KSL26" s="35"/>
      <c r="KSM26" s="35"/>
      <c r="KSN26" s="35"/>
      <c r="KSO26" s="35"/>
      <c r="KSP26" s="35"/>
      <c r="KSQ26" s="35"/>
      <c r="KSR26" s="35"/>
      <c r="KSS26" s="35"/>
      <c r="KST26" s="35"/>
      <c r="KSU26" s="35"/>
      <c r="KSV26" s="35"/>
      <c r="KSW26" s="35"/>
      <c r="KSX26" s="35"/>
      <c r="KSY26" s="35"/>
      <c r="KSZ26" s="35"/>
      <c r="KTA26" s="35"/>
      <c r="KTB26" s="35"/>
      <c r="KTC26" s="35"/>
      <c r="KTD26" s="35"/>
      <c r="KTE26" s="35"/>
      <c r="KTF26" s="35"/>
      <c r="KTG26" s="35"/>
      <c r="KTH26" s="35"/>
      <c r="KTI26" s="35"/>
      <c r="KTJ26" s="35"/>
      <c r="KTK26" s="35"/>
      <c r="KTL26" s="35"/>
      <c r="KTM26" s="35"/>
      <c r="KTN26" s="35"/>
      <c r="KTO26" s="35"/>
      <c r="KTP26" s="35"/>
      <c r="KTQ26" s="35"/>
      <c r="KTR26" s="35"/>
      <c r="KTS26" s="35"/>
      <c r="KTT26" s="35"/>
      <c r="KTU26" s="35"/>
      <c r="KTV26" s="35"/>
      <c r="KTW26" s="35"/>
      <c r="KTX26" s="35"/>
      <c r="KTY26" s="35"/>
      <c r="KTZ26" s="35"/>
      <c r="KUA26" s="35"/>
      <c r="KUB26" s="35"/>
      <c r="KUC26" s="35"/>
      <c r="KUD26" s="35"/>
      <c r="KUE26" s="35"/>
      <c r="KUF26" s="35"/>
      <c r="KUG26" s="35"/>
      <c r="KUH26" s="35"/>
      <c r="KUI26" s="35"/>
      <c r="KUJ26" s="35"/>
      <c r="KUK26" s="35"/>
      <c r="KUL26" s="35"/>
      <c r="KUM26" s="35"/>
      <c r="KUN26" s="35"/>
      <c r="KUO26" s="35"/>
      <c r="KUP26" s="35"/>
      <c r="KUQ26" s="35"/>
      <c r="KUR26" s="35"/>
      <c r="KUS26" s="35"/>
      <c r="KUT26" s="35"/>
      <c r="KUU26" s="35"/>
      <c r="KUV26" s="35"/>
      <c r="KUW26" s="35"/>
      <c r="KUX26" s="35"/>
      <c r="KUY26" s="35"/>
      <c r="KUZ26" s="35"/>
      <c r="KVA26" s="35"/>
      <c r="KVB26" s="35"/>
      <c r="KVC26" s="35"/>
      <c r="KVD26" s="35"/>
      <c r="KVE26" s="35"/>
      <c r="KVF26" s="35"/>
      <c r="KVG26" s="35"/>
      <c r="KVH26" s="35"/>
      <c r="KVI26" s="35"/>
      <c r="KVJ26" s="35"/>
      <c r="KVK26" s="35"/>
      <c r="KVL26" s="35"/>
      <c r="KVM26" s="35"/>
      <c r="KVN26" s="35"/>
      <c r="KVO26" s="35"/>
      <c r="KVP26" s="35"/>
      <c r="KVQ26" s="35"/>
      <c r="KVR26" s="35"/>
      <c r="KVS26" s="35"/>
      <c r="KVT26" s="35"/>
      <c r="KVU26" s="35"/>
      <c r="KVV26" s="35"/>
      <c r="KVW26" s="35"/>
      <c r="KVX26" s="35"/>
      <c r="KVY26" s="35"/>
      <c r="KVZ26" s="35"/>
      <c r="KWA26" s="35"/>
      <c r="KWB26" s="35"/>
      <c r="KWC26" s="35"/>
      <c r="KWD26" s="35"/>
      <c r="KWE26" s="35"/>
      <c r="KWF26" s="35"/>
      <c r="KWG26" s="35"/>
      <c r="KWH26" s="35"/>
      <c r="KWI26" s="35"/>
      <c r="KWJ26" s="35"/>
      <c r="KWK26" s="35"/>
      <c r="KWL26" s="35"/>
      <c r="KWM26" s="35"/>
      <c r="KWN26" s="35"/>
      <c r="KWO26" s="35"/>
      <c r="KWP26" s="35"/>
      <c r="KWQ26" s="35"/>
      <c r="KWR26" s="35"/>
      <c r="KWS26" s="35"/>
      <c r="KWT26" s="35"/>
      <c r="KWU26" s="35"/>
      <c r="KWV26" s="35"/>
      <c r="KWW26" s="35"/>
      <c r="KWX26" s="35"/>
      <c r="KWY26" s="35"/>
      <c r="KWZ26" s="35"/>
      <c r="KXA26" s="35"/>
      <c r="KXB26" s="35"/>
      <c r="KXC26" s="35"/>
      <c r="KXD26" s="35"/>
      <c r="KXE26" s="35"/>
      <c r="KXF26" s="35"/>
      <c r="KXG26" s="35"/>
      <c r="KXH26" s="35"/>
      <c r="KXI26" s="35"/>
      <c r="KXJ26" s="35"/>
      <c r="KXK26" s="35"/>
      <c r="KXL26" s="35"/>
      <c r="KXM26" s="35"/>
      <c r="KXN26" s="35"/>
      <c r="KXO26" s="35"/>
      <c r="KXP26" s="35"/>
      <c r="KXQ26" s="35"/>
      <c r="KXR26" s="35"/>
      <c r="KXS26" s="35"/>
      <c r="KXT26" s="35"/>
      <c r="KXU26" s="35"/>
      <c r="KXV26" s="35"/>
      <c r="KXW26" s="35"/>
      <c r="KXX26" s="35"/>
      <c r="KXY26" s="35"/>
      <c r="KXZ26" s="35"/>
      <c r="KYA26" s="35"/>
      <c r="KYB26" s="35"/>
      <c r="KYC26" s="35"/>
      <c r="KYD26" s="35"/>
      <c r="KYE26" s="35"/>
      <c r="KYF26" s="35"/>
      <c r="KYG26" s="35"/>
      <c r="KYH26" s="35"/>
      <c r="KYI26" s="35"/>
      <c r="KYJ26" s="35"/>
      <c r="KYK26" s="35"/>
      <c r="KYL26" s="35"/>
      <c r="KYM26" s="35"/>
      <c r="KYN26" s="35"/>
      <c r="KYO26" s="35"/>
      <c r="KYP26" s="35"/>
      <c r="KYQ26" s="35"/>
      <c r="KYR26" s="35"/>
      <c r="KYS26" s="35"/>
      <c r="KYT26" s="35"/>
      <c r="KYU26" s="35"/>
      <c r="KYV26" s="35"/>
      <c r="KYW26" s="35"/>
      <c r="KYX26" s="35"/>
      <c r="KYY26" s="35"/>
      <c r="KYZ26" s="35"/>
      <c r="KZA26" s="35"/>
      <c r="KZB26" s="35"/>
      <c r="KZC26" s="35"/>
      <c r="KZD26" s="35"/>
      <c r="KZE26" s="35"/>
      <c r="KZF26" s="35"/>
      <c r="KZG26" s="35"/>
      <c r="KZH26" s="35"/>
      <c r="KZI26" s="35"/>
      <c r="KZJ26" s="35"/>
      <c r="KZK26" s="35"/>
      <c r="KZL26" s="35"/>
      <c r="KZM26" s="35"/>
      <c r="KZN26" s="35"/>
      <c r="KZO26" s="35"/>
      <c r="KZP26" s="35"/>
      <c r="KZQ26" s="35"/>
      <c r="KZR26" s="35"/>
      <c r="KZS26" s="35"/>
      <c r="KZT26" s="35"/>
      <c r="KZU26" s="35"/>
      <c r="KZV26" s="35"/>
      <c r="KZW26" s="35"/>
      <c r="KZX26" s="35"/>
      <c r="KZY26" s="35"/>
      <c r="KZZ26" s="35"/>
      <c r="LAA26" s="35"/>
      <c r="LAB26" s="35"/>
      <c r="LAC26" s="35"/>
      <c r="LAD26" s="35"/>
      <c r="LAE26" s="35"/>
      <c r="LAF26" s="35"/>
      <c r="LAG26" s="35"/>
      <c r="LAH26" s="35"/>
      <c r="LAI26" s="35"/>
      <c r="LAJ26" s="35"/>
      <c r="LAK26" s="35"/>
      <c r="LAL26" s="35"/>
      <c r="LAM26" s="35"/>
      <c r="LAN26" s="35"/>
      <c r="LAO26" s="35"/>
      <c r="LAP26" s="35"/>
      <c r="LAQ26" s="35"/>
      <c r="LAR26" s="35"/>
      <c r="LAS26" s="35"/>
      <c r="LAT26" s="35"/>
      <c r="LAU26" s="35"/>
      <c r="LAV26" s="35"/>
      <c r="LAW26" s="35"/>
      <c r="LAX26" s="35"/>
      <c r="LAY26" s="35"/>
      <c r="LAZ26" s="35"/>
      <c r="LBA26" s="35"/>
      <c r="LBB26" s="35"/>
      <c r="LBC26" s="35"/>
      <c r="LBD26" s="35"/>
      <c r="LBE26" s="35"/>
      <c r="LBF26" s="35"/>
      <c r="LBG26" s="35"/>
      <c r="LBH26" s="35"/>
      <c r="LBI26" s="35"/>
      <c r="LBJ26" s="35"/>
      <c r="LBK26" s="35"/>
      <c r="LBL26" s="35"/>
      <c r="LBM26" s="35"/>
      <c r="LBN26" s="35"/>
      <c r="LBO26" s="35"/>
      <c r="LBP26" s="35"/>
      <c r="LBQ26" s="35"/>
      <c r="LBR26" s="35"/>
      <c r="LBS26" s="35"/>
      <c r="LBT26" s="35"/>
      <c r="LBU26" s="35"/>
      <c r="LBV26" s="35"/>
      <c r="LBW26" s="35"/>
      <c r="LBX26" s="35"/>
      <c r="LBY26" s="35"/>
      <c r="LBZ26" s="35"/>
      <c r="LCA26" s="35"/>
      <c r="LCB26" s="35"/>
      <c r="LCC26" s="35"/>
      <c r="LCD26" s="35"/>
      <c r="LCE26" s="35"/>
      <c r="LCF26" s="35"/>
      <c r="LCG26" s="35"/>
      <c r="LCH26" s="35"/>
      <c r="LCI26" s="35"/>
      <c r="LCJ26" s="35"/>
      <c r="LCK26" s="35"/>
      <c r="LCL26" s="35"/>
      <c r="LCM26" s="35"/>
      <c r="LCN26" s="35"/>
      <c r="LCO26" s="35"/>
      <c r="LCP26" s="35"/>
      <c r="LCQ26" s="35"/>
      <c r="LCR26" s="35"/>
      <c r="LCS26" s="35"/>
      <c r="LCT26" s="35"/>
      <c r="LCU26" s="35"/>
      <c r="LCV26" s="35"/>
      <c r="LCW26" s="35"/>
      <c r="LCX26" s="35"/>
      <c r="LCY26" s="35"/>
      <c r="LCZ26" s="35"/>
      <c r="LDA26" s="35"/>
      <c r="LDB26" s="35"/>
      <c r="LDC26" s="35"/>
      <c r="LDD26" s="35"/>
      <c r="LDE26" s="35"/>
      <c r="LDF26" s="35"/>
      <c r="LDG26" s="35"/>
      <c r="LDH26" s="35"/>
      <c r="LDI26" s="35"/>
      <c r="LDJ26" s="35"/>
      <c r="LDK26" s="35"/>
      <c r="LDL26" s="35"/>
      <c r="LDM26" s="35"/>
      <c r="LDN26" s="35"/>
      <c r="LDO26" s="35"/>
      <c r="LDP26" s="35"/>
      <c r="LDQ26" s="35"/>
      <c r="LDR26" s="35"/>
      <c r="LDS26" s="35"/>
      <c r="LDT26" s="35"/>
      <c r="LDU26" s="35"/>
      <c r="LDV26" s="35"/>
      <c r="LDW26" s="35"/>
      <c r="LDX26" s="35"/>
      <c r="LDY26" s="35"/>
      <c r="LDZ26" s="35"/>
      <c r="LEA26" s="35"/>
      <c r="LEB26" s="35"/>
      <c r="LEC26" s="35"/>
      <c r="LED26" s="35"/>
      <c r="LEE26" s="35"/>
      <c r="LEF26" s="35"/>
      <c r="LEG26" s="35"/>
      <c r="LEH26" s="35"/>
      <c r="LEI26" s="35"/>
      <c r="LEJ26" s="35"/>
      <c r="LEK26" s="35"/>
      <c r="LEL26" s="35"/>
      <c r="LEM26" s="35"/>
      <c r="LEN26" s="35"/>
      <c r="LEO26" s="35"/>
      <c r="LEP26" s="35"/>
      <c r="LEQ26" s="35"/>
      <c r="LER26" s="35"/>
      <c r="LES26" s="35"/>
      <c r="LET26" s="35"/>
      <c r="LEU26" s="35"/>
      <c r="LEV26" s="35"/>
      <c r="LEW26" s="35"/>
      <c r="LEX26" s="35"/>
      <c r="LEY26" s="35"/>
      <c r="LEZ26" s="35"/>
      <c r="LFA26" s="35"/>
      <c r="LFB26" s="35"/>
      <c r="LFC26" s="35"/>
      <c r="LFD26" s="35"/>
      <c r="LFE26" s="35"/>
      <c r="LFF26" s="35"/>
      <c r="LFG26" s="35"/>
      <c r="LFH26" s="35"/>
      <c r="LFI26" s="35"/>
      <c r="LFJ26" s="35"/>
      <c r="LFK26" s="35"/>
      <c r="LFL26" s="35"/>
      <c r="LFM26" s="35"/>
      <c r="LFN26" s="35"/>
      <c r="LFO26" s="35"/>
      <c r="LFP26" s="35"/>
      <c r="LFQ26" s="35"/>
      <c r="LFR26" s="35"/>
      <c r="LFS26" s="35"/>
      <c r="LFT26" s="35"/>
      <c r="LFU26" s="35"/>
      <c r="LFV26" s="35"/>
      <c r="LFW26" s="35"/>
      <c r="LFX26" s="35"/>
      <c r="LFY26" s="35"/>
      <c r="LFZ26" s="35"/>
      <c r="LGA26" s="35"/>
      <c r="LGB26" s="35"/>
      <c r="LGC26" s="35"/>
      <c r="LGD26" s="35"/>
      <c r="LGE26" s="35"/>
      <c r="LGF26" s="35"/>
      <c r="LGG26" s="35"/>
      <c r="LGH26" s="35"/>
      <c r="LGI26" s="35"/>
      <c r="LGJ26" s="35"/>
      <c r="LGK26" s="35"/>
      <c r="LGL26" s="35"/>
      <c r="LGM26" s="35"/>
      <c r="LGN26" s="35"/>
      <c r="LGO26" s="35"/>
      <c r="LGP26" s="35"/>
      <c r="LGQ26" s="35"/>
      <c r="LGR26" s="35"/>
      <c r="LGS26" s="35"/>
      <c r="LGT26" s="35"/>
      <c r="LGU26" s="35"/>
      <c r="LGV26" s="35"/>
      <c r="LGW26" s="35"/>
      <c r="LGX26" s="35"/>
      <c r="LGY26" s="35"/>
      <c r="LGZ26" s="35"/>
      <c r="LHA26" s="35"/>
      <c r="LHB26" s="35"/>
      <c r="LHC26" s="35"/>
      <c r="LHD26" s="35"/>
      <c r="LHE26" s="35"/>
      <c r="LHF26" s="35"/>
      <c r="LHG26" s="35"/>
      <c r="LHH26" s="35"/>
      <c r="LHI26" s="35"/>
      <c r="LHJ26" s="35"/>
      <c r="LHK26" s="35"/>
      <c r="LHL26" s="35"/>
      <c r="LHM26" s="35"/>
      <c r="LHN26" s="35"/>
      <c r="LHO26" s="35"/>
      <c r="LHP26" s="35"/>
      <c r="LHQ26" s="35"/>
      <c r="LHR26" s="35"/>
      <c r="LHS26" s="35"/>
      <c r="LHT26" s="35"/>
      <c r="LHU26" s="35"/>
      <c r="LHV26" s="35"/>
      <c r="LHW26" s="35"/>
      <c r="LHX26" s="35"/>
      <c r="LHY26" s="35"/>
      <c r="LHZ26" s="35"/>
      <c r="LIA26" s="35"/>
      <c r="LIB26" s="35"/>
      <c r="LIC26" s="35"/>
      <c r="LID26" s="35"/>
      <c r="LIE26" s="35"/>
      <c r="LIF26" s="35"/>
      <c r="LIG26" s="35"/>
      <c r="LIH26" s="35"/>
      <c r="LII26" s="35"/>
      <c r="LIJ26" s="35"/>
      <c r="LIK26" s="35"/>
      <c r="LIL26" s="35"/>
      <c r="LIM26" s="35"/>
      <c r="LIN26" s="35"/>
      <c r="LIO26" s="35"/>
      <c r="LIP26" s="35"/>
      <c r="LIQ26" s="35"/>
      <c r="LIR26" s="35"/>
      <c r="LIS26" s="35"/>
      <c r="LIT26" s="35"/>
      <c r="LIU26" s="35"/>
      <c r="LIV26" s="35"/>
      <c r="LIW26" s="35"/>
      <c r="LIX26" s="35"/>
      <c r="LIY26" s="35"/>
      <c r="LIZ26" s="35"/>
      <c r="LJA26" s="35"/>
      <c r="LJB26" s="35"/>
      <c r="LJC26" s="35"/>
      <c r="LJD26" s="35"/>
      <c r="LJE26" s="35"/>
      <c r="LJF26" s="35"/>
      <c r="LJG26" s="35"/>
      <c r="LJH26" s="35"/>
      <c r="LJI26" s="35"/>
      <c r="LJJ26" s="35"/>
      <c r="LJK26" s="35"/>
      <c r="LJL26" s="35"/>
      <c r="LJM26" s="35"/>
      <c r="LJN26" s="35"/>
      <c r="LJO26" s="35"/>
      <c r="LJP26" s="35"/>
      <c r="LJQ26" s="35"/>
      <c r="LJR26" s="35"/>
      <c r="LJS26" s="35"/>
      <c r="LJT26" s="35"/>
      <c r="LJU26" s="35"/>
      <c r="LJV26" s="35"/>
      <c r="LJW26" s="35"/>
      <c r="LJX26" s="35"/>
      <c r="LJY26" s="35"/>
      <c r="LJZ26" s="35"/>
      <c r="LKA26" s="35"/>
      <c r="LKB26" s="35"/>
      <c r="LKC26" s="35"/>
      <c r="LKD26" s="35"/>
      <c r="LKE26" s="35"/>
      <c r="LKF26" s="35"/>
      <c r="LKG26" s="35"/>
      <c r="LKH26" s="35"/>
      <c r="LKI26" s="35"/>
      <c r="LKJ26" s="35"/>
      <c r="LKK26" s="35"/>
      <c r="LKL26" s="35"/>
      <c r="LKM26" s="35"/>
      <c r="LKN26" s="35"/>
      <c r="LKO26" s="35"/>
      <c r="LKP26" s="35"/>
      <c r="LKQ26" s="35"/>
      <c r="LKR26" s="35"/>
      <c r="LKS26" s="35"/>
      <c r="LKT26" s="35"/>
      <c r="LKU26" s="35"/>
      <c r="LKV26" s="35"/>
      <c r="LKW26" s="35"/>
      <c r="LKX26" s="35"/>
      <c r="LKY26" s="35"/>
      <c r="LKZ26" s="35"/>
      <c r="LLA26" s="35"/>
      <c r="LLB26" s="35"/>
      <c r="LLC26" s="35"/>
      <c r="LLD26" s="35"/>
      <c r="LLE26" s="35"/>
      <c r="LLF26" s="35"/>
      <c r="LLG26" s="35"/>
      <c r="LLH26" s="35"/>
      <c r="LLI26" s="35"/>
      <c r="LLJ26" s="35"/>
      <c r="LLK26" s="35"/>
      <c r="LLL26" s="35"/>
      <c r="LLM26" s="35"/>
      <c r="LLN26" s="35"/>
      <c r="LLO26" s="35"/>
      <c r="LLP26" s="35"/>
      <c r="LLQ26" s="35"/>
      <c r="LLR26" s="35"/>
      <c r="LLS26" s="35"/>
      <c r="LLT26" s="35"/>
      <c r="LLU26" s="35"/>
      <c r="LLV26" s="35"/>
      <c r="LLW26" s="35"/>
      <c r="LLX26" s="35"/>
      <c r="LLY26" s="35"/>
      <c r="LLZ26" s="35"/>
      <c r="LMA26" s="35"/>
      <c r="LMB26" s="35"/>
      <c r="LMC26" s="35"/>
      <c r="LMD26" s="35"/>
      <c r="LME26" s="35"/>
      <c r="LMF26" s="35"/>
      <c r="LMG26" s="35"/>
      <c r="LMH26" s="35"/>
      <c r="LMI26" s="35"/>
      <c r="LMJ26" s="35"/>
      <c r="LMK26" s="35"/>
      <c r="LML26" s="35"/>
      <c r="LMM26" s="35"/>
      <c r="LMN26" s="35"/>
      <c r="LMO26" s="35"/>
      <c r="LMP26" s="35"/>
      <c r="LMQ26" s="35"/>
      <c r="LMR26" s="35"/>
      <c r="LMS26" s="35"/>
      <c r="LMT26" s="35"/>
      <c r="LMU26" s="35"/>
      <c r="LMV26" s="35"/>
      <c r="LMW26" s="35"/>
      <c r="LMX26" s="35"/>
      <c r="LMY26" s="35"/>
      <c r="LMZ26" s="35"/>
      <c r="LNA26" s="35"/>
      <c r="LNB26" s="35"/>
      <c r="LNC26" s="35"/>
      <c r="LND26" s="35"/>
      <c r="LNE26" s="35"/>
      <c r="LNF26" s="35"/>
      <c r="LNG26" s="35"/>
      <c r="LNH26" s="35"/>
      <c r="LNI26" s="35"/>
      <c r="LNJ26" s="35"/>
      <c r="LNK26" s="35"/>
      <c r="LNL26" s="35"/>
      <c r="LNM26" s="35"/>
      <c r="LNN26" s="35"/>
      <c r="LNO26" s="35"/>
      <c r="LNP26" s="35"/>
      <c r="LNQ26" s="35"/>
      <c r="LNR26" s="35"/>
      <c r="LNS26" s="35"/>
      <c r="LNT26" s="35"/>
      <c r="LNU26" s="35"/>
      <c r="LNV26" s="35"/>
      <c r="LNW26" s="35"/>
      <c r="LNX26" s="35"/>
      <c r="LNY26" s="35"/>
      <c r="LNZ26" s="35"/>
      <c r="LOA26" s="35"/>
      <c r="LOB26" s="35"/>
      <c r="LOC26" s="35"/>
      <c r="LOD26" s="35"/>
      <c r="LOE26" s="35"/>
      <c r="LOF26" s="35"/>
      <c r="LOG26" s="35"/>
      <c r="LOH26" s="35"/>
      <c r="LOI26" s="35"/>
      <c r="LOJ26" s="35"/>
      <c r="LOK26" s="35"/>
      <c r="LOL26" s="35"/>
      <c r="LOM26" s="35"/>
      <c r="LON26" s="35"/>
      <c r="LOO26" s="35"/>
      <c r="LOP26" s="35"/>
      <c r="LOQ26" s="35"/>
      <c r="LOR26" s="35"/>
      <c r="LOS26" s="35"/>
      <c r="LOT26" s="35"/>
      <c r="LOU26" s="35"/>
      <c r="LOV26" s="35"/>
      <c r="LOW26" s="35"/>
      <c r="LOX26" s="35"/>
      <c r="LOY26" s="35"/>
      <c r="LOZ26" s="35"/>
      <c r="LPA26" s="35"/>
      <c r="LPB26" s="35"/>
      <c r="LPC26" s="35"/>
      <c r="LPD26" s="35"/>
      <c r="LPE26" s="35"/>
      <c r="LPF26" s="35"/>
      <c r="LPG26" s="35"/>
      <c r="LPH26" s="35"/>
      <c r="LPI26" s="35"/>
      <c r="LPJ26" s="35"/>
      <c r="LPK26" s="35"/>
      <c r="LPL26" s="35"/>
      <c r="LPM26" s="35"/>
      <c r="LPN26" s="35"/>
      <c r="LPO26" s="35"/>
      <c r="LPP26" s="35"/>
      <c r="LPQ26" s="35"/>
      <c r="LPR26" s="35"/>
      <c r="LPS26" s="35"/>
      <c r="LPT26" s="35"/>
      <c r="LPU26" s="35"/>
      <c r="LPV26" s="35"/>
      <c r="LPW26" s="35"/>
      <c r="LPX26" s="35"/>
      <c r="LPY26" s="35"/>
      <c r="LPZ26" s="35"/>
      <c r="LQA26" s="35"/>
      <c r="LQB26" s="35"/>
      <c r="LQC26" s="35"/>
      <c r="LQD26" s="35"/>
      <c r="LQE26" s="35"/>
      <c r="LQF26" s="35"/>
      <c r="LQG26" s="35"/>
      <c r="LQH26" s="35"/>
      <c r="LQI26" s="35"/>
      <c r="LQJ26" s="35"/>
      <c r="LQK26" s="35"/>
      <c r="LQL26" s="35"/>
      <c r="LQM26" s="35"/>
      <c r="LQN26" s="35"/>
      <c r="LQO26" s="35"/>
      <c r="LQP26" s="35"/>
      <c r="LQQ26" s="35"/>
      <c r="LQR26" s="35"/>
      <c r="LQS26" s="35"/>
      <c r="LQT26" s="35"/>
      <c r="LQU26" s="35"/>
      <c r="LQV26" s="35"/>
      <c r="LQW26" s="35"/>
      <c r="LQX26" s="35"/>
      <c r="LQY26" s="35"/>
      <c r="LQZ26" s="35"/>
      <c r="LRA26" s="35"/>
      <c r="LRB26" s="35"/>
      <c r="LRC26" s="35"/>
      <c r="LRD26" s="35"/>
      <c r="LRE26" s="35"/>
      <c r="LRF26" s="35"/>
      <c r="LRG26" s="35"/>
      <c r="LRH26" s="35"/>
      <c r="LRI26" s="35"/>
      <c r="LRJ26" s="35"/>
      <c r="LRK26" s="35"/>
      <c r="LRL26" s="35"/>
      <c r="LRM26" s="35"/>
      <c r="LRN26" s="35"/>
      <c r="LRO26" s="35"/>
      <c r="LRP26" s="35"/>
      <c r="LRQ26" s="35"/>
      <c r="LRR26" s="35"/>
      <c r="LRS26" s="35"/>
      <c r="LRT26" s="35"/>
      <c r="LRU26" s="35"/>
      <c r="LRV26" s="35"/>
      <c r="LRW26" s="35"/>
      <c r="LRX26" s="35"/>
      <c r="LRY26" s="35"/>
      <c r="LRZ26" s="35"/>
      <c r="LSA26" s="35"/>
      <c r="LSB26" s="35"/>
      <c r="LSC26" s="35"/>
      <c r="LSD26" s="35"/>
      <c r="LSE26" s="35"/>
      <c r="LSF26" s="35"/>
      <c r="LSG26" s="35"/>
      <c r="LSH26" s="35"/>
      <c r="LSI26" s="35"/>
      <c r="LSJ26" s="35"/>
      <c r="LSK26" s="35"/>
      <c r="LSL26" s="35"/>
      <c r="LSM26" s="35"/>
      <c r="LSN26" s="35"/>
      <c r="LSO26" s="35"/>
      <c r="LSP26" s="35"/>
      <c r="LSQ26" s="35"/>
      <c r="LSR26" s="35"/>
      <c r="LSS26" s="35"/>
      <c r="LST26" s="35"/>
      <c r="LSU26" s="35"/>
      <c r="LSV26" s="35"/>
      <c r="LSW26" s="35"/>
      <c r="LSX26" s="35"/>
      <c r="LSY26" s="35"/>
      <c r="LSZ26" s="35"/>
      <c r="LTA26" s="35"/>
      <c r="LTB26" s="35"/>
      <c r="LTC26" s="35"/>
      <c r="LTD26" s="35"/>
      <c r="LTE26" s="35"/>
      <c r="LTF26" s="35"/>
      <c r="LTG26" s="35"/>
      <c r="LTH26" s="35"/>
      <c r="LTI26" s="35"/>
      <c r="LTJ26" s="35"/>
      <c r="LTK26" s="35"/>
      <c r="LTL26" s="35"/>
      <c r="LTM26" s="35"/>
      <c r="LTN26" s="35"/>
      <c r="LTO26" s="35"/>
      <c r="LTP26" s="35"/>
      <c r="LTQ26" s="35"/>
      <c r="LTR26" s="35"/>
      <c r="LTS26" s="35"/>
      <c r="LTT26" s="35"/>
      <c r="LTU26" s="35"/>
      <c r="LTV26" s="35"/>
      <c r="LTW26" s="35"/>
      <c r="LTX26" s="35"/>
      <c r="LTY26" s="35"/>
      <c r="LTZ26" s="35"/>
      <c r="LUA26" s="35"/>
      <c r="LUB26" s="35"/>
      <c r="LUC26" s="35"/>
      <c r="LUD26" s="35"/>
      <c r="LUE26" s="35"/>
      <c r="LUF26" s="35"/>
      <c r="LUG26" s="35"/>
      <c r="LUH26" s="35"/>
      <c r="LUI26" s="35"/>
      <c r="LUJ26" s="35"/>
      <c r="LUK26" s="35"/>
      <c r="LUL26" s="35"/>
      <c r="LUM26" s="35"/>
      <c r="LUN26" s="35"/>
      <c r="LUO26" s="35"/>
      <c r="LUP26" s="35"/>
      <c r="LUQ26" s="35"/>
      <c r="LUR26" s="35"/>
      <c r="LUS26" s="35"/>
      <c r="LUT26" s="35"/>
      <c r="LUU26" s="35"/>
      <c r="LUV26" s="35"/>
      <c r="LUW26" s="35"/>
      <c r="LUX26" s="35"/>
      <c r="LUY26" s="35"/>
      <c r="LUZ26" s="35"/>
      <c r="LVA26" s="35"/>
      <c r="LVB26" s="35"/>
      <c r="LVC26" s="35"/>
      <c r="LVD26" s="35"/>
      <c r="LVE26" s="35"/>
      <c r="LVF26" s="35"/>
      <c r="LVG26" s="35"/>
      <c r="LVH26" s="35"/>
      <c r="LVI26" s="35"/>
      <c r="LVJ26" s="35"/>
      <c r="LVK26" s="35"/>
      <c r="LVL26" s="35"/>
      <c r="LVM26" s="35"/>
      <c r="LVN26" s="35"/>
      <c r="LVO26" s="35"/>
      <c r="LVP26" s="35"/>
      <c r="LVQ26" s="35"/>
      <c r="LVR26" s="35"/>
      <c r="LVS26" s="35"/>
      <c r="LVT26" s="35"/>
      <c r="LVU26" s="35"/>
      <c r="LVV26" s="35"/>
      <c r="LVW26" s="35"/>
      <c r="LVX26" s="35"/>
      <c r="LVY26" s="35"/>
      <c r="LVZ26" s="35"/>
      <c r="LWA26" s="35"/>
      <c r="LWB26" s="35"/>
      <c r="LWC26" s="35"/>
      <c r="LWD26" s="35"/>
      <c r="LWE26" s="35"/>
      <c r="LWF26" s="35"/>
      <c r="LWG26" s="35"/>
      <c r="LWH26" s="35"/>
      <c r="LWI26" s="35"/>
      <c r="LWJ26" s="35"/>
      <c r="LWK26" s="35"/>
      <c r="LWL26" s="35"/>
      <c r="LWM26" s="35"/>
      <c r="LWN26" s="35"/>
      <c r="LWO26" s="35"/>
      <c r="LWP26" s="35"/>
      <c r="LWQ26" s="35"/>
      <c r="LWR26" s="35"/>
      <c r="LWS26" s="35"/>
      <c r="LWT26" s="35"/>
      <c r="LWU26" s="35"/>
      <c r="LWV26" s="35"/>
      <c r="LWW26" s="35"/>
      <c r="LWX26" s="35"/>
      <c r="LWY26" s="35"/>
      <c r="LWZ26" s="35"/>
      <c r="LXA26" s="35"/>
      <c r="LXB26" s="35"/>
      <c r="LXC26" s="35"/>
      <c r="LXD26" s="35"/>
      <c r="LXE26" s="35"/>
      <c r="LXF26" s="35"/>
      <c r="LXG26" s="35"/>
      <c r="LXH26" s="35"/>
      <c r="LXI26" s="35"/>
      <c r="LXJ26" s="35"/>
      <c r="LXK26" s="35"/>
      <c r="LXL26" s="35"/>
      <c r="LXM26" s="35"/>
      <c r="LXN26" s="35"/>
      <c r="LXO26" s="35"/>
      <c r="LXP26" s="35"/>
      <c r="LXQ26" s="35"/>
      <c r="LXR26" s="35"/>
      <c r="LXS26" s="35"/>
      <c r="LXT26" s="35"/>
      <c r="LXU26" s="35"/>
      <c r="LXV26" s="35"/>
      <c r="LXW26" s="35"/>
      <c r="LXX26" s="35"/>
      <c r="LXY26" s="35"/>
      <c r="LXZ26" s="35"/>
      <c r="LYA26" s="35"/>
      <c r="LYB26" s="35"/>
      <c r="LYC26" s="35"/>
      <c r="LYD26" s="35"/>
      <c r="LYE26" s="35"/>
      <c r="LYF26" s="35"/>
      <c r="LYG26" s="35"/>
      <c r="LYH26" s="35"/>
      <c r="LYI26" s="35"/>
      <c r="LYJ26" s="35"/>
      <c r="LYK26" s="35"/>
      <c r="LYL26" s="35"/>
      <c r="LYM26" s="35"/>
      <c r="LYN26" s="35"/>
      <c r="LYO26" s="35"/>
      <c r="LYP26" s="35"/>
      <c r="LYQ26" s="35"/>
      <c r="LYR26" s="35"/>
      <c r="LYS26" s="35"/>
      <c r="LYT26" s="35"/>
      <c r="LYU26" s="35"/>
      <c r="LYV26" s="35"/>
      <c r="LYW26" s="35"/>
      <c r="LYX26" s="35"/>
      <c r="LYY26" s="35"/>
      <c r="LYZ26" s="35"/>
      <c r="LZA26" s="35"/>
      <c r="LZB26" s="35"/>
      <c r="LZC26" s="35"/>
      <c r="LZD26" s="35"/>
      <c r="LZE26" s="35"/>
      <c r="LZF26" s="35"/>
      <c r="LZG26" s="35"/>
      <c r="LZH26" s="35"/>
      <c r="LZI26" s="35"/>
      <c r="LZJ26" s="35"/>
      <c r="LZK26" s="35"/>
      <c r="LZL26" s="35"/>
      <c r="LZM26" s="35"/>
      <c r="LZN26" s="35"/>
      <c r="LZO26" s="35"/>
      <c r="LZP26" s="35"/>
      <c r="LZQ26" s="35"/>
      <c r="LZR26" s="35"/>
      <c r="LZS26" s="35"/>
      <c r="LZT26" s="35"/>
      <c r="LZU26" s="35"/>
      <c r="LZV26" s="35"/>
      <c r="LZW26" s="35"/>
      <c r="LZX26" s="35"/>
      <c r="LZY26" s="35"/>
      <c r="LZZ26" s="35"/>
      <c r="MAA26" s="35"/>
      <c r="MAB26" s="35"/>
      <c r="MAC26" s="35"/>
      <c r="MAD26" s="35"/>
      <c r="MAE26" s="35"/>
      <c r="MAF26" s="35"/>
      <c r="MAG26" s="35"/>
      <c r="MAH26" s="35"/>
      <c r="MAI26" s="35"/>
      <c r="MAJ26" s="35"/>
      <c r="MAK26" s="35"/>
      <c r="MAL26" s="35"/>
      <c r="MAM26" s="35"/>
      <c r="MAN26" s="35"/>
      <c r="MAO26" s="35"/>
      <c r="MAP26" s="35"/>
      <c r="MAQ26" s="35"/>
      <c r="MAR26" s="35"/>
      <c r="MAS26" s="35"/>
      <c r="MAT26" s="35"/>
      <c r="MAU26" s="35"/>
      <c r="MAV26" s="35"/>
      <c r="MAW26" s="35"/>
      <c r="MAX26" s="35"/>
      <c r="MAY26" s="35"/>
      <c r="MAZ26" s="35"/>
      <c r="MBA26" s="35"/>
      <c r="MBB26" s="35"/>
      <c r="MBC26" s="35"/>
      <c r="MBD26" s="35"/>
      <c r="MBE26" s="35"/>
      <c r="MBF26" s="35"/>
      <c r="MBG26" s="35"/>
      <c r="MBH26" s="35"/>
      <c r="MBI26" s="35"/>
      <c r="MBJ26" s="35"/>
      <c r="MBK26" s="35"/>
      <c r="MBL26" s="35"/>
      <c r="MBM26" s="35"/>
      <c r="MBN26" s="35"/>
      <c r="MBO26" s="35"/>
      <c r="MBP26" s="35"/>
      <c r="MBQ26" s="35"/>
      <c r="MBR26" s="35"/>
      <c r="MBS26" s="35"/>
      <c r="MBT26" s="35"/>
      <c r="MBU26" s="35"/>
      <c r="MBV26" s="35"/>
      <c r="MBW26" s="35"/>
      <c r="MBX26" s="35"/>
      <c r="MBY26" s="35"/>
      <c r="MBZ26" s="35"/>
      <c r="MCA26" s="35"/>
      <c r="MCB26" s="35"/>
      <c r="MCC26" s="35"/>
      <c r="MCD26" s="35"/>
      <c r="MCE26" s="35"/>
      <c r="MCF26" s="35"/>
      <c r="MCG26" s="35"/>
      <c r="MCH26" s="35"/>
      <c r="MCI26" s="35"/>
      <c r="MCJ26" s="35"/>
      <c r="MCK26" s="35"/>
      <c r="MCL26" s="35"/>
      <c r="MCM26" s="35"/>
      <c r="MCN26" s="35"/>
      <c r="MCO26" s="35"/>
      <c r="MCP26" s="35"/>
      <c r="MCQ26" s="35"/>
      <c r="MCR26" s="35"/>
      <c r="MCS26" s="35"/>
      <c r="MCT26" s="35"/>
      <c r="MCU26" s="35"/>
      <c r="MCV26" s="35"/>
      <c r="MCW26" s="35"/>
      <c r="MCX26" s="35"/>
      <c r="MCY26" s="35"/>
      <c r="MCZ26" s="35"/>
      <c r="MDA26" s="35"/>
      <c r="MDB26" s="35"/>
      <c r="MDC26" s="35"/>
      <c r="MDD26" s="35"/>
      <c r="MDE26" s="35"/>
      <c r="MDF26" s="35"/>
      <c r="MDG26" s="35"/>
      <c r="MDH26" s="35"/>
      <c r="MDI26" s="35"/>
      <c r="MDJ26" s="35"/>
      <c r="MDK26" s="35"/>
      <c r="MDL26" s="35"/>
      <c r="MDM26" s="35"/>
      <c r="MDN26" s="35"/>
      <c r="MDO26" s="35"/>
      <c r="MDP26" s="35"/>
      <c r="MDQ26" s="35"/>
      <c r="MDR26" s="35"/>
      <c r="MDS26" s="35"/>
      <c r="MDT26" s="35"/>
      <c r="MDU26" s="35"/>
      <c r="MDV26" s="35"/>
      <c r="MDW26" s="35"/>
      <c r="MDX26" s="35"/>
      <c r="MDY26" s="35"/>
      <c r="MDZ26" s="35"/>
      <c r="MEA26" s="35"/>
      <c r="MEB26" s="35"/>
      <c r="MEC26" s="35"/>
      <c r="MED26" s="35"/>
      <c r="MEE26" s="35"/>
      <c r="MEF26" s="35"/>
      <c r="MEG26" s="35"/>
      <c r="MEH26" s="35"/>
      <c r="MEI26" s="35"/>
      <c r="MEJ26" s="35"/>
      <c r="MEK26" s="35"/>
      <c r="MEL26" s="35"/>
      <c r="MEM26" s="35"/>
      <c r="MEN26" s="35"/>
      <c r="MEO26" s="35"/>
      <c r="MEP26" s="35"/>
      <c r="MEQ26" s="35"/>
      <c r="MER26" s="35"/>
      <c r="MES26" s="35"/>
      <c r="MET26" s="35"/>
      <c r="MEU26" s="35"/>
      <c r="MEV26" s="35"/>
      <c r="MEW26" s="35"/>
      <c r="MEX26" s="35"/>
      <c r="MEY26" s="35"/>
      <c r="MEZ26" s="35"/>
      <c r="MFA26" s="35"/>
      <c r="MFB26" s="35"/>
      <c r="MFC26" s="35"/>
      <c r="MFD26" s="35"/>
      <c r="MFE26" s="35"/>
      <c r="MFF26" s="35"/>
      <c r="MFG26" s="35"/>
      <c r="MFH26" s="35"/>
      <c r="MFI26" s="35"/>
      <c r="MFJ26" s="35"/>
      <c r="MFK26" s="35"/>
      <c r="MFL26" s="35"/>
      <c r="MFM26" s="35"/>
      <c r="MFN26" s="35"/>
      <c r="MFO26" s="35"/>
      <c r="MFP26" s="35"/>
      <c r="MFQ26" s="35"/>
      <c r="MFR26" s="35"/>
      <c r="MFS26" s="35"/>
      <c r="MFT26" s="35"/>
      <c r="MFU26" s="35"/>
      <c r="MFV26" s="35"/>
      <c r="MFW26" s="35"/>
      <c r="MFX26" s="35"/>
      <c r="MFY26" s="35"/>
      <c r="MFZ26" s="35"/>
      <c r="MGA26" s="35"/>
      <c r="MGB26" s="35"/>
      <c r="MGC26" s="35"/>
      <c r="MGD26" s="35"/>
      <c r="MGE26" s="35"/>
      <c r="MGF26" s="35"/>
      <c r="MGG26" s="35"/>
      <c r="MGH26" s="35"/>
      <c r="MGI26" s="35"/>
      <c r="MGJ26" s="35"/>
      <c r="MGK26" s="35"/>
      <c r="MGL26" s="35"/>
      <c r="MGM26" s="35"/>
      <c r="MGN26" s="35"/>
      <c r="MGO26" s="35"/>
      <c r="MGP26" s="35"/>
      <c r="MGQ26" s="35"/>
      <c r="MGR26" s="35"/>
      <c r="MGS26" s="35"/>
      <c r="MGT26" s="35"/>
      <c r="MGU26" s="35"/>
      <c r="MGV26" s="35"/>
      <c r="MGW26" s="35"/>
      <c r="MGX26" s="35"/>
      <c r="MGY26" s="35"/>
      <c r="MGZ26" s="35"/>
      <c r="MHA26" s="35"/>
      <c r="MHB26" s="35"/>
      <c r="MHC26" s="35"/>
      <c r="MHD26" s="35"/>
      <c r="MHE26" s="35"/>
      <c r="MHF26" s="35"/>
      <c r="MHG26" s="35"/>
      <c r="MHH26" s="35"/>
      <c r="MHI26" s="35"/>
      <c r="MHJ26" s="35"/>
      <c r="MHK26" s="35"/>
      <c r="MHL26" s="35"/>
      <c r="MHM26" s="35"/>
      <c r="MHN26" s="35"/>
      <c r="MHO26" s="35"/>
      <c r="MHP26" s="35"/>
      <c r="MHQ26" s="35"/>
      <c r="MHR26" s="35"/>
      <c r="MHS26" s="35"/>
      <c r="MHT26" s="35"/>
      <c r="MHU26" s="35"/>
      <c r="MHV26" s="35"/>
      <c r="MHW26" s="35"/>
      <c r="MHX26" s="35"/>
      <c r="MHY26" s="35"/>
      <c r="MHZ26" s="35"/>
      <c r="MIA26" s="35"/>
      <c r="MIB26" s="35"/>
      <c r="MIC26" s="35"/>
      <c r="MID26" s="35"/>
      <c r="MIE26" s="35"/>
      <c r="MIF26" s="35"/>
      <c r="MIG26" s="35"/>
      <c r="MIH26" s="35"/>
      <c r="MII26" s="35"/>
      <c r="MIJ26" s="35"/>
      <c r="MIK26" s="35"/>
      <c r="MIL26" s="35"/>
      <c r="MIM26" s="35"/>
      <c r="MIN26" s="35"/>
      <c r="MIO26" s="35"/>
      <c r="MIP26" s="35"/>
      <c r="MIQ26" s="35"/>
      <c r="MIR26" s="35"/>
      <c r="MIS26" s="35"/>
      <c r="MIT26" s="35"/>
      <c r="MIU26" s="35"/>
      <c r="MIV26" s="35"/>
      <c r="MIW26" s="35"/>
      <c r="MIX26" s="35"/>
      <c r="MIY26" s="35"/>
      <c r="MIZ26" s="35"/>
      <c r="MJA26" s="35"/>
      <c r="MJB26" s="35"/>
      <c r="MJC26" s="35"/>
      <c r="MJD26" s="35"/>
      <c r="MJE26" s="35"/>
      <c r="MJF26" s="35"/>
      <c r="MJG26" s="35"/>
      <c r="MJH26" s="35"/>
      <c r="MJI26" s="35"/>
      <c r="MJJ26" s="35"/>
      <c r="MJK26" s="35"/>
      <c r="MJL26" s="35"/>
      <c r="MJM26" s="35"/>
      <c r="MJN26" s="35"/>
      <c r="MJO26" s="35"/>
      <c r="MJP26" s="35"/>
      <c r="MJQ26" s="35"/>
      <c r="MJR26" s="35"/>
      <c r="MJS26" s="35"/>
      <c r="MJT26" s="35"/>
      <c r="MJU26" s="35"/>
      <c r="MJV26" s="35"/>
      <c r="MJW26" s="35"/>
      <c r="MJX26" s="35"/>
      <c r="MJY26" s="35"/>
      <c r="MJZ26" s="35"/>
      <c r="MKA26" s="35"/>
      <c r="MKB26" s="35"/>
      <c r="MKC26" s="35"/>
      <c r="MKD26" s="35"/>
      <c r="MKE26" s="35"/>
      <c r="MKF26" s="35"/>
      <c r="MKG26" s="35"/>
      <c r="MKH26" s="35"/>
      <c r="MKI26" s="35"/>
      <c r="MKJ26" s="35"/>
      <c r="MKK26" s="35"/>
      <c r="MKL26" s="35"/>
      <c r="MKM26" s="35"/>
      <c r="MKN26" s="35"/>
      <c r="MKO26" s="35"/>
      <c r="MKP26" s="35"/>
      <c r="MKQ26" s="35"/>
      <c r="MKR26" s="35"/>
      <c r="MKS26" s="35"/>
      <c r="MKT26" s="35"/>
      <c r="MKU26" s="35"/>
      <c r="MKV26" s="35"/>
      <c r="MKW26" s="35"/>
      <c r="MKX26" s="35"/>
      <c r="MKY26" s="35"/>
      <c r="MKZ26" s="35"/>
      <c r="MLA26" s="35"/>
      <c r="MLB26" s="35"/>
      <c r="MLC26" s="35"/>
      <c r="MLD26" s="35"/>
      <c r="MLE26" s="35"/>
      <c r="MLF26" s="35"/>
      <c r="MLG26" s="35"/>
      <c r="MLH26" s="35"/>
      <c r="MLI26" s="35"/>
      <c r="MLJ26" s="35"/>
      <c r="MLK26" s="35"/>
      <c r="MLL26" s="35"/>
      <c r="MLM26" s="35"/>
      <c r="MLN26" s="35"/>
      <c r="MLO26" s="35"/>
      <c r="MLP26" s="35"/>
      <c r="MLQ26" s="35"/>
      <c r="MLR26" s="35"/>
      <c r="MLS26" s="35"/>
      <c r="MLT26" s="35"/>
      <c r="MLU26" s="35"/>
      <c r="MLV26" s="35"/>
      <c r="MLW26" s="35"/>
      <c r="MLX26" s="35"/>
      <c r="MLY26" s="35"/>
      <c r="MLZ26" s="35"/>
      <c r="MMA26" s="35"/>
      <c r="MMB26" s="35"/>
      <c r="MMC26" s="35"/>
      <c r="MMD26" s="35"/>
      <c r="MME26" s="35"/>
      <c r="MMF26" s="35"/>
      <c r="MMG26" s="35"/>
      <c r="MMH26" s="35"/>
      <c r="MMI26" s="35"/>
      <c r="MMJ26" s="35"/>
      <c r="MMK26" s="35"/>
      <c r="MML26" s="35"/>
      <c r="MMM26" s="35"/>
      <c r="MMN26" s="35"/>
      <c r="MMO26" s="35"/>
      <c r="MMP26" s="35"/>
      <c r="MMQ26" s="35"/>
      <c r="MMR26" s="35"/>
      <c r="MMS26" s="35"/>
      <c r="MMT26" s="35"/>
      <c r="MMU26" s="35"/>
      <c r="MMV26" s="35"/>
      <c r="MMW26" s="35"/>
      <c r="MMX26" s="35"/>
      <c r="MMY26" s="35"/>
      <c r="MMZ26" s="35"/>
      <c r="MNA26" s="35"/>
      <c r="MNB26" s="35"/>
      <c r="MNC26" s="35"/>
      <c r="MND26" s="35"/>
      <c r="MNE26" s="35"/>
      <c r="MNF26" s="35"/>
      <c r="MNG26" s="35"/>
      <c r="MNH26" s="35"/>
      <c r="MNI26" s="35"/>
      <c r="MNJ26" s="35"/>
      <c r="MNK26" s="35"/>
      <c r="MNL26" s="35"/>
      <c r="MNM26" s="35"/>
      <c r="MNN26" s="35"/>
      <c r="MNO26" s="35"/>
      <c r="MNP26" s="35"/>
      <c r="MNQ26" s="35"/>
      <c r="MNR26" s="35"/>
      <c r="MNS26" s="35"/>
      <c r="MNT26" s="35"/>
      <c r="MNU26" s="35"/>
      <c r="MNV26" s="35"/>
      <c r="MNW26" s="35"/>
      <c r="MNX26" s="35"/>
      <c r="MNY26" s="35"/>
      <c r="MNZ26" s="35"/>
      <c r="MOA26" s="35"/>
      <c r="MOB26" s="35"/>
      <c r="MOC26" s="35"/>
      <c r="MOD26" s="35"/>
      <c r="MOE26" s="35"/>
      <c r="MOF26" s="35"/>
      <c r="MOG26" s="35"/>
      <c r="MOH26" s="35"/>
      <c r="MOI26" s="35"/>
      <c r="MOJ26" s="35"/>
      <c r="MOK26" s="35"/>
      <c r="MOL26" s="35"/>
      <c r="MOM26" s="35"/>
      <c r="MON26" s="35"/>
      <c r="MOO26" s="35"/>
      <c r="MOP26" s="35"/>
      <c r="MOQ26" s="35"/>
      <c r="MOR26" s="35"/>
      <c r="MOS26" s="35"/>
      <c r="MOT26" s="35"/>
      <c r="MOU26" s="35"/>
      <c r="MOV26" s="35"/>
      <c r="MOW26" s="35"/>
      <c r="MOX26" s="35"/>
      <c r="MOY26" s="35"/>
      <c r="MOZ26" s="35"/>
      <c r="MPA26" s="35"/>
      <c r="MPB26" s="35"/>
      <c r="MPC26" s="35"/>
      <c r="MPD26" s="35"/>
      <c r="MPE26" s="35"/>
      <c r="MPF26" s="35"/>
      <c r="MPG26" s="35"/>
      <c r="MPH26" s="35"/>
      <c r="MPI26" s="35"/>
      <c r="MPJ26" s="35"/>
      <c r="MPK26" s="35"/>
      <c r="MPL26" s="35"/>
      <c r="MPM26" s="35"/>
      <c r="MPN26" s="35"/>
      <c r="MPO26" s="35"/>
      <c r="MPP26" s="35"/>
      <c r="MPQ26" s="35"/>
      <c r="MPR26" s="35"/>
      <c r="MPS26" s="35"/>
      <c r="MPT26" s="35"/>
      <c r="MPU26" s="35"/>
      <c r="MPV26" s="35"/>
      <c r="MPW26" s="35"/>
      <c r="MPX26" s="35"/>
      <c r="MPY26" s="35"/>
      <c r="MPZ26" s="35"/>
      <c r="MQA26" s="35"/>
      <c r="MQB26" s="35"/>
      <c r="MQC26" s="35"/>
      <c r="MQD26" s="35"/>
      <c r="MQE26" s="35"/>
      <c r="MQF26" s="35"/>
      <c r="MQG26" s="35"/>
      <c r="MQH26" s="35"/>
      <c r="MQI26" s="35"/>
      <c r="MQJ26" s="35"/>
      <c r="MQK26" s="35"/>
      <c r="MQL26" s="35"/>
      <c r="MQM26" s="35"/>
      <c r="MQN26" s="35"/>
      <c r="MQO26" s="35"/>
      <c r="MQP26" s="35"/>
      <c r="MQQ26" s="35"/>
      <c r="MQR26" s="35"/>
      <c r="MQS26" s="35"/>
      <c r="MQT26" s="35"/>
      <c r="MQU26" s="35"/>
      <c r="MQV26" s="35"/>
      <c r="MQW26" s="35"/>
      <c r="MQX26" s="35"/>
      <c r="MQY26" s="35"/>
      <c r="MQZ26" s="35"/>
      <c r="MRA26" s="35"/>
      <c r="MRB26" s="35"/>
      <c r="MRC26" s="35"/>
      <c r="MRD26" s="35"/>
      <c r="MRE26" s="35"/>
      <c r="MRF26" s="35"/>
      <c r="MRG26" s="35"/>
      <c r="MRH26" s="35"/>
      <c r="MRI26" s="35"/>
      <c r="MRJ26" s="35"/>
      <c r="MRK26" s="35"/>
      <c r="MRL26" s="35"/>
      <c r="MRM26" s="35"/>
      <c r="MRN26" s="35"/>
      <c r="MRO26" s="35"/>
      <c r="MRP26" s="35"/>
      <c r="MRQ26" s="35"/>
      <c r="MRR26" s="35"/>
      <c r="MRS26" s="35"/>
      <c r="MRT26" s="35"/>
      <c r="MRU26" s="35"/>
      <c r="MRV26" s="35"/>
      <c r="MRW26" s="35"/>
      <c r="MRX26" s="35"/>
      <c r="MRY26" s="35"/>
      <c r="MRZ26" s="35"/>
      <c r="MSA26" s="35"/>
      <c r="MSB26" s="35"/>
      <c r="MSC26" s="35"/>
      <c r="MSD26" s="35"/>
      <c r="MSE26" s="35"/>
      <c r="MSF26" s="35"/>
      <c r="MSG26" s="35"/>
      <c r="MSH26" s="35"/>
      <c r="MSI26" s="35"/>
      <c r="MSJ26" s="35"/>
      <c r="MSK26" s="35"/>
      <c r="MSL26" s="35"/>
      <c r="MSM26" s="35"/>
      <c r="MSN26" s="35"/>
      <c r="MSO26" s="35"/>
      <c r="MSP26" s="35"/>
      <c r="MSQ26" s="35"/>
      <c r="MSR26" s="35"/>
      <c r="MSS26" s="35"/>
      <c r="MST26" s="35"/>
      <c r="MSU26" s="35"/>
      <c r="MSV26" s="35"/>
      <c r="MSW26" s="35"/>
      <c r="MSX26" s="35"/>
      <c r="MSY26" s="35"/>
      <c r="MSZ26" s="35"/>
      <c r="MTA26" s="35"/>
      <c r="MTB26" s="35"/>
      <c r="MTC26" s="35"/>
      <c r="MTD26" s="35"/>
      <c r="MTE26" s="35"/>
      <c r="MTF26" s="35"/>
      <c r="MTG26" s="35"/>
      <c r="MTH26" s="35"/>
      <c r="MTI26" s="35"/>
      <c r="MTJ26" s="35"/>
      <c r="MTK26" s="35"/>
      <c r="MTL26" s="35"/>
      <c r="MTM26" s="35"/>
      <c r="MTN26" s="35"/>
      <c r="MTO26" s="35"/>
      <c r="MTP26" s="35"/>
      <c r="MTQ26" s="35"/>
      <c r="MTR26" s="35"/>
      <c r="MTS26" s="35"/>
      <c r="MTT26" s="35"/>
      <c r="MTU26" s="35"/>
      <c r="MTV26" s="35"/>
      <c r="MTW26" s="35"/>
      <c r="MTX26" s="35"/>
      <c r="MTY26" s="35"/>
      <c r="MTZ26" s="35"/>
      <c r="MUA26" s="35"/>
      <c r="MUB26" s="35"/>
      <c r="MUC26" s="35"/>
      <c r="MUD26" s="35"/>
      <c r="MUE26" s="35"/>
      <c r="MUF26" s="35"/>
      <c r="MUG26" s="35"/>
      <c r="MUH26" s="35"/>
      <c r="MUI26" s="35"/>
      <c r="MUJ26" s="35"/>
      <c r="MUK26" s="35"/>
      <c r="MUL26" s="35"/>
      <c r="MUM26" s="35"/>
      <c r="MUN26" s="35"/>
      <c r="MUO26" s="35"/>
      <c r="MUP26" s="35"/>
      <c r="MUQ26" s="35"/>
      <c r="MUR26" s="35"/>
      <c r="MUS26" s="35"/>
      <c r="MUT26" s="35"/>
      <c r="MUU26" s="35"/>
      <c r="MUV26" s="35"/>
      <c r="MUW26" s="35"/>
      <c r="MUX26" s="35"/>
      <c r="MUY26" s="35"/>
      <c r="MUZ26" s="35"/>
      <c r="MVA26" s="35"/>
      <c r="MVB26" s="35"/>
      <c r="MVC26" s="35"/>
      <c r="MVD26" s="35"/>
      <c r="MVE26" s="35"/>
      <c r="MVF26" s="35"/>
      <c r="MVG26" s="35"/>
      <c r="MVH26" s="35"/>
      <c r="MVI26" s="35"/>
      <c r="MVJ26" s="35"/>
      <c r="MVK26" s="35"/>
      <c r="MVL26" s="35"/>
      <c r="MVM26" s="35"/>
      <c r="MVN26" s="35"/>
      <c r="MVO26" s="35"/>
      <c r="MVP26" s="35"/>
      <c r="MVQ26" s="35"/>
      <c r="MVR26" s="35"/>
      <c r="MVS26" s="35"/>
      <c r="MVT26" s="35"/>
      <c r="MVU26" s="35"/>
      <c r="MVV26" s="35"/>
      <c r="MVW26" s="35"/>
      <c r="MVX26" s="35"/>
      <c r="MVY26" s="35"/>
      <c r="MVZ26" s="35"/>
      <c r="MWA26" s="35"/>
      <c r="MWB26" s="35"/>
      <c r="MWC26" s="35"/>
      <c r="MWD26" s="35"/>
      <c r="MWE26" s="35"/>
      <c r="MWF26" s="35"/>
      <c r="MWG26" s="35"/>
      <c r="MWH26" s="35"/>
      <c r="MWI26" s="35"/>
      <c r="MWJ26" s="35"/>
      <c r="MWK26" s="35"/>
      <c r="MWL26" s="35"/>
      <c r="MWM26" s="35"/>
      <c r="MWN26" s="35"/>
      <c r="MWO26" s="35"/>
      <c r="MWP26" s="35"/>
      <c r="MWQ26" s="35"/>
      <c r="MWR26" s="35"/>
      <c r="MWS26" s="35"/>
      <c r="MWT26" s="35"/>
      <c r="MWU26" s="35"/>
      <c r="MWV26" s="35"/>
      <c r="MWW26" s="35"/>
      <c r="MWX26" s="35"/>
      <c r="MWY26" s="35"/>
      <c r="MWZ26" s="35"/>
      <c r="MXA26" s="35"/>
      <c r="MXB26" s="35"/>
      <c r="MXC26" s="35"/>
      <c r="MXD26" s="35"/>
      <c r="MXE26" s="35"/>
      <c r="MXF26" s="35"/>
      <c r="MXG26" s="35"/>
      <c r="MXH26" s="35"/>
      <c r="MXI26" s="35"/>
      <c r="MXJ26" s="35"/>
      <c r="MXK26" s="35"/>
      <c r="MXL26" s="35"/>
      <c r="MXM26" s="35"/>
      <c r="MXN26" s="35"/>
      <c r="MXO26" s="35"/>
      <c r="MXP26" s="35"/>
      <c r="MXQ26" s="35"/>
      <c r="MXR26" s="35"/>
      <c r="MXS26" s="35"/>
      <c r="MXT26" s="35"/>
      <c r="MXU26" s="35"/>
      <c r="MXV26" s="35"/>
      <c r="MXW26" s="35"/>
      <c r="MXX26" s="35"/>
      <c r="MXY26" s="35"/>
      <c r="MXZ26" s="35"/>
      <c r="MYA26" s="35"/>
      <c r="MYB26" s="35"/>
      <c r="MYC26" s="35"/>
      <c r="MYD26" s="35"/>
      <c r="MYE26" s="35"/>
      <c r="MYF26" s="35"/>
      <c r="MYG26" s="35"/>
      <c r="MYH26" s="35"/>
      <c r="MYI26" s="35"/>
      <c r="MYJ26" s="35"/>
      <c r="MYK26" s="35"/>
      <c r="MYL26" s="35"/>
      <c r="MYM26" s="35"/>
      <c r="MYN26" s="35"/>
      <c r="MYO26" s="35"/>
      <c r="MYP26" s="35"/>
      <c r="MYQ26" s="35"/>
      <c r="MYR26" s="35"/>
      <c r="MYS26" s="35"/>
      <c r="MYT26" s="35"/>
      <c r="MYU26" s="35"/>
      <c r="MYV26" s="35"/>
      <c r="MYW26" s="35"/>
      <c r="MYX26" s="35"/>
      <c r="MYY26" s="35"/>
      <c r="MYZ26" s="35"/>
      <c r="MZA26" s="35"/>
      <c r="MZB26" s="35"/>
      <c r="MZC26" s="35"/>
      <c r="MZD26" s="35"/>
      <c r="MZE26" s="35"/>
      <c r="MZF26" s="35"/>
      <c r="MZG26" s="35"/>
      <c r="MZH26" s="35"/>
      <c r="MZI26" s="35"/>
      <c r="MZJ26" s="35"/>
      <c r="MZK26" s="35"/>
      <c r="MZL26" s="35"/>
      <c r="MZM26" s="35"/>
      <c r="MZN26" s="35"/>
      <c r="MZO26" s="35"/>
      <c r="MZP26" s="35"/>
      <c r="MZQ26" s="35"/>
      <c r="MZR26" s="35"/>
      <c r="MZS26" s="35"/>
      <c r="MZT26" s="35"/>
      <c r="MZU26" s="35"/>
      <c r="MZV26" s="35"/>
      <c r="MZW26" s="35"/>
      <c r="MZX26" s="35"/>
      <c r="MZY26" s="35"/>
      <c r="MZZ26" s="35"/>
      <c r="NAA26" s="35"/>
      <c r="NAB26" s="35"/>
      <c r="NAC26" s="35"/>
      <c r="NAD26" s="35"/>
      <c r="NAE26" s="35"/>
      <c r="NAF26" s="35"/>
      <c r="NAG26" s="35"/>
      <c r="NAH26" s="35"/>
      <c r="NAI26" s="35"/>
      <c r="NAJ26" s="35"/>
      <c r="NAK26" s="35"/>
      <c r="NAL26" s="35"/>
      <c r="NAM26" s="35"/>
      <c r="NAN26" s="35"/>
      <c r="NAO26" s="35"/>
      <c r="NAP26" s="35"/>
      <c r="NAQ26" s="35"/>
      <c r="NAR26" s="35"/>
      <c r="NAS26" s="35"/>
      <c r="NAT26" s="35"/>
      <c r="NAU26" s="35"/>
      <c r="NAV26" s="35"/>
      <c r="NAW26" s="35"/>
      <c r="NAX26" s="35"/>
      <c r="NAY26" s="35"/>
      <c r="NAZ26" s="35"/>
      <c r="NBA26" s="35"/>
      <c r="NBB26" s="35"/>
      <c r="NBC26" s="35"/>
      <c r="NBD26" s="35"/>
      <c r="NBE26" s="35"/>
      <c r="NBF26" s="35"/>
      <c r="NBG26" s="35"/>
      <c r="NBH26" s="35"/>
      <c r="NBI26" s="35"/>
      <c r="NBJ26" s="35"/>
      <c r="NBK26" s="35"/>
      <c r="NBL26" s="35"/>
      <c r="NBM26" s="35"/>
      <c r="NBN26" s="35"/>
      <c r="NBO26" s="35"/>
      <c r="NBP26" s="35"/>
      <c r="NBQ26" s="35"/>
      <c r="NBR26" s="35"/>
      <c r="NBS26" s="35"/>
      <c r="NBT26" s="35"/>
      <c r="NBU26" s="35"/>
      <c r="NBV26" s="35"/>
      <c r="NBW26" s="35"/>
      <c r="NBX26" s="35"/>
      <c r="NBY26" s="35"/>
      <c r="NBZ26" s="35"/>
      <c r="NCA26" s="35"/>
      <c r="NCB26" s="35"/>
      <c r="NCC26" s="35"/>
      <c r="NCD26" s="35"/>
      <c r="NCE26" s="35"/>
      <c r="NCF26" s="35"/>
      <c r="NCG26" s="35"/>
      <c r="NCH26" s="35"/>
      <c r="NCI26" s="35"/>
      <c r="NCJ26" s="35"/>
      <c r="NCK26" s="35"/>
      <c r="NCL26" s="35"/>
      <c r="NCM26" s="35"/>
      <c r="NCN26" s="35"/>
      <c r="NCO26" s="35"/>
      <c r="NCP26" s="35"/>
      <c r="NCQ26" s="35"/>
      <c r="NCR26" s="35"/>
      <c r="NCS26" s="35"/>
      <c r="NCT26" s="35"/>
      <c r="NCU26" s="35"/>
      <c r="NCV26" s="35"/>
      <c r="NCW26" s="35"/>
      <c r="NCX26" s="35"/>
      <c r="NCY26" s="35"/>
      <c r="NCZ26" s="35"/>
      <c r="NDA26" s="35"/>
      <c r="NDB26" s="35"/>
      <c r="NDC26" s="35"/>
      <c r="NDD26" s="35"/>
      <c r="NDE26" s="35"/>
      <c r="NDF26" s="35"/>
      <c r="NDG26" s="35"/>
      <c r="NDH26" s="35"/>
      <c r="NDI26" s="35"/>
      <c r="NDJ26" s="35"/>
      <c r="NDK26" s="35"/>
      <c r="NDL26" s="35"/>
      <c r="NDM26" s="35"/>
      <c r="NDN26" s="35"/>
      <c r="NDO26" s="35"/>
      <c r="NDP26" s="35"/>
      <c r="NDQ26" s="35"/>
      <c r="NDR26" s="35"/>
      <c r="NDS26" s="35"/>
      <c r="NDT26" s="35"/>
      <c r="NDU26" s="35"/>
      <c r="NDV26" s="35"/>
      <c r="NDW26" s="35"/>
      <c r="NDX26" s="35"/>
      <c r="NDY26" s="35"/>
      <c r="NDZ26" s="35"/>
      <c r="NEA26" s="35"/>
      <c r="NEB26" s="35"/>
      <c r="NEC26" s="35"/>
      <c r="NED26" s="35"/>
      <c r="NEE26" s="35"/>
      <c r="NEF26" s="35"/>
      <c r="NEG26" s="35"/>
      <c r="NEH26" s="35"/>
      <c r="NEI26" s="35"/>
      <c r="NEJ26" s="35"/>
      <c r="NEK26" s="35"/>
      <c r="NEL26" s="35"/>
      <c r="NEM26" s="35"/>
      <c r="NEN26" s="35"/>
      <c r="NEO26" s="35"/>
      <c r="NEP26" s="35"/>
      <c r="NEQ26" s="35"/>
      <c r="NER26" s="35"/>
      <c r="NES26" s="35"/>
      <c r="NET26" s="35"/>
      <c r="NEU26" s="35"/>
      <c r="NEV26" s="35"/>
      <c r="NEW26" s="35"/>
      <c r="NEX26" s="35"/>
      <c r="NEY26" s="35"/>
      <c r="NEZ26" s="35"/>
      <c r="NFA26" s="35"/>
      <c r="NFB26" s="35"/>
      <c r="NFC26" s="35"/>
      <c r="NFD26" s="35"/>
      <c r="NFE26" s="35"/>
      <c r="NFF26" s="35"/>
      <c r="NFG26" s="35"/>
      <c r="NFH26" s="35"/>
      <c r="NFI26" s="35"/>
      <c r="NFJ26" s="35"/>
      <c r="NFK26" s="35"/>
      <c r="NFL26" s="35"/>
      <c r="NFM26" s="35"/>
      <c r="NFN26" s="35"/>
      <c r="NFO26" s="35"/>
      <c r="NFP26" s="35"/>
      <c r="NFQ26" s="35"/>
      <c r="NFR26" s="35"/>
      <c r="NFS26" s="35"/>
      <c r="NFT26" s="35"/>
      <c r="NFU26" s="35"/>
      <c r="NFV26" s="35"/>
      <c r="NFW26" s="35"/>
      <c r="NFX26" s="35"/>
      <c r="NFY26" s="35"/>
      <c r="NFZ26" s="35"/>
      <c r="NGA26" s="35"/>
      <c r="NGB26" s="35"/>
      <c r="NGC26" s="35"/>
      <c r="NGD26" s="35"/>
      <c r="NGE26" s="35"/>
      <c r="NGF26" s="35"/>
      <c r="NGG26" s="35"/>
      <c r="NGH26" s="35"/>
      <c r="NGI26" s="35"/>
      <c r="NGJ26" s="35"/>
      <c r="NGK26" s="35"/>
      <c r="NGL26" s="35"/>
      <c r="NGM26" s="35"/>
      <c r="NGN26" s="35"/>
      <c r="NGO26" s="35"/>
      <c r="NGP26" s="35"/>
      <c r="NGQ26" s="35"/>
      <c r="NGR26" s="35"/>
      <c r="NGS26" s="35"/>
      <c r="NGT26" s="35"/>
      <c r="NGU26" s="35"/>
      <c r="NGV26" s="35"/>
      <c r="NGW26" s="35"/>
      <c r="NGX26" s="35"/>
      <c r="NGY26" s="35"/>
      <c r="NGZ26" s="35"/>
      <c r="NHA26" s="35"/>
      <c r="NHB26" s="35"/>
      <c r="NHC26" s="35"/>
      <c r="NHD26" s="35"/>
      <c r="NHE26" s="35"/>
      <c r="NHF26" s="35"/>
      <c r="NHG26" s="35"/>
      <c r="NHH26" s="35"/>
      <c r="NHI26" s="35"/>
      <c r="NHJ26" s="35"/>
      <c r="NHK26" s="35"/>
      <c r="NHL26" s="35"/>
      <c r="NHM26" s="35"/>
      <c r="NHN26" s="35"/>
      <c r="NHO26" s="35"/>
      <c r="NHP26" s="35"/>
      <c r="NHQ26" s="35"/>
      <c r="NHR26" s="35"/>
      <c r="NHS26" s="35"/>
      <c r="NHT26" s="35"/>
      <c r="NHU26" s="35"/>
      <c r="NHV26" s="35"/>
      <c r="NHW26" s="35"/>
      <c r="NHX26" s="35"/>
      <c r="NHY26" s="35"/>
      <c r="NHZ26" s="35"/>
      <c r="NIA26" s="35"/>
      <c r="NIB26" s="35"/>
      <c r="NIC26" s="35"/>
      <c r="NID26" s="35"/>
      <c r="NIE26" s="35"/>
      <c r="NIF26" s="35"/>
      <c r="NIG26" s="35"/>
      <c r="NIH26" s="35"/>
      <c r="NII26" s="35"/>
      <c r="NIJ26" s="35"/>
      <c r="NIK26" s="35"/>
      <c r="NIL26" s="35"/>
      <c r="NIM26" s="35"/>
      <c r="NIN26" s="35"/>
      <c r="NIO26" s="35"/>
      <c r="NIP26" s="35"/>
      <c r="NIQ26" s="35"/>
      <c r="NIR26" s="35"/>
      <c r="NIS26" s="35"/>
      <c r="NIT26" s="35"/>
      <c r="NIU26" s="35"/>
      <c r="NIV26" s="35"/>
      <c r="NIW26" s="35"/>
      <c r="NIX26" s="35"/>
      <c r="NIY26" s="35"/>
      <c r="NIZ26" s="35"/>
      <c r="NJA26" s="35"/>
      <c r="NJB26" s="35"/>
      <c r="NJC26" s="35"/>
      <c r="NJD26" s="35"/>
      <c r="NJE26" s="35"/>
      <c r="NJF26" s="35"/>
      <c r="NJG26" s="35"/>
      <c r="NJH26" s="35"/>
      <c r="NJI26" s="35"/>
      <c r="NJJ26" s="35"/>
      <c r="NJK26" s="35"/>
      <c r="NJL26" s="35"/>
      <c r="NJM26" s="35"/>
      <c r="NJN26" s="35"/>
      <c r="NJO26" s="35"/>
      <c r="NJP26" s="35"/>
      <c r="NJQ26" s="35"/>
      <c r="NJR26" s="35"/>
      <c r="NJS26" s="35"/>
      <c r="NJT26" s="35"/>
      <c r="NJU26" s="35"/>
      <c r="NJV26" s="35"/>
      <c r="NJW26" s="35"/>
      <c r="NJX26" s="35"/>
      <c r="NJY26" s="35"/>
      <c r="NJZ26" s="35"/>
      <c r="NKA26" s="35"/>
      <c r="NKB26" s="35"/>
      <c r="NKC26" s="35"/>
      <c r="NKD26" s="35"/>
      <c r="NKE26" s="35"/>
      <c r="NKF26" s="35"/>
      <c r="NKG26" s="35"/>
      <c r="NKH26" s="35"/>
      <c r="NKI26" s="35"/>
      <c r="NKJ26" s="35"/>
      <c r="NKK26" s="35"/>
      <c r="NKL26" s="35"/>
      <c r="NKM26" s="35"/>
      <c r="NKN26" s="35"/>
      <c r="NKO26" s="35"/>
      <c r="NKP26" s="35"/>
      <c r="NKQ26" s="35"/>
      <c r="NKR26" s="35"/>
      <c r="NKS26" s="35"/>
      <c r="NKT26" s="35"/>
      <c r="NKU26" s="35"/>
      <c r="NKV26" s="35"/>
      <c r="NKW26" s="35"/>
      <c r="NKX26" s="35"/>
      <c r="NKY26" s="35"/>
      <c r="NKZ26" s="35"/>
      <c r="NLA26" s="35"/>
      <c r="NLB26" s="35"/>
      <c r="NLC26" s="35"/>
      <c r="NLD26" s="35"/>
      <c r="NLE26" s="35"/>
      <c r="NLF26" s="35"/>
      <c r="NLG26" s="35"/>
      <c r="NLH26" s="35"/>
      <c r="NLI26" s="35"/>
      <c r="NLJ26" s="35"/>
      <c r="NLK26" s="35"/>
      <c r="NLL26" s="35"/>
      <c r="NLM26" s="35"/>
      <c r="NLN26" s="35"/>
      <c r="NLO26" s="35"/>
      <c r="NLP26" s="35"/>
      <c r="NLQ26" s="35"/>
      <c r="NLR26" s="35"/>
      <c r="NLS26" s="35"/>
      <c r="NLT26" s="35"/>
      <c r="NLU26" s="35"/>
      <c r="NLV26" s="35"/>
      <c r="NLW26" s="35"/>
      <c r="NLX26" s="35"/>
      <c r="NLY26" s="35"/>
      <c r="NLZ26" s="35"/>
      <c r="NMA26" s="35"/>
      <c r="NMB26" s="35"/>
      <c r="NMC26" s="35"/>
      <c r="NMD26" s="35"/>
      <c r="NME26" s="35"/>
      <c r="NMF26" s="35"/>
      <c r="NMG26" s="35"/>
      <c r="NMH26" s="35"/>
      <c r="NMI26" s="35"/>
      <c r="NMJ26" s="35"/>
      <c r="NMK26" s="35"/>
      <c r="NML26" s="35"/>
      <c r="NMM26" s="35"/>
      <c r="NMN26" s="35"/>
      <c r="NMO26" s="35"/>
      <c r="NMP26" s="35"/>
      <c r="NMQ26" s="35"/>
      <c r="NMR26" s="35"/>
      <c r="NMS26" s="35"/>
      <c r="NMT26" s="35"/>
      <c r="NMU26" s="35"/>
      <c r="NMV26" s="35"/>
      <c r="NMW26" s="35"/>
      <c r="NMX26" s="35"/>
      <c r="NMY26" s="35"/>
      <c r="NMZ26" s="35"/>
      <c r="NNA26" s="35"/>
      <c r="NNB26" s="35"/>
      <c r="NNC26" s="35"/>
      <c r="NND26" s="35"/>
      <c r="NNE26" s="35"/>
      <c r="NNF26" s="35"/>
      <c r="NNG26" s="35"/>
      <c r="NNH26" s="35"/>
      <c r="NNI26" s="35"/>
      <c r="NNJ26" s="35"/>
      <c r="NNK26" s="35"/>
      <c r="NNL26" s="35"/>
      <c r="NNM26" s="35"/>
      <c r="NNN26" s="35"/>
      <c r="NNO26" s="35"/>
      <c r="NNP26" s="35"/>
      <c r="NNQ26" s="35"/>
      <c r="NNR26" s="35"/>
      <c r="NNS26" s="35"/>
      <c r="NNT26" s="35"/>
      <c r="NNU26" s="35"/>
      <c r="NNV26" s="35"/>
      <c r="NNW26" s="35"/>
      <c r="NNX26" s="35"/>
      <c r="NNY26" s="35"/>
      <c r="NNZ26" s="35"/>
      <c r="NOA26" s="35"/>
      <c r="NOB26" s="35"/>
      <c r="NOC26" s="35"/>
      <c r="NOD26" s="35"/>
      <c r="NOE26" s="35"/>
      <c r="NOF26" s="35"/>
      <c r="NOG26" s="35"/>
      <c r="NOH26" s="35"/>
      <c r="NOI26" s="35"/>
      <c r="NOJ26" s="35"/>
      <c r="NOK26" s="35"/>
      <c r="NOL26" s="35"/>
      <c r="NOM26" s="35"/>
      <c r="NON26" s="35"/>
      <c r="NOO26" s="35"/>
      <c r="NOP26" s="35"/>
      <c r="NOQ26" s="35"/>
      <c r="NOR26" s="35"/>
      <c r="NOS26" s="35"/>
      <c r="NOT26" s="35"/>
      <c r="NOU26" s="35"/>
      <c r="NOV26" s="35"/>
      <c r="NOW26" s="35"/>
      <c r="NOX26" s="35"/>
      <c r="NOY26" s="35"/>
      <c r="NOZ26" s="35"/>
      <c r="NPA26" s="35"/>
      <c r="NPB26" s="35"/>
      <c r="NPC26" s="35"/>
      <c r="NPD26" s="35"/>
      <c r="NPE26" s="35"/>
      <c r="NPF26" s="35"/>
      <c r="NPG26" s="35"/>
      <c r="NPH26" s="35"/>
      <c r="NPI26" s="35"/>
      <c r="NPJ26" s="35"/>
      <c r="NPK26" s="35"/>
      <c r="NPL26" s="35"/>
      <c r="NPM26" s="35"/>
      <c r="NPN26" s="35"/>
      <c r="NPO26" s="35"/>
      <c r="NPP26" s="35"/>
      <c r="NPQ26" s="35"/>
      <c r="NPR26" s="35"/>
      <c r="NPS26" s="35"/>
      <c r="NPT26" s="35"/>
      <c r="NPU26" s="35"/>
      <c r="NPV26" s="35"/>
      <c r="NPW26" s="35"/>
      <c r="NPX26" s="35"/>
      <c r="NPY26" s="35"/>
      <c r="NPZ26" s="35"/>
      <c r="NQA26" s="35"/>
      <c r="NQB26" s="35"/>
      <c r="NQC26" s="35"/>
      <c r="NQD26" s="35"/>
      <c r="NQE26" s="35"/>
      <c r="NQF26" s="35"/>
      <c r="NQG26" s="35"/>
      <c r="NQH26" s="35"/>
      <c r="NQI26" s="35"/>
      <c r="NQJ26" s="35"/>
      <c r="NQK26" s="35"/>
      <c r="NQL26" s="35"/>
      <c r="NQM26" s="35"/>
      <c r="NQN26" s="35"/>
      <c r="NQO26" s="35"/>
      <c r="NQP26" s="35"/>
      <c r="NQQ26" s="35"/>
      <c r="NQR26" s="35"/>
      <c r="NQS26" s="35"/>
      <c r="NQT26" s="35"/>
      <c r="NQU26" s="35"/>
      <c r="NQV26" s="35"/>
      <c r="NQW26" s="35"/>
      <c r="NQX26" s="35"/>
      <c r="NQY26" s="35"/>
      <c r="NQZ26" s="35"/>
      <c r="NRA26" s="35"/>
      <c r="NRB26" s="35"/>
      <c r="NRC26" s="35"/>
      <c r="NRD26" s="35"/>
      <c r="NRE26" s="35"/>
      <c r="NRF26" s="35"/>
      <c r="NRG26" s="35"/>
      <c r="NRH26" s="35"/>
      <c r="NRI26" s="35"/>
      <c r="NRJ26" s="35"/>
      <c r="NRK26" s="35"/>
      <c r="NRL26" s="35"/>
      <c r="NRM26" s="35"/>
      <c r="NRN26" s="35"/>
      <c r="NRO26" s="35"/>
      <c r="NRP26" s="35"/>
      <c r="NRQ26" s="35"/>
      <c r="NRR26" s="35"/>
      <c r="NRS26" s="35"/>
      <c r="NRT26" s="35"/>
      <c r="NRU26" s="35"/>
      <c r="NRV26" s="35"/>
      <c r="NRW26" s="35"/>
      <c r="NRX26" s="35"/>
      <c r="NRY26" s="35"/>
      <c r="NRZ26" s="35"/>
      <c r="NSA26" s="35"/>
      <c r="NSB26" s="35"/>
      <c r="NSC26" s="35"/>
      <c r="NSD26" s="35"/>
      <c r="NSE26" s="35"/>
      <c r="NSF26" s="35"/>
      <c r="NSG26" s="35"/>
      <c r="NSH26" s="35"/>
      <c r="NSI26" s="35"/>
      <c r="NSJ26" s="35"/>
      <c r="NSK26" s="35"/>
      <c r="NSL26" s="35"/>
      <c r="NSM26" s="35"/>
      <c r="NSN26" s="35"/>
      <c r="NSO26" s="35"/>
      <c r="NSP26" s="35"/>
      <c r="NSQ26" s="35"/>
      <c r="NSR26" s="35"/>
      <c r="NSS26" s="35"/>
      <c r="NST26" s="35"/>
      <c r="NSU26" s="35"/>
      <c r="NSV26" s="35"/>
      <c r="NSW26" s="35"/>
      <c r="NSX26" s="35"/>
      <c r="NSY26" s="35"/>
      <c r="NSZ26" s="35"/>
      <c r="NTA26" s="35"/>
      <c r="NTB26" s="35"/>
      <c r="NTC26" s="35"/>
      <c r="NTD26" s="35"/>
      <c r="NTE26" s="35"/>
      <c r="NTF26" s="35"/>
      <c r="NTG26" s="35"/>
      <c r="NTH26" s="35"/>
      <c r="NTI26" s="35"/>
      <c r="NTJ26" s="35"/>
      <c r="NTK26" s="35"/>
      <c r="NTL26" s="35"/>
      <c r="NTM26" s="35"/>
      <c r="NTN26" s="35"/>
      <c r="NTO26" s="35"/>
      <c r="NTP26" s="35"/>
      <c r="NTQ26" s="35"/>
      <c r="NTR26" s="35"/>
      <c r="NTS26" s="35"/>
      <c r="NTT26" s="35"/>
      <c r="NTU26" s="35"/>
      <c r="NTV26" s="35"/>
      <c r="NTW26" s="35"/>
      <c r="NTX26" s="35"/>
      <c r="NTY26" s="35"/>
      <c r="NTZ26" s="35"/>
      <c r="NUA26" s="35"/>
      <c r="NUB26" s="35"/>
      <c r="NUC26" s="35"/>
      <c r="NUD26" s="35"/>
      <c r="NUE26" s="35"/>
      <c r="NUF26" s="35"/>
      <c r="NUG26" s="35"/>
      <c r="NUH26" s="35"/>
      <c r="NUI26" s="35"/>
      <c r="NUJ26" s="35"/>
      <c r="NUK26" s="35"/>
      <c r="NUL26" s="35"/>
      <c r="NUM26" s="35"/>
      <c r="NUN26" s="35"/>
      <c r="NUO26" s="35"/>
      <c r="NUP26" s="35"/>
      <c r="NUQ26" s="35"/>
      <c r="NUR26" s="35"/>
      <c r="NUS26" s="35"/>
      <c r="NUT26" s="35"/>
      <c r="NUU26" s="35"/>
      <c r="NUV26" s="35"/>
      <c r="NUW26" s="35"/>
      <c r="NUX26" s="35"/>
      <c r="NUY26" s="35"/>
      <c r="NUZ26" s="35"/>
      <c r="NVA26" s="35"/>
      <c r="NVB26" s="35"/>
      <c r="NVC26" s="35"/>
      <c r="NVD26" s="35"/>
      <c r="NVE26" s="35"/>
      <c r="NVF26" s="35"/>
      <c r="NVG26" s="35"/>
      <c r="NVH26" s="35"/>
      <c r="NVI26" s="35"/>
      <c r="NVJ26" s="35"/>
      <c r="NVK26" s="35"/>
      <c r="NVL26" s="35"/>
      <c r="NVM26" s="35"/>
      <c r="NVN26" s="35"/>
      <c r="NVO26" s="35"/>
      <c r="NVP26" s="35"/>
      <c r="NVQ26" s="35"/>
      <c r="NVR26" s="35"/>
      <c r="NVS26" s="35"/>
      <c r="NVT26" s="35"/>
      <c r="NVU26" s="35"/>
      <c r="NVV26" s="35"/>
      <c r="NVW26" s="35"/>
      <c r="NVX26" s="35"/>
      <c r="NVY26" s="35"/>
      <c r="NVZ26" s="35"/>
      <c r="NWA26" s="35"/>
      <c r="NWB26" s="35"/>
      <c r="NWC26" s="35"/>
      <c r="NWD26" s="35"/>
      <c r="NWE26" s="35"/>
      <c r="NWF26" s="35"/>
      <c r="NWG26" s="35"/>
      <c r="NWH26" s="35"/>
      <c r="NWI26" s="35"/>
      <c r="NWJ26" s="35"/>
      <c r="NWK26" s="35"/>
      <c r="NWL26" s="35"/>
      <c r="NWM26" s="35"/>
      <c r="NWN26" s="35"/>
      <c r="NWO26" s="35"/>
      <c r="NWP26" s="35"/>
      <c r="NWQ26" s="35"/>
      <c r="NWR26" s="35"/>
      <c r="NWS26" s="35"/>
      <c r="NWT26" s="35"/>
      <c r="NWU26" s="35"/>
      <c r="NWV26" s="35"/>
      <c r="NWW26" s="35"/>
      <c r="NWX26" s="35"/>
      <c r="NWY26" s="35"/>
      <c r="NWZ26" s="35"/>
      <c r="NXA26" s="35"/>
      <c r="NXB26" s="35"/>
      <c r="NXC26" s="35"/>
      <c r="NXD26" s="35"/>
      <c r="NXE26" s="35"/>
      <c r="NXF26" s="35"/>
      <c r="NXG26" s="35"/>
      <c r="NXH26" s="35"/>
      <c r="NXI26" s="35"/>
      <c r="NXJ26" s="35"/>
      <c r="NXK26" s="35"/>
      <c r="NXL26" s="35"/>
      <c r="NXM26" s="35"/>
      <c r="NXN26" s="35"/>
      <c r="NXO26" s="35"/>
      <c r="NXP26" s="35"/>
      <c r="NXQ26" s="35"/>
      <c r="NXR26" s="35"/>
      <c r="NXS26" s="35"/>
      <c r="NXT26" s="35"/>
      <c r="NXU26" s="35"/>
      <c r="NXV26" s="35"/>
      <c r="NXW26" s="35"/>
      <c r="NXX26" s="35"/>
      <c r="NXY26" s="35"/>
      <c r="NXZ26" s="35"/>
      <c r="NYA26" s="35"/>
      <c r="NYB26" s="35"/>
      <c r="NYC26" s="35"/>
      <c r="NYD26" s="35"/>
      <c r="NYE26" s="35"/>
      <c r="NYF26" s="35"/>
      <c r="NYG26" s="35"/>
      <c r="NYH26" s="35"/>
      <c r="NYI26" s="35"/>
      <c r="NYJ26" s="35"/>
      <c r="NYK26" s="35"/>
      <c r="NYL26" s="35"/>
      <c r="NYM26" s="35"/>
      <c r="NYN26" s="35"/>
      <c r="NYO26" s="35"/>
      <c r="NYP26" s="35"/>
      <c r="NYQ26" s="35"/>
      <c r="NYR26" s="35"/>
      <c r="NYS26" s="35"/>
      <c r="NYT26" s="35"/>
      <c r="NYU26" s="35"/>
      <c r="NYV26" s="35"/>
      <c r="NYW26" s="35"/>
      <c r="NYX26" s="35"/>
      <c r="NYY26" s="35"/>
      <c r="NYZ26" s="35"/>
      <c r="NZA26" s="35"/>
      <c r="NZB26" s="35"/>
      <c r="NZC26" s="35"/>
      <c r="NZD26" s="35"/>
      <c r="NZE26" s="35"/>
      <c r="NZF26" s="35"/>
      <c r="NZG26" s="35"/>
      <c r="NZH26" s="35"/>
      <c r="NZI26" s="35"/>
      <c r="NZJ26" s="35"/>
      <c r="NZK26" s="35"/>
      <c r="NZL26" s="35"/>
      <c r="NZM26" s="35"/>
      <c r="NZN26" s="35"/>
      <c r="NZO26" s="35"/>
      <c r="NZP26" s="35"/>
      <c r="NZQ26" s="35"/>
      <c r="NZR26" s="35"/>
      <c r="NZS26" s="35"/>
      <c r="NZT26" s="35"/>
      <c r="NZU26" s="35"/>
      <c r="NZV26" s="35"/>
      <c r="NZW26" s="35"/>
      <c r="NZX26" s="35"/>
      <c r="NZY26" s="35"/>
      <c r="NZZ26" s="35"/>
      <c r="OAA26" s="35"/>
      <c r="OAB26" s="35"/>
      <c r="OAC26" s="35"/>
      <c r="OAD26" s="35"/>
      <c r="OAE26" s="35"/>
      <c r="OAF26" s="35"/>
      <c r="OAG26" s="35"/>
      <c r="OAH26" s="35"/>
      <c r="OAI26" s="35"/>
      <c r="OAJ26" s="35"/>
      <c r="OAK26" s="35"/>
      <c r="OAL26" s="35"/>
      <c r="OAM26" s="35"/>
      <c r="OAN26" s="35"/>
      <c r="OAO26" s="35"/>
      <c r="OAP26" s="35"/>
      <c r="OAQ26" s="35"/>
      <c r="OAR26" s="35"/>
      <c r="OAS26" s="35"/>
      <c r="OAT26" s="35"/>
      <c r="OAU26" s="35"/>
      <c r="OAV26" s="35"/>
      <c r="OAW26" s="35"/>
      <c r="OAX26" s="35"/>
      <c r="OAY26" s="35"/>
      <c r="OAZ26" s="35"/>
      <c r="OBA26" s="35"/>
      <c r="OBB26" s="35"/>
      <c r="OBC26" s="35"/>
      <c r="OBD26" s="35"/>
      <c r="OBE26" s="35"/>
      <c r="OBF26" s="35"/>
      <c r="OBG26" s="35"/>
      <c r="OBH26" s="35"/>
      <c r="OBI26" s="35"/>
      <c r="OBJ26" s="35"/>
      <c r="OBK26" s="35"/>
      <c r="OBL26" s="35"/>
      <c r="OBM26" s="35"/>
      <c r="OBN26" s="35"/>
      <c r="OBO26" s="35"/>
      <c r="OBP26" s="35"/>
      <c r="OBQ26" s="35"/>
      <c r="OBR26" s="35"/>
      <c r="OBS26" s="35"/>
      <c r="OBT26" s="35"/>
      <c r="OBU26" s="35"/>
      <c r="OBV26" s="35"/>
      <c r="OBW26" s="35"/>
      <c r="OBX26" s="35"/>
      <c r="OBY26" s="35"/>
      <c r="OBZ26" s="35"/>
      <c r="OCA26" s="35"/>
      <c r="OCB26" s="35"/>
      <c r="OCC26" s="35"/>
      <c r="OCD26" s="35"/>
      <c r="OCE26" s="35"/>
      <c r="OCF26" s="35"/>
      <c r="OCG26" s="35"/>
      <c r="OCH26" s="35"/>
      <c r="OCI26" s="35"/>
      <c r="OCJ26" s="35"/>
      <c r="OCK26" s="35"/>
      <c r="OCL26" s="35"/>
      <c r="OCM26" s="35"/>
      <c r="OCN26" s="35"/>
      <c r="OCO26" s="35"/>
      <c r="OCP26" s="35"/>
      <c r="OCQ26" s="35"/>
      <c r="OCR26" s="35"/>
      <c r="OCS26" s="35"/>
      <c r="OCT26" s="35"/>
      <c r="OCU26" s="35"/>
      <c r="OCV26" s="35"/>
      <c r="OCW26" s="35"/>
      <c r="OCX26" s="35"/>
      <c r="OCY26" s="35"/>
      <c r="OCZ26" s="35"/>
      <c r="ODA26" s="35"/>
      <c r="ODB26" s="35"/>
      <c r="ODC26" s="35"/>
      <c r="ODD26" s="35"/>
      <c r="ODE26" s="35"/>
      <c r="ODF26" s="35"/>
      <c r="ODG26" s="35"/>
      <c r="ODH26" s="35"/>
      <c r="ODI26" s="35"/>
      <c r="ODJ26" s="35"/>
      <c r="ODK26" s="35"/>
      <c r="ODL26" s="35"/>
      <c r="ODM26" s="35"/>
      <c r="ODN26" s="35"/>
      <c r="ODO26" s="35"/>
      <c r="ODP26" s="35"/>
      <c r="ODQ26" s="35"/>
      <c r="ODR26" s="35"/>
      <c r="ODS26" s="35"/>
      <c r="ODT26" s="35"/>
      <c r="ODU26" s="35"/>
      <c r="ODV26" s="35"/>
      <c r="ODW26" s="35"/>
      <c r="ODX26" s="35"/>
      <c r="ODY26" s="35"/>
      <c r="ODZ26" s="35"/>
      <c r="OEA26" s="35"/>
      <c r="OEB26" s="35"/>
      <c r="OEC26" s="35"/>
      <c r="OED26" s="35"/>
      <c r="OEE26" s="35"/>
      <c r="OEF26" s="35"/>
      <c r="OEG26" s="35"/>
      <c r="OEH26" s="35"/>
      <c r="OEI26" s="35"/>
      <c r="OEJ26" s="35"/>
      <c r="OEK26" s="35"/>
      <c r="OEL26" s="35"/>
      <c r="OEM26" s="35"/>
      <c r="OEN26" s="35"/>
      <c r="OEO26" s="35"/>
      <c r="OEP26" s="35"/>
      <c r="OEQ26" s="35"/>
      <c r="OER26" s="35"/>
      <c r="OES26" s="35"/>
      <c r="OET26" s="35"/>
      <c r="OEU26" s="35"/>
      <c r="OEV26" s="35"/>
      <c r="OEW26" s="35"/>
      <c r="OEX26" s="35"/>
      <c r="OEY26" s="35"/>
      <c r="OEZ26" s="35"/>
      <c r="OFA26" s="35"/>
      <c r="OFB26" s="35"/>
      <c r="OFC26" s="35"/>
      <c r="OFD26" s="35"/>
      <c r="OFE26" s="35"/>
      <c r="OFF26" s="35"/>
      <c r="OFG26" s="35"/>
      <c r="OFH26" s="35"/>
      <c r="OFI26" s="35"/>
      <c r="OFJ26" s="35"/>
      <c r="OFK26" s="35"/>
      <c r="OFL26" s="35"/>
      <c r="OFM26" s="35"/>
      <c r="OFN26" s="35"/>
      <c r="OFO26" s="35"/>
      <c r="OFP26" s="35"/>
      <c r="OFQ26" s="35"/>
      <c r="OFR26" s="35"/>
      <c r="OFS26" s="35"/>
      <c r="OFT26" s="35"/>
      <c r="OFU26" s="35"/>
      <c r="OFV26" s="35"/>
      <c r="OFW26" s="35"/>
      <c r="OFX26" s="35"/>
      <c r="OFY26" s="35"/>
      <c r="OFZ26" s="35"/>
      <c r="OGA26" s="35"/>
      <c r="OGB26" s="35"/>
      <c r="OGC26" s="35"/>
      <c r="OGD26" s="35"/>
      <c r="OGE26" s="35"/>
      <c r="OGF26" s="35"/>
      <c r="OGG26" s="35"/>
      <c r="OGH26" s="35"/>
      <c r="OGI26" s="35"/>
      <c r="OGJ26" s="35"/>
      <c r="OGK26" s="35"/>
      <c r="OGL26" s="35"/>
      <c r="OGM26" s="35"/>
      <c r="OGN26" s="35"/>
      <c r="OGO26" s="35"/>
      <c r="OGP26" s="35"/>
      <c r="OGQ26" s="35"/>
      <c r="OGR26" s="35"/>
      <c r="OGS26" s="35"/>
      <c r="OGT26" s="35"/>
      <c r="OGU26" s="35"/>
      <c r="OGV26" s="35"/>
      <c r="OGW26" s="35"/>
      <c r="OGX26" s="35"/>
      <c r="OGY26" s="35"/>
      <c r="OGZ26" s="35"/>
      <c r="OHA26" s="35"/>
      <c r="OHB26" s="35"/>
      <c r="OHC26" s="35"/>
      <c r="OHD26" s="35"/>
      <c r="OHE26" s="35"/>
      <c r="OHF26" s="35"/>
      <c r="OHG26" s="35"/>
      <c r="OHH26" s="35"/>
      <c r="OHI26" s="35"/>
      <c r="OHJ26" s="35"/>
      <c r="OHK26" s="35"/>
      <c r="OHL26" s="35"/>
      <c r="OHM26" s="35"/>
      <c r="OHN26" s="35"/>
      <c r="OHO26" s="35"/>
      <c r="OHP26" s="35"/>
      <c r="OHQ26" s="35"/>
      <c r="OHR26" s="35"/>
      <c r="OHS26" s="35"/>
      <c r="OHT26" s="35"/>
      <c r="OHU26" s="35"/>
      <c r="OHV26" s="35"/>
      <c r="OHW26" s="35"/>
      <c r="OHX26" s="35"/>
      <c r="OHY26" s="35"/>
      <c r="OHZ26" s="35"/>
      <c r="OIA26" s="35"/>
      <c r="OIB26" s="35"/>
      <c r="OIC26" s="35"/>
      <c r="OID26" s="35"/>
      <c r="OIE26" s="35"/>
      <c r="OIF26" s="35"/>
      <c r="OIG26" s="35"/>
      <c r="OIH26" s="35"/>
      <c r="OII26" s="35"/>
      <c r="OIJ26" s="35"/>
      <c r="OIK26" s="35"/>
      <c r="OIL26" s="35"/>
      <c r="OIM26" s="35"/>
      <c r="OIN26" s="35"/>
      <c r="OIO26" s="35"/>
      <c r="OIP26" s="35"/>
      <c r="OIQ26" s="35"/>
      <c r="OIR26" s="35"/>
      <c r="OIS26" s="35"/>
      <c r="OIT26" s="35"/>
      <c r="OIU26" s="35"/>
      <c r="OIV26" s="35"/>
      <c r="OIW26" s="35"/>
      <c r="OIX26" s="35"/>
      <c r="OIY26" s="35"/>
      <c r="OIZ26" s="35"/>
      <c r="OJA26" s="35"/>
      <c r="OJB26" s="35"/>
      <c r="OJC26" s="35"/>
      <c r="OJD26" s="35"/>
      <c r="OJE26" s="35"/>
      <c r="OJF26" s="35"/>
      <c r="OJG26" s="35"/>
      <c r="OJH26" s="35"/>
      <c r="OJI26" s="35"/>
      <c r="OJJ26" s="35"/>
      <c r="OJK26" s="35"/>
      <c r="OJL26" s="35"/>
      <c r="OJM26" s="35"/>
      <c r="OJN26" s="35"/>
      <c r="OJO26" s="35"/>
      <c r="OJP26" s="35"/>
      <c r="OJQ26" s="35"/>
      <c r="OJR26" s="35"/>
      <c r="OJS26" s="35"/>
      <c r="OJT26" s="35"/>
      <c r="OJU26" s="35"/>
      <c r="OJV26" s="35"/>
      <c r="OJW26" s="35"/>
      <c r="OJX26" s="35"/>
      <c r="OJY26" s="35"/>
      <c r="OJZ26" s="35"/>
      <c r="OKA26" s="35"/>
      <c r="OKB26" s="35"/>
      <c r="OKC26" s="35"/>
      <c r="OKD26" s="35"/>
      <c r="OKE26" s="35"/>
      <c r="OKF26" s="35"/>
      <c r="OKG26" s="35"/>
      <c r="OKH26" s="35"/>
      <c r="OKI26" s="35"/>
      <c r="OKJ26" s="35"/>
      <c r="OKK26" s="35"/>
      <c r="OKL26" s="35"/>
      <c r="OKM26" s="35"/>
      <c r="OKN26" s="35"/>
      <c r="OKO26" s="35"/>
      <c r="OKP26" s="35"/>
      <c r="OKQ26" s="35"/>
      <c r="OKR26" s="35"/>
      <c r="OKS26" s="35"/>
      <c r="OKT26" s="35"/>
      <c r="OKU26" s="35"/>
      <c r="OKV26" s="35"/>
      <c r="OKW26" s="35"/>
      <c r="OKX26" s="35"/>
      <c r="OKY26" s="35"/>
      <c r="OKZ26" s="35"/>
      <c r="OLA26" s="35"/>
      <c r="OLB26" s="35"/>
      <c r="OLC26" s="35"/>
      <c r="OLD26" s="35"/>
      <c r="OLE26" s="35"/>
      <c r="OLF26" s="35"/>
      <c r="OLG26" s="35"/>
      <c r="OLH26" s="35"/>
      <c r="OLI26" s="35"/>
      <c r="OLJ26" s="35"/>
      <c r="OLK26" s="35"/>
      <c r="OLL26" s="35"/>
      <c r="OLM26" s="35"/>
      <c r="OLN26" s="35"/>
      <c r="OLO26" s="35"/>
      <c r="OLP26" s="35"/>
      <c r="OLQ26" s="35"/>
      <c r="OLR26" s="35"/>
      <c r="OLS26" s="35"/>
      <c r="OLT26" s="35"/>
      <c r="OLU26" s="35"/>
      <c r="OLV26" s="35"/>
      <c r="OLW26" s="35"/>
      <c r="OLX26" s="35"/>
      <c r="OLY26" s="35"/>
      <c r="OLZ26" s="35"/>
      <c r="OMA26" s="35"/>
      <c r="OMB26" s="35"/>
      <c r="OMC26" s="35"/>
      <c r="OMD26" s="35"/>
      <c r="OME26" s="35"/>
      <c r="OMF26" s="35"/>
      <c r="OMG26" s="35"/>
      <c r="OMH26" s="35"/>
      <c r="OMI26" s="35"/>
      <c r="OMJ26" s="35"/>
      <c r="OMK26" s="35"/>
      <c r="OML26" s="35"/>
      <c r="OMM26" s="35"/>
      <c r="OMN26" s="35"/>
      <c r="OMO26" s="35"/>
      <c r="OMP26" s="35"/>
      <c r="OMQ26" s="35"/>
      <c r="OMR26" s="35"/>
      <c r="OMS26" s="35"/>
      <c r="OMT26" s="35"/>
      <c r="OMU26" s="35"/>
      <c r="OMV26" s="35"/>
      <c r="OMW26" s="35"/>
      <c r="OMX26" s="35"/>
      <c r="OMY26" s="35"/>
      <c r="OMZ26" s="35"/>
      <c r="ONA26" s="35"/>
      <c r="ONB26" s="35"/>
      <c r="ONC26" s="35"/>
      <c r="OND26" s="35"/>
      <c r="ONE26" s="35"/>
      <c r="ONF26" s="35"/>
      <c r="ONG26" s="35"/>
      <c r="ONH26" s="35"/>
      <c r="ONI26" s="35"/>
      <c r="ONJ26" s="35"/>
      <c r="ONK26" s="35"/>
      <c r="ONL26" s="35"/>
      <c r="ONM26" s="35"/>
      <c r="ONN26" s="35"/>
      <c r="ONO26" s="35"/>
      <c r="ONP26" s="35"/>
      <c r="ONQ26" s="35"/>
      <c r="ONR26" s="35"/>
      <c r="ONS26" s="35"/>
      <c r="ONT26" s="35"/>
      <c r="ONU26" s="35"/>
      <c r="ONV26" s="35"/>
      <c r="ONW26" s="35"/>
      <c r="ONX26" s="35"/>
      <c r="ONY26" s="35"/>
      <c r="ONZ26" s="35"/>
      <c r="OOA26" s="35"/>
      <c r="OOB26" s="35"/>
      <c r="OOC26" s="35"/>
      <c r="OOD26" s="35"/>
      <c r="OOE26" s="35"/>
      <c r="OOF26" s="35"/>
      <c r="OOG26" s="35"/>
      <c r="OOH26" s="35"/>
      <c r="OOI26" s="35"/>
      <c r="OOJ26" s="35"/>
      <c r="OOK26" s="35"/>
      <c r="OOL26" s="35"/>
      <c r="OOM26" s="35"/>
      <c r="OON26" s="35"/>
      <c r="OOO26" s="35"/>
      <c r="OOP26" s="35"/>
      <c r="OOQ26" s="35"/>
      <c r="OOR26" s="35"/>
      <c r="OOS26" s="35"/>
      <c r="OOT26" s="35"/>
      <c r="OOU26" s="35"/>
      <c r="OOV26" s="35"/>
      <c r="OOW26" s="35"/>
      <c r="OOX26" s="35"/>
      <c r="OOY26" s="35"/>
      <c r="OOZ26" s="35"/>
      <c r="OPA26" s="35"/>
      <c r="OPB26" s="35"/>
      <c r="OPC26" s="35"/>
      <c r="OPD26" s="35"/>
      <c r="OPE26" s="35"/>
      <c r="OPF26" s="35"/>
      <c r="OPG26" s="35"/>
      <c r="OPH26" s="35"/>
      <c r="OPI26" s="35"/>
      <c r="OPJ26" s="35"/>
      <c r="OPK26" s="35"/>
      <c r="OPL26" s="35"/>
      <c r="OPM26" s="35"/>
      <c r="OPN26" s="35"/>
      <c r="OPO26" s="35"/>
      <c r="OPP26" s="35"/>
      <c r="OPQ26" s="35"/>
      <c r="OPR26" s="35"/>
      <c r="OPS26" s="35"/>
      <c r="OPT26" s="35"/>
      <c r="OPU26" s="35"/>
      <c r="OPV26" s="35"/>
      <c r="OPW26" s="35"/>
      <c r="OPX26" s="35"/>
      <c r="OPY26" s="35"/>
      <c r="OPZ26" s="35"/>
      <c r="OQA26" s="35"/>
      <c r="OQB26" s="35"/>
      <c r="OQC26" s="35"/>
      <c r="OQD26" s="35"/>
      <c r="OQE26" s="35"/>
      <c r="OQF26" s="35"/>
      <c r="OQG26" s="35"/>
      <c r="OQH26" s="35"/>
      <c r="OQI26" s="35"/>
      <c r="OQJ26" s="35"/>
      <c r="OQK26" s="35"/>
      <c r="OQL26" s="35"/>
      <c r="OQM26" s="35"/>
      <c r="OQN26" s="35"/>
      <c r="OQO26" s="35"/>
      <c r="OQP26" s="35"/>
      <c r="OQQ26" s="35"/>
      <c r="OQR26" s="35"/>
      <c r="OQS26" s="35"/>
      <c r="OQT26" s="35"/>
      <c r="OQU26" s="35"/>
      <c r="OQV26" s="35"/>
      <c r="OQW26" s="35"/>
      <c r="OQX26" s="35"/>
      <c r="OQY26" s="35"/>
      <c r="OQZ26" s="35"/>
      <c r="ORA26" s="35"/>
      <c r="ORB26" s="35"/>
      <c r="ORC26" s="35"/>
      <c r="ORD26" s="35"/>
      <c r="ORE26" s="35"/>
      <c r="ORF26" s="35"/>
      <c r="ORG26" s="35"/>
      <c r="ORH26" s="35"/>
      <c r="ORI26" s="35"/>
      <c r="ORJ26" s="35"/>
      <c r="ORK26" s="35"/>
      <c r="ORL26" s="35"/>
      <c r="ORM26" s="35"/>
      <c r="ORN26" s="35"/>
      <c r="ORO26" s="35"/>
      <c r="ORP26" s="35"/>
      <c r="ORQ26" s="35"/>
      <c r="ORR26" s="35"/>
      <c r="ORS26" s="35"/>
      <c r="ORT26" s="35"/>
      <c r="ORU26" s="35"/>
      <c r="ORV26" s="35"/>
      <c r="ORW26" s="35"/>
      <c r="ORX26" s="35"/>
      <c r="ORY26" s="35"/>
      <c r="ORZ26" s="35"/>
      <c r="OSA26" s="35"/>
      <c r="OSB26" s="35"/>
      <c r="OSC26" s="35"/>
      <c r="OSD26" s="35"/>
      <c r="OSE26" s="35"/>
      <c r="OSF26" s="35"/>
      <c r="OSG26" s="35"/>
      <c r="OSH26" s="35"/>
      <c r="OSI26" s="35"/>
      <c r="OSJ26" s="35"/>
      <c r="OSK26" s="35"/>
      <c r="OSL26" s="35"/>
      <c r="OSM26" s="35"/>
      <c r="OSN26" s="35"/>
      <c r="OSO26" s="35"/>
      <c r="OSP26" s="35"/>
      <c r="OSQ26" s="35"/>
      <c r="OSR26" s="35"/>
      <c r="OSS26" s="35"/>
      <c r="OST26" s="35"/>
      <c r="OSU26" s="35"/>
      <c r="OSV26" s="35"/>
      <c r="OSW26" s="35"/>
      <c r="OSX26" s="35"/>
      <c r="OSY26" s="35"/>
      <c r="OSZ26" s="35"/>
      <c r="OTA26" s="35"/>
      <c r="OTB26" s="35"/>
      <c r="OTC26" s="35"/>
      <c r="OTD26" s="35"/>
      <c r="OTE26" s="35"/>
      <c r="OTF26" s="35"/>
      <c r="OTG26" s="35"/>
      <c r="OTH26" s="35"/>
      <c r="OTI26" s="35"/>
      <c r="OTJ26" s="35"/>
      <c r="OTK26" s="35"/>
      <c r="OTL26" s="35"/>
      <c r="OTM26" s="35"/>
      <c r="OTN26" s="35"/>
      <c r="OTO26" s="35"/>
      <c r="OTP26" s="35"/>
      <c r="OTQ26" s="35"/>
      <c r="OTR26" s="35"/>
      <c r="OTS26" s="35"/>
      <c r="OTT26" s="35"/>
      <c r="OTU26" s="35"/>
      <c r="OTV26" s="35"/>
      <c r="OTW26" s="35"/>
      <c r="OTX26" s="35"/>
      <c r="OTY26" s="35"/>
      <c r="OTZ26" s="35"/>
      <c r="OUA26" s="35"/>
      <c r="OUB26" s="35"/>
      <c r="OUC26" s="35"/>
      <c r="OUD26" s="35"/>
      <c r="OUE26" s="35"/>
      <c r="OUF26" s="35"/>
      <c r="OUG26" s="35"/>
      <c r="OUH26" s="35"/>
      <c r="OUI26" s="35"/>
      <c r="OUJ26" s="35"/>
      <c r="OUK26" s="35"/>
      <c r="OUL26" s="35"/>
      <c r="OUM26" s="35"/>
      <c r="OUN26" s="35"/>
      <c r="OUO26" s="35"/>
      <c r="OUP26" s="35"/>
      <c r="OUQ26" s="35"/>
      <c r="OUR26" s="35"/>
      <c r="OUS26" s="35"/>
      <c r="OUT26" s="35"/>
      <c r="OUU26" s="35"/>
      <c r="OUV26" s="35"/>
      <c r="OUW26" s="35"/>
      <c r="OUX26" s="35"/>
      <c r="OUY26" s="35"/>
      <c r="OUZ26" s="35"/>
      <c r="OVA26" s="35"/>
      <c r="OVB26" s="35"/>
      <c r="OVC26" s="35"/>
      <c r="OVD26" s="35"/>
      <c r="OVE26" s="35"/>
      <c r="OVF26" s="35"/>
      <c r="OVG26" s="35"/>
      <c r="OVH26" s="35"/>
      <c r="OVI26" s="35"/>
      <c r="OVJ26" s="35"/>
      <c r="OVK26" s="35"/>
      <c r="OVL26" s="35"/>
      <c r="OVM26" s="35"/>
      <c r="OVN26" s="35"/>
      <c r="OVO26" s="35"/>
      <c r="OVP26" s="35"/>
      <c r="OVQ26" s="35"/>
      <c r="OVR26" s="35"/>
      <c r="OVS26" s="35"/>
      <c r="OVT26" s="35"/>
      <c r="OVU26" s="35"/>
      <c r="OVV26" s="35"/>
      <c r="OVW26" s="35"/>
      <c r="OVX26" s="35"/>
      <c r="OVY26" s="35"/>
      <c r="OVZ26" s="35"/>
      <c r="OWA26" s="35"/>
      <c r="OWB26" s="35"/>
      <c r="OWC26" s="35"/>
      <c r="OWD26" s="35"/>
      <c r="OWE26" s="35"/>
      <c r="OWF26" s="35"/>
      <c r="OWG26" s="35"/>
      <c r="OWH26" s="35"/>
      <c r="OWI26" s="35"/>
      <c r="OWJ26" s="35"/>
      <c r="OWK26" s="35"/>
      <c r="OWL26" s="35"/>
      <c r="OWM26" s="35"/>
      <c r="OWN26" s="35"/>
      <c r="OWO26" s="35"/>
      <c r="OWP26" s="35"/>
      <c r="OWQ26" s="35"/>
      <c r="OWR26" s="35"/>
      <c r="OWS26" s="35"/>
      <c r="OWT26" s="35"/>
      <c r="OWU26" s="35"/>
      <c r="OWV26" s="35"/>
      <c r="OWW26" s="35"/>
      <c r="OWX26" s="35"/>
      <c r="OWY26" s="35"/>
      <c r="OWZ26" s="35"/>
      <c r="OXA26" s="35"/>
      <c r="OXB26" s="35"/>
      <c r="OXC26" s="35"/>
      <c r="OXD26" s="35"/>
      <c r="OXE26" s="35"/>
      <c r="OXF26" s="35"/>
      <c r="OXG26" s="35"/>
      <c r="OXH26" s="35"/>
      <c r="OXI26" s="35"/>
      <c r="OXJ26" s="35"/>
      <c r="OXK26" s="35"/>
      <c r="OXL26" s="35"/>
      <c r="OXM26" s="35"/>
      <c r="OXN26" s="35"/>
      <c r="OXO26" s="35"/>
      <c r="OXP26" s="35"/>
      <c r="OXQ26" s="35"/>
      <c r="OXR26" s="35"/>
      <c r="OXS26" s="35"/>
      <c r="OXT26" s="35"/>
      <c r="OXU26" s="35"/>
      <c r="OXV26" s="35"/>
      <c r="OXW26" s="35"/>
      <c r="OXX26" s="35"/>
      <c r="OXY26" s="35"/>
      <c r="OXZ26" s="35"/>
      <c r="OYA26" s="35"/>
      <c r="OYB26" s="35"/>
      <c r="OYC26" s="35"/>
      <c r="OYD26" s="35"/>
      <c r="OYE26" s="35"/>
      <c r="OYF26" s="35"/>
      <c r="OYG26" s="35"/>
      <c r="OYH26" s="35"/>
      <c r="OYI26" s="35"/>
      <c r="OYJ26" s="35"/>
      <c r="OYK26" s="35"/>
      <c r="OYL26" s="35"/>
      <c r="OYM26" s="35"/>
      <c r="OYN26" s="35"/>
      <c r="OYO26" s="35"/>
      <c r="OYP26" s="35"/>
      <c r="OYQ26" s="35"/>
      <c r="OYR26" s="35"/>
      <c r="OYS26" s="35"/>
      <c r="OYT26" s="35"/>
      <c r="OYU26" s="35"/>
      <c r="OYV26" s="35"/>
      <c r="OYW26" s="35"/>
      <c r="OYX26" s="35"/>
      <c r="OYY26" s="35"/>
      <c r="OYZ26" s="35"/>
      <c r="OZA26" s="35"/>
      <c r="OZB26" s="35"/>
      <c r="OZC26" s="35"/>
      <c r="OZD26" s="35"/>
      <c r="OZE26" s="35"/>
      <c r="OZF26" s="35"/>
      <c r="OZG26" s="35"/>
      <c r="OZH26" s="35"/>
      <c r="OZI26" s="35"/>
      <c r="OZJ26" s="35"/>
      <c r="OZK26" s="35"/>
      <c r="OZL26" s="35"/>
      <c r="OZM26" s="35"/>
      <c r="OZN26" s="35"/>
      <c r="OZO26" s="35"/>
      <c r="OZP26" s="35"/>
      <c r="OZQ26" s="35"/>
      <c r="OZR26" s="35"/>
      <c r="OZS26" s="35"/>
      <c r="OZT26" s="35"/>
      <c r="OZU26" s="35"/>
      <c r="OZV26" s="35"/>
      <c r="OZW26" s="35"/>
      <c r="OZX26" s="35"/>
      <c r="OZY26" s="35"/>
      <c r="OZZ26" s="35"/>
      <c r="PAA26" s="35"/>
      <c r="PAB26" s="35"/>
      <c r="PAC26" s="35"/>
      <c r="PAD26" s="35"/>
      <c r="PAE26" s="35"/>
      <c r="PAF26" s="35"/>
      <c r="PAG26" s="35"/>
      <c r="PAH26" s="35"/>
      <c r="PAI26" s="35"/>
      <c r="PAJ26" s="35"/>
      <c r="PAK26" s="35"/>
      <c r="PAL26" s="35"/>
      <c r="PAM26" s="35"/>
      <c r="PAN26" s="35"/>
      <c r="PAO26" s="35"/>
      <c r="PAP26" s="35"/>
      <c r="PAQ26" s="35"/>
      <c r="PAR26" s="35"/>
      <c r="PAS26" s="35"/>
      <c r="PAT26" s="35"/>
      <c r="PAU26" s="35"/>
      <c r="PAV26" s="35"/>
      <c r="PAW26" s="35"/>
      <c r="PAX26" s="35"/>
      <c r="PAY26" s="35"/>
      <c r="PAZ26" s="35"/>
      <c r="PBA26" s="35"/>
      <c r="PBB26" s="35"/>
      <c r="PBC26" s="35"/>
      <c r="PBD26" s="35"/>
      <c r="PBE26" s="35"/>
      <c r="PBF26" s="35"/>
      <c r="PBG26" s="35"/>
      <c r="PBH26" s="35"/>
      <c r="PBI26" s="35"/>
      <c r="PBJ26" s="35"/>
      <c r="PBK26" s="35"/>
      <c r="PBL26" s="35"/>
      <c r="PBM26" s="35"/>
      <c r="PBN26" s="35"/>
      <c r="PBO26" s="35"/>
      <c r="PBP26" s="35"/>
      <c r="PBQ26" s="35"/>
      <c r="PBR26" s="35"/>
      <c r="PBS26" s="35"/>
      <c r="PBT26" s="35"/>
      <c r="PBU26" s="35"/>
      <c r="PBV26" s="35"/>
      <c r="PBW26" s="35"/>
      <c r="PBX26" s="35"/>
      <c r="PBY26" s="35"/>
      <c r="PBZ26" s="35"/>
      <c r="PCA26" s="35"/>
      <c r="PCB26" s="35"/>
      <c r="PCC26" s="35"/>
      <c r="PCD26" s="35"/>
      <c r="PCE26" s="35"/>
      <c r="PCF26" s="35"/>
      <c r="PCG26" s="35"/>
      <c r="PCH26" s="35"/>
      <c r="PCI26" s="35"/>
      <c r="PCJ26" s="35"/>
      <c r="PCK26" s="35"/>
      <c r="PCL26" s="35"/>
      <c r="PCM26" s="35"/>
      <c r="PCN26" s="35"/>
      <c r="PCO26" s="35"/>
      <c r="PCP26" s="35"/>
      <c r="PCQ26" s="35"/>
      <c r="PCR26" s="35"/>
      <c r="PCS26" s="35"/>
      <c r="PCT26" s="35"/>
      <c r="PCU26" s="35"/>
      <c r="PCV26" s="35"/>
      <c r="PCW26" s="35"/>
      <c r="PCX26" s="35"/>
      <c r="PCY26" s="35"/>
      <c r="PCZ26" s="35"/>
      <c r="PDA26" s="35"/>
      <c r="PDB26" s="35"/>
      <c r="PDC26" s="35"/>
      <c r="PDD26" s="35"/>
      <c r="PDE26" s="35"/>
      <c r="PDF26" s="35"/>
      <c r="PDG26" s="35"/>
      <c r="PDH26" s="35"/>
      <c r="PDI26" s="35"/>
      <c r="PDJ26" s="35"/>
      <c r="PDK26" s="35"/>
      <c r="PDL26" s="35"/>
      <c r="PDM26" s="35"/>
      <c r="PDN26" s="35"/>
      <c r="PDO26" s="35"/>
      <c r="PDP26" s="35"/>
      <c r="PDQ26" s="35"/>
      <c r="PDR26" s="35"/>
      <c r="PDS26" s="35"/>
      <c r="PDT26" s="35"/>
      <c r="PDU26" s="35"/>
      <c r="PDV26" s="35"/>
      <c r="PDW26" s="35"/>
      <c r="PDX26" s="35"/>
      <c r="PDY26" s="35"/>
      <c r="PDZ26" s="35"/>
      <c r="PEA26" s="35"/>
      <c r="PEB26" s="35"/>
      <c r="PEC26" s="35"/>
      <c r="PED26" s="35"/>
      <c r="PEE26" s="35"/>
      <c r="PEF26" s="35"/>
      <c r="PEG26" s="35"/>
      <c r="PEH26" s="35"/>
      <c r="PEI26" s="35"/>
      <c r="PEJ26" s="35"/>
      <c r="PEK26" s="35"/>
      <c r="PEL26" s="35"/>
      <c r="PEM26" s="35"/>
      <c r="PEN26" s="35"/>
      <c r="PEO26" s="35"/>
      <c r="PEP26" s="35"/>
      <c r="PEQ26" s="35"/>
      <c r="PER26" s="35"/>
      <c r="PES26" s="35"/>
      <c r="PET26" s="35"/>
      <c r="PEU26" s="35"/>
      <c r="PEV26" s="35"/>
      <c r="PEW26" s="35"/>
      <c r="PEX26" s="35"/>
      <c r="PEY26" s="35"/>
      <c r="PEZ26" s="35"/>
      <c r="PFA26" s="35"/>
      <c r="PFB26" s="35"/>
      <c r="PFC26" s="35"/>
      <c r="PFD26" s="35"/>
      <c r="PFE26" s="35"/>
      <c r="PFF26" s="35"/>
      <c r="PFG26" s="35"/>
      <c r="PFH26" s="35"/>
      <c r="PFI26" s="35"/>
      <c r="PFJ26" s="35"/>
      <c r="PFK26" s="35"/>
      <c r="PFL26" s="35"/>
      <c r="PFM26" s="35"/>
      <c r="PFN26" s="35"/>
      <c r="PFO26" s="35"/>
      <c r="PFP26" s="35"/>
      <c r="PFQ26" s="35"/>
      <c r="PFR26" s="35"/>
      <c r="PFS26" s="35"/>
      <c r="PFT26" s="35"/>
      <c r="PFU26" s="35"/>
      <c r="PFV26" s="35"/>
      <c r="PFW26" s="35"/>
      <c r="PFX26" s="35"/>
      <c r="PFY26" s="35"/>
      <c r="PFZ26" s="35"/>
      <c r="PGA26" s="35"/>
      <c r="PGB26" s="35"/>
      <c r="PGC26" s="35"/>
      <c r="PGD26" s="35"/>
      <c r="PGE26" s="35"/>
      <c r="PGF26" s="35"/>
      <c r="PGG26" s="35"/>
      <c r="PGH26" s="35"/>
      <c r="PGI26" s="35"/>
      <c r="PGJ26" s="35"/>
      <c r="PGK26" s="35"/>
      <c r="PGL26" s="35"/>
      <c r="PGM26" s="35"/>
      <c r="PGN26" s="35"/>
      <c r="PGO26" s="35"/>
      <c r="PGP26" s="35"/>
      <c r="PGQ26" s="35"/>
      <c r="PGR26" s="35"/>
      <c r="PGS26" s="35"/>
      <c r="PGT26" s="35"/>
      <c r="PGU26" s="35"/>
      <c r="PGV26" s="35"/>
      <c r="PGW26" s="35"/>
      <c r="PGX26" s="35"/>
      <c r="PGY26" s="35"/>
      <c r="PGZ26" s="35"/>
      <c r="PHA26" s="35"/>
      <c r="PHB26" s="35"/>
      <c r="PHC26" s="35"/>
      <c r="PHD26" s="35"/>
      <c r="PHE26" s="35"/>
      <c r="PHF26" s="35"/>
      <c r="PHG26" s="35"/>
      <c r="PHH26" s="35"/>
      <c r="PHI26" s="35"/>
      <c r="PHJ26" s="35"/>
      <c r="PHK26" s="35"/>
      <c r="PHL26" s="35"/>
      <c r="PHM26" s="35"/>
      <c r="PHN26" s="35"/>
      <c r="PHO26" s="35"/>
      <c r="PHP26" s="35"/>
      <c r="PHQ26" s="35"/>
      <c r="PHR26" s="35"/>
      <c r="PHS26" s="35"/>
      <c r="PHT26" s="35"/>
      <c r="PHU26" s="35"/>
      <c r="PHV26" s="35"/>
      <c r="PHW26" s="35"/>
      <c r="PHX26" s="35"/>
      <c r="PHY26" s="35"/>
      <c r="PHZ26" s="35"/>
      <c r="PIA26" s="35"/>
      <c r="PIB26" s="35"/>
      <c r="PIC26" s="35"/>
      <c r="PID26" s="35"/>
      <c r="PIE26" s="35"/>
      <c r="PIF26" s="35"/>
      <c r="PIG26" s="35"/>
      <c r="PIH26" s="35"/>
      <c r="PII26" s="35"/>
      <c r="PIJ26" s="35"/>
      <c r="PIK26" s="35"/>
      <c r="PIL26" s="35"/>
      <c r="PIM26" s="35"/>
      <c r="PIN26" s="35"/>
      <c r="PIO26" s="35"/>
      <c r="PIP26" s="35"/>
      <c r="PIQ26" s="35"/>
      <c r="PIR26" s="35"/>
      <c r="PIS26" s="35"/>
      <c r="PIT26" s="35"/>
      <c r="PIU26" s="35"/>
      <c r="PIV26" s="35"/>
      <c r="PIW26" s="35"/>
      <c r="PIX26" s="35"/>
      <c r="PIY26" s="35"/>
      <c r="PIZ26" s="35"/>
      <c r="PJA26" s="35"/>
      <c r="PJB26" s="35"/>
      <c r="PJC26" s="35"/>
      <c r="PJD26" s="35"/>
      <c r="PJE26" s="35"/>
      <c r="PJF26" s="35"/>
      <c r="PJG26" s="35"/>
      <c r="PJH26" s="35"/>
      <c r="PJI26" s="35"/>
      <c r="PJJ26" s="35"/>
      <c r="PJK26" s="35"/>
      <c r="PJL26" s="35"/>
      <c r="PJM26" s="35"/>
      <c r="PJN26" s="35"/>
      <c r="PJO26" s="35"/>
      <c r="PJP26" s="35"/>
      <c r="PJQ26" s="35"/>
      <c r="PJR26" s="35"/>
      <c r="PJS26" s="35"/>
      <c r="PJT26" s="35"/>
      <c r="PJU26" s="35"/>
      <c r="PJV26" s="35"/>
      <c r="PJW26" s="35"/>
      <c r="PJX26" s="35"/>
      <c r="PJY26" s="35"/>
      <c r="PJZ26" s="35"/>
      <c r="PKA26" s="35"/>
      <c r="PKB26" s="35"/>
      <c r="PKC26" s="35"/>
      <c r="PKD26" s="35"/>
      <c r="PKE26" s="35"/>
      <c r="PKF26" s="35"/>
      <c r="PKG26" s="35"/>
      <c r="PKH26" s="35"/>
      <c r="PKI26" s="35"/>
      <c r="PKJ26" s="35"/>
      <c r="PKK26" s="35"/>
      <c r="PKL26" s="35"/>
      <c r="PKM26" s="35"/>
      <c r="PKN26" s="35"/>
      <c r="PKO26" s="35"/>
      <c r="PKP26" s="35"/>
      <c r="PKQ26" s="35"/>
      <c r="PKR26" s="35"/>
      <c r="PKS26" s="35"/>
      <c r="PKT26" s="35"/>
      <c r="PKU26" s="35"/>
      <c r="PKV26" s="35"/>
      <c r="PKW26" s="35"/>
      <c r="PKX26" s="35"/>
      <c r="PKY26" s="35"/>
      <c r="PKZ26" s="35"/>
      <c r="PLA26" s="35"/>
      <c r="PLB26" s="35"/>
      <c r="PLC26" s="35"/>
      <c r="PLD26" s="35"/>
      <c r="PLE26" s="35"/>
      <c r="PLF26" s="35"/>
      <c r="PLG26" s="35"/>
      <c r="PLH26" s="35"/>
      <c r="PLI26" s="35"/>
      <c r="PLJ26" s="35"/>
      <c r="PLK26" s="35"/>
      <c r="PLL26" s="35"/>
      <c r="PLM26" s="35"/>
      <c r="PLN26" s="35"/>
      <c r="PLO26" s="35"/>
      <c r="PLP26" s="35"/>
      <c r="PLQ26" s="35"/>
      <c r="PLR26" s="35"/>
      <c r="PLS26" s="35"/>
      <c r="PLT26" s="35"/>
      <c r="PLU26" s="35"/>
      <c r="PLV26" s="35"/>
      <c r="PLW26" s="35"/>
      <c r="PLX26" s="35"/>
      <c r="PLY26" s="35"/>
      <c r="PLZ26" s="35"/>
      <c r="PMA26" s="35"/>
      <c r="PMB26" s="35"/>
      <c r="PMC26" s="35"/>
      <c r="PMD26" s="35"/>
      <c r="PME26" s="35"/>
      <c r="PMF26" s="35"/>
      <c r="PMG26" s="35"/>
      <c r="PMH26" s="35"/>
      <c r="PMI26" s="35"/>
      <c r="PMJ26" s="35"/>
      <c r="PMK26" s="35"/>
      <c r="PML26" s="35"/>
      <c r="PMM26" s="35"/>
      <c r="PMN26" s="35"/>
      <c r="PMO26" s="35"/>
      <c r="PMP26" s="35"/>
      <c r="PMQ26" s="35"/>
      <c r="PMR26" s="35"/>
      <c r="PMS26" s="35"/>
      <c r="PMT26" s="35"/>
      <c r="PMU26" s="35"/>
      <c r="PMV26" s="35"/>
      <c r="PMW26" s="35"/>
      <c r="PMX26" s="35"/>
      <c r="PMY26" s="35"/>
      <c r="PMZ26" s="35"/>
      <c r="PNA26" s="35"/>
      <c r="PNB26" s="35"/>
      <c r="PNC26" s="35"/>
      <c r="PND26" s="35"/>
      <c r="PNE26" s="35"/>
      <c r="PNF26" s="35"/>
      <c r="PNG26" s="35"/>
      <c r="PNH26" s="35"/>
      <c r="PNI26" s="35"/>
      <c r="PNJ26" s="35"/>
      <c r="PNK26" s="35"/>
      <c r="PNL26" s="35"/>
      <c r="PNM26" s="35"/>
      <c r="PNN26" s="35"/>
      <c r="PNO26" s="35"/>
      <c r="PNP26" s="35"/>
      <c r="PNQ26" s="35"/>
      <c r="PNR26" s="35"/>
      <c r="PNS26" s="35"/>
      <c r="PNT26" s="35"/>
      <c r="PNU26" s="35"/>
      <c r="PNV26" s="35"/>
      <c r="PNW26" s="35"/>
      <c r="PNX26" s="35"/>
      <c r="PNY26" s="35"/>
      <c r="PNZ26" s="35"/>
      <c r="POA26" s="35"/>
      <c r="POB26" s="35"/>
      <c r="POC26" s="35"/>
      <c r="POD26" s="35"/>
      <c r="POE26" s="35"/>
      <c r="POF26" s="35"/>
      <c r="POG26" s="35"/>
      <c r="POH26" s="35"/>
      <c r="POI26" s="35"/>
      <c r="POJ26" s="35"/>
      <c r="POK26" s="35"/>
      <c r="POL26" s="35"/>
      <c r="POM26" s="35"/>
      <c r="PON26" s="35"/>
      <c r="POO26" s="35"/>
      <c r="POP26" s="35"/>
      <c r="POQ26" s="35"/>
      <c r="POR26" s="35"/>
      <c r="POS26" s="35"/>
      <c r="POT26" s="35"/>
      <c r="POU26" s="35"/>
      <c r="POV26" s="35"/>
      <c r="POW26" s="35"/>
      <c r="POX26" s="35"/>
      <c r="POY26" s="35"/>
      <c r="POZ26" s="35"/>
      <c r="PPA26" s="35"/>
      <c r="PPB26" s="35"/>
      <c r="PPC26" s="35"/>
      <c r="PPD26" s="35"/>
      <c r="PPE26" s="35"/>
      <c r="PPF26" s="35"/>
      <c r="PPG26" s="35"/>
      <c r="PPH26" s="35"/>
      <c r="PPI26" s="35"/>
      <c r="PPJ26" s="35"/>
      <c r="PPK26" s="35"/>
      <c r="PPL26" s="35"/>
      <c r="PPM26" s="35"/>
      <c r="PPN26" s="35"/>
      <c r="PPO26" s="35"/>
      <c r="PPP26" s="35"/>
      <c r="PPQ26" s="35"/>
      <c r="PPR26" s="35"/>
      <c r="PPS26" s="35"/>
      <c r="PPT26" s="35"/>
      <c r="PPU26" s="35"/>
      <c r="PPV26" s="35"/>
      <c r="PPW26" s="35"/>
      <c r="PPX26" s="35"/>
      <c r="PPY26" s="35"/>
      <c r="PPZ26" s="35"/>
      <c r="PQA26" s="35"/>
      <c r="PQB26" s="35"/>
      <c r="PQC26" s="35"/>
      <c r="PQD26" s="35"/>
      <c r="PQE26" s="35"/>
      <c r="PQF26" s="35"/>
      <c r="PQG26" s="35"/>
      <c r="PQH26" s="35"/>
      <c r="PQI26" s="35"/>
      <c r="PQJ26" s="35"/>
      <c r="PQK26" s="35"/>
      <c r="PQL26" s="35"/>
      <c r="PQM26" s="35"/>
      <c r="PQN26" s="35"/>
      <c r="PQO26" s="35"/>
      <c r="PQP26" s="35"/>
      <c r="PQQ26" s="35"/>
      <c r="PQR26" s="35"/>
      <c r="PQS26" s="35"/>
      <c r="PQT26" s="35"/>
      <c r="PQU26" s="35"/>
      <c r="PQV26" s="35"/>
      <c r="PQW26" s="35"/>
      <c r="PQX26" s="35"/>
      <c r="PQY26" s="35"/>
      <c r="PQZ26" s="35"/>
      <c r="PRA26" s="35"/>
      <c r="PRB26" s="35"/>
      <c r="PRC26" s="35"/>
      <c r="PRD26" s="35"/>
      <c r="PRE26" s="35"/>
      <c r="PRF26" s="35"/>
      <c r="PRG26" s="35"/>
      <c r="PRH26" s="35"/>
      <c r="PRI26" s="35"/>
      <c r="PRJ26" s="35"/>
      <c r="PRK26" s="35"/>
      <c r="PRL26" s="35"/>
      <c r="PRM26" s="35"/>
      <c r="PRN26" s="35"/>
      <c r="PRO26" s="35"/>
      <c r="PRP26" s="35"/>
      <c r="PRQ26" s="35"/>
      <c r="PRR26" s="35"/>
      <c r="PRS26" s="35"/>
      <c r="PRT26" s="35"/>
      <c r="PRU26" s="35"/>
      <c r="PRV26" s="35"/>
      <c r="PRW26" s="35"/>
      <c r="PRX26" s="35"/>
      <c r="PRY26" s="35"/>
      <c r="PRZ26" s="35"/>
      <c r="PSA26" s="35"/>
      <c r="PSB26" s="35"/>
      <c r="PSC26" s="35"/>
      <c r="PSD26" s="35"/>
      <c r="PSE26" s="35"/>
      <c r="PSF26" s="35"/>
      <c r="PSG26" s="35"/>
      <c r="PSH26" s="35"/>
      <c r="PSI26" s="35"/>
      <c r="PSJ26" s="35"/>
      <c r="PSK26" s="35"/>
      <c r="PSL26" s="35"/>
      <c r="PSM26" s="35"/>
      <c r="PSN26" s="35"/>
      <c r="PSO26" s="35"/>
      <c r="PSP26" s="35"/>
      <c r="PSQ26" s="35"/>
      <c r="PSR26" s="35"/>
      <c r="PSS26" s="35"/>
      <c r="PST26" s="35"/>
      <c r="PSU26" s="35"/>
      <c r="PSV26" s="35"/>
      <c r="PSW26" s="35"/>
      <c r="PSX26" s="35"/>
      <c r="PSY26" s="35"/>
      <c r="PSZ26" s="35"/>
      <c r="PTA26" s="35"/>
      <c r="PTB26" s="35"/>
      <c r="PTC26" s="35"/>
      <c r="PTD26" s="35"/>
      <c r="PTE26" s="35"/>
      <c r="PTF26" s="35"/>
      <c r="PTG26" s="35"/>
      <c r="PTH26" s="35"/>
      <c r="PTI26" s="35"/>
      <c r="PTJ26" s="35"/>
      <c r="PTK26" s="35"/>
      <c r="PTL26" s="35"/>
      <c r="PTM26" s="35"/>
      <c r="PTN26" s="35"/>
      <c r="PTO26" s="35"/>
      <c r="PTP26" s="35"/>
      <c r="PTQ26" s="35"/>
      <c r="PTR26" s="35"/>
      <c r="PTS26" s="35"/>
      <c r="PTT26" s="35"/>
      <c r="PTU26" s="35"/>
      <c r="PTV26" s="35"/>
      <c r="PTW26" s="35"/>
      <c r="PTX26" s="35"/>
      <c r="PTY26" s="35"/>
      <c r="PTZ26" s="35"/>
      <c r="PUA26" s="35"/>
      <c r="PUB26" s="35"/>
      <c r="PUC26" s="35"/>
      <c r="PUD26" s="35"/>
      <c r="PUE26" s="35"/>
      <c r="PUF26" s="35"/>
      <c r="PUG26" s="35"/>
      <c r="PUH26" s="35"/>
      <c r="PUI26" s="35"/>
      <c r="PUJ26" s="35"/>
      <c r="PUK26" s="35"/>
      <c r="PUL26" s="35"/>
      <c r="PUM26" s="35"/>
      <c r="PUN26" s="35"/>
      <c r="PUO26" s="35"/>
      <c r="PUP26" s="35"/>
      <c r="PUQ26" s="35"/>
      <c r="PUR26" s="35"/>
      <c r="PUS26" s="35"/>
      <c r="PUT26" s="35"/>
      <c r="PUU26" s="35"/>
      <c r="PUV26" s="35"/>
      <c r="PUW26" s="35"/>
      <c r="PUX26" s="35"/>
      <c r="PUY26" s="35"/>
      <c r="PUZ26" s="35"/>
      <c r="PVA26" s="35"/>
      <c r="PVB26" s="35"/>
      <c r="PVC26" s="35"/>
      <c r="PVD26" s="35"/>
      <c r="PVE26" s="35"/>
      <c r="PVF26" s="35"/>
      <c r="PVG26" s="35"/>
      <c r="PVH26" s="35"/>
      <c r="PVI26" s="35"/>
      <c r="PVJ26" s="35"/>
      <c r="PVK26" s="35"/>
      <c r="PVL26" s="35"/>
      <c r="PVM26" s="35"/>
      <c r="PVN26" s="35"/>
      <c r="PVO26" s="35"/>
      <c r="PVP26" s="35"/>
      <c r="PVQ26" s="35"/>
      <c r="PVR26" s="35"/>
      <c r="PVS26" s="35"/>
      <c r="PVT26" s="35"/>
      <c r="PVU26" s="35"/>
      <c r="PVV26" s="35"/>
      <c r="PVW26" s="35"/>
      <c r="PVX26" s="35"/>
      <c r="PVY26" s="35"/>
      <c r="PVZ26" s="35"/>
      <c r="PWA26" s="35"/>
      <c r="PWB26" s="35"/>
      <c r="PWC26" s="35"/>
      <c r="PWD26" s="35"/>
      <c r="PWE26" s="35"/>
      <c r="PWF26" s="35"/>
      <c r="PWG26" s="35"/>
      <c r="PWH26" s="35"/>
      <c r="PWI26" s="35"/>
      <c r="PWJ26" s="35"/>
      <c r="PWK26" s="35"/>
      <c r="PWL26" s="35"/>
      <c r="PWM26" s="35"/>
      <c r="PWN26" s="35"/>
      <c r="PWO26" s="35"/>
      <c r="PWP26" s="35"/>
      <c r="PWQ26" s="35"/>
      <c r="PWR26" s="35"/>
      <c r="PWS26" s="35"/>
      <c r="PWT26" s="35"/>
      <c r="PWU26" s="35"/>
      <c r="PWV26" s="35"/>
      <c r="PWW26" s="35"/>
      <c r="PWX26" s="35"/>
      <c r="PWY26" s="35"/>
      <c r="PWZ26" s="35"/>
      <c r="PXA26" s="35"/>
      <c r="PXB26" s="35"/>
      <c r="PXC26" s="35"/>
      <c r="PXD26" s="35"/>
      <c r="PXE26" s="35"/>
      <c r="PXF26" s="35"/>
      <c r="PXG26" s="35"/>
      <c r="PXH26" s="35"/>
      <c r="PXI26" s="35"/>
      <c r="PXJ26" s="35"/>
      <c r="PXK26" s="35"/>
      <c r="PXL26" s="35"/>
      <c r="PXM26" s="35"/>
      <c r="PXN26" s="35"/>
      <c r="PXO26" s="35"/>
      <c r="PXP26" s="35"/>
      <c r="PXQ26" s="35"/>
      <c r="PXR26" s="35"/>
      <c r="PXS26" s="35"/>
      <c r="PXT26" s="35"/>
      <c r="PXU26" s="35"/>
      <c r="PXV26" s="35"/>
      <c r="PXW26" s="35"/>
      <c r="PXX26" s="35"/>
      <c r="PXY26" s="35"/>
      <c r="PXZ26" s="35"/>
      <c r="PYA26" s="35"/>
      <c r="PYB26" s="35"/>
      <c r="PYC26" s="35"/>
      <c r="PYD26" s="35"/>
      <c r="PYE26" s="35"/>
      <c r="PYF26" s="35"/>
      <c r="PYG26" s="35"/>
      <c r="PYH26" s="35"/>
      <c r="PYI26" s="35"/>
      <c r="PYJ26" s="35"/>
      <c r="PYK26" s="35"/>
      <c r="PYL26" s="35"/>
      <c r="PYM26" s="35"/>
      <c r="PYN26" s="35"/>
      <c r="PYO26" s="35"/>
      <c r="PYP26" s="35"/>
      <c r="PYQ26" s="35"/>
      <c r="PYR26" s="35"/>
      <c r="PYS26" s="35"/>
      <c r="PYT26" s="35"/>
      <c r="PYU26" s="35"/>
      <c r="PYV26" s="35"/>
      <c r="PYW26" s="35"/>
      <c r="PYX26" s="35"/>
      <c r="PYY26" s="35"/>
      <c r="PYZ26" s="35"/>
      <c r="PZA26" s="35"/>
      <c r="PZB26" s="35"/>
      <c r="PZC26" s="35"/>
      <c r="PZD26" s="35"/>
      <c r="PZE26" s="35"/>
      <c r="PZF26" s="35"/>
      <c r="PZG26" s="35"/>
      <c r="PZH26" s="35"/>
      <c r="PZI26" s="35"/>
      <c r="PZJ26" s="35"/>
      <c r="PZK26" s="35"/>
      <c r="PZL26" s="35"/>
      <c r="PZM26" s="35"/>
      <c r="PZN26" s="35"/>
      <c r="PZO26" s="35"/>
      <c r="PZP26" s="35"/>
      <c r="PZQ26" s="35"/>
      <c r="PZR26" s="35"/>
      <c r="PZS26" s="35"/>
      <c r="PZT26" s="35"/>
      <c r="PZU26" s="35"/>
      <c r="PZV26" s="35"/>
      <c r="PZW26" s="35"/>
      <c r="PZX26" s="35"/>
      <c r="PZY26" s="35"/>
      <c r="PZZ26" s="35"/>
      <c r="QAA26" s="35"/>
      <c r="QAB26" s="35"/>
      <c r="QAC26" s="35"/>
      <c r="QAD26" s="35"/>
      <c r="QAE26" s="35"/>
      <c r="QAF26" s="35"/>
      <c r="QAG26" s="35"/>
      <c r="QAH26" s="35"/>
      <c r="QAI26" s="35"/>
      <c r="QAJ26" s="35"/>
      <c r="QAK26" s="35"/>
      <c r="QAL26" s="35"/>
      <c r="QAM26" s="35"/>
      <c r="QAN26" s="35"/>
      <c r="QAO26" s="35"/>
      <c r="QAP26" s="35"/>
      <c r="QAQ26" s="35"/>
      <c r="QAR26" s="35"/>
      <c r="QAS26" s="35"/>
      <c r="QAT26" s="35"/>
      <c r="QAU26" s="35"/>
      <c r="QAV26" s="35"/>
      <c r="QAW26" s="35"/>
      <c r="QAX26" s="35"/>
      <c r="QAY26" s="35"/>
      <c r="QAZ26" s="35"/>
      <c r="QBA26" s="35"/>
      <c r="QBB26" s="35"/>
      <c r="QBC26" s="35"/>
      <c r="QBD26" s="35"/>
      <c r="QBE26" s="35"/>
      <c r="QBF26" s="35"/>
      <c r="QBG26" s="35"/>
      <c r="QBH26" s="35"/>
      <c r="QBI26" s="35"/>
      <c r="QBJ26" s="35"/>
      <c r="QBK26" s="35"/>
      <c r="QBL26" s="35"/>
      <c r="QBM26" s="35"/>
      <c r="QBN26" s="35"/>
      <c r="QBO26" s="35"/>
      <c r="QBP26" s="35"/>
      <c r="QBQ26" s="35"/>
      <c r="QBR26" s="35"/>
      <c r="QBS26" s="35"/>
      <c r="QBT26" s="35"/>
      <c r="QBU26" s="35"/>
      <c r="QBV26" s="35"/>
      <c r="QBW26" s="35"/>
      <c r="QBX26" s="35"/>
      <c r="QBY26" s="35"/>
      <c r="QBZ26" s="35"/>
      <c r="QCA26" s="35"/>
      <c r="QCB26" s="35"/>
      <c r="QCC26" s="35"/>
      <c r="QCD26" s="35"/>
      <c r="QCE26" s="35"/>
      <c r="QCF26" s="35"/>
      <c r="QCG26" s="35"/>
      <c r="QCH26" s="35"/>
      <c r="QCI26" s="35"/>
      <c r="QCJ26" s="35"/>
      <c r="QCK26" s="35"/>
      <c r="QCL26" s="35"/>
      <c r="QCM26" s="35"/>
      <c r="QCN26" s="35"/>
      <c r="QCO26" s="35"/>
      <c r="QCP26" s="35"/>
      <c r="QCQ26" s="35"/>
      <c r="QCR26" s="35"/>
      <c r="QCS26" s="35"/>
      <c r="QCT26" s="35"/>
      <c r="QCU26" s="35"/>
      <c r="QCV26" s="35"/>
      <c r="QCW26" s="35"/>
      <c r="QCX26" s="35"/>
      <c r="QCY26" s="35"/>
      <c r="QCZ26" s="35"/>
      <c r="QDA26" s="35"/>
      <c r="QDB26" s="35"/>
      <c r="QDC26" s="35"/>
      <c r="QDD26" s="35"/>
      <c r="QDE26" s="35"/>
      <c r="QDF26" s="35"/>
      <c r="QDG26" s="35"/>
      <c r="QDH26" s="35"/>
      <c r="QDI26" s="35"/>
      <c r="QDJ26" s="35"/>
      <c r="QDK26" s="35"/>
      <c r="QDL26" s="35"/>
      <c r="QDM26" s="35"/>
      <c r="QDN26" s="35"/>
      <c r="QDO26" s="35"/>
      <c r="QDP26" s="35"/>
      <c r="QDQ26" s="35"/>
      <c r="QDR26" s="35"/>
      <c r="QDS26" s="35"/>
      <c r="QDT26" s="35"/>
      <c r="QDU26" s="35"/>
      <c r="QDV26" s="35"/>
      <c r="QDW26" s="35"/>
      <c r="QDX26" s="35"/>
      <c r="QDY26" s="35"/>
      <c r="QDZ26" s="35"/>
      <c r="QEA26" s="35"/>
      <c r="QEB26" s="35"/>
      <c r="QEC26" s="35"/>
      <c r="QED26" s="35"/>
      <c r="QEE26" s="35"/>
      <c r="QEF26" s="35"/>
      <c r="QEG26" s="35"/>
      <c r="QEH26" s="35"/>
      <c r="QEI26" s="35"/>
      <c r="QEJ26" s="35"/>
      <c r="QEK26" s="35"/>
      <c r="QEL26" s="35"/>
      <c r="QEM26" s="35"/>
      <c r="QEN26" s="35"/>
      <c r="QEO26" s="35"/>
      <c r="QEP26" s="35"/>
      <c r="QEQ26" s="35"/>
      <c r="QER26" s="35"/>
      <c r="QES26" s="35"/>
      <c r="QET26" s="35"/>
      <c r="QEU26" s="35"/>
      <c r="QEV26" s="35"/>
      <c r="QEW26" s="35"/>
      <c r="QEX26" s="35"/>
      <c r="QEY26" s="35"/>
      <c r="QEZ26" s="35"/>
      <c r="QFA26" s="35"/>
      <c r="QFB26" s="35"/>
      <c r="QFC26" s="35"/>
      <c r="QFD26" s="35"/>
      <c r="QFE26" s="35"/>
      <c r="QFF26" s="35"/>
      <c r="QFG26" s="35"/>
      <c r="QFH26" s="35"/>
      <c r="QFI26" s="35"/>
      <c r="QFJ26" s="35"/>
      <c r="QFK26" s="35"/>
      <c r="QFL26" s="35"/>
      <c r="QFM26" s="35"/>
      <c r="QFN26" s="35"/>
      <c r="QFO26" s="35"/>
      <c r="QFP26" s="35"/>
      <c r="QFQ26" s="35"/>
      <c r="QFR26" s="35"/>
      <c r="QFS26" s="35"/>
      <c r="QFT26" s="35"/>
      <c r="QFU26" s="35"/>
      <c r="QFV26" s="35"/>
      <c r="QFW26" s="35"/>
      <c r="QFX26" s="35"/>
      <c r="QFY26" s="35"/>
      <c r="QFZ26" s="35"/>
      <c r="QGA26" s="35"/>
      <c r="QGB26" s="35"/>
      <c r="QGC26" s="35"/>
      <c r="QGD26" s="35"/>
      <c r="QGE26" s="35"/>
      <c r="QGF26" s="35"/>
      <c r="QGG26" s="35"/>
      <c r="QGH26" s="35"/>
      <c r="QGI26" s="35"/>
      <c r="QGJ26" s="35"/>
      <c r="QGK26" s="35"/>
      <c r="QGL26" s="35"/>
      <c r="QGM26" s="35"/>
      <c r="QGN26" s="35"/>
      <c r="QGO26" s="35"/>
      <c r="QGP26" s="35"/>
      <c r="QGQ26" s="35"/>
      <c r="QGR26" s="35"/>
      <c r="QGS26" s="35"/>
      <c r="QGT26" s="35"/>
      <c r="QGU26" s="35"/>
      <c r="QGV26" s="35"/>
      <c r="QGW26" s="35"/>
      <c r="QGX26" s="35"/>
      <c r="QGY26" s="35"/>
      <c r="QGZ26" s="35"/>
      <c r="QHA26" s="35"/>
      <c r="QHB26" s="35"/>
      <c r="QHC26" s="35"/>
      <c r="QHD26" s="35"/>
      <c r="QHE26" s="35"/>
      <c r="QHF26" s="35"/>
      <c r="QHG26" s="35"/>
      <c r="QHH26" s="35"/>
      <c r="QHI26" s="35"/>
      <c r="QHJ26" s="35"/>
      <c r="QHK26" s="35"/>
      <c r="QHL26" s="35"/>
      <c r="QHM26" s="35"/>
      <c r="QHN26" s="35"/>
      <c r="QHO26" s="35"/>
      <c r="QHP26" s="35"/>
      <c r="QHQ26" s="35"/>
      <c r="QHR26" s="35"/>
      <c r="QHS26" s="35"/>
      <c r="QHT26" s="35"/>
      <c r="QHU26" s="35"/>
      <c r="QHV26" s="35"/>
      <c r="QHW26" s="35"/>
      <c r="QHX26" s="35"/>
      <c r="QHY26" s="35"/>
      <c r="QHZ26" s="35"/>
      <c r="QIA26" s="35"/>
      <c r="QIB26" s="35"/>
      <c r="QIC26" s="35"/>
      <c r="QID26" s="35"/>
      <c r="QIE26" s="35"/>
      <c r="QIF26" s="35"/>
      <c r="QIG26" s="35"/>
      <c r="QIH26" s="35"/>
      <c r="QII26" s="35"/>
      <c r="QIJ26" s="35"/>
      <c r="QIK26" s="35"/>
      <c r="QIL26" s="35"/>
      <c r="QIM26" s="35"/>
      <c r="QIN26" s="35"/>
      <c r="QIO26" s="35"/>
      <c r="QIP26" s="35"/>
      <c r="QIQ26" s="35"/>
      <c r="QIR26" s="35"/>
      <c r="QIS26" s="35"/>
      <c r="QIT26" s="35"/>
      <c r="QIU26" s="35"/>
      <c r="QIV26" s="35"/>
      <c r="QIW26" s="35"/>
      <c r="QIX26" s="35"/>
      <c r="QIY26" s="35"/>
      <c r="QIZ26" s="35"/>
      <c r="QJA26" s="35"/>
      <c r="QJB26" s="35"/>
      <c r="QJC26" s="35"/>
      <c r="QJD26" s="35"/>
      <c r="QJE26" s="35"/>
      <c r="QJF26" s="35"/>
      <c r="QJG26" s="35"/>
      <c r="QJH26" s="35"/>
      <c r="QJI26" s="35"/>
      <c r="QJJ26" s="35"/>
      <c r="QJK26" s="35"/>
      <c r="QJL26" s="35"/>
      <c r="QJM26" s="35"/>
      <c r="QJN26" s="35"/>
      <c r="QJO26" s="35"/>
      <c r="QJP26" s="35"/>
      <c r="QJQ26" s="35"/>
      <c r="QJR26" s="35"/>
      <c r="QJS26" s="35"/>
      <c r="QJT26" s="35"/>
      <c r="QJU26" s="35"/>
      <c r="QJV26" s="35"/>
      <c r="QJW26" s="35"/>
      <c r="QJX26" s="35"/>
      <c r="QJY26" s="35"/>
      <c r="QJZ26" s="35"/>
      <c r="QKA26" s="35"/>
      <c r="QKB26" s="35"/>
      <c r="QKC26" s="35"/>
      <c r="QKD26" s="35"/>
      <c r="QKE26" s="35"/>
      <c r="QKF26" s="35"/>
      <c r="QKG26" s="35"/>
      <c r="QKH26" s="35"/>
      <c r="QKI26" s="35"/>
      <c r="QKJ26" s="35"/>
      <c r="QKK26" s="35"/>
      <c r="QKL26" s="35"/>
      <c r="QKM26" s="35"/>
      <c r="QKN26" s="35"/>
      <c r="QKO26" s="35"/>
      <c r="QKP26" s="35"/>
      <c r="QKQ26" s="35"/>
      <c r="QKR26" s="35"/>
      <c r="QKS26" s="35"/>
      <c r="QKT26" s="35"/>
      <c r="QKU26" s="35"/>
      <c r="QKV26" s="35"/>
      <c r="QKW26" s="35"/>
      <c r="QKX26" s="35"/>
      <c r="QKY26" s="35"/>
      <c r="QKZ26" s="35"/>
      <c r="QLA26" s="35"/>
      <c r="QLB26" s="35"/>
      <c r="QLC26" s="35"/>
      <c r="QLD26" s="35"/>
      <c r="QLE26" s="35"/>
      <c r="QLF26" s="35"/>
      <c r="QLG26" s="35"/>
      <c r="QLH26" s="35"/>
      <c r="QLI26" s="35"/>
      <c r="QLJ26" s="35"/>
      <c r="QLK26" s="35"/>
      <c r="QLL26" s="35"/>
      <c r="QLM26" s="35"/>
      <c r="QLN26" s="35"/>
      <c r="QLO26" s="35"/>
      <c r="QLP26" s="35"/>
      <c r="QLQ26" s="35"/>
      <c r="QLR26" s="35"/>
      <c r="QLS26" s="35"/>
      <c r="QLT26" s="35"/>
      <c r="QLU26" s="35"/>
      <c r="QLV26" s="35"/>
      <c r="QLW26" s="35"/>
      <c r="QLX26" s="35"/>
      <c r="QLY26" s="35"/>
      <c r="QLZ26" s="35"/>
      <c r="QMA26" s="35"/>
      <c r="QMB26" s="35"/>
      <c r="QMC26" s="35"/>
      <c r="QMD26" s="35"/>
      <c r="QME26" s="35"/>
      <c r="QMF26" s="35"/>
      <c r="QMG26" s="35"/>
      <c r="QMH26" s="35"/>
      <c r="QMI26" s="35"/>
      <c r="QMJ26" s="35"/>
      <c r="QMK26" s="35"/>
      <c r="QML26" s="35"/>
      <c r="QMM26" s="35"/>
      <c r="QMN26" s="35"/>
      <c r="QMO26" s="35"/>
      <c r="QMP26" s="35"/>
      <c r="QMQ26" s="35"/>
      <c r="QMR26" s="35"/>
      <c r="QMS26" s="35"/>
      <c r="QMT26" s="35"/>
      <c r="QMU26" s="35"/>
      <c r="QMV26" s="35"/>
      <c r="QMW26" s="35"/>
      <c r="QMX26" s="35"/>
      <c r="QMY26" s="35"/>
      <c r="QMZ26" s="35"/>
      <c r="QNA26" s="35"/>
      <c r="QNB26" s="35"/>
      <c r="QNC26" s="35"/>
      <c r="QND26" s="35"/>
      <c r="QNE26" s="35"/>
      <c r="QNF26" s="35"/>
      <c r="QNG26" s="35"/>
      <c r="QNH26" s="35"/>
      <c r="QNI26" s="35"/>
      <c r="QNJ26" s="35"/>
      <c r="QNK26" s="35"/>
      <c r="QNL26" s="35"/>
      <c r="QNM26" s="35"/>
      <c r="QNN26" s="35"/>
      <c r="QNO26" s="35"/>
      <c r="QNP26" s="35"/>
      <c r="QNQ26" s="35"/>
      <c r="QNR26" s="35"/>
      <c r="QNS26" s="35"/>
      <c r="QNT26" s="35"/>
      <c r="QNU26" s="35"/>
      <c r="QNV26" s="35"/>
      <c r="QNW26" s="35"/>
      <c r="QNX26" s="35"/>
      <c r="QNY26" s="35"/>
      <c r="QNZ26" s="35"/>
      <c r="QOA26" s="35"/>
      <c r="QOB26" s="35"/>
      <c r="QOC26" s="35"/>
      <c r="QOD26" s="35"/>
      <c r="QOE26" s="35"/>
      <c r="QOF26" s="35"/>
      <c r="QOG26" s="35"/>
      <c r="QOH26" s="35"/>
      <c r="QOI26" s="35"/>
      <c r="QOJ26" s="35"/>
      <c r="QOK26" s="35"/>
      <c r="QOL26" s="35"/>
      <c r="QOM26" s="35"/>
      <c r="QON26" s="35"/>
      <c r="QOO26" s="35"/>
      <c r="QOP26" s="35"/>
      <c r="QOQ26" s="35"/>
      <c r="QOR26" s="35"/>
      <c r="QOS26" s="35"/>
      <c r="QOT26" s="35"/>
      <c r="QOU26" s="35"/>
      <c r="QOV26" s="35"/>
      <c r="QOW26" s="35"/>
      <c r="QOX26" s="35"/>
      <c r="QOY26" s="35"/>
      <c r="QOZ26" s="35"/>
      <c r="QPA26" s="35"/>
      <c r="QPB26" s="35"/>
      <c r="QPC26" s="35"/>
      <c r="QPD26" s="35"/>
      <c r="QPE26" s="35"/>
      <c r="QPF26" s="35"/>
      <c r="QPG26" s="35"/>
      <c r="QPH26" s="35"/>
      <c r="QPI26" s="35"/>
      <c r="QPJ26" s="35"/>
      <c r="QPK26" s="35"/>
      <c r="QPL26" s="35"/>
      <c r="QPM26" s="35"/>
      <c r="QPN26" s="35"/>
      <c r="QPO26" s="35"/>
      <c r="QPP26" s="35"/>
      <c r="QPQ26" s="35"/>
      <c r="QPR26" s="35"/>
      <c r="QPS26" s="35"/>
      <c r="QPT26" s="35"/>
      <c r="QPU26" s="35"/>
      <c r="QPV26" s="35"/>
      <c r="QPW26" s="35"/>
      <c r="QPX26" s="35"/>
      <c r="QPY26" s="35"/>
      <c r="QPZ26" s="35"/>
      <c r="QQA26" s="35"/>
      <c r="QQB26" s="35"/>
      <c r="QQC26" s="35"/>
      <c r="QQD26" s="35"/>
      <c r="QQE26" s="35"/>
      <c r="QQF26" s="35"/>
      <c r="QQG26" s="35"/>
      <c r="QQH26" s="35"/>
      <c r="QQI26" s="35"/>
      <c r="QQJ26" s="35"/>
      <c r="QQK26" s="35"/>
      <c r="QQL26" s="35"/>
      <c r="QQM26" s="35"/>
      <c r="QQN26" s="35"/>
      <c r="QQO26" s="35"/>
      <c r="QQP26" s="35"/>
      <c r="QQQ26" s="35"/>
      <c r="QQR26" s="35"/>
      <c r="QQS26" s="35"/>
      <c r="QQT26" s="35"/>
      <c r="QQU26" s="35"/>
      <c r="QQV26" s="35"/>
      <c r="QQW26" s="35"/>
      <c r="QQX26" s="35"/>
      <c r="QQY26" s="35"/>
      <c r="QQZ26" s="35"/>
      <c r="QRA26" s="35"/>
      <c r="QRB26" s="35"/>
      <c r="QRC26" s="35"/>
      <c r="QRD26" s="35"/>
      <c r="QRE26" s="35"/>
      <c r="QRF26" s="35"/>
      <c r="QRG26" s="35"/>
      <c r="QRH26" s="35"/>
      <c r="QRI26" s="35"/>
      <c r="QRJ26" s="35"/>
      <c r="QRK26" s="35"/>
      <c r="QRL26" s="35"/>
      <c r="QRM26" s="35"/>
      <c r="QRN26" s="35"/>
      <c r="QRO26" s="35"/>
      <c r="QRP26" s="35"/>
      <c r="QRQ26" s="35"/>
      <c r="QRR26" s="35"/>
      <c r="QRS26" s="35"/>
      <c r="QRT26" s="35"/>
      <c r="QRU26" s="35"/>
      <c r="QRV26" s="35"/>
      <c r="QRW26" s="35"/>
      <c r="QRX26" s="35"/>
      <c r="QRY26" s="35"/>
      <c r="QRZ26" s="35"/>
      <c r="QSA26" s="35"/>
      <c r="QSB26" s="35"/>
      <c r="QSC26" s="35"/>
      <c r="QSD26" s="35"/>
      <c r="QSE26" s="35"/>
      <c r="QSF26" s="35"/>
      <c r="QSG26" s="35"/>
      <c r="QSH26" s="35"/>
      <c r="QSI26" s="35"/>
      <c r="QSJ26" s="35"/>
      <c r="QSK26" s="35"/>
      <c r="QSL26" s="35"/>
      <c r="QSM26" s="35"/>
      <c r="QSN26" s="35"/>
      <c r="QSO26" s="35"/>
      <c r="QSP26" s="35"/>
      <c r="QSQ26" s="35"/>
      <c r="QSR26" s="35"/>
      <c r="QSS26" s="35"/>
      <c r="QST26" s="35"/>
      <c r="QSU26" s="35"/>
      <c r="QSV26" s="35"/>
      <c r="QSW26" s="35"/>
      <c r="QSX26" s="35"/>
      <c r="QSY26" s="35"/>
      <c r="QSZ26" s="35"/>
      <c r="QTA26" s="35"/>
      <c r="QTB26" s="35"/>
      <c r="QTC26" s="35"/>
      <c r="QTD26" s="35"/>
      <c r="QTE26" s="35"/>
      <c r="QTF26" s="35"/>
      <c r="QTG26" s="35"/>
      <c r="QTH26" s="35"/>
      <c r="QTI26" s="35"/>
      <c r="QTJ26" s="35"/>
      <c r="QTK26" s="35"/>
      <c r="QTL26" s="35"/>
      <c r="QTM26" s="35"/>
      <c r="QTN26" s="35"/>
      <c r="QTO26" s="35"/>
      <c r="QTP26" s="35"/>
      <c r="QTQ26" s="35"/>
      <c r="QTR26" s="35"/>
      <c r="QTS26" s="35"/>
      <c r="QTT26" s="35"/>
      <c r="QTU26" s="35"/>
      <c r="QTV26" s="35"/>
      <c r="QTW26" s="35"/>
      <c r="QTX26" s="35"/>
      <c r="QTY26" s="35"/>
      <c r="QTZ26" s="35"/>
      <c r="QUA26" s="35"/>
      <c r="QUB26" s="35"/>
      <c r="QUC26" s="35"/>
      <c r="QUD26" s="35"/>
      <c r="QUE26" s="35"/>
      <c r="QUF26" s="35"/>
      <c r="QUG26" s="35"/>
      <c r="QUH26" s="35"/>
      <c r="QUI26" s="35"/>
      <c r="QUJ26" s="35"/>
      <c r="QUK26" s="35"/>
      <c r="QUL26" s="35"/>
      <c r="QUM26" s="35"/>
      <c r="QUN26" s="35"/>
      <c r="QUO26" s="35"/>
      <c r="QUP26" s="35"/>
      <c r="QUQ26" s="35"/>
      <c r="QUR26" s="35"/>
      <c r="QUS26" s="35"/>
      <c r="QUT26" s="35"/>
      <c r="QUU26" s="35"/>
      <c r="QUV26" s="35"/>
      <c r="QUW26" s="35"/>
      <c r="QUX26" s="35"/>
      <c r="QUY26" s="35"/>
      <c r="QUZ26" s="35"/>
      <c r="QVA26" s="35"/>
      <c r="QVB26" s="35"/>
      <c r="QVC26" s="35"/>
      <c r="QVD26" s="35"/>
      <c r="QVE26" s="35"/>
      <c r="QVF26" s="35"/>
      <c r="QVG26" s="35"/>
      <c r="QVH26" s="35"/>
      <c r="QVI26" s="35"/>
      <c r="QVJ26" s="35"/>
      <c r="QVK26" s="35"/>
      <c r="QVL26" s="35"/>
      <c r="QVM26" s="35"/>
      <c r="QVN26" s="35"/>
      <c r="QVO26" s="35"/>
      <c r="QVP26" s="35"/>
      <c r="QVQ26" s="35"/>
      <c r="QVR26" s="35"/>
      <c r="QVS26" s="35"/>
      <c r="QVT26" s="35"/>
      <c r="QVU26" s="35"/>
      <c r="QVV26" s="35"/>
      <c r="QVW26" s="35"/>
      <c r="QVX26" s="35"/>
      <c r="QVY26" s="35"/>
      <c r="QVZ26" s="35"/>
      <c r="QWA26" s="35"/>
      <c r="QWB26" s="35"/>
      <c r="QWC26" s="35"/>
      <c r="QWD26" s="35"/>
      <c r="QWE26" s="35"/>
      <c r="QWF26" s="35"/>
      <c r="QWG26" s="35"/>
      <c r="QWH26" s="35"/>
      <c r="QWI26" s="35"/>
      <c r="QWJ26" s="35"/>
      <c r="QWK26" s="35"/>
      <c r="QWL26" s="35"/>
      <c r="QWM26" s="35"/>
      <c r="QWN26" s="35"/>
      <c r="QWO26" s="35"/>
      <c r="QWP26" s="35"/>
      <c r="QWQ26" s="35"/>
      <c r="QWR26" s="35"/>
      <c r="QWS26" s="35"/>
      <c r="QWT26" s="35"/>
      <c r="QWU26" s="35"/>
      <c r="QWV26" s="35"/>
      <c r="QWW26" s="35"/>
      <c r="QWX26" s="35"/>
      <c r="QWY26" s="35"/>
      <c r="QWZ26" s="35"/>
      <c r="QXA26" s="35"/>
      <c r="QXB26" s="35"/>
      <c r="QXC26" s="35"/>
      <c r="QXD26" s="35"/>
      <c r="QXE26" s="35"/>
      <c r="QXF26" s="35"/>
      <c r="QXG26" s="35"/>
      <c r="QXH26" s="35"/>
      <c r="QXI26" s="35"/>
      <c r="QXJ26" s="35"/>
      <c r="QXK26" s="35"/>
      <c r="QXL26" s="35"/>
      <c r="QXM26" s="35"/>
      <c r="QXN26" s="35"/>
      <c r="QXO26" s="35"/>
      <c r="QXP26" s="35"/>
      <c r="QXQ26" s="35"/>
      <c r="QXR26" s="35"/>
      <c r="QXS26" s="35"/>
      <c r="QXT26" s="35"/>
      <c r="QXU26" s="35"/>
      <c r="QXV26" s="35"/>
      <c r="QXW26" s="35"/>
      <c r="QXX26" s="35"/>
      <c r="QXY26" s="35"/>
      <c r="QXZ26" s="35"/>
      <c r="QYA26" s="35"/>
      <c r="QYB26" s="35"/>
      <c r="QYC26" s="35"/>
      <c r="QYD26" s="35"/>
      <c r="QYE26" s="35"/>
      <c r="QYF26" s="35"/>
      <c r="QYG26" s="35"/>
      <c r="QYH26" s="35"/>
      <c r="QYI26" s="35"/>
      <c r="QYJ26" s="35"/>
      <c r="QYK26" s="35"/>
      <c r="QYL26" s="35"/>
      <c r="QYM26" s="35"/>
      <c r="QYN26" s="35"/>
      <c r="QYO26" s="35"/>
      <c r="QYP26" s="35"/>
      <c r="QYQ26" s="35"/>
      <c r="QYR26" s="35"/>
      <c r="QYS26" s="35"/>
      <c r="QYT26" s="35"/>
      <c r="QYU26" s="35"/>
      <c r="QYV26" s="35"/>
      <c r="QYW26" s="35"/>
      <c r="QYX26" s="35"/>
      <c r="QYY26" s="35"/>
      <c r="QYZ26" s="35"/>
      <c r="QZA26" s="35"/>
      <c r="QZB26" s="35"/>
      <c r="QZC26" s="35"/>
      <c r="QZD26" s="35"/>
      <c r="QZE26" s="35"/>
      <c r="QZF26" s="35"/>
      <c r="QZG26" s="35"/>
      <c r="QZH26" s="35"/>
      <c r="QZI26" s="35"/>
      <c r="QZJ26" s="35"/>
      <c r="QZK26" s="35"/>
      <c r="QZL26" s="35"/>
      <c r="QZM26" s="35"/>
      <c r="QZN26" s="35"/>
      <c r="QZO26" s="35"/>
      <c r="QZP26" s="35"/>
      <c r="QZQ26" s="35"/>
      <c r="QZR26" s="35"/>
      <c r="QZS26" s="35"/>
      <c r="QZT26" s="35"/>
      <c r="QZU26" s="35"/>
      <c r="QZV26" s="35"/>
      <c r="QZW26" s="35"/>
      <c r="QZX26" s="35"/>
      <c r="QZY26" s="35"/>
      <c r="QZZ26" s="35"/>
      <c r="RAA26" s="35"/>
      <c r="RAB26" s="35"/>
      <c r="RAC26" s="35"/>
      <c r="RAD26" s="35"/>
      <c r="RAE26" s="35"/>
      <c r="RAF26" s="35"/>
      <c r="RAG26" s="35"/>
      <c r="RAH26" s="35"/>
      <c r="RAI26" s="35"/>
      <c r="RAJ26" s="35"/>
      <c r="RAK26" s="35"/>
      <c r="RAL26" s="35"/>
      <c r="RAM26" s="35"/>
      <c r="RAN26" s="35"/>
      <c r="RAO26" s="35"/>
      <c r="RAP26" s="35"/>
      <c r="RAQ26" s="35"/>
      <c r="RAR26" s="35"/>
      <c r="RAS26" s="35"/>
      <c r="RAT26" s="35"/>
      <c r="RAU26" s="35"/>
      <c r="RAV26" s="35"/>
      <c r="RAW26" s="35"/>
      <c r="RAX26" s="35"/>
      <c r="RAY26" s="35"/>
      <c r="RAZ26" s="35"/>
      <c r="RBA26" s="35"/>
      <c r="RBB26" s="35"/>
      <c r="RBC26" s="35"/>
      <c r="RBD26" s="35"/>
      <c r="RBE26" s="35"/>
      <c r="RBF26" s="35"/>
      <c r="RBG26" s="35"/>
      <c r="RBH26" s="35"/>
      <c r="RBI26" s="35"/>
      <c r="RBJ26" s="35"/>
      <c r="RBK26" s="35"/>
      <c r="RBL26" s="35"/>
      <c r="RBM26" s="35"/>
      <c r="RBN26" s="35"/>
      <c r="RBO26" s="35"/>
      <c r="RBP26" s="35"/>
      <c r="RBQ26" s="35"/>
      <c r="RBR26" s="35"/>
      <c r="RBS26" s="35"/>
      <c r="RBT26" s="35"/>
      <c r="RBU26" s="35"/>
      <c r="RBV26" s="35"/>
      <c r="RBW26" s="35"/>
      <c r="RBX26" s="35"/>
      <c r="RBY26" s="35"/>
      <c r="RBZ26" s="35"/>
      <c r="RCA26" s="35"/>
      <c r="RCB26" s="35"/>
      <c r="RCC26" s="35"/>
      <c r="RCD26" s="35"/>
      <c r="RCE26" s="35"/>
      <c r="RCF26" s="35"/>
      <c r="RCG26" s="35"/>
      <c r="RCH26" s="35"/>
      <c r="RCI26" s="35"/>
      <c r="RCJ26" s="35"/>
      <c r="RCK26" s="35"/>
      <c r="RCL26" s="35"/>
      <c r="RCM26" s="35"/>
      <c r="RCN26" s="35"/>
      <c r="RCO26" s="35"/>
      <c r="RCP26" s="35"/>
      <c r="RCQ26" s="35"/>
      <c r="RCR26" s="35"/>
      <c r="RCS26" s="35"/>
      <c r="RCT26" s="35"/>
      <c r="RCU26" s="35"/>
      <c r="RCV26" s="35"/>
      <c r="RCW26" s="35"/>
      <c r="RCX26" s="35"/>
      <c r="RCY26" s="35"/>
      <c r="RCZ26" s="35"/>
      <c r="RDA26" s="35"/>
      <c r="RDB26" s="35"/>
      <c r="RDC26" s="35"/>
      <c r="RDD26" s="35"/>
      <c r="RDE26" s="35"/>
      <c r="RDF26" s="35"/>
      <c r="RDG26" s="35"/>
      <c r="RDH26" s="35"/>
      <c r="RDI26" s="35"/>
      <c r="RDJ26" s="35"/>
      <c r="RDK26" s="35"/>
      <c r="RDL26" s="35"/>
      <c r="RDM26" s="35"/>
      <c r="RDN26" s="35"/>
      <c r="RDO26" s="35"/>
      <c r="RDP26" s="35"/>
      <c r="RDQ26" s="35"/>
      <c r="RDR26" s="35"/>
      <c r="RDS26" s="35"/>
      <c r="RDT26" s="35"/>
      <c r="RDU26" s="35"/>
      <c r="RDV26" s="35"/>
      <c r="RDW26" s="35"/>
      <c r="RDX26" s="35"/>
      <c r="RDY26" s="35"/>
      <c r="RDZ26" s="35"/>
      <c r="REA26" s="35"/>
      <c r="REB26" s="35"/>
      <c r="REC26" s="35"/>
      <c r="RED26" s="35"/>
      <c r="REE26" s="35"/>
      <c r="REF26" s="35"/>
      <c r="REG26" s="35"/>
      <c r="REH26" s="35"/>
      <c r="REI26" s="35"/>
      <c r="REJ26" s="35"/>
      <c r="REK26" s="35"/>
      <c r="REL26" s="35"/>
      <c r="REM26" s="35"/>
      <c r="REN26" s="35"/>
      <c r="REO26" s="35"/>
      <c r="REP26" s="35"/>
      <c r="REQ26" s="35"/>
      <c r="RER26" s="35"/>
      <c r="RES26" s="35"/>
      <c r="RET26" s="35"/>
      <c r="REU26" s="35"/>
      <c r="REV26" s="35"/>
      <c r="REW26" s="35"/>
      <c r="REX26" s="35"/>
      <c r="REY26" s="35"/>
      <c r="REZ26" s="35"/>
      <c r="RFA26" s="35"/>
      <c r="RFB26" s="35"/>
      <c r="RFC26" s="35"/>
      <c r="RFD26" s="35"/>
      <c r="RFE26" s="35"/>
      <c r="RFF26" s="35"/>
      <c r="RFG26" s="35"/>
      <c r="RFH26" s="35"/>
      <c r="RFI26" s="35"/>
      <c r="RFJ26" s="35"/>
      <c r="RFK26" s="35"/>
      <c r="RFL26" s="35"/>
      <c r="RFM26" s="35"/>
      <c r="RFN26" s="35"/>
      <c r="RFO26" s="35"/>
      <c r="RFP26" s="35"/>
      <c r="RFQ26" s="35"/>
      <c r="RFR26" s="35"/>
      <c r="RFS26" s="35"/>
      <c r="RFT26" s="35"/>
      <c r="RFU26" s="35"/>
      <c r="RFV26" s="35"/>
      <c r="RFW26" s="35"/>
      <c r="RFX26" s="35"/>
      <c r="RFY26" s="35"/>
      <c r="RFZ26" s="35"/>
      <c r="RGA26" s="35"/>
      <c r="RGB26" s="35"/>
      <c r="RGC26" s="35"/>
      <c r="RGD26" s="35"/>
      <c r="RGE26" s="35"/>
      <c r="RGF26" s="35"/>
      <c r="RGG26" s="35"/>
      <c r="RGH26" s="35"/>
      <c r="RGI26" s="35"/>
      <c r="RGJ26" s="35"/>
      <c r="RGK26" s="35"/>
      <c r="RGL26" s="35"/>
      <c r="RGM26" s="35"/>
      <c r="RGN26" s="35"/>
      <c r="RGO26" s="35"/>
      <c r="RGP26" s="35"/>
      <c r="RGQ26" s="35"/>
      <c r="RGR26" s="35"/>
      <c r="RGS26" s="35"/>
      <c r="RGT26" s="35"/>
      <c r="RGU26" s="35"/>
      <c r="RGV26" s="35"/>
      <c r="RGW26" s="35"/>
      <c r="RGX26" s="35"/>
      <c r="RGY26" s="35"/>
      <c r="RGZ26" s="35"/>
      <c r="RHA26" s="35"/>
      <c r="RHB26" s="35"/>
      <c r="RHC26" s="35"/>
      <c r="RHD26" s="35"/>
      <c r="RHE26" s="35"/>
      <c r="RHF26" s="35"/>
      <c r="RHG26" s="35"/>
      <c r="RHH26" s="35"/>
      <c r="RHI26" s="35"/>
      <c r="RHJ26" s="35"/>
      <c r="RHK26" s="35"/>
      <c r="RHL26" s="35"/>
      <c r="RHM26" s="35"/>
      <c r="RHN26" s="35"/>
      <c r="RHO26" s="35"/>
      <c r="RHP26" s="35"/>
      <c r="RHQ26" s="35"/>
      <c r="RHR26" s="35"/>
      <c r="RHS26" s="35"/>
      <c r="RHT26" s="35"/>
      <c r="RHU26" s="35"/>
      <c r="RHV26" s="35"/>
      <c r="RHW26" s="35"/>
      <c r="RHX26" s="35"/>
      <c r="RHY26" s="35"/>
      <c r="RHZ26" s="35"/>
      <c r="RIA26" s="35"/>
      <c r="RIB26" s="35"/>
      <c r="RIC26" s="35"/>
      <c r="RID26" s="35"/>
      <c r="RIE26" s="35"/>
      <c r="RIF26" s="35"/>
      <c r="RIG26" s="35"/>
      <c r="RIH26" s="35"/>
      <c r="RII26" s="35"/>
      <c r="RIJ26" s="35"/>
      <c r="RIK26" s="35"/>
      <c r="RIL26" s="35"/>
      <c r="RIM26" s="35"/>
      <c r="RIN26" s="35"/>
      <c r="RIO26" s="35"/>
      <c r="RIP26" s="35"/>
      <c r="RIQ26" s="35"/>
      <c r="RIR26" s="35"/>
      <c r="RIS26" s="35"/>
      <c r="RIT26" s="35"/>
      <c r="RIU26" s="35"/>
      <c r="RIV26" s="35"/>
      <c r="RIW26" s="35"/>
      <c r="RIX26" s="35"/>
      <c r="RIY26" s="35"/>
      <c r="RIZ26" s="35"/>
      <c r="RJA26" s="35"/>
      <c r="RJB26" s="35"/>
      <c r="RJC26" s="35"/>
      <c r="RJD26" s="35"/>
      <c r="RJE26" s="35"/>
      <c r="RJF26" s="35"/>
      <c r="RJG26" s="35"/>
      <c r="RJH26" s="35"/>
      <c r="RJI26" s="35"/>
      <c r="RJJ26" s="35"/>
      <c r="RJK26" s="35"/>
      <c r="RJL26" s="35"/>
      <c r="RJM26" s="35"/>
      <c r="RJN26" s="35"/>
      <c r="RJO26" s="35"/>
      <c r="RJP26" s="35"/>
      <c r="RJQ26" s="35"/>
      <c r="RJR26" s="35"/>
      <c r="RJS26" s="35"/>
      <c r="RJT26" s="35"/>
      <c r="RJU26" s="35"/>
      <c r="RJV26" s="35"/>
      <c r="RJW26" s="35"/>
      <c r="RJX26" s="35"/>
      <c r="RJY26" s="35"/>
      <c r="RJZ26" s="35"/>
      <c r="RKA26" s="35"/>
      <c r="RKB26" s="35"/>
      <c r="RKC26" s="35"/>
      <c r="RKD26" s="35"/>
      <c r="RKE26" s="35"/>
      <c r="RKF26" s="35"/>
      <c r="RKG26" s="35"/>
      <c r="RKH26" s="35"/>
      <c r="RKI26" s="35"/>
      <c r="RKJ26" s="35"/>
      <c r="RKK26" s="35"/>
      <c r="RKL26" s="35"/>
      <c r="RKM26" s="35"/>
      <c r="RKN26" s="35"/>
      <c r="RKO26" s="35"/>
      <c r="RKP26" s="35"/>
      <c r="RKQ26" s="35"/>
      <c r="RKR26" s="35"/>
      <c r="RKS26" s="35"/>
      <c r="RKT26" s="35"/>
      <c r="RKU26" s="35"/>
      <c r="RKV26" s="35"/>
      <c r="RKW26" s="35"/>
      <c r="RKX26" s="35"/>
      <c r="RKY26" s="35"/>
      <c r="RKZ26" s="35"/>
      <c r="RLA26" s="35"/>
      <c r="RLB26" s="35"/>
      <c r="RLC26" s="35"/>
      <c r="RLD26" s="35"/>
      <c r="RLE26" s="35"/>
      <c r="RLF26" s="35"/>
      <c r="RLG26" s="35"/>
      <c r="RLH26" s="35"/>
      <c r="RLI26" s="35"/>
      <c r="RLJ26" s="35"/>
      <c r="RLK26" s="35"/>
      <c r="RLL26" s="35"/>
      <c r="RLM26" s="35"/>
      <c r="RLN26" s="35"/>
      <c r="RLO26" s="35"/>
      <c r="RLP26" s="35"/>
      <c r="RLQ26" s="35"/>
      <c r="RLR26" s="35"/>
      <c r="RLS26" s="35"/>
      <c r="RLT26" s="35"/>
      <c r="RLU26" s="35"/>
      <c r="RLV26" s="35"/>
      <c r="RLW26" s="35"/>
      <c r="RLX26" s="35"/>
      <c r="RLY26" s="35"/>
      <c r="RLZ26" s="35"/>
      <c r="RMA26" s="35"/>
      <c r="RMB26" s="35"/>
      <c r="RMC26" s="35"/>
      <c r="RMD26" s="35"/>
      <c r="RME26" s="35"/>
      <c r="RMF26" s="35"/>
      <c r="RMG26" s="35"/>
      <c r="RMH26" s="35"/>
      <c r="RMI26" s="35"/>
      <c r="RMJ26" s="35"/>
      <c r="RMK26" s="35"/>
      <c r="RML26" s="35"/>
      <c r="RMM26" s="35"/>
      <c r="RMN26" s="35"/>
      <c r="RMO26" s="35"/>
      <c r="RMP26" s="35"/>
      <c r="RMQ26" s="35"/>
      <c r="RMR26" s="35"/>
      <c r="RMS26" s="35"/>
      <c r="RMT26" s="35"/>
      <c r="RMU26" s="35"/>
      <c r="RMV26" s="35"/>
      <c r="RMW26" s="35"/>
      <c r="RMX26" s="35"/>
      <c r="RMY26" s="35"/>
      <c r="RMZ26" s="35"/>
      <c r="RNA26" s="35"/>
      <c r="RNB26" s="35"/>
      <c r="RNC26" s="35"/>
      <c r="RND26" s="35"/>
      <c r="RNE26" s="35"/>
      <c r="RNF26" s="35"/>
      <c r="RNG26" s="35"/>
      <c r="RNH26" s="35"/>
      <c r="RNI26" s="35"/>
      <c r="RNJ26" s="35"/>
      <c r="RNK26" s="35"/>
      <c r="RNL26" s="35"/>
      <c r="RNM26" s="35"/>
      <c r="RNN26" s="35"/>
      <c r="RNO26" s="35"/>
      <c r="RNP26" s="35"/>
      <c r="RNQ26" s="35"/>
      <c r="RNR26" s="35"/>
      <c r="RNS26" s="35"/>
      <c r="RNT26" s="35"/>
      <c r="RNU26" s="35"/>
      <c r="RNV26" s="35"/>
      <c r="RNW26" s="35"/>
      <c r="RNX26" s="35"/>
      <c r="RNY26" s="35"/>
      <c r="RNZ26" s="35"/>
      <c r="ROA26" s="35"/>
      <c r="ROB26" s="35"/>
      <c r="ROC26" s="35"/>
      <c r="ROD26" s="35"/>
      <c r="ROE26" s="35"/>
      <c r="ROF26" s="35"/>
      <c r="ROG26" s="35"/>
      <c r="ROH26" s="35"/>
      <c r="ROI26" s="35"/>
      <c r="ROJ26" s="35"/>
      <c r="ROK26" s="35"/>
      <c r="ROL26" s="35"/>
      <c r="ROM26" s="35"/>
      <c r="RON26" s="35"/>
      <c r="ROO26" s="35"/>
      <c r="ROP26" s="35"/>
      <c r="ROQ26" s="35"/>
      <c r="ROR26" s="35"/>
      <c r="ROS26" s="35"/>
      <c r="ROT26" s="35"/>
      <c r="ROU26" s="35"/>
      <c r="ROV26" s="35"/>
      <c r="ROW26" s="35"/>
      <c r="ROX26" s="35"/>
      <c r="ROY26" s="35"/>
      <c r="ROZ26" s="35"/>
      <c r="RPA26" s="35"/>
      <c r="RPB26" s="35"/>
      <c r="RPC26" s="35"/>
      <c r="RPD26" s="35"/>
      <c r="RPE26" s="35"/>
      <c r="RPF26" s="35"/>
      <c r="RPG26" s="35"/>
      <c r="RPH26" s="35"/>
      <c r="RPI26" s="35"/>
      <c r="RPJ26" s="35"/>
      <c r="RPK26" s="35"/>
      <c r="RPL26" s="35"/>
      <c r="RPM26" s="35"/>
      <c r="RPN26" s="35"/>
      <c r="RPO26" s="35"/>
      <c r="RPP26" s="35"/>
      <c r="RPQ26" s="35"/>
      <c r="RPR26" s="35"/>
      <c r="RPS26" s="35"/>
      <c r="RPT26" s="35"/>
      <c r="RPU26" s="35"/>
      <c r="RPV26" s="35"/>
      <c r="RPW26" s="35"/>
      <c r="RPX26" s="35"/>
      <c r="RPY26" s="35"/>
      <c r="RPZ26" s="35"/>
      <c r="RQA26" s="35"/>
      <c r="RQB26" s="35"/>
      <c r="RQC26" s="35"/>
      <c r="RQD26" s="35"/>
      <c r="RQE26" s="35"/>
      <c r="RQF26" s="35"/>
      <c r="RQG26" s="35"/>
      <c r="RQH26" s="35"/>
      <c r="RQI26" s="35"/>
      <c r="RQJ26" s="35"/>
      <c r="RQK26" s="35"/>
      <c r="RQL26" s="35"/>
      <c r="RQM26" s="35"/>
      <c r="RQN26" s="35"/>
      <c r="RQO26" s="35"/>
      <c r="RQP26" s="35"/>
      <c r="RQQ26" s="35"/>
      <c r="RQR26" s="35"/>
      <c r="RQS26" s="35"/>
      <c r="RQT26" s="35"/>
      <c r="RQU26" s="35"/>
      <c r="RQV26" s="35"/>
      <c r="RQW26" s="35"/>
      <c r="RQX26" s="35"/>
      <c r="RQY26" s="35"/>
      <c r="RQZ26" s="35"/>
      <c r="RRA26" s="35"/>
      <c r="RRB26" s="35"/>
      <c r="RRC26" s="35"/>
      <c r="RRD26" s="35"/>
      <c r="RRE26" s="35"/>
      <c r="RRF26" s="35"/>
      <c r="RRG26" s="35"/>
      <c r="RRH26" s="35"/>
      <c r="RRI26" s="35"/>
      <c r="RRJ26" s="35"/>
      <c r="RRK26" s="35"/>
      <c r="RRL26" s="35"/>
      <c r="RRM26" s="35"/>
      <c r="RRN26" s="35"/>
      <c r="RRO26" s="35"/>
      <c r="RRP26" s="35"/>
      <c r="RRQ26" s="35"/>
      <c r="RRR26" s="35"/>
      <c r="RRS26" s="35"/>
      <c r="RRT26" s="35"/>
      <c r="RRU26" s="35"/>
      <c r="RRV26" s="35"/>
      <c r="RRW26" s="35"/>
      <c r="RRX26" s="35"/>
      <c r="RRY26" s="35"/>
      <c r="RRZ26" s="35"/>
      <c r="RSA26" s="35"/>
      <c r="RSB26" s="35"/>
      <c r="RSC26" s="35"/>
      <c r="RSD26" s="35"/>
      <c r="RSE26" s="35"/>
      <c r="RSF26" s="35"/>
      <c r="RSG26" s="35"/>
      <c r="RSH26" s="35"/>
      <c r="RSI26" s="35"/>
      <c r="RSJ26" s="35"/>
      <c r="RSK26" s="35"/>
      <c r="RSL26" s="35"/>
      <c r="RSM26" s="35"/>
      <c r="RSN26" s="35"/>
      <c r="RSO26" s="35"/>
      <c r="RSP26" s="35"/>
      <c r="RSQ26" s="35"/>
      <c r="RSR26" s="35"/>
      <c r="RSS26" s="35"/>
      <c r="RST26" s="35"/>
      <c r="RSU26" s="35"/>
      <c r="RSV26" s="35"/>
      <c r="RSW26" s="35"/>
      <c r="RSX26" s="35"/>
      <c r="RSY26" s="35"/>
      <c r="RSZ26" s="35"/>
      <c r="RTA26" s="35"/>
      <c r="RTB26" s="35"/>
      <c r="RTC26" s="35"/>
      <c r="RTD26" s="35"/>
      <c r="RTE26" s="35"/>
      <c r="RTF26" s="35"/>
      <c r="RTG26" s="35"/>
      <c r="RTH26" s="35"/>
      <c r="RTI26" s="35"/>
      <c r="RTJ26" s="35"/>
      <c r="RTK26" s="35"/>
      <c r="RTL26" s="35"/>
      <c r="RTM26" s="35"/>
      <c r="RTN26" s="35"/>
      <c r="RTO26" s="35"/>
      <c r="RTP26" s="35"/>
      <c r="RTQ26" s="35"/>
      <c r="RTR26" s="35"/>
      <c r="RTS26" s="35"/>
      <c r="RTT26" s="35"/>
      <c r="RTU26" s="35"/>
      <c r="RTV26" s="35"/>
      <c r="RTW26" s="35"/>
      <c r="RTX26" s="35"/>
      <c r="RTY26" s="35"/>
      <c r="RTZ26" s="35"/>
      <c r="RUA26" s="35"/>
      <c r="RUB26" s="35"/>
      <c r="RUC26" s="35"/>
      <c r="RUD26" s="35"/>
      <c r="RUE26" s="35"/>
      <c r="RUF26" s="35"/>
      <c r="RUG26" s="35"/>
      <c r="RUH26" s="35"/>
      <c r="RUI26" s="35"/>
      <c r="RUJ26" s="35"/>
      <c r="RUK26" s="35"/>
      <c r="RUL26" s="35"/>
      <c r="RUM26" s="35"/>
      <c r="RUN26" s="35"/>
      <c r="RUO26" s="35"/>
      <c r="RUP26" s="35"/>
      <c r="RUQ26" s="35"/>
      <c r="RUR26" s="35"/>
      <c r="RUS26" s="35"/>
      <c r="RUT26" s="35"/>
      <c r="RUU26" s="35"/>
      <c r="RUV26" s="35"/>
      <c r="RUW26" s="35"/>
      <c r="RUX26" s="35"/>
      <c r="RUY26" s="35"/>
      <c r="RUZ26" s="35"/>
      <c r="RVA26" s="35"/>
      <c r="RVB26" s="35"/>
      <c r="RVC26" s="35"/>
      <c r="RVD26" s="35"/>
      <c r="RVE26" s="35"/>
      <c r="RVF26" s="35"/>
      <c r="RVG26" s="35"/>
      <c r="RVH26" s="35"/>
      <c r="RVI26" s="35"/>
      <c r="RVJ26" s="35"/>
      <c r="RVK26" s="35"/>
      <c r="RVL26" s="35"/>
      <c r="RVM26" s="35"/>
      <c r="RVN26" s="35"/>
      <c r="RVO26" s="35"/>
      <c r="RVP26" s="35"/>
      <c r="RVQ26" s="35"/>
      <c r="RVR26" s="35"/>
      <c r="RVS26" s="35"/>
      <c r="RVT26" s="35"/>
      <c r="RVU26" s="35"/>
      <c r="RVV26" s="35"/>
      <c r="RVW26" s="35"/>
      <c r="RVX26" s="35"/>
      <c r="RVY26" s="35"/>
      <c r="RVZ26" s="35"/>
      <c r="RWA26" s="35"/>
      <c r="RWB26" s="35"/>
      <c r="RWC26" s="35"/>
      <c r="RWD26" s="35"/>
      <c r="RWE26" s="35"/>
      <c r="RWF26" s="35"/>
      <c r="RWG26" s="35"/>
      <c r="RWH26" s="35"/>
      <c r="RWI26" s="35"/>
      <c r="RWJ26" s="35"/>
      <c r="RWK26" s="35"/>
      <c r="RWL26" s="35"/>
      <c r="RWM26" s="35"/>
      <c r="RWN26" s="35"/>
      <c r="RWO26" s="35"/>
      <c r="RWP26" s="35"/>
      <c r="RWQ26" s="35"/>
      <c r="RWR26" s="35"/>
      <c r="RWS26" s="35"/>
      <c r="RWT26" s="35"/>
      <c r="RWU26" s="35"/>
      <c r="RWV26" s="35"/>
      <c r="RWW26" s="35"/>
      <c r="RWX26" s="35"/>
      <c r="RWY26" s="35"/>
      <c r="RWZ26" s="35"/>
      <c r="RXA26" s="35"/>
      <c r="RXB26" s="35"/>
      <c r="RXC26" s="35"/>
      <c r="RXD26" s="35"/>
      <c r="RXE26" s="35"/>
      <c r="RXF26" s="35"/>
      <c r="RXG26" s="35"/>
      <c r="RXH26" s="35"/>
      <c r="RXI26" s="35"/>
      <c r="RXJ26" s="35"/>
      <c r="RXK26" s="35"/>
      <c r="RXL26" s="35"/>
      <c r="RXM26" s="35"/>
      <c r="RXN26" s="35"/>
      <c r="RXO26" s="35"/>
      <c r="RXP26" s="35"/>
      <c r="RXQ26" s="35"/>
      <c r="RXR26" s="35"/>
      <c r="RXS26" s="35"/>
      <c r="RXT26" s="35"/>
      <c r="RXU26" s="35"/>
      <c r="RXV26" s="35"/>
      <c r="RXW26" s="35"/>
      <c r="RXX26" s="35"/>
      <c r="RXY26" s="35"/>
      <c r="RXZ26" s="35"/>
      <c r="RYA26" s="35"/>
      <c r="RYB26" s="35"/>
      <c r="RYC26" s="35"/>
      <c r="RYD26" s="35"/>
      <c r="RYE26" s="35"/>
      <c r="RYF26" s="35"/>
      <c r="RYG26" s="35"/>
      <c r="RYH26" s="35"/>
      <c r="RYI26" s="35"/>
      <c r="RYJ26" s="35"/>
      <c r="RYK26" s="35"/>
      <c r="RYL26" s="35"/>
      <c r="RYM26" s="35"/>
      <c r="RYN26" s="35"/>
      <c r="RYO26" s="35"/>
      <c r="RYP26" s="35"/>
      <c r="RYQ26" s="35"/>
      <c r="RYR26" s="35"/>
      <c r="RYS26" s="35"/>
      <c r="RYT26" s="35"/>
      <c r="RYU26" s="35"/>
      <c r="RYV26" s="35"/>
      <c r="RYW26" s="35"/>
      <c r="RYX26" s="35"/>
      <c r="RYY26" s="35"/>
      <c r="RYZ26" s="35"/>
      <c r="RZA26" s="35"/>
      <c r="RZB26" s="35"/>
      <c r="RZC26" s="35"/>
      <c r="RZD26" s="35"/>
      <c r="RZE26" s="35"/>
      <c r="RZF26" s="35"/>
      <c r="RZG26" s="35"/>
      <c r="RZH26" s="35"/>
      <c r="RZI26" s="35"/>
      <c r="RZJ26" s="35"/>
      <c r="RZK26" s="35"/>
      <c r="RZL26" s="35"/>
      <c r="RZM26" s="35"/>
      <c r="RZN26" s="35"/>
      <c r="RZO26" s="35"/>
      <c r="RZP26" s="35"/>
      <c r="RZQ26" s="35"/>
      <c r="RZR26" s="35"/>
      <c r="RZS26" s="35"/>
      <c r="RZT26" s="35"/>
      <c r="RZU26" s="35"/>
      <c r="RZV26" s="35"/>
      <c r="RZW26" s="35"/>
      <c r="RZX26" s="35"/>
      <c r="RZY26" s="35"/>
      <c r="RZZ26" s="35"/>
      <c r="SAA26" s="35"/>
      <c r="SAB26" s="35"/>
      <c r="SAC26" s="35"/>
      <c r="SAD26" s="35"/>
      <c r="SAE26" s="35"/>
      <c r="SAF26" s="35"/>
      <c r="SAG26" s="35"/>
      <c r="SAH26" s="35"/>
      <c r="SAI26" s="35"/>
      <c r="SAJ26" s="35"/>
      <c r="SAK26" s="35"/>
      <c r="SAL26" s="35"/>
      <c r="SAM26" s="35"/>
      <c r="SAN26" s="35"/>
      <c r="SAO26" s="35"/>
      <c r="SAP26" s="35"/>
      <c r="SAQ26" s="35"/>
      <c r="SAR26" s="35"/>
      <c r="SAS26" s="35"/>
      <c r="SAT26" s="35"/>
      <c r="SAU26" s="35"/>
      <c r="SAV26" s="35"/>
      <c r="SAW26" s="35"/>
      <c r="SAX26" s="35"/>
      <c r="SAY26" s="35"/>
      <c r="SAZ26" s="35"/>
      <c r="SBA26" s="35"/>
      <c r="SBB26" s="35"/>
      <c r="SBC26" s="35"/>
      <c r="SBD26" s="35"/>
      <c r="SBE26" s="35"/>
      <c r="SBF26" s="35"/>
      <c r="SBG26" s="35"/>
      <c r="SBH26" s="35"/>
      <c r="SBI26" s="35"/>
      <c r="SBJ26" s="35"/>
      <c r="SBK26" s="35"/>
      <c r="SBL26" s="35"/>
      <c r="SBM26" s="35"/>
      <c r="SBN26" s="35"/>
      <c r="SBO26" s="35"/>
      <c r="SBP26" s="35"/>
      <c r="SBQ26" s="35"/>
      <c r="SBR26" s="35"/>
      <c r="SBS26" s="35"/>
      <c r="SBT26" s="35"/>
      <c r="SBU26" s="35"/>
      <c r="SBV26" s="35"/>
      <c r="SBW26" s="35"/>
      <c r="SBX26" s="35"/>
      <c r="SBY26" s="35"/>
      <c r="SBZ26" s="35"/>
      <c r="SCA26" s="35"/>
      <c r="SCB26" s="35"/>
      <c r="SCC26" s="35"/>
      <c r="SCD26" s="35"/>
      <c r="SCE26" s="35"/>
      <c r="SCF26" s="35"/>
      <c r="SCG26" s="35"/>
      <c r="SCH26" s="35"/>
      <c r="SCI26" s="35"/>
      <c r="SCJ26" s="35"/>
      <c r="SCK26" s="35"/>
      <c r="SCL26" s="35"/>
      <c r="SCM26" s="35"/>
      <c r="SCN26" s="35"/>
      <c r="SCO26" s="35"/>
      <c r="SCP26" s="35"/>
      <c r="SCQ26" s="35"/>
      <c r="SCR26" s="35"/>
      <c r="SCS26" s="35"/>
      <c r="SCT26" s="35"/>
      <c r="SCU26" s="35"/>
      <c r="SCV26" s="35"/>
      <c r="SCW26" s="35"/>
      <c r="SCX26" s="35"/>
      <c r="SCY26" s="35"/>
      <c r="SCZ26" s="35"/>
      <c r="SDA26" s="35"/>
      <c r="SDB26" s="35"/>
      <c r="SDC26" s="35"/>
      <c r="SDD26" s="35"/>
      <c r="SDE26" s="35"/>
      <c r="SDF26" s="35"/>
      <c r="SDG26" s="35"/>
      <c r="SDH26" s="35"/>
      <c r="SDI26" s="35"/>
      <c r="SDJ26" s="35"/>
      <c r="SDK26" s="35"/>
      <c r="SDL26" s="35"/>
      <c r="SDM26" s="35"/>
      <c r="SDN26" s="35"/>
      <c r="SDO26" s="35"/>
      <c r="SDP26" s="35"/>
      <c r="SDQ26" s="35"/>
      <c r="SDR26" s="35"/>
      <c r="SDS26" s="35"/>
      <c r="SDT26" s="35"/>
      <c r="SDU26" s="35"/>
      <c r="SDV26" s="35"/>
      <c r="SDW26" s="35"/>
      <c r="SDX26" s="35"/>
      <c r="SDY26" s="35"/>
      <c r="SDZ26" s="35"/>
      <c r="SEA26" s="35"/>
      <c r="SEB26" s="35"/>
      <c r="SEC26" s="35"/>
      <c r="SED26" s="35"/>
      <c r="SEE26" s="35"/>
      <c r="SEF26" s="35"/>
      <c r="SEG26" s="35"/>
      <c r="SEH26" s="35"/>
      <c r="SEI26" s="35"/>
      <c r="SEJ26" s="35"/>
      <c r="SEK26" s="35"/>
      <c r="SEL26" s="35"/>
      <c r="SEM26" s="35"/>
      <c r="SEN26" s="35"/>
      <c r="SEO26" s="35"/>
      <c r="SEP26" s="35"/>
      <c r="SEQ26" s="35"/>
      <c r="SER26" s="35"/>
      <c r="SES26" s="35"/>
      <c r="SET26" s="35"/>
      <c r="SEU26" s="35"/>
      <c r="SEV26" s="35"/>
      <c r="SEW26" s="35"/>
      <c r="SEX26" s="35"/>
      <c r="SEY26" s="35"/>
      <c r="SEZ26" s="35"/>
      <c r="SFA26" s="35"/>
      <c r="SFB26" s="35"/>
      <c r="SFC26" s="35"/>
      <c r="SFD26" s="35"/>
      <c r="SFE26" s="35"/>
      <c r="SFF26" s="35"/>
      <c r="SFG26" s="35"/>
      <c r="SFH26" s="35"/>
      <c r="SFI26" s="35"/>
      <c r="SFJ26" s="35"/>
      <c r="SFK26" s="35"/>
      <c r="SFL26" s="35"/>
      <c r="SFM26" s="35"/>
      <c r="SFN26" s="35"/>
      <c r="SFO26" s="35"/>
      <c r="SFP26" s="35"/>
      <c r="SFQ26" s="35"/>
      <c r="SFR26" s="35"/>
      <c r="SFS26" s="35"/>
      <c r="SFT26" s="35"/>
      <c r="SFU26" s="35"/>
      <c r="SFV26" s="35"/>
      <c r="SFW26" s="35"/>
      <c r="SFX26" s="35"/>
      <c r="SFY26" s="35"/>
      <c r="SFZ26" s="35"/>
      <c r="SGA26" s="35"/>
      <c r="SGB26" s="35"/>
      <c r="SGC26" s="35"/>
      <c r="SGD26" s="35"/>
      <c r="SGE26" s="35"/>
      <c r="SGF26" s="35"/>
      <c r="SGG26" s="35"/>
      <c r="SGH26" s="35"/>
      <c r="SGI26" s="35"/>
      <c r="SGJ26" s="35"/>
      <c r="SGK26" s="35"/>
      <c r="SGL26" s="35"/>
      <c r="SGM26" s="35"/>
      <c r="SGN26" s="35"/>
      <c r="SGO26" s="35"/>
      <c r="SGP26" s="35"/>
      <c r="SGQ26" s="35"/>
      <c r="SGR26" s="35"/>
      <c r="SGS26" s="35"/>
      <c r="SGT26" s="35"/>
      <c r="SGU26" s="35"/>
      <c r="SGV26" s="35"/>
      <c r="SGW26" s="35"/>
      <c r="SGX26" s="35"/>
      <c r="SGY26" s="35"/>
      <c r="SGZ26" s="35"/>
      <c r="SHA26" s="35"/>
      <c r="SHB26" s="35"/>
      <c r="SHC26" s="35"/>
      <c r="SHD26" s="35"/>
      <c r="SHE26" s="35"/>
      <c r="SHF26" s="35"/>
      <c r="SHG26" s="35"/>
      <c r="SHH26" s="35"/>
      <c r="SHI26" s="35"/>
      <c r="SHJ26" s="35"/>
      <c r="SHK26" s="35"/>
      <c r="SHL26" s="35"/>
      <c r="SHM26" s="35"/>
      <c r="SHN26" s="35"/>
      <c r="SHO26" s="35"/>
      <c r="SHP26" s="35"/>
      <c r="SHQ26" s="35"/>
      <c r="SHR26" s="35"/>
      <c r="SHS26" s="35"/>
      <c r="SHT26" s="35"/>
      <c r="SHU26" s="35"/>
      <c r="SHV26" s="35"/>
      <c r="SHW26" s="35"/>
      <c r="SHX26" s="35"/>
      <c r="SHY26" s="35"/>
      <c r="SHZ26" s="35"/>
      <c r="SIA26" s="35"/>
      <c r="SIB26" s="35"/>
      <c r="SIC26" s="35"/>
      <c r="SID26" s="35"/>
      <c r="SIE26" s="35"/>
      <c r="SIF26" s="35"/>
      <c r="SIG26" s="35"/>
      <c r="SIH26" s="35"/>
      <c r="SII26" s="35"/>
      <c r="SIJ26" s="35"/>
      <c r="SIK26" s="35"/>
      <c r="SIL26" s="35"/>
      <c r="SIM26" s="35"/>
      <c r="SIN26" s="35"/>
      <c r="SIO26" s="35"/>
      <c r="SIP26" s="35"/>
      <c r="SIQ26" s="35"/>
      <c r="SIR26" s="35"/>
      <c r="SIS26" s="35"/>
      <c r="SIT26" s="35"/>
      <c r="SIU26" s="35"/>
      <c r="SIV26" s="35"/>
      <c r="SIW26" s="35"/>
      <c r="SIX26" s="35"/>
      <c r="SIY26" s="35"/>
      <c r="SIZ26" s="35"/>
      <c r="SJA26" s="35"/>
      <c r="SJB26" s="35"/>
      <c r="SJC26" s="35"/>
      <c r="SJD26" s="35"/>
      <c r="SJE26" s="35"/>
      <c r="SJF26" s="35"/>
      <c r="SJG26" s="35"/>
      <c r="SJH26" s="35"/>
      <c r="SJI26" s="35"/>
      <c r="SJJ26" s="35"/>
      <c r="SJK26" s="35"/>
      <c r="SJL26" s="35"/>
      <c r="SJM26" s="35"/>
      <c r="SJN26" s="35"/>
      <c r="SJO26" s="35"/>
      <c r="SJP26" s="35"/>
      <c r="SJQ26" s="35"/>
      <c r="SJR26" s="35"/>
      <c r="SJS26" s="35"/>
      <c r="SJT26" s="35"/>
      <c r="SJU26" s="35"/>
      <c r="SJV26" s="35"/>
      <c r="SJW26" s="35"/>
      <c r="SJX26" s="35"/>
      <c r="SJY26" s="35"/>
      <c r="SJZ26" s="35"/>
      <c r="SKA26" s="35"/>
      <c r="SKB26" s="35"/>
      <c r="SKC26" s="35"/>
      <c r="SKD26" s="35"/>
      <c r="SKE26" s="35"/>
      <c r="SKF26" s="35"/>
      <c r="SKG26" s="35"/>
      <c r="SKH26" s="35"/>
      <c r="SKI26" s="35"/>
      <c r="SKJ26" s="35"/>
      <c r="SKK26" s="35"/>
      <c r="SKL26" s="35"/>
      <c r="SKM26" s="35"/>
      <c r="SKN26" s="35"/>
      <c r="SKO26" s="35"/>
      <c r="SKP26" s="35"/>
      <c r="SKQ26" s="35"/>
      <c r="SKR26" s="35"/>
      <c r="SKS26" s="35"/>
      <c r="SKT26" s="35"/>
      <c r="SKU26" s="35"/>
      <c r="SKV26" s="35"/>
      <c r="SKW26" s="35"/>
      <c r="SKX26" s="35"/>
      <c r="SKY26" s="35"/>
      <c r="SKZ26" s="35"/>
      <c r="SLA26" s="35"/>
      <c r="SLB26" s="35"/>
      <c r="SLC26" s="35"/>
      <c r="SLD26" s="35"/>
      <c r="SLE26" s="35"/>
      <c r="SLF26" s="35"/>
      <c r="SLG26" s="35"/>
      <c r="SLH26" s="35"/>
      <c r="SLI26" s="35"/>
      <c r="SLJ26" s="35"/>
      <c r="SLK26" s="35"/>
      <c r="SLL26" s="35"/>
      <c r="SLM26" s="35"/>
      <c r="SLN26" s="35"/>
      <c r="SLO26" s="35"/>
      <c r="SLP26" s="35"/>
      <c r="SLQ26" s="35"/>
      <c r="SLR26" s="35"/>
      <c r="SLS26" s="35"/>
      <c r="SLT26" s="35"/>
      <c r="SLU26" s="35"/>
      <c r="SLV26" s="35"/>
      <c r="SLW26" s="35"/>
      <c r="SLX26" s="35"/>
      <c r="SLY26" s="35"/>
      <c r="SLZ26" s="35"/>
      <c r="SMA26" s="35"/>
      <c r="SMB26" s="35"/>
      <c r="SMC26" s="35"/>
      <c r="SMD26" s="35"/>
      <c r="SME26" s="35"/>
      <c r="SMF26" s="35"/>
      <c r="SMG26" s="35"/>
      <c r="SMH26" s="35"/>
      <c r="SMI26" s="35"/>
      <c r="SMJ26" s="35"/>
      <c r="SMK26" s="35"/>
      <c r="SML26" s="35"/>
      <c r="SMM26" s="35"/>
      <c r="SMN26" s="35"/>
      <c r="SMO26" s="35"/>
      <c r="SMP26" s="35"/>
      <c r="SMQ26" s="35"/>
      <c r="SMR26" s="35"/>
      <c r="SMS26" s="35"/>
      <c r="SMT26" s="35"/>
      <c r="SMU26" s="35"/>
      <c r="SMV26" s="35"/>
      <c r="SMW26" s="35"/>
      <c r="SMX26" s="35"/>
      <c r="SMY26" s="35"/>
      <c r="SMZ26" s="35"/>
      <c r="SNA26" s="35"/>
      <c r="SNB26" s="35"/>
      <c r="SNC26" s="35"/>
      <c r="SND26" s="35"/>
      <c r="SNE26" s="35"/>
      <c r="SNF26" s="35"/>
      <c r="SNG26" s="35"/>
      <c r="SNH26" s="35"/>
      <c r="SNI26" s="35"/>
      <c r="SNJ26" s="35"/>
      <c r="SNK26" s="35"/>
      <c r="SNL26" s="35"/>
      <c r="SNM26" s="35"/>
      <c r="SNN26" s="35"/>
      <c r="SNO26" s="35"/>
      <c r="SNP26" s="35"/>
      <c r="SNQ26" s="35"/>
      <c r="SNR26" s="35"/>
      <c r="SNS26" s="35"/>
      <c r="SNT26" s="35"/>
      <c r="SNU26" s="35"/>
      <c r="SNV26" s="35"/>
      <c r="SNW26" s="35"/>
      <c r="SNX26" s="35"/>
      <c r="SNY26" s="35"/>
      <c r="SNZ26" s="35"/>
      <c r="SOA26" s="35"/>
      <c r="SOB26" s="35"/>
      <c r="SOC26" s="35"/>
      <c r="SOD26" s="35"/>
      <c r="SOE26" s="35"/>
      <c r="SOF26" s="35"/>
      <c r="SOG26" s="35"/>
      <c r="SOH26" s="35"/>
      <c r="SOI26" s="35"/>
      <c r="SOJ26" s="35"/>
      <c r="SOK26" s="35"/>
      <c r="SOL26" s="35"/>
      <c r="SOM26" s="35"/>
      <c r="SON26" s="35"/>
      <c r="SOO26" s="35"/>
      <c r="SOP26" s="35"/>
      <c r="SOQ26" s="35"/>
      <c r="SOR26" s="35"/>
      <c r="SOS26" s="35"/>
      <c r="SOT26" s="35"/>
      <c r="SOU26" s="35"/>
      <c r="SOV26" s="35"/>
      <c r="SOW26" s="35"/>
      <c r="SOX26" s="35"/>
      <c r="SOY26" s="35"/>
      <c r="SOZ26" s="35"/>
      <c r="SPA26" s="35"/>
      <c r="SPB26" s="35"/>
      <c r="SPC26" s="35"/>
      <c r="SPD26" s="35"/>
      <c r="SPE26" s="35"/>
      <c r="SPF26" s="35"/>
      <c r="SPG26" s="35"/>
      <c r="SPH26" s="35"/>
      <c r="SPI26" s="35"/>
      <c r="SPJ26" s="35"/>
      <c r="SPK26" s="35"/>
      <c r="SPL26" s="35"/>
      <c r="SPM26" s="35"/>
      <c r="SPN26" s="35"/>
      <c r="SPO26" s="35"/>
      <c r="SPP26" s="35"/>
      <c r="SPQ26" s="35"/>
      <c r="SPR26" s="35"/>
      <c r="SPS26" s="35"/>
      <c r="SPT26" s="35"/>
      <c r="SPU26" s="35"/>
      <c r="SPV26" s="35"/>
      <c r="SPW26" s="35"/>
      <c r="SPX26" s="35"/>
      <c r="SPY26" s="35"/>
      <c r="SPZ26" s="35"/>
      <c r="SQA26" s="35"/>
      <c r="SQB26" s="35"/>
      <c r="SQC26" s="35"/>
      <c r="SQD26" s="35"/>
      <c r="SQE26" s="35"/>
      <c r="SQF26" s="35"/>
      <c r="SQG26" s="35"/>
      <c r="SQH26" s="35"/>
      <c r="SQI26" s="35"/>
      <c r="SQJ26" s="35"/>
      <c r="SQK26" s="35"/>
      <c r="SQL26" s="35"/>
      <c r="SQM26" s="35"/>
      <c r="SQN26" s="35"/>
      <c r="SQO26" s="35"/>
      <c r="SQP26" s="35"/>
      <c r="SQQ26" s="35"/>
      <c r="SQR26" s="35"/>
      <c r="SQS26" s="35"/>
      <c r="SQT26" s="35"/>
      <c r="SQU26" s="35"/>
      <c r="SQV26" s="35"/>
      <c r="SQW26" s="35"/>
      <c r="SQX26" s="35"/>
      <c r="SQY26" s="35"/>
      <c r="SQZ26" s="35"/>
      <c r="SRA26" s="35"/>
      <c r="SRB26" s="35"/>
      <c r="SRC26" s="35"/>
      <c r="SRD26" s="35"/>
      <c r="SRE26" s="35"/>
      <c r="SRF26" s="35"/>
      <c r="SRG26" s="35"/>
      <c r="SRH26" s="35"/>
      <c r="SRI26" s="35"/>
      <c r="SRJ26" s="35"/>
      <c r="SRK26" s="35"/>
      <c r="SRL26" s="35"/>
      <c r="SRM26" s="35"/>
      <c r="SRN26" s="35"/>
      <c r="SRO26" s="35"/>
      <c r="SRP26" s="35"/>
      <c r="SRQ26" s="35"/>
      <c r="SRR26" s="35"/>
      <c r="SRS26" s="35"/>
      <c r="SRT26" s="35"/>
      <c r="SRU26" s="35"/>
      <c r="SRV26" s="35"/>
      <c r="SRW26" s="35"/>
      <c r="SRX26" s="35"/>
      <c r="SRY26" s="35"/>
      <c r="SRZ26" s="35"/>
      <c r="SSA26" s="35"/>
      <c r="SSB26" s="35"/>
      <c r="SSC26" s="35"/>
      <c r="SSD26" s="35"/>
      <c r="SSE26" s="35"/>
      <c r="SSF26" s="35"/>
      <c r="SSG26" s="35"/>
      <c r="SSH26" s="35"/>
      <c r="SSI26" s="35"/>
      <c r="SSJ26" s="35"/>
      <c r="SSK26" s="35"/>
      <c r="SSL26" s="35"/>
      <c r="SSM26" s="35"/>
      <c r="SSN26" s="35"/>
      <c r="SSO26" s="35"/>
      <c r="SSP26" s="35"/>
      <c r="SSQ26" s="35"/>
      <c r="SSR26" s="35"/>
      <c r="SSS26" s="35"/>
      <c r="SST26" s="35"/>
      <c r="SSU26" s="35"/>
      <c r="SSV26" s="35"/>
      <c r="SSW26" s="35"/>
      <c r="SSX26" s="35"/>
      <c r="SSY26" s="35"/>
      <c r="SSZ26" s="35"/>
      <c r="STA26" s="35"/>
      <c r="STB26" s="35"/>
      <c r="STC26" s="35"/>
      <c r="STD26" s="35"/>
      <c r="STE26" s="35"/>
      <c r="STF26" s="35"/>
      <c r="STG26" s="35"/>
      <c r="STH26" s="35"/>
      <c r="STI26" s="35"/>
      <c r="STJ26" s="35"/>
      <c r="STK26" s="35"/>
      <c r="STL26" s="35"/>
      <c r="STM26" s="35"/>
      <c r="STN26" s="35"/>
      <c r="STO26" s="35"/>
      <c r="STP26" s="35"/>
      <c r="STQ26" s="35"/>
      <c r="STR26" s="35"/>
      <c r="STS26" s="35"/>
      <c r="STT26" s="35"/>
      <c r="STU26" s="35"/>
      <c r="STV26" s="35"/>
      <c r="STW26" s="35"/>
      <c r="STX26" s="35"/>
      <c r="STY26" s="35"/>
      <c r="STZ26" s="35"/>
      <c r="SUA26" s="35"/>
      <c r="SUB26" s="35"/>
      <c r="SUC26" s="35"/>
      <c r="SUD26" s="35"/>
      <c r="SUE26" s="35"/>
      <c r="SUF26" s="35"/>
      <c r="SUG26" s="35"/>
      <c r="SUH26" s="35"/>
      <c r="SUI26" s="35"/>
      <c r="SUJ26" s="35"/>
      <c r="SUK26" s="35"/>
      <c r="SUL26" s="35"/>
      <c r="SUM26" s="35"/>
      <c r="SUN26" s="35"/>
      <c r="SUO26" s="35"/>
      <c r="SUP26" s="35"/>
      <c r="SUQ26" s="35"/>
      <c r="SUR26" s="35"/>
      <c r="SUS26" s="35"/>
      <c r="SUT26" s="35"/>
      <c r="SUU26" s="35"/>
      <c r="SUV26" s="35"/>
      <c r="SUW26" s="35"/>
      <c r="SUX26" s="35"/>
      <c r="SUY26" s="35"/>
      <c r="SUZ26" s="35"/>
      <c r="SVA26" s="35"/>
      <c r="SVB26" s="35"/>
      <c r="SVC26" s="35"/>
      <c r="SVD26" s="35"/>
      <c r="SVE26" s="35"/>
      <c r="SVF26" s="35"/>
      <c r="SVG26" s="35"/>
      <c r="SVH26" s="35"/>
      <c r="SVI26" s="35"/>
      <c r="SVJ26" s="35"/>
      <c r="SVK26" s="35"/>
      <c r="SVL26" s="35"/>
      <c r="SVM26" s="35"/>
      <c r="SVN26" s="35"/>
      <c r="SVO26" s="35"/>
      <c r="SVP26" s="35"/>
      <c r="SVQ26" s="35"/>
      <c r="SVR26" s="35"/>
      <c r="SVS26" s="35"/>
      <c r="SVT26" s="35"/>
      <c r="SVU26" s="35"/>
      <c r="SVV26" s="35"/>
      <c r="SVW26" s="35"/>
      <c r="SVX26" s="35"/>
      <c r="SVY26" s="35"/>
      <c r="SVZ26" s="35"/>
      <c r="SWA26" s="35"/>
      <c r="SWB26" s="35"/>
      <c r="SWC26" s="35"/>
      <c r="SWD26" s="35"/>
      <c r="SWE26" s="35"/>
      <c r="SWF26" s="35"/>
      <c r="SWG26" s="35"/>
      <c r="SWH26" s="35"/>
      <c r="SWI26" s="35"/>
      <c r="SWJ26" s="35"/>
      <c r="SWK26" s="35"/>
      <c r="SWL26" s="35"/>
      <c r="SWM26" s="35"/>
      <c r="SWN26" s="35"/>
      <c r="SWO26" s="35"/>
      <c r="SWP26" s="35"/>
      <c r="SWQ26" s="35"/>
      <c r="SWR26" s="35"/>
      <c r="SWS26" s="35"/>
      <c r="SWT26" s="35"/>
      <c r="SWU26" s="35"/>
      <c r="SWV26" s="35"/>
      <c r="SWW26" s="35"/>
      <c r="SWX26" s="35"/>
      <c r="SWY26" s="35"/>
      <c r="SWZ26" s="35"/>
      <c r="SXA26" s="35"/>
      <c r="SXB26" s="35"/>
      <c r="SXC26" s="35"/>
      <c r="SXD26" s="35"/>
      <c r="SXE26" s="35"/>
      <c r="SXF26" s="35"/>
      <c r="SXG26" s="35"/>
      <c r="SXH26" s="35"/>
      <c r="SXI26" s="35"/>
      <c r="SXJ26" s="35"/>
      <c r="SXK26" s="35"/>
      <c r="SXL26" s="35"/>
      <c r="SXM26" s="35"/>
      <c r="SXN26" s="35"/>
      <c r="SXO26" s="35"/>
      <c r="SXP26" s="35"/>
      <c r="SXQ26" s="35"/>
      <c r="SXR26" s="35"/>
      <c r="SXS26" s="35"/>
      <c r="SXT26" s="35"/>
      <c r="SXU26" s="35"/>
      <c r="SXV26" s="35"/>
      <c r="SXW26" s="35"/>
      <c r="SXX26" s="35"/>
      <c r="SXY26" s="35"/>
      <c r="SXZ26" s="35"/>
      <c r="SYA26" s="35"/>
      <c r="SYB26" s="35"/>
      <c r="SYC26" s="35"/>
      <c r="SYD26" s="35"/>
      <c r="SYE26" s="35"/>
      <c r="SYF26" s="35"/>
      <c r="SYG26" s="35"/>
      <c r="SYH26" s="35"/>
      <c r="SYI26" s="35"/>
      <c r="SYJ26" s="35"/>
      <c r="SYK26" s="35"/>
      <c r="SYL26" s="35"/>
      <c r="SYM26" s="35"/>
      <c r="SYN26" s="35"/>
      <c r="SYO26" s="35"/>
      <c r="SYP26" s="35"/>
      <c r="SYQ26" s="35"/>
      <c r="SYR26" s="35"/>
      <c r="SYS26" s="35"/>
      <c r="SYT26" s="35"/>
      <c r="SYU26" s="35"/>
      <c r="SYV26" s="35"/>
      <c r="SYW26" s="35"/>
      <c r="SYX26" s="35"/>
      <c r="SYY26" s="35"/>
      <c r="SYZ26" s="35"/>
      <c r="SZA26" s="35"/>
      <c r="SZB26" s="35"/>
      <c r="SZC26" s="35"/>
      <c r="SZD26" s="35"/>
      <c r="SZE26" s="35"/>
      <c r="SZF26" s="35"/>
      <c r="SZG26" s="35"/>
      <c r="SZH26" s="35"/>
      <c r="SZI26" s="35"/>
      <c r="SZJ26" s="35"/>
      <c r="SZK26" s="35"/>
      <c r="SZL26" s="35"/>
      <c r="SZM26" s="35"/>
      <c r="SZN26" s="35"/>
      <c r="SZO26" s="35"/>
      <c r="SZP26" s="35"/>
      <c r="SZQ26" s="35"/>
      <c r="SZR26" s="35"/>
      <c r="SZS26" s="35"/>
      <c r="SZT26" s="35"/>
      <c r="SZU26" s="35"/>
      <c r="SZV26" s="35"/>
      <c r="SZW26" s="35"/>
      <c r="SZX26" s="35"/>
      <c r="SZY26" s="35"/>
      <c r="SZZ26" s="35"/>
      <c r="TAA26" s="35"/>
      <c r="TAB26" s="35"/>
      <c r="TAC26" s="35"/>
      <c r="TAD26" s="35"/>
      <c r="TAE26" s="35"/>
      <c r="TAF26" s="35"/>
      <c r="TAG26" s="35"/>
      <c r="TAH26" s="35"/>
      <c r="TAI26" s="35"/>
      <c r="TAJ26" s="35"/>
      <c r="TAK26" s="35"/>
      <c r="TAL26" s="35"/>
      <c r="TAM26" s="35"/>
      <c r="TAN26" s="35"/>
      <c r="TAO26" s="35"/>
      <c r="TAP26" s="35"/>
      <c r="TAQ26" s="35"/>
      <c r="TAR26" s="35"/>
      <c r="TAS26" s="35"/>
      <c r="TAT26" s="35"/>
      <c r="TAU26" s="35"/>
      <c r="TAV26" s="35"/>
      <c r="TAW26" s="35"/>
      <c r="TAX26" s="35"/>
      <c r="TAY26" s="35"/>
      <c r="TAZ26" s="35"/>
      <c r="TBA26" s="35"/>
      <c r="TBB26" s="35"/>
      <c r="TBC26" s="35"/>
      <c r="TBD26" s="35"/>
      <c r="TBE26" s="35"/>
      <c r="TBF26" s="35"/>
      <c r="TBG26" s="35"/>
      <c r="TBH26" s="35"/>
      <c r="TBI26" s="35"/>
      <c r="TBJ26" s="35"/>
      <c r="TBK26" s="35"/>
      <c r="TBL26" s="35"/>
      <c r="TBM26" s="35"/>
      <c r="TBN26" s="35"/>
      <c r="TBO26" s="35"/>
      <c r="TBP26" s="35"/>
      <c r="TBQ26" s="35"/>
      <c r="TBR26" s="35"/>
      <c r="TBS26" s="35"/>
      <c r="TBT26" s="35"/>
      <c r="TBU26" s="35"/>
      <c r="TBV26" s="35"/>
      <c r="TBW26" s="35"/>
      <c r="TBX26" s="35"/>
      <c r="TBY26" s="35"/>
      <c r="TBZ26" s="35"/>
      <c r="TCA26" s="35"/>
      <c r="TCB26" s="35"/>
      <c r="TCC26" s="35"/>
      <c r="TCD26" s="35"/>
      <c r="TCE26" s="35"/>
      <c r="TCF26" s="35"/>
      <c r="TCG26" s="35"/>
      <c r="TCH26" s="35"/>
      <c r="TCI26" s="35"/>
      <c r="TCJ26" s="35"/>
      <c r="TCK26" s="35"/>
      <c r="TCL26" s="35"/>
      <c r="TCM26" s="35"/>
      <c r="TCN26" s="35"/>
      <c r="TCO26" s="35"/>
      <c r="TCP26" s="35"/>
      <c r="TCQ26" s="35"/>
      <c r="TCR26" s="35"/>
      <c r="TCS26" s="35"/>
      <c r="TCT26" s="35"/>
      <c r="TCU26" s="35"/>
      <c r="TCV26" s="35"/>
      <c r="TCW26" s="35"/>
      <c r="TCX26" s="35"/>
      <c r="TCY26" s="35"/>
      <c r="TCZ26" s="35"/>
      <c r="TDA26" s="35"/>
      <c r="TDB26" s="35"/>
      <c r="TDC26" s="35"/>
      <c r="TDD26" s="35"/>
      <c r="TDE26" s="35"/>
      <c r="TDF26" s="35"/>
      <c r="TDG26" s="35"/>
      <c r="TDH26" s="35"/>
      <c r="TDI26" s="35"/>
      <c r="TDJ26" s="35"/>
      <c r="TDK26" s="35"/>
      <c r="TDL26" s="35"/>
      <c r="TDM26" s="35"/>
      <c r="TDN26" s="35"/>
      <c r="TDO26" s="35"/>
      <c r="TDP26" s="35"/>
      <c r="TDQ26" s="35"/>
      <c r="TDR26" s="35"/>
      <c r="TDS26" s="35"/>
      <c r="TDT26" s="35"/>
      <c r="TDU26" s="35"/>
      <c r="TDV26" s="35"/>
      <c r="TDW26" s="35"/>
      <c r="TDX26" s="35"/>
      <c r="TDY26" s="35"/>
      <c r="TDZ26" s="35"/>
      <c r="TEA26" s="35"/>
      <c r="TEB26" s="35"/>
      <c r="TEC26" s="35"/>
      <c r="TED26" s="35"/>
      <c r="TEE26" s="35"/>
      <c r="TEF26" s="35"/>
      <c r="TEG26" s="35"/>
      <c r="TEH26" s="35"/>
      <c r="TEI26" s="35"/>
      <c r="TEJ26" s="35"/>
      <c r="TEK26" s="35"/>
      <c r="TEL26" s="35"/>
      <c r="TEM26" s="35"/>
      <c r="TEN26" s="35"/>
      <c r="TEO26" s="35"/>
      <c r="TEP26" s="35"/>
      <c r="TEQ26" s="35"/>
      <c r="TER26" s="35"/>
      <c r="TES26" s="35"/>
      <c r="TET26" s="35"/>
      <c r="TEU26" s="35"/>
      <c r="TEV26" s="35"/>
      <c r="TEW26" s="35"/>
      <c r="TEX26" s="35"/>
      <c r="TEY26" s="35"/>
      <c r="TEZ26" s="35"/>
      <c r="TFA26" s="35"/>
      <c r="TFB26" s="35"/>
      <c r="TFC26" s="35"/>
      <c r="TFD26" s="35"/>
      <c r="TFE26" s="35"/>
      <c r="TFF26" s="35"/>
      <c r="TFG26" s="35"/>
      <c r="TFH26" s="35"/>
      <c r="TFI26" s="35"/>
      <c r="TFJ26" s="35"/>
      <c r="TFK26" s="35"/>
      <c r="TFL26" s="35"/>
      <c r="TFM26" s="35"/>
      <c r="TFN26" s="35"/>
      <c r="TFO26" s="35"/>
      <c r="TFP26" s="35"/>
      <c r="TFQ26" s="35"/>
      <c r="TFR26" s="35"/>
      <c r="TFS26" s="35"/>
      <c r="TFT26" s="35"/>
      <c r="TFU26" s="35"/>
      <c r="TFV26" s="35"/>
      <c r="TFW26" s="35"/>
      <c r="TFX26" s="35"/>
      <c r="TFY26" s="35"/>
      <c r="TFZ26" s="35"/>
      <c r="TGA26" s="35"/>
      <c r="TGB26" s="35"/>
      <c r="TGC26" s="35"/>
      <c r="TGD26" s="35"/>
      <c r="TGE26" s="35"/>
      <c r="TGF26" s="35"/>
      <c r="TGG26" s="35"/>
      <c r="TGH26" s="35"/>
      <c r="TGI26" s="35"/>
      <c r="TGJ26" s="35"/>
      <c r="TGK26" s="35"/>
      <c r="TGL26" s="35"/>
      <c r="TGM26" s="35"/>
      <c r="TGN26" s="35"/>
      <c r="TGO26" s="35"/>
      <c r="TGP26" s="35"/>
      <c r="TGQ26" s="35"/>
      <c r="TGR26" s="35"/>
      <c r="TGS26" s="35"/>
      <c r="TGT26" s="35"/>
      <c r="TGU26" s="35"/>
      <c r="TGV26" s="35"/>
      <c r="TGW26" s="35"/>
      <c r="TGX26" s="35"/>
      <c r="TGY26" s="35"/>
      <c r="TGZ26" s="35"/>
      <c r="THA26" s="35"/>
      <c r="THB26" s="35"/>
      <c r="THC26" s="35"/>
      <c r="THD26" s="35"/>
      <c r="THE26" s="35"/>
      <c r="THF26" s="35"/>
      <c r="THG26" s="35"/>
      <c r="THH26" s="35"/>
      <c r="THI26" s="35"/>
      <c r="THJ26" s="35"/>
      <c r="THK26" s="35"/>
      <c r="THL26" s="35"/>
      <c r="THM26" s="35"/>
      <c r="THN26" s="35"/>
      <c r="THO26" s="35"/>
      <c r="THP26" s="35"/>
      <c r="THQ26" s="35"/>
      <c r="THR26" s="35"/>
      <c r="THS26" s="35"/>
      <c r="THT26" s="35"/>
      <c r="THU26" s="35"/>
      <c r="THV26" s="35"/>
      <c r="THW26" s="35"/>
      <c r="THX26" s="35"/>
      <c r="THY26" s="35"/>
      <c r="THZ26" s="35"/>
      <c r="TIA26" s="35"/>
      <c r="TIB26" s="35"/>
      <c r="TIC26" s="35"/>
      <c r="TID26" s="35"/>
      <c r="TIE26" s="35"/>
      <c r="TIF26" s="35"/>
      <c r="TIG26" s="35"/>
      <c r="TIH26" s="35"/>
      <c r="TII26" s="35"/>
      <c r="TIJ26" s="35"/>
      <c r="TIK26" s="35"/>
      <c r="TIL26" s="35"/>
      <c r="TIM26" s="35"/>
      <c r="TIN26" s="35"/>
      <c r="TIO26" s="35"/>
      <c r="TIP26" s="35"/>
      <c r="TIQ26" s="35"/>
      <c r="TIR26" s="35"/>
      <c r="TIS26" s="35"/>
      <c r="TIT26" s="35"/>
      <c r="TIU26" s="35"/>
      <c r="TIV26" s="35"/>
      <c r="TIW26" s="35"/>
      <c r="TIX26" s="35"/>
      <c r="TIY26" s="35"/>
      <c r="TIZ26" s="35"/>
      <c r="TJA26" s="35"/>
      <c r="TJB26" s="35"/>
      <c r="TJC26" s="35"/>
      <c r="TJD26" s="35"/>
      <c r="TJE26" s="35"/>
      <c r="TJF26" s="35"/>
      <c r="TJG26" s="35"/>
      <c r="TJH26" s="35"/>
      <c r="TJI26" s="35"/>
      <c r="TJJ26" s="35"/>
      <c r="TJK26" s="35"/>
      <c r="TJL26" s="35"/>
      <c r="TJM26" s="35"/>
      <c r="TJN26" s="35"/>
      <c r="TJO26" s="35"/>
      <c r="TJP26" s="35"/>
      <c r="TJQ26" s="35"/>
      <c r="TJR26" s="35"/>
      <c r="TJS26" s="35"/>
      <c r="TJT26" s="35"/>
      <c r="TJU26" s="35"/>
      <c r="TJV26" s="35"/>
      <c r="TJW26" s="35"/>
      <c r="TJX26" s="35"/>
      <c r="TJY26" s="35"/>
      <c r="TJZ26" s="35"/>
      <c r="TKA26" s="35"/>
      <c r="TKB26" s="35"/>
      <c r="TKC26" s="35"/>
      <c r="TKD26" s="35"/>
      <c r="TKE26" s="35"/>
      <c r="TKF26" s="35"/>
      <c r="TKG26" s="35"/>
      <c r="TKH26" s="35"/>
      <c r="TKI26" s="35"/>
      <c r="TKJ26" s="35"/>
      <c r="TKK26" s="35"/>
      <c r="TKL26" s="35"/>
      <c r="TKM26" s="35"/>
      <c r="TKN26" s="35"/>
      <c r="TKO26" s="35"/>
      <c r="TKP26" s="35"/>
      <c r="TKQ26" s="35"/>
      <c r="TKR26" s="35"/>
      <c r="TKS26" s="35"/>
      <c r="TKT26" s="35"/>
      <c r="TKU26" s="35"/>
      <c r="TKV26" s="35"/>
      <c r="TKW26" s="35"/>
      <c r="TKX26" s="35"/>
      <c r="TKY26" s="35"/>
      <c r="TKZ26" s="35"/>
      <c r="TLA26" s="35"/>
      <c r="TLB26" s="35"/>
      <c r="TLC26" s="35"/>
      <c r="TLD26" s="35"/>
      <c r="TLE26" s="35"/>
      <c r="TLF26" s="35"/>
      <c r="TLG26" s="35"/>
      <c r="TLH26" s="35"/>
      <c r="TLI26" s="35"/>
      <c r="TLJ26" s="35"/>
      <c r="TLK26" s="35"/>
      <c r="TLL26" s="35"/>
      <c r="TLM26" s="35"/>
      <c r="TLN26" s="35"/>
      <c r="TLO26" s="35"/>
      <c r="TLP26" s="35"/>
      <c r="TLQ26" s="35"/>
      <c r="TLR26" s="35"/>
      <c r="TLS26" s="35"/>
      <c r="TLT26" s="35"/>
      <c r="TLU26" s="35"/>
      <c r="TLV26" s="35"/>
      <c r="TLW26" s="35"/>
      <c r="TLX26" s="35"/>
      <c r="TLY26" s="35"/>
      <c r="TLZ26" s="35"/>
      <c r="TMA26" s="35"/>
      <c r="TMB26" s="35"/>
      <c r="TMC26" s="35"/>
      <c r="TMD26" s="35"/>
      <c r="TME26" s="35"/>
      <c r="TMF26" s="35"/>
      <c r="TMG26" s="35"/>
      <c r="TMH26" s="35"/>
      <c r="TMI26" s="35"/>
      <c r="TMJ26" s="35"/>
      <c r="TMK26" s="35"/>
      <c r="TML26" s="35"/>
      <c r="TMM26" s="35"/>
      <c r="TMN26" s="35"/>
      <c r="TMO26" s="35"/>
      <c r="TMP26" s="35"/>
      <c r="TMQ26" s="35"/>
      <c r="TMR26" s="35"/>
      <c r="TMS26" s="35"/>
      <c r="TMT26" s="35"/>
      <c r="TMU26" s="35"/>
      <c r="TMV26" s="35"/>
      <c r="TMW26" s="35"/>
      <c r="TMX26" s="35"/>
      <c r="TMY26" s="35"/>
      <c r="TMZ26" s="35"/>
      <c r="TNA26" s="35"/>
      <c r="TNB26" s="35"/>
      <c r="TNC26" s="35"/>
      <c r="TND26" s="35"/>
      <c r="TNE26" s="35"/>
      <c r="TNF26" s="35"/>
      <c r="TNG26" s="35"/>
      <c r="TNH26" s="35"/>
      <c r="TNI26" s="35"/>
      <c r="TNJ26" s="35"/>
      <c r="TNK26" s="35"/>
      <c r="TNL26" s="35"/>
      <c r="TNM26" s="35"/>
      <c r="TNN26" s="35"/>
      <c r="TNO26" s="35"/>
      <c r="TNP26" s="35"/>
      <c r="TNQ26" s="35"/>
      <c r="TNR26" s="35"/>
      <c r="TNS26" s="35"/>
      <c r="TNT26" s="35"/>
      <c r="TNU26" s="35"/>
      <c r="TNV26" s="35"/>
      <c r="TNW26" s="35"/>
      <c r="TNX26" s="35"/>
      <c r="TNY26" s="35"/>
      <c r="TNZ26" s="35"/>
      <c r="TOA26" s="35"/>
      <c r="TOB26" s="35"/>
      <c r="TOC26" s="35"/>
      <c r="TOD26" s="35"/>
      <c r="TOE26" s="35"/>
      <c r="TOF26" s="35"/>
      <c r="TOG26" s="35"/>
      <c r="TOH26" s="35"/>
      <c r="TOI26" s="35"/>
      <c r="TOJ26" s="35"/>
      <c r="TOK26" s="35"/>
      <c r="TOL26" s="35"/>
      <c r="TOM26" s="35"/>
      <c r="TON26" s="35"/>
      <c r="TOO26" s="35"/>
      <c r="TOP26" s="35"/>
      <c r="TOQ26" s="35"/>
      <c r="TOR26" s="35"/>
      <c r="TOS26" s="35"/>
      <c r="TOT26" s="35"/>
      <c r="TOU26" s="35"/>
      <c r="TOV26" s="35"/>
      <c r="TOW26" s="35"/>
      <c r="TOX26" s="35"/>
      <c r="TOY26" s="35"/>
      <c r="TOZ26" s="35"/>
      <c r="TPA26" s="35"/>
      <c r="TPB26" s="35"/>
      <c r="TPC26" s="35"/>
      <c r="TPD26" s="35"/>
      <c r="TPE26" s="35"/>
      <c r="TPF26" s="35"/>
      <c r="TPG26" s="35"/>
      <c r="TPH26" s="35"/>
      <c r="TPI26" s="35"/>
      <c r="TPJ26" s="35"/>
      <c r="TPK26" s="35"/>
      <c r="TPL26" s="35"/>
      <c r="TPM26" s="35"/>
      <c r="TPN26" s="35"/>
      <c r="TPO26" s="35"/>
      <c r="TPP26" s="35"/>
      <c r="TPQ26" s="35"/>
      <c r="TPR26" s="35"/>
      <c r="TPS26" s="35"/>
      <c r="TPT26" s="35"/>
      <c r="TPU26" s="35"/>
      <c r="TPV26" s="35"/>
      <c r="TPW26" s="35"/>
      <c r="TPX26" s="35"/>
      <c r="TPY26" s="35"/>
      <c r="TPZ26" s="35"/>
      <c r="TQA26" s="35"/>
      <c r="TQB26" s="35"/>
      <c r="TQC26" s="35"/>
      <c r="TQD26" s="35"/>
      <c r="TQE26" s="35"/>
      <c r="TQF26" s="35"/>
      <c r="TQG26" s="35"/>
      <c r="TQH26" s="35"/>
      <c r="TQI26" s="35"/>
      <c r="TQJ26" s="35"/>
      <c r="TQK26" s="35"/>
      <c r="TQL26" s="35"/>
      <c r="TQM26" s="35"/>
      <c r="TQN26" s="35"/>
      <c r="TQO26" s="35"/>
      <c r="TQP26" s="35"/>
      <c r="TQQ26" s="35"/>
      <c r="TQR26" s="35"/>
      <c r="TQS26" s="35"/>
      <c r="TQT26" s="35"/>
      <c r="TQU26" s="35"/>
      <c r="TQV26" s="35"/>
      <c r="TQW26" s="35"/>
      <c r="TQX26" s="35"/>
      <c r="TQY26" s="35"/>
      <c r="TQZ26" s="35"/>
      <c r="TRA26" s="35"/>
      <c r="TRB26" s="35"/>
      <c r="TRC26" s="35"/>
      <c r="TRD26" s="35"/>
      <c r="TRE26" s="35"/>
      <c r="TRF26" s="35"/>
      <c r="TRG26" s="35"/>
      <c r="TRH26" s="35"/>
      <c r="TRI26" s="35"/>
      <c r="TRJ26" s="35"/>
      <c r="TRK26" s="35"/>
      <c r="TRL26" s="35"/>
      <c r="TRM26" s="35"/>
      <c r="TRN26" s="35"/>
      <c r="TRO26" s="35"/>
      <c r="TRP26" s="35"/>
      <c r="TRQ26" s="35"/>
      <c r="TRR26" s="35"/>
      <c r="TRS26" s="35"/>
      <c r="TRT26" s="35"/>
      <c r="TRU26" s="35"/>
      <c r="TRV26" s="35"/>
      <c r="TRW26" s="35"/>
      <c r="TRX26" s="35"/>
      <c r="TRY26" s="35"/>
      <c r="TRZ26" s="35"/>
      <c r="TSA26" s="35"/>
      <c r="TSB26" s="35"/>
      <c r="TSC26" s="35"/>
      <c r="TSD26" s="35"/>
      <c r="TSE26" s="35"/>
      <c r="TSF26" s="35"/>
      <c r="TSG26" s="35"/>
      <c r="TSH26" s="35"/>
      <c r="TSI26" s="35"/>
      <c r="TSJ26" s="35"/>
      <c r="TSK26" s="35"/>
      <c r="TSL26" s="35"/>
      <c r="TSM26" s="35"/>
      <c r="TSN26" s="35"/>
      <c r="TSO26" s="35"/>
      <c r="TSP26" s="35"/>
      <c r="TSQ26" s="35"/>
      <c r="TSR26" s="35"/>
      <c r="TSS26" s="35"/>
      <c r="TST26" s="35"/>
      <c r="TSU26" s="35"/>
      <c r="TSV26" s="35"/>
      <c r="TSW26" s="35"/>
      <c r="TSX26" s="35"/>
      <c r="TSY26" s="35"/>
      <c r="TSZ26" s="35"/>
      <c r="TTA26" s="35"/>
      <c r="TTB26" s="35"/>
      <c r="TTC26" s="35"/>
      <c r="TTD26" s="35"/>
      <c r="TTE26" s="35"/>
      <c r="TTF26" s="35"/>
      <c r="TTG26" s="35"/>
      <c r="TTH26" s="35"/>
      <c r="TTI26" s="35"/>
      <c r="TTJ26" s="35"/>
      <c r="TTK26" s="35"/>
      <c r="TTL26" s="35"/>
      <c r="TTM26" s="35"/>
      <c r="TTN26" s="35"/>
      <c r="TTO26" s="35"/>
      <c r="TTP26" s="35"/>
      <c r="TTQ26" s="35"/>
      <c r="TTR26" s="35"/>
      <c r="TTS26" s="35"/>
      <c r="TTT26" s="35"/>
      <c r="TTU26" s="35"/>
      <c r="TTV26" s="35"/>
      <c r="TTW26" s="35"/>
      <c r="TTX26" s="35"/>
      <c r="TTY26" s="35"/>
      <c r="TTZ26" s="35"/>
      <c r="TUA26" s="35"/>
      <c r="TUB26" s="35"/>
      <c r="TUC26" s="35"/>
      <c r="TUD26" s="35"/>
      <c r="TUE26" s="35"/>
      <c r="TUF26" s="35"/>
      <c r="TUG26" s="35"/>
      <c r="TUH26" s="35"/>
      <c r="TUI26" s="35"/>
      <c r="TUJ26" s="35"/>
      <c r="TUK26" s="35"/>
      <c r="TUL26" s="35"/>
      <c r="TUM26" s="35"/>
      <c r="TUN26" s="35"/>
      <c r="TUO26" s="35"/>
      <c r="TUP26" s="35"/>
      <c r="TUQ26" s="35"/>
      <c r="TUR26" s="35"/>
      <c r="TUS26" s="35"/>
      <c r="TUT26" s="35"/>
      <c r="TUU26" s="35"/>
      <c r="TUV26" s="35"/>
      <c r="TUW26" s="35"/>
      <c r="TUX26" s="35"/>
      <c r="TUY26" s="35"/>
      <c r="TUZ26" s="35"/>
      <c r="TVA26" s="35"/>
      <c r="TVB26" s="35"/>
      <c r="TVC26" s="35"/>
      <c r="TVD26" s="35"/>
      <c r="TVE26" s="35"/>
      <c r="TVF26" s="35"/>
      <c r="TVG26" s="35"/>
      <c r="TVH26" s="35"/>
      <c r="TVI26" s="35"/>
      <c r="TVJ26" s="35"/>
      <c r="TVK26" s="35"/>
      <c r="TVL26" s="35"/>
      <c r="TVM26" s="35"/>
      <c r="TVN26" s="35"/>
      <c r="TVO26" s="35"/>
      <c r="TVP26" s="35"/>
      <c r="TVQ26" s="35"/>
      <c r="TVR26" s="35"/>
      <c r="TVS26" s="35"/>
      <c r="TVT26" s="35"/>
      <c r="TVU26" s="35"/>
      <c r="TVV26" s="35"/>
      <c r="TVW26" s="35"/>
      <c r="TVX26" s="35"/>
      <c r="TVY26" s="35"/>
      <c r="TVZ26" s="35"/>
      <c r="TWA26" s="35"/>
      <c r="TWB26" s="35"/>
      <c r="TWC26" s="35"/>
      <c r="TWD26" s="35"/>
      <c r="TWE26" s="35"/>
      <c r="TWF26" s="35"/>
      <c r="TWG26" s="35"/>
      <c r="TWH26" s="35"/>
      <c r="TWI26" s="35"/>
      <c r="TWJ26" s="35"/>
      <c r="TWK26" s="35"/>
      <c r="TWL26" s="35"/>
      <c r="TWM26" s="35"/>
      <c r="TWN26" s="35"/>
      <c r="TWO26" s="35"/>
      <c r="TWP26" s="35"/>
      <c r="TWQ26" s="35"/>
      <c r="TWR26" s="35"/>
      <c r="TWS26" s="35"/>
      <c r="TWT26" s="35"/>
      <c r="TWU26" s="35"/>
      <c r="TWV26" s="35"/>
      <c r="TWW26" s="35"/>
      <c r="TWX26" s="35"/>
      <c r="TWY26" s="35"/>
      <c r="TWZ26" s="35"/>
      <c r="TXA26" s="35"/>
      <c r="TXB26" s="35"/>
      <c r="TXC26" s="35"/>
      <c r="TXD26" s="35"/>
      <c r="TXE26" s="35"/>
      <c r="TXF26" s="35"/>
      <c r="TXG26" s="35"/>
      <c r="TXH26" s="35"/>
      <c r="TXI26" s="35"/>
      <c r="TXJ26" s="35"/>
      <c r="TXK26" s="35"/>
      <c r="TXL26" s="35"/>
      <c r="TXM26" s="35"/>
      <c r="TXN26" s="35"/>
      <c r="TXO26" s="35"/>
      <c r="TXP26" s="35"/>
      <c r="TXQ26" s="35"/>
      <c r="TXR26" s="35"/>
      <c r="TXS26" s="35"/>
      <c r="TXT26" s="35"/>
      <c r="TXU26" s="35"/>
      <c r="TXV26" s="35"/>
      <c r="TXW26" s="35"/>
      <c r="TXX26" s="35"/>
      <c r="TXY26" s="35"/>
      <c r="TXZ26" s="35"/>
      <c r="TYA26" s="35"/>
      <c r="TYB26" s="35"/>
      <c r="TYC26" s="35"/>
      <c r="TYD26" s="35"/>
      <c r="TYE26" s="35"/>
      <c r="TYF26" s="35"/>
      <c r="TYG26" s="35"/>
      <c r="TYH26" s="35"/>
      <c r="TYI26" s="35"/>
      <c r="TYJ26" s="35"/>
      <c r="TYK26" s="35"/>
      <c r="TYL26" s="35"/>
      <c r="TYM26" s="35"/>
      <c r="TYN26" s="35"/>
      <c r="TYO26" s="35"/>
      <c r="TYP26" s="35"/>
      <c r="TYQ26" s="35"/>
      <c r="TYR26" s="35"/>
      <c r="TYS26" s="35"/>
      <c r="TYT26" s="35"/>
      <c r="TYU26" s="35"/>
      <c r="TYV26" s="35"/>
      <c r="TYW26" s="35"/>
      <c r="TYX26" s="35"/>
      <c r="TYY26" s="35"/>
      <c r="TYZ26" s="35"/>
      <c r="TZA26" s="35"/>
      <c r="TZB26" s="35"/>
      <c r="TZC26" s="35"/>
      <c r="TZD26" s="35"/>
      <c r="TZE26" s="35"/>
      <c r="TZF26" s="35"/>
      <c r="TZG26" s="35"/>
      <c r="TZH26" s="35"/>
      <c r="TZI26" s="35"/>
      <c r="TZJ26" s="35"/>
      <c r="TZK26" s="35"/>
      <c r="TZL26" s="35"/>
      <c r="TZM26" s="35"/>
      <c r="TZN26" s="35"/>
      <c r="TZO26" s="35"/>
      <c r="TZP26" s="35"/>
      <c r="TZQ26" s="35"/>
      <c r="TZR26" s="35"/>
      <c r="TZS26" s="35"/>
      <c r="TZT26" s="35"/>
      <c r="TZU26" s="35"/>
      <c r="TZV26" s="35"/>
      <c r="TZW26" s="35"/>
      <c r="TZX26" s="35"/>
      <c r="TZY26" s="35"/>
      <c r="TZZ26" s="35"/>
      <c r="UAA26" s="35"/>
      <c r="UAB26" s="35"/>
      <c r="UAC26" s="35"/>
      <c r="UAD26" s="35"/>
      <c r="UAE26" s="35"/>
      <c r="UAF26" s="35"/>
      <c r="UAG26" s="35"/>
      <c r="UAH26" s="35"/>
      <c r="UAI26" s="35"/>
      <c r="UAJ26" s="35"/>
      <c r="UAK26" s="35"/>
      <c r="UAL26" s="35"/>
      <c r="UAM26" s="35"/>
      <c r="UAN26" s="35"/>
      <c r="UAO26" s="35"/>
      <c r="UAP26" s="35"/>
      <c r="UAQ26" s="35"/>
      <c r="UAR26" s="35"/>
      <c r="UAS26" s="35"/>
      <c r="UAT26" s="35"/>
      <c r="UAU26" s="35"/>
      <c r="UAV26" s="35"/>
      <c r="UAW26" s="35"/>
      <c r="UAX26" s="35"/>
      <c r="UAY26" s="35"/>
      <c r="UAZ26" s="35"/>
      <c r="UBA26" s="35"/>
      <c r="UBB26" s="35"/>
      <c r="UBC26" s="35"/>
      <c r="UBD26" s="35"/>
      <c r="UBE26" s="35"/>
      <c r="UBF26" s="35"/>
      <c r="UBG26" s="35"/>
      <c r="UBH26" s="35"/>
      <c r="UBI26" s="35"/>
      <c r="UBJ26" s="35"/>
      <c r="UBK26" s="35"/>
      <c r="UBL26" s="35"/>
      <c r="UBM26" s="35"/>
      <c r="UBN26" s="35"/>
      <c r="UBO26" s="35"/>
      <c r="UBP26" s="35"/>
      <c r="UBQ26" s="35"/>
      <c r="UBR26" s="35"/>
      <c r="UBS26" s="35"/>
      <c r="UBT26" s="35"/>
      <c r="UBU26" s="35"/>
      <c r="UBV26" s="35"/>
      <c r="UBW26" s="35"/>
      <c r="UBX26" s="35"/>
      <c r="UBY26" s="35"/>
      <c r="UBZ26" s="35"/>
      <c r="UCA26" s="35"/>
      <c r="UCB26" s="35"/>
      <c r="UCC26" s="35"/>
      <c r="UCD26" s="35"/>
      <c r="UCE26" s="35"/>
      <c r="UCF26" s="35"/>
      <c r="UCG26" s="35"/>
      <c r="UCH26" s="35"/>
      <c r="UCI26" s="35"/>
      <c r="UCJ26" s="35"/>
      <c r="UCK26" s="35"/>
      <c r="UCL26" s="35"/>
      <c r="UCM26" s="35"/>
      <c r="UCN26" s="35"/>
      <c r="UCO26" s="35"/>
      <c r="UCP26" s="35"/>
      <c r="UCQ26" s="35"/>
      <c r="UCR26" s="35"/>
      <c r="UCS26" s="35"/>
      <c r="UCT26" s="35"/>
      <c r="UCU26" s="35"/>
      <c r="UCV26" s="35"/>
      <c r="UCW26" s="35"/>
      <c r="UCX26" s="35"/>
      <c r="UCY26" s="35"/>
      <c r="UCZ26" s="35"/>
      <c r="UDA26" s="35"/>
      <c r="UDB26" s="35"/>
      <c r="UDC26" s="35"/>
      <c r="UDD26" s="35"/>
      <c r="UDE26" s="35"/>
      <c r="UDF26" s="35"/>
      <c r="UDG26" s="35"/>
      <c r="UDH26" s="35"/>
      <c r="UDI26" s="35"/>
      <c r="UDJ26" s="35"/>
      <c r="UDK26" s="35"/>
      <c r="UDL26" s="35"/>
      <c r="UDM26" s="35"/>
      <c r="UDN26" s="35"/>
      <c r="UDO26" s="35"/>
      <c r="UDP26" s="35"/>
      <c r="UDQ26" s="35"/>
      <c r="UDR26" s="35"/>
      <c r="UDS26" s="35"/>
      <c r="UDT26" s="35"/>
      <c r="UDU26" s="35"/>
      <c r="UDV26" s="35"/>
      <c r="UDW26" s="35"/>
      <c r="UDX26" s="35"/>
      <c r="UDY26" s="35"/>
      <c r="UDZ26" s="35"/>
      <c r="UEA26" s="35"/>
      <c r="UEB26" s="35"/>
      <c r="UEC26" s="35"/>
      <c r="UED26" s="35"/>
      <c r="UEE26" s="35"/>
      <c r="UEF26" s="35"/>
      <c r="UEG26" s="35"/>
      <c r="UEH26" s="35"/>
      <c r="UEI26" s="35"/>
      <c r="UEJ26" s="35"/>
      <c r="UEK26" s="35"/>
      <c r="UEL26" s="35"/>
      <c r="UEM26" s="35"/>
      <c r="UEN26" s="35"/>
      <c r="UEO26" s="35"/>
      <c r="UEP26" s="35"/>
      <c r="UEQ26" s="35"/>
      <c r="UER26" s="35"/>
      <c r="UES26" s="35"/>
      <c r="UET26" s="35"/>
      <c r="UEU26" s="35"/>
      <c r="UEV26" s="35"/>
      <c r="UEW26" s="35"/>
      <c r="UEX26" s="35"/>
      <c r="UEY26" s="35"/>
      <c r="UEZ26" s="35"/>
      <c r="UFA26" s="35"/>
      <c r="UFB26" s="35"/>
      <c r="UFC26" s="35"/>
      <c r="UFD26" s="35"/>
      <c r="UFE26" s="35"/>
      <c r="UFF26" s="35"/>
      <c r="UFG26" s="35"/>
      <c r="UFH26" s="35"/>
      <c r="UFI26" s="35"/>
      <c r="UFJ26" s="35"/>
      <c r="UFK26" s="35"/>
      <c r="UFL26" s="35"/>
      <c r="UFM26" s="35"/>
      <c r="UFN26" s="35"/>
      <c r="UFO26" s="35"/>
      <c r="UFP26" s="35"/>
      <c r="UFQ26" s="35"/>
      <c r="UFR26" s="35"/>
      <c r="UFS26" s="35"/>
      <c r="UFT26" s="35"/>
      <c r="UFU26" s="35"/>
      <c r="UFV26" s="35"/>
      <c r="UFW26" s="35"/>
      <c r="UFX26" s="35"/>
      <c r="UFY26" s="35"/>
      <c r="UFZ26" s="35"/>
      <c r="UGA26" s="35"/>
      <c r="UGB26" s="35"/>
      <c r="UGC26" s="35"/>
      <c r="UGD26" s="35"/>
      <c r="UGE26" s="35"/>
      <c r="UGF26" s="35"/>
      <c r="UGG26" s="35"/>
      <c r="UGH26" s="35"/>
      <c r="UGI26" s="35"/>
      <c r="UGJ26" s="35"/>
      <c r="UGK26" s="35"/>
      <c r="UGL26" s="35"/>
      <c r="UGM26" s="35"/>
      <c r="UGN26" s="35"/>
      <c r="UGO26" s="35"/>
      <c r="UGP26" s="35"/>
      <c r="UGQ26" s="35"/>
      <c r="UGR26" s="35"/>
      <c r="UGS26" s="35"/>
      <c r="UGT26" s="35"/>
      <c r="UGU26" s="35"/>
      <c r="UGV26" s="35"/>
      <c r="UGW26" s="35"/>
      <c r="UGX26" s="35"/>
      <c r="UGY26" s="35"/>
      <c r="UGZ26" s="35"/>
      <c r="UHA26" s="35"/>
      <c r="UHB26" s="35"/>
      <c r="UHC26" s="35"/>
      <c r="UHD26" s="35"/>
      <c r="UHE26" s="35"/>
      <c r="UHF26" s="35"/>
      <c r="UHG26" s="35"/>
      <c r="UHH26" s="35"/>
      <c r="UHI26" s="35"/>
      <c r="UHJ26" s="35"/>
      <c r="UHK26" s="35"/>
      <c r="UHL26" s="35"/>
      <c r="UHM26" s="35"/>
      <c r="UHN26" s="35"/>
      <c r="UHO26" s="35"/>
      <c r="UHP26" s="35"/>
      <c r="UHQ26" s="35"/>
      <c r="UHR26" s="35"/>
      <c r="UHS26" s="35"/>
      <c r="UHT26" s="35"/>
      <c r="UHU26" s="35"/>
      <c r="UHV26" s="35"/>
      <c r="UHW26" s="35"/>
      <c r="UHX26" s="35"/>
      <c r="UHY26" s="35"/>
      <c r="UHZ26" s="35"/>
      <c r="UIA26" s="35"/>
      <c r="UIB26" s="35"/>
      <c r="UIC26" s="35"/>
      <c r="UID26" s="35"/>
      <c r="UIE26" s="35"/>
      <c r="UIF26" s="35"/>
      <c r="UIG26" s="35"/>
      <c r="UIH26" s="35"/>
      <c r="UII26" s="35"/>
      <c r="UIJ26" s="35"/>
      <c r="UIK26" s="35"/>
      <c r="UIL26" s="35"/>
      <c r="UIM26" s="35"/>
      <c r="UIN26" s="35"/>
      <c r="UIO26" s="35"/>
      <c r="UIP26" s="35"/>
      <c r="UIQ26" s="35"/>
      <c r="UIR26" s="35"/>
      <c r="UIS26" s="35"/>
      <c r="UIT26" s="35"/>
      <c r="UIU26" s="35"/>
      <c r="UIV26" s="35"/>
      <c r="UIW26" s="35"/>
      <c r="UIX26" s="35"/>
      <c r="UIY26" s="35"/>
      <c r="UIZ26" s="35"/>
      <c r="UJA26" s="35"/>
      <c r="UJB26" s="35"/>
      <c r="UJC26" s="35"/>
      <c r="UJD26" s="35"/>
      <c r="UJE26" s="35"/>
      <c r="UJF26" s="35"/>
      <c r="UJG26" s="35"/>
      <c r="UJH26" s="35"/>
      <c r="UJI26" s="35"/>
      <c r="UJJ26" s="35"/>
      <c r="UJK26" s="35"/>
      <c r="UJL26" s="35"/>
      <c r="UJM26" s="35"/>
      <c r="UJN26" s="35"/>
      <c r="UJO26" s="35"/>
      <c r="UJP26" s="35"/>
      <c r="UJQ26" s="35"/>
      <c r="UJR26" s="35"/>
      <c r="UJS26" s="35"/>
      <c r="UJT26" s="35"/>
      <c r="UJU26" s="35"/>
      <c r="UJV26" s="35"/>
      <c r="UJW26" s="35"/>
      <c r="UJX26" s="35"/>
      <c r="UJY26" s="35"/>
      <c r="UJZ26" s="35"/>
      <c r="UKA26" s="35"/>
      <c r="UKB26" s="35"/>
      <c r="UKC26" s="35"/>
      <c r="UKD26" s="35"/>
      <c r="UKE26" s="35"/>
      <c r="UKF26" s="35"/>
      <c r="UKG26" s="35"/>
      <c r="UKH26" s="35"/>
      <c r="UKI26" s="35"/>
      <c r="UKJ26" s="35"/>
      <c r="UKK26" s="35"/>
      <c r="UKL26" s="35"/>
      <c r="UKM26" s="35"/>
      <c r="UKN26" s="35"/>
      <c r="UKO26" s="35"/>
      <c r="UKP26" s="35"/>
      <c r="UKQ26" s="35"/>
      <c r="UKR26" s="35"/>
      <c r="UKS26" s="35"/>
      <c r="UKT26" s="35"/>
      <c r="UKU26" s="35"/>
      <c r="UKV26" s="35"/>
      <c r="UKW26" s="35"/>
      <c r="UKX26" s="35"/>
      <c r="UKY26" s="35"/>
      <c r="UKZ26" s="35"/>
      <c r="ULA26" s="35"/>
      <c r="ULB26" s="35"/>
      <c r="ULC26" s="35"/>
      <c r="ULD26" s="35"/>
      <c r="ULE26" s="35"/>
      <c r="ULF26" s="35"/>
      <c r="ULG26" s="35"/>
      <c r="ULH26" s="35"/>
      <c r="ULI26" s="35"/>
      <c r="ULJ26" s="35"/>
      <c r="ULK26" s="35"/>
      <c r="ULL26" s="35"/>
      <c r="ULM26" s="35"/>
      <c r="ULN26" s="35"/>
      <c r="ULO26" s="35"/>
      <c r="ULP26" s="35"/>
      <c r="ULQ26" s="35"/>
      <c r="ULR26" s="35"/>
      <c r="ULS26" s="35"/>
      <c r="ULT26" s="35"/>
      <c r="ULU26" s="35"/>
      <c r="ULV26" s="35"/>
      <c r="ULW26" s="35"/>
      <c r="ULX26" s="35"/>
      <c r="ULY26" s="35"/>
      <c r="ULZ26" s="35"/>
      <c r="UMA26" s="35"/>
      <c r="UMB26" s="35"/>
      <c r="UMC26" s="35"/>
      <c r="UMD26" s="35"/>
      <c r="UME26" s="35"/>
      <c r="UMF26" s="35"/>
      <c r="UMG26" s="35"/>
      <c r="UMH26" s="35"/>
      <c r="UMI26" s="35"/>
      <c r="UMJ26" s="35"/>
      <c r="UMK26" s="35"/>
      <c r="UML26" s="35"/>
      <c r="UMM26" s="35"/>
      <c r="UMN26" s="35"/>
      <c r="UMO26" s="35"/>
      <c r="UMP26" s="35"/>
      <c r="UMQ26" s="35"/>
      <c r="UMR26" s="35"/>
      <c r="UMS26" s="35"/>
      <c r="UMT26" s="35"/>
      <c r="UMU26" s="35"/>
      <c r="UMV26" s="35"/>
      <c r="UMW26" s="35"/>
      <c r="UMX26" s="35"/>
      <c r="UMY26" s="35"/>
      <c r="UMZ26" s="35"/>
      <c r="UNA26" s="35"/>
      <c r="UNB26" s="35"/>
      <c r="UNC26" s="35"/>
      <c r="UND26" s="35"/>
      <c r="UNE26" s="35"/>
      <c r="UNF26" s="35"/>
      <c r="UNG26" s="35"/>
      <c r="UNH26" s="35"/>
      <c r="UNI26" s="35"/>
      <c r="UNJ26" s="35"/>
      <c r="UNK26" s="35"/>
      <c r="UNL26" s="35"/>
      <c r="UNM26" s="35"/>
      <c r="UNN26" s="35"/>
      <c r="UNO26" s="35"/>
      <c r="UNP26" s="35"/>
      <c r="UNQ26" s="35"/>
      <c r="UNR26" s="35"/>
      <c r="UNS26" s="35"/>
      <c r="UNT26" s="35"/>
      <c r="UNU26" s="35"/>
      <c r="UNV26" s="35"/>
      <c r="UNW26" s="35"/>
      <c r="UNX26" s="35"/>
      <c r="UNY26" s="35"/>
      <c r="UNZ26" s="35"/>
      <c r="UOA26" s="35"/>
      <c r="UOB26" s="35"/>
      <c r="UOC26" s="35"/>
      <c r="UOD26" s="35"/>
      <c r="UOE26" s="35"/>
      <c r="UOF26" s="35"/>
      <c r="UOG26" s="35"/>
      <c r="UOH26" s="35"/>
      <c r="UOI26" s="35"/>
      <c r="UOJ26" s="35"/>
      <c r="UOK26" s="35"/>
      <c r="UOL26" s="35"/>
      <c r="UOM26" s="35"/>
      <c r="UON26" s="35"/>
      <c r="UOO26" s="35"/>
      <c r="UOP26" s="35"/>
      <c r="UOQ26" s="35"/>
      <c r="UOR26" s="35"/>
      <c r="UOS26" s="35"/>
      <c r="UOT26" s="35"/>
      <c r="UOU26" s="35"/>
      <c r="UOV26" s="35"/>
      <c r="UOW26" s="35"/>
      <c r="UOX26" s="35"/>
      <c r="UOY26" s="35"/>
      <c r="UOZ26" s="35"/>
      <c r="UPA26" s="35"/>
      <c r="UPB26" s="35"/>
      <c r="UPC26" s="35"/>
      <c r="UPD26" s="35"/>
      <c r="UPE26" s="35"/>
      <c r="UPF26" s="35"/>
      <c r="UPG26" s="35"/>
      <c r="UPH26" s="35"/>
      <c r="UPI26" s="35"/>
      <c r="UPJ26" s="35"/>
      <c r="UPK26" s="35"/>
      <c r="UPL26" s="35"/>
      <c r="UPM26" s="35"/>
      <c r="UPN26" s="35"/>
      <c r="UPO26" s="35"/>
      <c r="UPP26" s="35"/>
      <c r="UPQ26" s="35"/>
      <c r="UPR26" s="35"/>
      <c r="UPS26" s="35"/>
      <c r="UPT26" s="35"/>
      <c r="UPU26" s="35"/>
      <c r="UPV26" s="35"/>
      <c r="UPW26" s="35"/>
      <c r="UPX26" s="35"/>
      <c r="UPY26" s="35"/>
      <c r="UPZ26" s="35"/>
      <c r="UQA26" s="35"/>
      <c r="UQB26" s="35"/>
      <c r="UQC26" s="35"/>
      <c r="UQD26" s="35"/>
      <c r="UQE26" s="35"/>
      <c r="UQF26" s="35"/>
      <c r="UQG26" s="35"/>
      <c r="UQH26" s="35"/>
      <c r="UQI26" s="35"/>
      <c r="UQJ26" s="35"/>
      <c r="UQK26" s="35"/>
      <c r="UQL26" s="35"/>
      <c r="UQM26" s="35"/>
      <c r="UQN26" s="35"/>
      <c r="UQO26" s="35"/>
      <c r="UQP26" s="35"/>
      <c r="UQQ26" s="35"/>
      <c r="UQR26" s="35"/>
      <c r="UQS26" s="35"/>
      <c r="UQT26" s="35"/>
      <c r="UQU26" s="35"/>
      <c r="UQV26" s="35"/>
      <c r="UQW26" s="35"/>
      <c r="UQX26" s="35"/>
      <c r="UQY26" s="35"/>
      <c r="UQZ26" s="35"/>
      <c r="URA26" s="35"/>
      <c r="URB26" s="35"/>
      <c r="URC26" s="35"/>
      <c r="URD26" s="35"/>
      <c r="URE26" s="35"/>
      <c r="URF26" s="35"/>
      <c r="URG26" s="35"/>
      <c r="URH26" s="35"/>
      <c r="URI26" s="35"/>
      <c r="URJ26" s="35"/>
      <c r="URK26" s="35"/>
      <c r="URL26" s="35"/>
      <c r="URM26" s="35"/>
      <c r="URN26" s="35"/>
      <c r="URO26" s="35"/>
      <c r="URP26" s="35"/>
      <c r="URQ26" s="35"/>
      <c r="URR26" s="35"/>
      <c r="URS26" s="35"/>
      <c r="URT26" s="35"/>
      <c r="URU26" s="35"/>
      <c r="URV26" s="35"/>
      <c r="URW26" s="35"/>
      <c r="URX26" s="35"/>
      <c r="URY26" s="35"/>
      <c r="URZ26" s="35"/>
      <c r="USA26" s="35"/>
      <c r="USB26" s="35"/>
      <c r="USC26" s="35"/>
      <c r="USD26" s="35"/>
      <c r="USE26" s="35"/>
      <c r="USF26" s="35"/>
      <c r="USG26" s="35"/>
      <c r="USH26" s="35"/>
      <c r="USI26" s="35"/>
      <c r="USJ26" s="35"/>
      <c r="USK26" s="35"/>
      <c r="USL26" s="35"/>
      <c r="USM26" s="35"/>
      <c r="USN26" s="35"/>
      <c r="USO26" s="35"/>
      <c r="USP26" s="35"/>
      <c r="USQ26" s="35"/>
      <c r="USR26" s="35"/>
      <c r="USS26" s="35"/>
      <c r="UST26" s="35"/>
      <c r="USU26" s="35"/>
      <c r="USV26" s="35"/>
      <c r="USW26" s="35"/>
      <c r="USX26" s="35"/>
      <c r="USY26" s="35"/>
      <c r="USZ26" s="35"/>
      <c r="UTA26" s="35"/>
      <c r="UTB26" s="35"/>
      <c r="UTC26" s="35"/>
      <c r="UTD26" s="35"/>
      <c r="UTE26" s="35"/>
      <c r="UTF26" s="35"/>
      <c r="UTG26" s="35"/>
      <c r="UTH26" s="35"/>
      <c r="UTI26" s="35"/>
      <c r="UTJ26" s="35"/>
      <c r="UTK26" s="35"/>
      <c r="UTL26" s="35"/>
      <c r="UTM26" s="35"/>
      <c r="UTN26" s="35"/>
      <c r="UTO26" s="35"/>
      <c r="UTP26" s="35"/>
      <c r="UTQ26" s="35"/>
      <c r="UTR26" s="35"/>
      <c r="UTS26" s="35"/>
      <c r="UTT26" s="35"/>
      <c r="UTU26" s="35"/>
      <c r="UTV26" s="35"/>
      <c r="UTW26" s="35"/>
      <c r="UTX26" s="35"/>
      <c r="UTY26" s="35"/>
      <c r="UTZ26" s="35"/>
      <c r="UUA26" s="35"/>
      <c r="UUB26" s="35"/>
      <c r="UUC26" s="35"/>
      <c r="UUD26" s="35"/>
      <c r="UUE26" s="35"/>
      <c r="UUF26" s="35"/>
      <c r="UUG26" s="35"/>
      <c r="UUH26" s="35"/>
      <c r="UUI26" s="35"/>
      <c r="UUJ26" s="35"/>
      <c r="UUK26" s="35"/>
      <c r="UUL26" s="35"/>
      <c r="UUM26" s="35"/>
      <c r="UUN26" s="35"/>
      <c r="UUO26" s="35"/>
      <c r="UUP26" s="35"/>
      <c r="UUQ26" s="35"/>
      <c r="UUR26" s="35"/>
      <c r="UUS26" s="35"/>
      <c r="UUT26" s="35"/>
      <c r="UUU26" s="35"/>
      <c r="UUV26" s="35"/>
      <c r="UUW26" s="35"/>
      <c r="UUX26" s="35"/>
      <c r="UUY26" s="35"/>
      <c r="UUZ26" s="35"/>
      <c r="UVA26" s="35"/>
      <c r="UVB26" s="35"/>
      <c r="UVC26" s="35"/>
      <c r="UVD26" s="35"/>
      <c r="UVE26" s="35"/>
      <c r="UVF26" s="35"/>
      <c r="UVG26" s="35"/>
      <c r="UVH26" s="35"/>
      <c r="UVI26" s="35"/>
      <c r="UVJ26" s="35"/>
      <c r="UVK26" s="35"/>
      <c r="UVL26" s="35"/>
      <c r="UVM26" s="35"/>
      <c r="UVN26" s="35"/>
      <c r="UVO26" s="35"/>
      <c r="UVP26" s="35"/>
      <c r="UVQ26" s="35"/>
      <c r="UVR26" s="35"/>
      <c r="UVS26" s="35"/>
      <c r="UVT26" s="35"/>
      <c r="UVU26" s="35"/>
      <c r="UVV26" s="35"/>
      <c r="UVW26" s="35"/>
      <c r="UVX26" s="35"/>
      <c r="UVY26" s="35"/>
      <c r="UVZ26" s="35"/>
      <c r="UWA26" s="35"/>
      <c r="UWB26" s="35"/>
      <c r="UWC26" s="35"/>
      <c r="UWD26" s="35"/>
      <c r="UWE26" s="35"/>
      <c r="UWF26" s="35"/>
      <c r="UWG26" s="35"/>
      <c r="UWH26" s="35"/>
      <c r="UWI26" s="35"/>
      <c r="UWJ26" s="35"/>
      <c r="UWK26" s="35"/>
      <c r="UWL26" s="35"/>
      <c r="UWM26" s="35"/>
      <c r="UWN26" s="35"/>
      <c r="UWO26" s="35"/>
      <c r="UWP26" s="35"/>
      <c r="UWQ26" s="35"/>
      <c r="UWR26" s="35"/>
      <c r="UWS26" s="35"/>
      <c r="UWT26" s="35"/>
      <c r="UWU26" s="35"/>
      <c r="UWV26" s="35"/>
      <c r="UWW26" s="35"/>
      <c r="UWX26" s="35"/>
      <c r="UWY26" s="35"/>
      <c r="UWZ26" s="35"/>
      <c r="UXA26" s="35"/>
      <c r="UXB26" s="35"/>
      <c r="UXC26" s="35"/>
      <c r="UXD26" s="35"/>
      <c r="UXE26" s="35"/>
      <c r="UXF26" s="35"/>
      <c r="UXG26" s="35"/>
      <c r="UXH26" s="35"/>
      <c r="UXI26" s="35"/>
      <c r="UXJ26" s="35"/>
      <c r="UXK26" s="35"/>
      <c r="UXL26" s="35"/>
      <c r="UXM26" s="35"/>
      <c r="UXN26" s="35"/>
      <c r="UXO26" s="35"/>
      <c r="UXP26" s="35"/>
      <c r="UXQ26" s="35"/>
      <c r="UXR26" s="35"/>
      <c r="UXS26" s="35"/>
      <c r="UXT26" s="35"/>
      <c r="UXU26" s="35"/>
      <c r="UXV26" s="35"/>
      <c r="UXW26" s="35"/>
      <c r="UXX26" s="35"/>
      <c r="UXY26" s="35"/>
      <c r="UXZ26" s="35"/>
      <c r="UYA26" s="35"/>
      <c r="UYB26" s="35"/>
      <c r="UYC26" s="35"/>
      <c r="UYD26" s="35"/>
      <c r="UYE26" s="35"/>
      <c r="UYF26" s="35"/>
      <c r="UYG26" s="35"/>
      <c r="UYH26" s="35"/>
      <c r="UYI26" s="35"/>
      <c r="UYJ26" s="35"/>
      <c r="UYK26" s="35"/>
      <c r="UYL26" s="35"/>
      <c r="UYM26" s="35"/>
      <c r="UYN26" s="35"/>
      <c r="UYO26" s="35"/>
      <c r="UYP26" s="35"/>
      <c r="UYQ26" s="35"/>
      <c r="UYR26" s="35"/>
      <c r="UYS26" s="35"/>
      <c r="UYT26" s="35"/>
      <c r="UYU26" s="35"/>
      <c r="UYV26" s="35"/>
      <c r="UYW26" s="35"/>
      <c r="UYX26" s="35"/>
      <c r="UYY26" s="35"/>
      <c r="UYZ26" s="35"/>
      <c r="UZA26" s="35"/>
      <c r="UZB26" s="35"/>
      <c r="UZC26" s="35"/>
      <c r="UZD26" s="35"/>
      <c r="UZE26" s="35"/>
      <c r="UZF26" s="35"/>
      <c r="UZG26" s="35"/>
      <c r="UZH26" s="35"/>
      <c r="UZI26" s="35"/>
      <c r="UZJ26" s="35"/>
      <c r="UZK26" s="35"/>
      <c r="UZL26" s="35"/>
      <c r="UZM26" s="35"/>
      <c r="UZN26" s="35"/>
      <c r="UZO26" s="35"/>
      <c r="UZP26" s="35"/>
      <c r="UZQ26" s="35"/>
      <c r="UZR26" s="35"/>
      <c r="UZS26" s="35"/>
      <c r="UZT26" s="35"/>
      <c r="UZU26" s="35"/>
      <c r="UZV26" s="35"/>
      <c r="UZW26" s="35"/>
      <c r="UZX26" s="35"/>
      <c r="UZY26" s="35"/>
      <c r="UZZ26" s="35"/>
      <c r="VAA26" s="35"/>
      <c r="VAB26" s="35"/>
      <c r="VAC26" s="35"/>
      <c r="VAD26" s="35"/>
      <c r="VAE26" s="35"/>
      <c r="VAF26" s="35"/>
      <c r="VAG26" s="35"/>
      <c r="VAH26" s="35"/>
      <c r="VAI26" s="35"/>
      <c r="VAJ26" s="35"/>
      <c r="VAK26" s="35"/>
      <c r="VAL26" s="35"/>
      <c r="VAM26" s="35"/>
      <c r="VAN26" s="35"/>
      <c r="VAO26" s="35"/>
      <c r="VAP26" s="35"/>
      <c r="VAQ26" s="35"/>
      <c r="VAR26" s="35"/>
      <c r="VAS26" s="35"/>
      <c r="VAT26" s="35"/>
      <c r="VAU26" s="35"/>
      <c r="VAV26" s="35"/>
      <c r="VAW26" s="35"/>
      <c r="VAX26" s="35"/>
      <c r="VAY26" s="35"/>
      <c r="VAZ26" s="35"/>
      <c r="VBA26" s="35"/>
      <c r="VBB26" s="35"/>
      <c r="VBC26" s="35"/>
      <c r="VBD26" s="35"/>
      <c r="VBE26" s="35"/>
      <c r="VBF26" s="35"/>
      <c r="VBG26" s="35"/>
      <c r="VBH26" s="35"/>
      <c r="VBI26" s="35"/>
      <c r="VBJ26" s="35"/>
      <c r="VBK26" s="35"/>
      <c r="VBL26" s="35"/>
      <c r="VBM26" s="35"/>
      <c r="VBN26" s="35"/>
      <c r="VBO26" s="35"/>
      <c r="VBP26" s="35"/>
      <c r="VBQ26" s="35"/>
      <c r="VBR26" s="35"/>
      <c r="VBS26" s="35"/>
      <c r="VBT26" s="35"/>
      <c r="VBU26" s="35"/>
      <c r="VBV26" s="35"/>
      <c r="VBW26" s="35"/>
      <c r="VBX26" s="35"/>
      <c r="VBY26" s="35"/>
      <c r="VBZ26" s="35"/>
      <c r="VCA26" s="35"/>
      <c r="VCB26" s="35"/>
      <c r="VCC26" s="35"/>
      <c r="VCD26" s="35"/>
      <c r="VCE26" s="35"/>
      <c r="VCF26" s="35"/>
      <c r="VCG26" s="35"/>
      <c r="VCH26" s="35"/>
      <c r="VCI26" s="35"/>
      <c r="VCJ26" s="35"/>
      <c r="VCK26" s="35"/>
      <c r="VCL26" s="35"/>
      <c r="VCM26" s="35"/>
      <c r="VCN26" s="35"/>
      <c r="VCO26" s="35"/>
      <c r="VCP26" s="35"/>
      <c r="VCQ26" s="35"/>
      <c r="VCR26" s="35"/>
      <c r="VCS26" s="35"/>
      <c r="VCT26" s="35"/>
      <c r="VCU26" s="35"/>
      <c r="VCV26" s="35"/>
      <c r="VCW26" s="35"/>
      <c r="VCX26" s="35"/>
      <c r="VCY26" s="35"/>
      <c r="VCZ26" s="35"/>
      <c r="VDA26" s="35"/>
      <c r="VDB26" s="35"/>
      <c r="VDC26" s="35"/>
      <c r="VDD26" s="35"/>
      <c r="VDE26" s="35"/>
      <c r="VDF26" s="35"/>
      <c r="VDG26" s="35"/>
      <c r="VDH26" s="35"/>
      <c r="VDI26" s="35"/>
      <c r="VDJ26" s="35"/>
      <c r="VDK26" s="35"/>
      <c r="VDL26" s="35"/>
      <c r="VDM26" s="35"/>
      <c r="VDN26" s="35"/>
      <c r="VDO26" s="35"/>
      <c r="VDP26" s="35"/>
      <c r="VDQ26" s="35"/>
      <c r="VDR26" s="35"/>
      <c r="VDS26" s="35"/>
      <c r="VDT26" s="35"/>
      <c r="VDU26" s="35"/>
      <c r="VDV26" s="35"/>
      <c r="VDW26" s="35"/>
      <c r="VDX26" s="35"/>
      <c r="VDY26" s="35"/>
      <c r="VDZ26" s="35"/>
      <c r="VEA26" s="35"/>
      <c r="VEB26" s="35"/>
      <c r="VEC26" s="35"/>
      <c r="VED26" s="35"/>
      <c r="VEE26" s="35"/>
      <c r="VEF26" s="35"/>
      <c r="VEG26" s="35"/>
      <c r="VEH26" s="35"/>
      <c r="VEI26" s="35"/>
      <c r="VEJ26" s="35"/>
      <c r="VEK26" s="35"/>
      <c r="VEL26" s="35"/>
      <c r="VEM26" s="35"/>
      <c r="VEN26" s="35"/>
      <c r="VEO26" s="35"/>
      <c r="VEP26" s="35"/>
      <c r="VEQ26" s="35"/>
      <c r="VER26" s="35"/>
      <c r="VES26" s="35"/>
      <c r="VET26" s="35"/>
      <c r="VEU26" s="35"/>
      <c r="VEV26" s="35"/>
      <c r="VEW26" s="35"/>
      <c r="VEX26" s="35"/>
      <c r="VEY26" s="35"/>
      <c r="VEZ26" s="35"/>
      <c r="VFA26" s="35"/>
      <c r="VFB26" s="35"/>
      <c r="VFC26" s="35"/>
      <c r="VFD26" s="35"/>
      <c r="VFE26" s="35"/>
      <c r="VFF26" s="35"/>
      <c r="VFG26" s="35"/>
      <c r="VFH26" s="35"/>
      <c r="VFI26" s="35"/>
      <c r="VFJ26" s="35"/>
      <c r="VFK26" s="35"/>
      <c r="VFL26" s="35"/>
      <c r="VFM26" s="35"/>
      <c r="VFN26" s="35"/>
      <c r="VFO26" s="35"/>
      <c r="VFP26" s="35"/>
      <c r="VFQ26" s="35"/>
      <c r="VFR26" s="35"/>
      <c r="VFS26" s="35"/>
      <c r="VFT26" s="35"/>
      <c r="VFU26" s="35"/>
      <c r="VFV26" s="35"/>
      <c r="VFW26" s="35"/>
      <c r="VFX26" s="35"/>
      <c r="VFY26" s="35"/>
      <c r="VFZ26" s="35"/>
      <c r="VGA26" s="35"/>
      <c r="VGB26" s="35"/>
      <c r="VGC26" s="35"/>
      <c r="VGD26" s="35"/>
      <c r="VGE26" s="35"/>
      <c r="VGF26" s="35"/>
      <c r="VGG26" s="35"/>
      <c r="VGH26" s="35"/>
      <c r="VGI26" s="35"/>
      <c r="VGJ26" s="35"/>
      <c r="VGK26" s="35"/>
      <c r="VGL26" s="35"/>
      <c r="VGM26" s="35"/>
      <c r="VGN26" s="35"/>
      <c r="VGO26" s="35"/>
      <c r="VGP26" s="35"/>
      <c r="VGQ26" s="35"/>
      <c r="VGR26" s="35"/>
      <c r="VGS26" s="35"/>
      <c r="VGT26" s="35"/>
      <c r="VGU26" s="35"/>
      <c r="VGV26" s="35"/>
      <c r="VGW26" s="35"/>
      <c r="VGX26" s="35"/>
      <c r="VGY26" s="35"/>
      <c r="VGZ26" s="35"/>
      <c r="VHA26" s="35"/>
      <c r="VHB26" s="35"/>
      <c r="VHC26" s="35"/>
      <c r="VHD26" s="35"/>
      <c r="VHE26" s="35"/>
      <c r="VHF26" s="35"/>
      <c r="VHG26" s="35"/>
      <c r="VHH26" s="35"/>
      <c r="VHI26" s="35"/>
      <c r="VHJ26" s="35"/>
      <c r="VHK26" s="35"/>
      <c r="VHL26" s="35"/>
      <c r="VHM26" s="35"/>
      <c r="VHN26" s="35"/>
      <c r="VHO26" s="35"/>
      <c r="VHP26" s="35"/>
      <c r="VHQ26" s="35"/>
      <c r="VHR26" s="35"/>
      <c r="VHS26" s="35"/>
      <c r="VHT26" s="35"/>
      <c r="VHU26" s="35"/>
      <c r="VHV26" s="35"/>
      <c r="VHW26" s="35"/>
      <c r="VHX26" s="35"/>
      <c r="VHY26" s="35"/>
      <c r="VHZ26" s="35"/>
      <c r="VIA26" s="35"/>
      <c r="VIB26" s="35"/>
      <c r="VIC26" s="35"/>
      <c r="VID26" s="35"/>
      <c r="VIE26" s="35"/>
      <c r="VIF26" s="35"/>
      <c r="VIG26" s="35"/>
      <c r="VIH26" s="35"/>
      <c r="VII26" s="35"/>
      <c r="VIJ26" s="35"/>
      <c r="VIK26" s="35"/>
      <c r="VIL26" s="35"/>
      <c r="VIM26" s="35"/>
      <c r="VIN26" s="35"/>
      <c r="VIO26" s="35"/>
      <c r="VIP26" s="35"/>
      <c r="VIQ26" s="35"/>
      <c r="VIR26" s="35"/>
      <c r="VIS26" s="35"/>
      <c r="VIT26" s="35"/>
      <c r="VIU26" s="35"/>
      <c r="VIV26" s="35"/>
      <c r="VIW26" s="35"/>
      <c r="VIX26" s="35"/>
      <c r="VIY26" s="35"/>
      <c r="VIZ26" s="35"/>
      <c r="VJA26" s="35"/>
      <c r="VJB26" s="35"/>
      <c r="VJC26" s="35"/>
      <c r="VJD26" s="35"/>
      <c r="VJE26" s="35"/>
      <c r="VJF26" s="35"/>
      <c r="VJG26" s="35"/>
      <c r="VJH26" s="35"/>
      <c r="VJI26" s="35"/>
      <c r="VJJ26" s="35"/>
      <c r="VJK26" s="35"/>
      <c r="VJL26" s="35"/>
      <c r="VJM26" s="35"/>
      <c r="VJN26" s="35"/>
      <c r="VJO26" s="35"/>
      <c r="VJP26" s="35"/>
      <c r="VJQ26" s="35"/>
      <c r="VJR26" s="35"/>
      <c r="VJS26" s="35"/>
      <c r="VJT26" s="35"/>
      <c r="VJU26" s="35"/>
      <c r="VJV26" s="35"/>
      <c r="VJW26" s="35"/>
      <c r="VJX26" s="35"/>
      <c r="VJY26" s="35"/>
      <c r="VJZ26" s="35"/>
      <c r="VKA26" s="35"/>
      <c r="VKB26" s="35"/>
      <c r="VKC26" s="35"/>
      <c r="VKD26" s="35"/>
      <c r="VKE26" s="35"/>
      <c r="VKF26" s="35"/>
      <c r="VKG26" s="35"/>
      <c r="VKH26" s="35"/>
      <c r="VKI26" s="35"/>
      <c r="VKJ26" s="35"/>
      <c r="VKK26" s="35"/>
      <c r="VKL26" s="35"/>
      <c r="VKM26" s="35"/>
      <c r="VKN26" s="35"/>
      <c r="VKO26" s="35"/>
      <c r="VKP26" s="35"/>
      <c r="VKQ26" s="35"/>
      <c r="VKR26" s="35"/>
      <c r="VKS26" s="35"/>
      <c r="VKT26" s="35"/>
      <c r="VKU26" s="35"/>
      <c r="VKV26" s="35"/>
      <c r="VKW26" s="35"/>
      <c r="VKX26" s="35"/>
      <c r="VKY26" s="35"/>
      <c r="VKZ26" s="35"/>
      <c r="VLA26" s="35"/>
      <c r="VLB26" s="35"/>
      <c r="VLC26" s="35"/>
      <c r="VLD26" s="35"/>
      <c r="VLE26" s="35"/>
      <c r="VLF26" s="35"/>
      <c r="VLG26" s="35"/>
      <c r="VLH26" s="35"/>
      <c r="VLI26" s="35"/>
      <c r="VLJ26" s="35"/>
      <c r="VLK26" s="35"/>
      <c r="VLL26" s="35"/>
      <c r="VLM26" s="35"/>
      <c r="VLN26" s="35"/>
      <c r="VLO26" s="35"/>
      <c r="VLP26" s="35"/>
      <c r="VLQ26" s="35"/>
      <c r="VLR26" s="35"/>
      <c r="VLS26" s="35"/>
      <c r="VLT26" s="35"/>
      <c r="VLU26" s="35"/>
      <c r="VLV26" s="35"/>
      <c r="VLW26" s="35"/>
      <c r="VLX26" s="35"/>
      <c r="VLY26" s="35"/>
      <c r="VLZ26" s="35"/>
      <c r="VMA26" s="35"/>
      <c r="VMB26" s="35"/>
      <c r="VMC26" s="35"/>
      <c r="VMD26" s="35"/>
      <c r="VME26" s="35"/>
      <c r="VMF26" s="35"/>
      <c r="VMG26" s="35"/>
      <c r="VMH26" s="35"/>
      <c r="VMI26" s="35"/>
      <c r="VMJ26" s="35"/>
      <c r="VMK26" s="35"/>
      <c r="VML26" s="35"/>
      <c r="VMM26" s="35"/>
      <c r="VMN26" s="35"/>
      <c r="VMO26" s="35"/>
      <c r="VMP26" s="35"/>
      <c r="VMQ26" s="35"/>
      <c r="VMR26" s="35"/>
      <c r="VMS26" s="35"/>
      <c r="VMT26" s="35"/>
      <c r="VMU26" s="35"/>
      <c r="VMV26" s="35"/>
      <c r="VMW26" s="35"/>
      <c r="VMX26" s="35"/>
      <c r="VMY26" s="35"/>
      <c r="VMZ26" s="35"/>
      <c r="VNA26" s="35"/>
      <c r="VNB26" s="35"/>
      <c r="VNC26" s="35"/>
      <c r="VND26" s="35"/>
      <c r="VNE26" s="35"/>
      <c r="VNF26" s="35"/>
      <c r="VNG26" s="35"/>
      <c r="VNH26" s="35"/>
      <c r="VNI26" s="35"/>
      <c r="VNJ26" s="35"/>
      <c r="VNK26" s="35"/>
      <c r="VNL26" s="35"/>
      <c r="VNM26" s="35"/>
      <c r="VNN26" s="35"/>
      <c r="VNO26" s="35"/>
      <c r="VNP26" s="35"/>
      <c r="VNQ26" s="35"/>
      <c r="VNR26" s="35"/>
      <c r="VNS26" s="35"/>
      <c r="VNT26" s="35"/>
      <c r="VNU26" s="35"/>
      <c r="VNV26" s="35"/>
      <c r="VNW26" s="35"/>
      <c r="VNX26" s="35"/>
      <c r="VNY26" s="35"/>
      <c r="VNZ26" s="35"/>
      <c r="VOA26" s="35"/>
      <c r="VOB26" s="35"/>
      <c r="VOC26" s="35"/>
      <c r="VOD26" s="35"/>
      <c r="VOE26" s="35"/>
      <c r="VOF26" s="35"/>
      <c r="VOG26" s="35"/>
      <c r="VOH26" s="35"/>
      <c r="VOI26" s="35"/>
      <c r="VOJ26" s="35"/>
      <c r="VOK26" s="35"/>
      <c r="VOL26" s="35"/>
      <c r="VOM26" s="35"/>
      <c r="VON26" s="35"/>
      <c r="VOO26" s="35"/>
      <c r="VOP26" s="35"/>
      <c r="VOQ26" s="35"/>
      <c r="VOR26" s="35"/>
      <c r="VOS26" s="35"/>
      <c r="VOT26" s="35"/>
      <c r="VOU26" s="35"/>
      <c r="VOV26" s="35"/>
      <c r="VOW26" s="35"/>
      <c r="VOX26" s="35"/>
      <c r="VOY26" s="35"/>
      <c r="VOZ26" s="35"/>
      <c r="VPA26" s="35"/>
      <c r="VPB26" s="35"/>
      <c r="VPC26" s="35"/>
      <c r="VPD26" s="35"/>
      <c r="VPE26" s="35"/>
      <c r="VPF26" s="35"/>
      <c r="VPG26" s="35"/>
      <c r="VPH26" s="35"/>
      <c r="VPI26" s="35"/>
      <c r="VPJ26" s="35"/>
      <c r="VPK26" s="35"/>
      <c r="VPL26" s="35"/>
      <c r="VPM26" s="35"/>
      <c r="VPN26" s="35"/>
      <c r="VPO26" s="35"/>
      <c r="VPP26" s="35"/>
      <c r="VPQ26" s="35"/>
      <c r="VPR26" s="35"/>
      <c r="VPS26" s="35"/>
      <c r="VPT26" s="35"/>
      <c r="VPU26" s="35"/>
      <c r="VPV26" s="35"/>
      <c r="VPW26" s="35"/>
      <c r="VPX26" s="35"/>
      <c r="VPY26" s="35"/>
      <c r="VPZ26" s="35"/>
      <c r="VQA26" s="35"/>
      <c r="VQB26" s="35"/>
      <c r="VQC26" s="35"/>
      <c r="VQD26" s="35"/>
      <c r="VQE26" s="35"/>
      <c r="VQF26" s="35"/>
      <c r="VQG26" s="35"/>
      <c r="VQH26" s="35"/>
      <c r="VQI26" s="35"/>
      <c r="VQJ26" s="35"/>
      <c r="VQK26" s="35"/>
      <c r="VQL26" s="35"/>
      <c r="VQM26" s="35"/>
      <c r="VQN26" s="35"/>
      <c r="VQO26" s="35"/>
      <c r="VQP26" s="35"/>
      <c r="VQQ26" s="35"/>
      <c r="VQR26" s="35"/>
      <c r="VQS26" s="35"/>
      <c r="VQT26" s="35"/>
      <c r="VQU26" s="35"/>
      <c r="VQV26" s="35"/>
      <c r="VQW26" s="35"/>
      <c r="VQX26" s="35"/>
      <c r="VQY26" s="35"/>
      <c r="VQZ26" s="35"/>
      <c r="VRA26" s="35"/>
      <c r="VRB26" s="35"/>
      <c r="VRC26" s="35"/>
      <c r="VRD26" s="35"/>
      <c r="VRE26" s="35"/>
      <c r="VRF26" s="35"/>
      <c r="VRG26" s="35"/>
      <c r="VRH26" s="35"/>
      <c r="VRI26" s="35"/>
      <c r="VRJ26" s="35"/>
      <c r="VRK26" s="35"/>
      <c r="VRL26" s="35"/>
      <c r="VRM26" s="35"/>
      <c r="VRN26" s="35"/>
      <c r="VRO26" s="35"/>
      <c r="VRP26" s="35"/>
      <c r="VRQ26" s="35"/>
      <c r="VRR26" s="35"/>
      <c r="VRS26" s="35"/>
      <c r="VRT26" s="35"/>
      <c r="VRU26" s="35"/>
      <c r="VRV26" s="35"/>
      <c r="VRW26" s="35"/>
      <c r="VRX26" s="35"/>
      <c r="VRY26" s="35"/>
      <c r="VRZ26" s="35"/>
      <c r="VSA26" s="35"/>
      <c r="VSB26" s="35"/>
      <c r="VSC26" s="35"/>
      <c r="VSD26" s="35"/>
      <c r="VSE26" s="35"/>
      <c r="VSF26" s="35"/>
      <c r="VSG26" s="35"/>
      <c r="VSH26" s="35"/>
      <c r="VSI26" s="35"/>
      <c r="VSJ26" s="35"/>
      <c r="VSK26" s="35"/>
      <c r="VSL26" s="35"/>
      <c r="VSM26" s="35"/>
      <c r="VSN26" s="35"/>
      <c r="VSO26" s="35"/>
      <c r="VSP26" s="35"/>
      <c r="VSQ26" s="35"/>
      <c r="VSR26" s="35"/>
      <c r="VSS26" s="35"/>
      <c r="VST26" s="35"/>
      <c r="VSU26" s="35"/>
      <c r="VSV26" s="35"/>
      <c r="VSW26" s="35"/>
      <c r="VSX26" s="35"/>
      <c r="VSY26" s="35"/>
      <c r="VSZ26" s="35"/>
      <c r="VTA26" s="35"/>
      <c r="VTB26" s="35"/>
      <c r="VTC26" s="35"/>
      <c r="VTD26" s="35"/>
      <c r="VTE26" s="35"/>
      <c r="VTF26" s="35"/>
      <c r="VTG26" s="35"/>
      <c r="VTH26" s="35"/>
      <c r="VTI26" s="35"/>
      <c r="VTJ26" s="35"/>
      <c r="VTK26" s="35"/>
      <c r="VTL26" s="35"/>
      <c r="VTM26" s="35"/>
      <c r="VTN26" s="35"/>
      <c r="VTO26" s="35"/>
      <c r="VTP26" s="35"/>
      <c r="VTQ26" s="35"/>
      <c r="VTR26" s="35"/>
      <c r="VTS26" s="35"/>
      <c r="VTT26" s="35"/>
      <c r="VTU26" s="35"/>
      <c r="VTV26" s="35"/>
      <c r="VTW26" s="35"/>
      <c r="VTX26" s="35"/>
      <c r="VTY26" s="35"/>
      <c r="VTZ26" s="35"/>
      <c r="VUA26" s="35"/>
      <c r="VUB26" s="35"/>
      <c r="VUC26" s="35"/>
      <c r="VUD26" s="35"/>
      <c r="VUE26" s="35"/>
      <c r="VUF26" s="35"/>
      <c r="VUG26" s="35"/>
      <c r="VUH26" s="35"/>
      <c r="VUI26" s="35"/>
      <c r="VUJ26" s="35"/>
      <c r="VUK26" s="35"/>
      <c r="VUL26" s="35"/>
      <c r="VUM26" s="35"/>
      <c r="VUN26" s="35"/>
      <c r="VUO26" s="35"/>
      <c r="VUP26" s="35"/>
      <c r="VUQ26" s="35"/>
      <c r="VUR26" s="35"/>
      <c r="VUS26" s="35"/>
      <c r="VUT26" s="35"/>
      <c r="VUU26" s="35"/>
      <c r="VUV26" s="35"/>
      <c r="VUW26" s="35"/>
      <c r="VUX26" s="35"/>
      <c r="VUY26" s="35"/>
      <c r="VUZ26" s="35"/>
      <c r="VVA26" s="35"/>
      <c r="VVB26" s="35"/>
      <c r="VVC26" s="35"/>
      <c r="VVD26" s="35"/>
      <c r="VVE26" s="35"/>
      <c r="VVF26" s="35"/>
      <c r="VVG26" s="35"/>
      <c r="VVH26" s="35"/>
      <c r="VVI26" s="35"/>
      <c r="VVJ26" s="35"/>
      <c r="VVK26" s="35"/>
      <c r="VVL26" s="35"/>
      <c r="VVM26" s="35"/>
      <c r="VVN26" s="35"/>
      <c r="VVO26" s="35"/>
      <c r="VVP26" s="35"/>
      <c r="VVQ26" s="35"/>
      <c r="VVR26" s="35"/>
      <c r="VVS26" s="35"/>
      <c r="VVT26" s="35"/>
      <c r="VVU26" s="35"/>
      <c r="VVV26" s="35"/>
      <c r="VVW26" s="35"/>
      <c r="VVX26" s="35"/>
      <c r="VVY26" s="35"/>
      <c r="VVZ26" s="35"/>
      <c r="VWA26" s="35"/>
      <c r="VWB26" s="35"/>
      <c r="VWC26" s="35"/>
      <c r="VWD26" s="35"/>
      <c r="VWE26" s="35"/>
      <c r="VWF26" s="35"/>
      <c r="VWG26" s="35"/>
      <c r="VWH26" s="35"/>
      <c r="VWI26" s="35"/>
      <c r="VWJ26" s="35"/>
      <c r="VWK26" s="35"/>
      <c r="VWL26" s="35"/>
      <c r="VWM26" s="35"/>
      <c r="VWN26" s="35"/>
      <c r="VWO26" s="35"/>
      <c r="VWP26" s="35"/>
      <c r="VWQ26" s="35"/>
      <c r="VWR26" s="35"/>
      <c r="VWS26" s="35"/>
      <c r="VWT26" s="35"/>
      <c r="VWU26" s="35"/>
      <c r="VWV26" s="35"/>
      <c r="VWW26" s="35"/>
      <c r="VWX26" s="35"/>
      <c r="VWY26" s="35"/>
      <c r="VWZ26" s="35"/>
      <c r="VXA26" s="35"/>
      <c r="VXB26" s="35"/>
      <c r="VXC26" s="35"/>
      <c r="VXD26" s="35"/>
      <c r="VXE26" s="35"/>
      <c r="VXF26" s="35"/>
      <c r="VXG26" s="35"/>
      <c r="VXH26" s="35"/>
      <c r="VXI26" s="35"/>
      <c r="VXJ26" s="35"/>
      <c r="VXK26" s="35"/>
      <c r="VXL26" s="35"/>
      <c r="VXM26" s="35"/>
      <c r="VXN26" s="35"/>
      <c r="VXO26" s="35"/>
      <c r="VXP26" s="35"/>
      <c r="VXQ26" s="35"/>
      <c r="VXR26" s="35"/>
      <c r="VXS26" s="35"/>
      <c r="VXT26" s="35"/>
      <c r="VXU26" s="35"/>
      <c r="VXV26" s="35"/>
      <c r="VXW26" s="35"/>
      <c r="VXX26" s="35"/>
      <c r="VXY26" s="35"/>
      <c r="VXZ26" s="35"/>
      <c r="VYA26" s="35"/>
      <c r="VYB26" s="35"/>
      <c r="VYC26" s="35"/>
      <c r="VYD26" s="35"/>
      <c r="VYE26" s="35"/>
      <c r="VYF26" s="35"/>
      <c r="VYG26" s="35"/>
      <c r="VYH26" s="35"/>
      <c r="VYI26" s="35"/>
      <c r="VYJ26" s="35"/>
      <c r="VYK26" s="35"/>
      <c r="VYL26" s="35"/>
      <c r="VYM26" s="35"/>
      <c r="VYN26" s="35"/>
      <c r="VYO26" s="35"/>
      <c r="VYP26" s="35"/>
      <c r="VYQ26" s="35"/>
      <c r="VYR26" s="35"/>
      <c r="VYS26" s="35"/>
      <c r="VYT26" s="35"/>
      <c r="VYU26" s="35"/>
      <c r="VYV26" s="35"/>
      <c r="VYW26" s="35"/>
      <c r="VYX26" s="35"/>
      <c r="VYY26" s="35"/>
      <c r="VYZ26" s="35"/>
      <c r="VZA26" s="35"/>
      <c r="VZB26" s="35"/>
      <c r="VZC26" s="35"/>
      <c r="VZD26" s="35"/>
      <c r="VZE26" s="35"/>
      <c r="VZF26" s="35"/>
      <c r="VZG26" s="35"/>
      <c r="VZH26" s="35"/>
      <c r="VZI26" s="35"/>
      <c r="VZJ26" s="35"/>
      <c r="VZK26" s="35"/>
      <c r="VZL26" s="35"/>
      <c r="VZM26" s="35"/>
      <c r="VZN26" s="35"/>
      <c r="VZO26" s="35"/>
      <c r="VZP26" s="35"/>
      <c r="VZQ26" s="35"/>
      <c r="VZR26" s="35"/>
      <c r="VZS26" s="35"/>
      <c r="VZT26" s="35"/>
      <c r="VZU26" s="35"/>
      <c r="VZV26" s="35"/>
      <c r="VZW26" s="35"/>
      <c r="VZX26" s="35"/>
      <c r="VZY26" s="35"/>
      <c r="VZZ26" s="35"/>
      <c r="WAA26" s="35"/>
      <c r="WAB26" s="35"/>
      <c r="WAC26" s="35"/>
      <c r="WAD26" s="35"/>
      <c r="WAE26" s="35"/>
      <c r="WAF26" s="35"/>
      <c r="WAG26" s="35"/>
      <c r="WAH26" s="35"/>
      <c r="WAI26" s="35"/>
      <c r="WAJ26" s="35"/>
      <c r="WAK26" s="35"/>
      <c r="WAL26" s="35"/>
      <c r="WAM26" s="35"/>
      <c r="WAN26" s="35"/>
      <c r="WAO26" s="35"/>
      <c r="WAP26" s="35"/>
      <c r="WAQ26" s="35"/>
      <c r="WAR26" s="35"/>
      <c r="WAS26" s="35"/>
      <c r="WAT26" s="35"/>
      <c r="WAU26" s="35"/>
      <c r="WAV26" s="35"/>
      <c r="WAW26" s="35"/>
      <c r="WAX26" s="35"/>
      <c r="WAY26" s="35"/>
      <c r="WAZ26" s="35"/>
      <c r="WBA26" s="35"/>
      <c r="WBB26" s="35"/>
      <c r="WBC26" s="35"/>
      <c r="WBD26" s="35"/>
      <c r="WBE26" s="35"/>
      <c r="WBF26" s="35"/>
      <c r="WBG26" s="35"/>
      <c r="WBH26" s="35"/>
      <c r="WBI26" s="35"/>
      <c r="WBJ26" s="35"/>
      <c r="WBK26" s="35"/>
      <c r="WBL26" s="35"/>
      <c r="WBM26" s="35"/>
      <c r="WBN26" s="35"/>
      <c r="WBO26" s="35"/>
      <c r="WBP26" s="35"/>
      <c r="WBQ26" s="35"/>
      <c r="WBR26" s="35"/>
      <c r="WBS26" s="35"/>
      <c r="WBT26" s="35"/>
      <c r="WBU26" s="35"/>
      <c r="WBV26" s="35"/>
      <c r="WBW26" s="35"/>
      <c r="WBX26" s="35"/>
      <c r="WBY26" s="35"/>
      <c r="WBZ26" s="35"/>
      <c r="WCA26" s="35"/>
      <c r="WCB26" s="35"/>
      <c r="WCC26" s="35"/>
      <c r="WCD26" s="35"/>
      <c r="WCE26" s="35"/>
      <c r="WCF26" s="35"/>
      <c r="WCG26" s="35"/>
      <c r="WCH26" s="35"/>
      <c r="WCI26" s="35"/>
      <c r="WCJ26" s="35"/>
      <c r="WCK26" s="35"/>
      <c r="WCL26" s="35"/>
      <c r="WCM26" s="35"/>
      <c r="WCN26" s="35"/>
      <c r="WCO26" s="35"/>
      <c r="WCP26" s="35"/>
      <c r="WCQ26" s="35"/>
      <c r="WCR26" s="35"/>
      <c r="WCS26" s="35"/>
      <c r="WCT26" s="35"/>
      <c r="WCU26" s="35"/>
      <c r="WCV26" s="35"/>
      <c r="WCW26" s="35"/>
      <c r="WCX26" s="35"/>
      <c r="WCY26" s="35"/>
      <c r="WCZ26" s="35"/>
      <c r="WDA26" s="35"/>
      <c r="WDB26" s="35"/>
      <c r="WDC26" s="35"/>
      <c r="WDD26" s="35"/>
      <c r="WDE26" s="35"/>
      <c r="WDF26" s="35"/>
      <c r="WDG26" s="35"/>
      <c r="WDH26" s="35"/>
      <c r="WDI26" s="35"/>
      <c r="WDJ26" s="35"/>
      <c r="WDK26" s="35"/>
      <c r="WDL26" s="35"/>
      <c r="WDM26" s="35"/>
      <c r="WDN26" s="35"/>
      <c r="WDO26" s="35"/>
      <c r="WDP26" s="35"/>
      <c r="WDQ26" s="35"/>
      <c r="WDR26" s="35"/>
      <c r="WDS26" s="35"/>
      <c r="WDT26" s="35"/>
      <c r="WDU26" s="35"/>
      <c r="WDV26" s="35"/>
      <c r="WDW26" s="35"/>
      <c r="WDX26" s="35"/>
      <c r="WDY26" s="35"/>
      <c r="WDZ26" s="35"/>
      <c r="WEA26" s="35"/>
      <c r="WEB26" s="35"/>
      <c r="WEC26" s="35"/>
      <c r="WED26" s="35"/>
      <c r="WEE26" s="35"/>
      <c r="WEF26" s="35"/>
      <c r="WEG26" s="35"/>
      <c r="WEH26" s="35"/>
      <c r="WEI26" s="35"/>
      <c r="WEJ26" s="35"/>
      <c r="WEK26" s="35"/>
      <c r="WEL26" s="35"/>
      <c r="WEM26" s="35"/>
      <c r="WEN26" s="35"/>
      <c r="WEO26" s="35"/>
      <c r="WEP26" s="35"/>
      <c r="WEQ26" s="35"/>
      <c r="WER26" s="35"/>
      <c r="WES26" s="35"/>
      <c r="WET26" s="35"/>
      <c r="WEU26" s="35"/>
      <c r="WEV26" s="35"/>
      <c r="WEW26" s="35"/>
      <c r="WEX26" s="35"/>
      <c r="WEY26" s="35"/>
      <c r="WEZ26" s="35"/>
      <c r="WFA26" s="35"/>
      <c r="WFB26" s="35"/>
      <c r="WFC26" s="35"/>
      <c r="WFD26" s="35"/>
      <c r="WFE26" s="35"/>
      <c r="WFF26" s="35"/>
      <c r="WFG26" s="35"/>
      <c r="WFH26" s="35"/>
      <c r="WFI26" s="35"/>
      <c r="WFJ26" s="35"/>
      <c r="WFK26" s="35"/>
      <c r="WFL26" s="35"/>
      <c r="WFM26" s="35"/>
      <c r="WFN26" s="35"/>
      <c r="WFO26" s="35"/>
      <c r="WFP26" s="35"/>
      <c r="WFQ26" s="35"/>
      <c r="WFR26" s="35"/>
      <c r="WFS26" s="35"/>
      <c r="WFT26" s="35"/>
      <c r="WFU26" s="35"/>
      <c r="WFV26" s="35"/>
      <c r="WFW26" s="35"/>
      <c r="WFX26" s="35"/>
      <c r="WFY26" s="35"/>
      <c r="WFZ26" s="35"/>
      <c r="WGA26" s="35"/>
      <c r="WGB26" s="35"/>
      <c r="WGC26" s="35"/>
      <c r="WGD26" s="35"/>
      <c r="WGE26" s="35"/>
      <c r="WGF26" s="35"/>
      <c r="WGG26" s="35"/>
      <c r="WGH26" s="35"/>
      <c r="WGI26" s="35"/>
      <c r="WGJ26" s="35"/>
      <c r="WGK26" s="35"/>
      <c r="WGL26" s="35"/>
      <c r="WGM26" s="35"/>
      <c r="WGN26" s="35"/>
      <c r="WGO26" s="35"/>
      <c r="WGP26" s="35"/>
      <c r="WGQ26" s="35"/>
      <c r="WGR26" s="35"/>
      <c r="WGS26" s="35"/>
      <c r="WGT26" s="35"/>
      <c r="WGU26" s="35"/>
      <c r="WGV26" s="35"/>
      <c r="WGW26" s="35"/>
      <c r="WGX26" s="35"/>
      <c r="WGY26" s="35"/>
      <c r="WGZ26" s="35"/>
      <c r="WHA26" s="35"/>
      <c r="WHB26" s="35"/>
      <c r="WHC26" s="35"/>
      <c r="WHD26" s="35"/>
      <c r="WHE26" s="35"/>
      <c r="WHF26" s="35"/>
      <c r="WHG26" s="35"/>
      <c r="WHH26" s="35"/>
      <c r="WHI26" s="35"/>
      <c r="WHJ26" s="35"/>
      <c r="WHK26" s="35"/>
      <c r="WHL26" s="35"/>
      <c r="WHM26" s="35"/>
      <c r="WHN26" s="35"/>
      <c r="WHO26" s="35"/>
      <c r="WHP26" s="35"/>
      <c r="WHQ26" s="35"/>
      <c r="WHR26" s="35"/>
      <c r="WHS26" s="35"/>
      <c r="WHT26" s="35"/>
      <c r="WHU26" s="35"/>
      <c r="WHV26" s="35"/>
      <c r="WHW26" s="35"/>
      <c r="WHX26" s="35"/>
      <c r="WHY26" s="35"/>
      <c r="WHZ26" s="35"/>
      <c r="WIA26" s="35"/>
      <c r="WIB26" s="35"/>
      <c r="WIC26" s="35"/>
      <c r="WID26" s="35"/>
      <c r="WIE26" s="35"/>
      <c r="WIF26" s="35"/>
      <c r="WIG26" s="35"/>
      <c r="WIH26" s="35"/>
      <c r="WII26" s="35"/>
      <c r="WIJ26" s="35"/>
      <c r="WIK26" s="35"/>
      <c r="WIL26" s="35"/>
      <c r="WIM26" s="35"/>
      <c r="WIN26" s="35"/>
      <c r="WIO26" s="35"/>
      <c r="WIP26" s="35"/>
      <c r="WIQ26" s="35"/>
      <c r="WIR26" s="35"/>
      <c r="WIS26" s="35"/>
      <c r="WIT26" s="35"/>
      <c r="WIU26" s="35"/>
      <c r="WIV26" s="35"/>
      <c r="WIW26" s="35"/>
      <c r="WIX26" s="35"/>
      <c r="WIY26" s="35"/>
      <c r="WIZ26" s="35"/>
      <c r="WJA26" s="35"/>
      <c r="WJB26" s="35"/>
      <c r="WJC26" s="35"/>
      <c r="WJD26" s="35"/>
      <c r="WJE26" s="35"/>
      <c r="WJF26" s="35"/>
      <c r="WJG26" s="35"/>
      <c r="WJH26" s="35"/>
      <c r="WJI26" s="35"/>
      <c r="WJJ26" s="35"/>
      <c r="WJK26" s="35"/>
      <c r="WJL26" s="35"/>
      <c r="WJM26" s="35"/>
      <c r="WJN26" s="35"/>
      <c r="WJO26" s="35"/>
      <c r="WJP26" s="35"/>
      <c r="WJQ26" s="35"/>
      <c r="WJR26" s="35"/>
      <c r="WJS26" s="35"/>
      <c r="WJT26" s="35"/>
      <c r="WJU26" s="35"/>
      <c r="WJV26" s="35"/>
      <c r="WJW26" s="35"/>
      <c r="WJX26" s="35"/>
      <c r="WJY26" s="35"/>
      <c r="WJZ26" s="35"/>
      <c r="WKA26" s="35"/>
      <c r="WKB26" s="35"/>
      <c r="WKC26" s="35"/>
      <c r="WKD26" s="35"/>
      <c r="WKE26" s="35"/>
      <c r="WKF26" s="35"/>
      <c r="WKG26" s="35"/>
      <c r="WKH26" s="35"/>
      <c r="WKI26" s="35"/>
      <c r="WKJ26" s="35"/>
      <c r="WKK26" s="35"/>
      <c r="WKL26" s="35"/>
      <c r="WKM26" s="35"/>
      <c r="WKN26" s="35"/>
      <c r="WKO26" s="35"/>
      <c r="WKP26" s="35"/>
      <c r="WKQ26" s="35"/>
      <c r="WKR26" s="35"/>
      <c r="WKS26" s="35"/>
      <c r="WKT26" s="35"/>
      <c r="WKU26" s="35"/>
      <c r="WKV26" s="35"/>
      <c r="WKW26" s="35"/>
      <c r="WKX26" s="35"/>
      <c r="WKY26" s="35"/>
      <c r="WKZ26" s="35"/>
      <c r="WLA26" s="35"/>
      <c r="WLB26" s="35"/>
      <c r="WLC26" s="35"/>
      <c r="WLD26" s="35"/>
      <c r="WLE26" s="35"/>
      <c r="WLF26" s="35"/>
      <c r="WLG26" s="35"/>
      <c r="WLH26" s="35"/>
      <c r="WLI26" s="35"/>
      <c r="WLJ26" s="35"/>
      <c r="WLK26" s="35"/>
      <c r="WLL26" s="35"/>
      <c r="WLM26" s="35"/>
      <c r="WLN26" s="35"/>
      <c r="WLO26" s="35"/>
      <c r="WLP26" s="35"/>
      <c r="WLQ26" s="35"/>
      <c r="WLR26" s="35"/>
      <c r="WLS26" s="35"/>
      <c r="WLT26" s="35"/>
      <c r="WLU26" s="35"/>
      <c r="WLV26" s="35"/>
      <c r="WLW26" s="35"/>
      <c r="WLX26" s="35"/>
      <c r="WLY26" s="35"/>
      <c r="WLZ26" s="35"/>
      <c r="WMA26" s="35"/>
      <c r="WMB26" s="35"/>
      <c r="WMC26" s="35"/>
      <c r="WMD26" s="35"/>
      <c r="WME26" s="35"/>
      <c r="WMF26" s="35"/>
      <c r="WMG26" s="35"/>
      <c r="WMH26" s="35"/>
      <c r="WMI26" s="35"/>
      <c r="WMJ26" s="35"/>
      <c r="WMK26" s="35"/>
      <c r="WML26" s="35"/>
      <c r="WMM26" s="35"/>
      <c r="WMN26" s="35"/>
      <c r="WMO26" s="35"/>
      <c r="WMP26" s="35"/>
      <c r="WMQ26" s="35"/>
      <c r="WMR26" s="35"/>
      <c r="WMS26" s="35"/>
      <c r="WMT26" s="35"/>
      <c r="WMU26" s="35"/>
      <c r="WMV26" s="35"/>
      <c r="WMW26" s="35"/>
      <c r="WMX26" s="35"/>
      <c r="WMY26" s="35"/>
      <c r="WMZ26" s="35"/>
      <c r="WNA26" s="35"/>
      <c r="WNB26" s="35"/>
      <c r="WNC26" s="35"/>
      <c r="WND26" s="35"/>
      <c r="WNE26" s="35"/>
      <c r="WNF26" s="35"/>
      <c r="WNG26" s="35"/>
      <c r="WNH26" s="35"/>
      <c r="WNI26" s="35"/>
      <c r="WNJ26" s="35"/>
      <c r="WNK26" s="35"/>
      <c r="WNL26" s="35"/>
      <c r="WNM26" s="35"/>
      <c r="WNN26" s="35"/>
      <c r="WNO26" s="35"/>
      <c r="WNP26" s="35"/>
      <c r="WNQ26" s="35"/>
      <c r="WNR26" s="35"/>
      <c r="WNS26" s="35"/>
      <c r="WNT26" s="35"/>
      <c r="WNU26" s="35"/>
      <c r="WNV26" s="35"/>
      <c r="WNW26" s="35"/>
      <c r="WNX26" s="35"/>
      <c r="WNY26" s="35"/>
      <c r="WNZ26" s="35"/>
      <c r="WOA26" s="35"/>
      <c r="WOB26" s="35"/>
      <c r="WOC26" s="35"/>
      <c r="WOD26" s="35"/>
      <c r="WOE26" s="35"/>
      <c r="WOF26" s="35"/>
      <c r="WOG26" s="35"/>
      <c r="WOH26" s="35"/>
      <c r="WOI26" s="35"/>
      <c r="WOJ26" s="35"/>
      <c r="WOK26" s="35"/>
      <c r="WOL26" s="35"/>
      <c r="WOM26" s="35"/>
      <c r="WON26" s="35"/>
      <c r="WOO26" s="35"/>
      <c r="WOP26" s="35"/>
      <c r="WOQ26" s="35"/>
      <c r="WOR26" s="35"/>
      <c r="WOS26" s="35"/>
      <c r="WOT26" s="35"/>
      <c r="WOU26" s="35"/>
      <c r="WOV26" s="35"/>
      <c r="WOW26" s="35"/>
      <c r="WOX26" s="35"/>
      <c r="WOY26" s="35"/>
      <c r="WOZ26" s="35"/>
      <c r="WPA26" s="35"/>
      <c r="WPB26" s="35"/>
      <c r="WPC26" s="35"/>
      <c r="WPD26" s="35"/>
      <c r="WPE26" s="35"/>
      <c r="WPF26" s="35"/>
      <c r="WPG26" s="35"/>
      <c r="WPH26" s="35"/>
      <c r="WPI26" s="35"/>
      <c r="WPJ26" s="35"/>
      <c r="WPK26" s="35"/>
      <c r="WPL26" s="35"/>
      <c r="WPM26" s="35"/>
      <c r="WPN26" s="35"/>
      <c r="WPO26" s="35"/>
      <c r="WPP26" s="35"/>
      <c r="WPQ26" s="35"/>
      <c r="WPR26" s="35"/>
      <c r="WPS26" s="35"/>
      <c r="WPT26" s="35"/>
      <c r="WPU26" s="35"/>
      <c r="WPV26" s="35"/>
      <c r="WPW26" s="35"/>
      <c r="WPX26" s="35"/>
      <c r="WPY26" s="35"/>
      <c r="WPZ26" s="35"/>
      <c r="WQA26" s="35"/>
      <c r="WQB26" s="35"/>
      <c r="WQC26" s="35"/>
      <c r="WQD26" s="35"/>
      <c r="WQE26" s="35"/>
      <c r="WQF26" s="35"/>
      <c r="WQG26" s="35"/>
      <c r="WQH26" s="35"/>
      <c r="WQI26" s="35"/>
      <c r="WQJ26" s="35"/>
      <c r="WQK26" s="35"/>
      <c r="WQL26" s="35"/>
      <c r="WQM26" s="35"/>
      <c r="WQN26" s="35"/>
      <c r="WQO26" s="35"/>
      <c r="WQP26" s="35"/>
      <c r="WQQ26" s="35"/>
      <c r="WQR26" s="35"/>
      <c r="WQS26" s="35"/>
      <c r="WQT26" s="35"/>
      <c r="WQU26" s="35"/>
      <c r="WQV26" s="35"/>
      <c r="WQW26" s="35"/>
      <c r="WQX26" s="35"/>
      <c r="WQY26" s="35"/>
      <c r="WQZ26" s="35"/>
      <c r="WRA26" s="35"/>
      <c r="WRB26" s="35"/>
      <c r="WRC26" s="35"/>
      <c r="WRD26" s="35"/>
      <c r="WRE26" s="35"/>
      <c r="WRF26" s="35"/>
      <c r="WRG26" s="35"/>
      <c r="WRH26" s="35"/>
      <c r="WRI26" s="35"/>
      <c r="WRJ26" s="35"/>
      <c r="WRK26" s="35"/>
      <c r="WRL26" s="35"/>
      <c r="WRM26" s="35"/>
      <c r="WRN26" s="35"/>
      <c r="WRO26" s="35"/>
      <c r="WRP26" s="35"/>
      <c r="WRQ26" s="35"/>
      <c r="WRR26" s="35"/>
      <c r="WRS26" s="35"/>
      <c r="WRT26" s="35"/>
      <c r="WRU26" s="35"/>
      <c r="WRV26" s="35"/>
      <c r="WRW26" s="35"/>
      <c r="WRX26" s="35"/>
      <c r="WRY26" s="35"/>
      <c r="WRZ26" s="35"/>
      <c r="WSA26" s="35"/>
      <c r="WSB26" s="35"/>
      <c r="WSC26" s="35"/>
      <c r="WSD26" s="35"/>
      <c r="WSE26" s="35"/>
      <c r="WSF26" s="35"/>
      <c r="WSG26" s="35"/>
      <c r="WSH26" s="35"/>
      <c r="WSI26" s="35"/>
      <c r="WSJ26" s="35"/>
      <c r="WSK26" s="35"/>
      <c r="WSL26" s="35"/>
      <c r="WSM26" s="35"/>
      <c r="WSN26" s="35"/>
      <c r="WSO26" s="35"/>
      <c r="WSP26" s="35"/>
      <c r="WSQ26" s="35"/>
      <c r="WSR26" s="35"/>
      <c r="WSS26" s="35"/>
      <c r="WST26" s="35"/>
      <c r="WSU26" s="35"/>
      <c r="WSV26" s="35"/>
      <c r="WSW26" s="35"/>
      <c r="WSX26" s="35"/>
      <c r="WSY26" s="35"/>
      <c r="WSZ26" s="35"/>
      <c r="WTA26" s="35"/>
      <c r="WTB26" s="35"/>
      <c r="WTC26" s="35"/>
      <c r="WTD26" s="35"/>
      <c r="WTE26" s="35"/>
      <c r="WTF26" s="35"/>
      <c r="WTG26" s="35"/>
      <c r="WTH26" s="35"/>
      <c r="WTI26" s="35"/>
      <c r="WTJ26" s="35"/>
      <c r="WTK26" s="35"/>
      <c r="WTL26" s="35"/>
      <c r="WTM26" s="35"/>
      <c r="WTN26" s="35"/>
      <c r="WTO26" s="35"/>
      <c r="WTP26" s="35"/>
      <c r="WTQ26" s="35"/>
      <c r="WTR26" s="35"/>
      <c r="WTS26" s="35"/>
      <c r="WTT26" s="35"/>
      <c r="WTU26" s="35"/>
      <c r="WTV26" s="35"/>
      <c r="WTW26" s="35"/>
      <c r="WTX26" s="35"/>
      <c r="WTY26" s="35"/>
      <c r="WTZ26" s="35"/>
      <c r="WUA26" s="35"/>
      <c r="WUB26" s="35"/>
      <c r="WUC26" s="35"/>
      <c r="WUD26" s="35"/>
      <c r="WUE26" s="35"/>
      <c r="WUF26" s="35"/>
      <c r="WUG26" s="35"/>
      <c r="WUH26" s="35"/>
      <c r="WUI26" s="35"/>
      <c r="WUJ26" s="35"/>
      <c r="WUK26" s="35"/>
      <c r="WUL26" s="35"/>
      <c r="WUM26" s="35"/>
      <c r="WUN26" s="35"/>
      <c r="WUO26" s="35"/>
      <c r="WUP26" s="35"/>
      <c r="WUQ26" s="35"/>
      <c r="WUR26" s="35"/>
      <c r="WUS26" s="35"/>
      <c r="WUT26" s="35"/>
      <c r="WUU26" s="35"/>
      <c r="WUV26" s="35"/>
      <c r="WUW26" s="35"/>
      <c r="WUX26" s="35"/>
      <c r="WUY26" s="35"/>
      <c r="WUZ26" s="35"/>
      <c r="WVA26" s="35"/>
      <c r="WVB26" s="35"/>
      <c r="WVC26" s="35"/>
      <c r="WVD26" s="35"/>
      <c r="WVE26" s="35"/>
      <c r="WVF26" s="35"/>
      <c r="WVG26" s="35"/>
      <c r="WVH26" s="35"/>
      <c r="WVI26" s="35"/>
      <c r="WVJ26" s="35"/>
      <c r="WVK26" s="35"/>
      <c r="WVL26" s="35"/>
      <c r="WVM26" s="35"/>
      <c r="WVN26" s="35"/>
      <c r="WVO26" s="35"/>
      <c r="WVP26" s="35"/>
      <c r="WVQ26" s="35"/>
      <c r="WVR26" s="35"/>
      <c r="WVS26" s="35"/>
      <c r="WVT26" s="35"/>
      <c r="WVU26" s="35"/>
      <c r="WVV26" s="35"/>
      <c r="WVW26" s="35"/>
      <c r="WVX26" s="35"/>
      <c r="WVY26" s="35"/>
      <c r="WVZ26" s="35"/>
      <c r="WWA26" s="35"/>
      <c r="WWB26" s="35"/>
      <c r="WWC26" s="35"/>
      <c r="WWD26" s="35"/>
      <c r="WWE26" s="35"/>
      <c r="WWF26" s="35"/>
      <c r="WWG26" s="35"/>
      <c r="WWH26" s="35"/>
      <c r="WWI26" s="35"/>
      <c r="WWJ26" s="35"/>
      <c r="WWK26" s="35"/>
      <c r="WWL26" s="35"/>
      <c r="WWM26" s="35"/>
      <c r="WWN26" s="35"/>
      <c r="WWO26" s="35"/>
      <c r="WWP26" s="35"/>
      <c r="WWQ26" s="35"/>
      <c r="WWR26" s="35"/>
      <c r="WWS26" s="35"/>
      <c r="WWT26" s="35"/>
      <c r="WWU26" s="35"/>
      <c r="WWV26" s="35"/>
      <c r="WWW26" s="35"/>
      <c r="WWX26" s="35"/>
      <c r="WWY26" s="35"/>
      <c r="WWZ26" s="35"/>
      <c r="WXA26" s="35"/>
      <c r="WXB26" s="35"/>
      <c r="WXC26" s="35"/>
      <c r="WXD26" s="35"/>
      <c r="WXE26" s="35"/>
      <c r="WXF26" s="35"/>
      <c r="WXG26" s="35"/>
      <c r="WXH26" s="35"/>
      <c r="WXI26" s="35"/>
      <c r="WXJ26" s="35"/>
      <c r="WXK26" s="35"/>
      <c r="WXL26" s="35"/>
      <c r="WXM26" s="35"/>
      <c r="WXN26" s="35"/>
      <c r="WXO26" s="35"/>
      <c r="WXP26" s="35"/>
      <c r="WXQ26" s="35"/>
      <c r="WXR26" s="35"/>
      <c r="WXS26" s="35"/>
      <c r="WXT26" s="35"/>
      <c r="WXU26" s="35"/>
      <c r="WXV26" s="35"/>
      <c r="WXW26" s="35"/>
      <c r="WXX26" s="35"/>
      <c r="WXY26" s="35"/>
      <c r="WXZ26" s="35"/>
      <c r="WYA26" s="35"/>
      <c r="WYB26" s="35"/>
      <c r="WYC26" s="35"/>
      <c r="WYD26" s="35"/>
      <c r="WYE26" s="35"/>
      <c r="WYF26" s="35"/>
      <c r="WYG26" s="35"/>
      <c r="WYH26" s="35"/>
      <c r="WYI26" s="35"/>
      <c r="WYJ26" s="35"/>
      <c r="WYK26" s="35"/>
      <c r="WYL26" s="35"/>
      <c r="WYM26" s="35"/>
      <c r="WYN26" s="35"/>
      <c r="WYO26" s="35"/>
      <c r="WYP26" s="35"/>
      <c r="WYQ26" s="35"/>
      <c r="WYR26" s="35"/>
      <c r="WYS26" s="35"/>
      <c r="WYT26" s="35"/>
      <c r="WYU26" s="35"/>
      <c r="WYV26" s="35"/>
      <c r="WYW26" s="35"/>
      <c r="WYX26" s="35"/>
      <c r="WYY26" s="35"/>
      <c r="WYZ26" s="35"/>
      <c r="WZA26" s="35"/>
      <c r="WZB26" s="35"/>
      <c r="WZC26" s="35"/>
      <c r="WZD26" s="35"/>
      <c r="WZE26" s="35"/>
      <c r="WZF26" s="35"/>
      <c r="WZG26" s="35"/>
      <c r="WZH26" s="35"/>
      <c r="WZI26" s="35"/>
      <c r="WZJ26" s="35"/>
      <c r="WZK26" s="35"/>
      <c r="WZL26" s="35"/>
      <c r="WZM26" s="35"/>
      <c r="WZN26" s="35"/>
      <c r="WZO26" s="35"/>
      <c r="WZP26" s="35"/>
      <c r="WZQ26" s="35"/>
      <c r="WZR26" s="35"/>
      <c r="WZS26" s="35"/>
      <c r="WZT26" s="35"/>
      <c r="WZU26" s="35"/>
      <c r="WZV26" s="35"/>
      <c r="WZW26" s="35"/>
      <c r="WZX26" s="35"/>
      <c r="WZY26" s="35"/>
      <c r="WZZ26" s="35"/>
      <c r="XAA26" s="35"/>
      <c r="XAB26" s="35"/>
      <c r="XAC26" s="35"/>
      <c r="XAD26" s="35"/>
      <c r="XAE26" s="35"/>
      <c r="XAF26" s="35"/>
      <c r="XAG26" s="35"/>
      <c r="XAH26" s="35"/>
      <c r="XAI26" s="35"/>
      <c r="XAJ26" s="35"/>
      <c r="XAK26" s="35"/>
      <c r="XAL26" s="35"/>
      <c r="XAM26" s="35"/>
      <c r="XAN26" s="35"/>
      <c r="XAO26" s="35"/>
      <c r="XAP26" s="35"/>
      <c r="XAQ26" s="35"/>
      <c r="XAR26" s="35"/>
      <c r="XAS26" s="35"/>
      <c r="XAT26" s="35"/>
      <c r="XAU26" s="35"/>
      <c r="XAV26" s="35"/>
      <c r="XAW26" s="35"/>
      <c r="XAX26" s="35"/>
      <c r="XAY26" s="35"/>
      <c r="XAZ26" s="35"/>
      <c r="XBA26" s="35"/>
      <c r="XBB26" s="35"/>
      <c r="XBC26" s="35"/>
      <c r="XBD26" s="35"/>
      <c r="XBE26" s="35"/>
      <c r="XBF26" s="35"/>
      <c r="XBG26" s="35"/>
      <c r="XBH26" s="35"/>
      <c r="XBI26" s="35"/>
      <c r="XBJ26" s="35"/>
      <c r="XBK26" s="35"/>
      <c r="XBL26" s="35"/>
      <c r="XBM26" s="35"/>
      <c r="XBN26" s="35"/>
      <c r="XBO26" s="35"/>
      <c r="XBP26" s="35"/>
      <c r="XBQ26" s="35"/>
      <c r="XBR26" s="35"/>
      <c r="XBS26" s="35"/>
      <c r="XBT26" s="35"/>
      <c r="XBU26" s="35"/>
      <c r="XBV26" s="35"/>
      <c r="XBW26" s="35"/>
      <c r="XBX26" s="35"/>
      <c r="XBY26" s="35"/>
      <c r="XBZ26" s="35"/>
      <c r="XCA26" s="35"/>
      <c r="XCB26" s="35"/>
      <c r="XCC26" s="35"/>
      <c r="XCD26" s="35"/>
      <c r="XCE26" s="35"/>
      <c r="XCF26" s="35"/>
      <c r="XCG26" s="35"/>
      <c r="XCH26" s="35"/>
      <c r="XCI26" s="35"/>
      <c r="XCJ26" s="35"/>
      <c r="XCK26" s="35"/>
      <c r="XCL26" s="35"/>
      <c r="XCM26" s="35"/>
      <c r="XCN26" s="35"/>
      <c r="XCO26" s="35"/>
      <c r="XCP26" s="35"/>
      <c r="XCQ26" s="35"/>
      <c r="XCR26" s="35"/>
      <c r="XCS26" s="35"/>
      <c r="XCT26" s="35"/>
      <c r="XCU26" s="35"/>
      <c r="XCV26" s="35"/>
      <c r="XCW26" s="35"/>
      <c r="XCX26" s="35"/>
      <c r="XCY26" s="35"/>
      <c r="XCZ26" s="35"/>
      <c r="XDA26" s="35"/>
      <c r="XDB26" s="35"/>
      <c r="XDC26" s="35"/>
      <c r="XDD26" s="35"/>
      <c r="XDE26" s="35"/>
      <c r="XDF26" s="35"/>
      <c r="XDG26" s="35"/>
      <c r="XDH26" s="35"/>
      <c r="XDI26" s="35"/>
      <c r="XDJ26" s="35"/>
      <c r="XDK26" s="35"/>
      <c r="XDL26" s="35"/>
      <c r="XDM26" s="35"/>
      <c r="XDN26" s="35"/>
      <c r="XDO26" s="35"/>
      <c r="XDP26" s="35"/>
      <c r="XDQ26" s="35"/>
      <c r="XDR26" s="35"/>
      <c r="XDS26" s="35"/>
      <c r="XDT26" s="35"/>
      <c r="XDU26" s="35"/>
      <c r="XDV26" s="35"/>
      <c r="XDW26" s="35"/>
      <c r="XDX26" s="35"/>
      <c r="XDY26" s="35"/>
      <c r="XDZ26" s="35"/>
      <c r="XEA26" s="35"/>
      <c r="XEB26" s="35"/>
      <c r="XEC26" s="35"/>
      <c r="XED26" s="35"/>
      <c r="XEE26" s="35"/>
      <c r="XEF26" s="35"/>
      <c r="XEG26" s="35"/>
      <c r="XEH26" s="35"/>
      <c r="XEI26" s="35"/>
      <c r="XEJ26" s="35"/>
      <c r="XEK26" s="35"/>
      <c r="XEL26" s="35"/>
      <c r="XEM26" s="35"/>
      <c r="XEN26" s="35"/>
      <c r="XEO26" s="35"/>
      <c r="XEP26" s="35"/>
      <c r="XEQ26" s="35"/>
      <c r="XER26" s="35"/>
      <c r="XES26" s="35"/>
      <c r="XET26" s="35"/>
      <c r="XEU26" s="35"/>
      <c r="XEV26" s="35"/>
      <c r="XEW26" s="35"/>
    </row>
  </sheetData>
  <conditionalFormatting sqref="A1:AF1">
    <cfRule type="expression" dxfId="21" priority="21">
      <formula>IF(OR($G1=INF,$G1=ANN),1,0)</formula>
    </cfRule>
    <cfRule type="expression" dxfId="20" priority="22">
      <formula>IF($G1046854=NA,1,0)</formula>
    </cfRule>
  </conditionalFormatting>
  <conditionalFormatting sqref="A2:L6 A7:AF23 A25:AF25 A26:AE26 N2:AF6">
    <cfRule type="expression" dxfId="19" priority="9">
      <formula>IF(OR(#REF!=INF,#REF!=ANN),1,0)</formula>
    </cfRule>
    <cfRule type="expression" dxfId="18" priority="10">
      <formula>IF(#REF!=NA,1,0)</formula>
    </cfRule>
  </conditionalFormatting>
  <conditionalFormatting sqref="M2:M6">
    <cfRule type="expression" dxfId="17" priority="7">
      <formula>IF(OR(#REF!=INF,#REF!=ANN),1,0)</formula>
    </cfRule>
    <cfRule type="expression" dxfId="16" priority="8">
      <formula>IF(#REF!=NA,1,0)</formula>
    </cfRule>
  </conditionalFormatting>
  <conditionalFormatting sqref="A2:AF25 A26:AF26">
    <cfRule type="expression" dxfId="15" priority="11">
      <formula>$AE2="ENGAGE"</formula>
    </cfRule>
    <cfRule type="expression" dxfId="14" priority="12">
      <formula>$AE2="PREENGAGE"</formula>
    </cfRule>
    <cfRule type="expression" dxfId="13" priority="13">
      <formula>$AE2="EN COURS D'ENGAGEMENT"</formula>
    </cfRule>
    <cfRule type="expression" dxfId="12" priority="14">
      <formula>$AE2="EN COURS DE PREENGAGEMENT"</formula>
    </cfRule>
    <cfRule type="expression" dxfId="11" priority="15">
      <formula>$AE2="NON ENGAGE"</formula>
    </cfRule>
  </conditionalFormatting>
  <conditionalFormatting sqref="AE2:AE26">
    <cfRule type="cellIs" dxfId="10" priority="16" stopIfTrue="1" operator="equal">
      <formula>"""ENGAGE"""</formula>
    </cfRule>
    <cfRule type="cellIs" dxfId="9" priority="17" stopIfTrue="1" operator="equal">
      <formula>"""PREENGAGE"""</formula>
    </cfRule>
    <cfRule type="cellIs" dxfId="8" priority="18" stopIfTrue="1" operator="equal">
      <formula>"""EN COURS D'ENGAGEMENT"""</formula>
    </cfRule>
    <cfRule type="cellIs" dxfId="7" priority="19" stopIfTrue="1" operator="equal">
      <formula>"""EN COURS DE PREENGAGEMENT"""</formula>
    </cfRule>
    <cfRule type="cellIs" dxfId="6" priority="20" stopIfTrue="1" operator="equal">
      <formula>"""NON ENGAGE"""</formula>
    </cfRule>
  </conditionalFormatting>
  <conditionalFormatting sqref="A24:AF24">
    <cfRule type="expression" dxfId="5" priority="6">
      <formula>IF(#REF!=NA,1,0)</formula>
    </cfRule>
    <cfRule type="expression" dxfId="4" priority="5">
      <formula>IF(OR(#REF!=INF,#REF!=ANN),1,0)</formula>
    </cfRule>
  </conditionalFormatting>
  <conditionalFormatting sqref="E25">
    <cfRule type="expression" dxfId="3" priority="3">
      <formula>IF(OR(#REF!=INF,#REF!=ANN),1,0)</formula>
    </cfRule>
    <cfRule type="expression" dxfId="2" priority="4">
      <formula>IF(#REF!=NA,1,0)</formula>
    </cfRule>
  </conditionalFormatting>
  <conditionalFormatting sqref="U26">
    <cfRule type="expression" dxfId="1" priority="1">
      <formula>IF(OR(#REF!=INF,#REF!=ANN),1,0)</formula>
    </cfRule>
    <cfRule type="expression" dxfId="0" priority="2">
      <formula>IF(#REF!=NA,1,0)</formula>
    </cfRule>
  </conditionalFormatting>
  <dataValidations count="12">
    <dataValidation type="list" operator="equal" allowBlank="1" showInputMessage="1" showErrorMessage="1" sqref="J1:J26" xr:uid="{00000000-0002-0000-0300-000000000000}">
      <formula1>xCATEGORIES</formula1>
      <formula2>0</formula2>
    </dataValidation>
    <dataValidation type="list" operator="equal" allowBlank="1" showInputMessage="1" showErrorMessage="1" sqref="G1:G26" xr:uid="{00000000-0002-0000-0300-000001000000}">
      <formula1>xStatut1</formula1>
      <formula2>0</formula2>
    </dataValidation>
    <dataValidation type="list" operator="equal" allowBlank="1" showInputMessage="1" showErrorMessage="1" sqref="D1:D26" xr:uid="{00000000-0002-0000-0300-000002000000}">
      <formula1>xTYPE1</formula1>
      <formula2>0</formula2>
    </dataValidation>
    <dataValidation type="list" operator="equal" allowBlank="1" showInputMessage="1" showErrorMessage="1" sqref="B1:B26" xr:uid="{00000000-0002-0000-0300-000003000000}">
      <formula1>xDIRECTION</formula1>
      <formula2>0</formula2>
    </dataValidation>
    <dataValidation type="list" operator="equal" allowBlank="1" showInputMessage="1" showErrorMessage="1" sqref="H1:H26 Z26" xr:uid="{00000000-0002-0000-0300-000004000000}">
      <formula1>xSTATUTSUP</formula1>
      <formula2>0</formula2>
    </dataValidation>
    <dataValidation type="list" operator="equal" allowBlank="1" showInputMessage="1" showErrorMessage="1" sqref="AE1:AE26" xr:uid="{00000000-0002-0000-0300-000005000000}">
      <formula1>xStEng</formula1>
      <formula2>0</formula2>
    </dataValidation>
    <dataValidation type="custom" showErrorMessage="1" errorTitle="ALERTE" error="Ce champ est réservé à la Reconduction" sqref="S1:S7 S26 W2:W7" xr:uid="{00000000-0002-0000-0300-000006000000}">
      <formula1>O1=xRec</formula1>
      <formula2>0</formula2>
    </dataValidation>
    <dataValidation type="custom" showErrorMessage="1" errorTitle="ALERTE" error="Ce champ est réservé à la Reconduction" sqref="R1:R7 R26" xr:uid="{00000000-0002-0000-0300-000007000000}">
      <formula1>O1=xRec</formula1>
      <formula2>0</formula2>
    </dataValidation>
    <dataValidation type="list" operator="equal" allowBlank="1" showInputMessage="1" showErrorMessage="1" sqref="Q1:Q26" xr:uid="{00000000-0002-0000-0300-000008000000}">
      <formula1>xBesoin</formula1>
      <formula2>0</formula2>
    </dataValidation>
    <dataValidation type="list" operator="equal" allowBlank="1" showInputMessage="1" showErrorMessage="1" sqref="L2:L26" xr:uid="{00000000-0002-0000-0300-000009000000}">
      <formula1>xBUDGET</formula1>
      <formula2>0</formula2>
    </dataValidation>
    <dataValidation type="list" operator="equal" allowBlank="1" showInputMessage="1" showErrorMessage="1" sqref="K2:K26" xr:uid="{00000000-0002-0000-0300-00000A000000}">
      <formula1>TypBudget</formula1>
      <formula2>0</formula2>
    </dataValidation>
    <dataValidation type="list" operator="equal" allowBlank="1" showInputMessage="1" showErrorMessage="1" sqref="AK2:AK26" xr:uid="{00000000-0002-0000-0300-00000B000000}">
      <formula1>xnatreg</formula1>
      <formula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37</vt:i4>
      </vt:variant>
    </vt:vector>
  </HeadingPairs>
  <TitlesOfParts>
    <vt:vector size="41" baseType="lpstr">
      <vt:lpstr>Parametres</vt:lpstr>
      <vt:lpstr>ENGAGEMENTS 2026</vt:lpstr>
      <vt:lpstr>lignes</vt:lpstr>
      <vt:lpstr>Feuil1</vt:lpstr>
      <vt:lpstr>ANN</vt:lpstr>
      <vt:lpstr>ATR</vt:lpstr>
      <vt:lpstr>BUDGET</vt:lpstr>
      <vt:lpstr>cc</vt:lpstr>
      <vt:lpstr>ENGAGE</vt:lpstr>
      <vt:lpstr>Estimation</vt:lpstr>
      <vt:lpstr>Excep</vt:lpstr>
      <vt:lpstr>FON</vt:lpstr>
      <vt:lpstr>FONCTIONNEMENT</vt:lpstr>
      <vt:lpstr>INF</vt:lpstr>
      <vt:lpstr>INV</vt:lpstr>
      <vt:lpstr>INVESTISSEMENT</vt:lpstr>
      <vt:lpstr>LBDG</vt:lpstr>
      <vt:lpstr>MntENG</vt:lpstr>
      <vt:lpstr>MTP</vt:lpstr>
      <vt:lpstr>MTT</vt:lpstr>
      <vt:lpstr>NA</vt:lpstr>
      <vt:lpstr>Ordn</vt:lpstr>
      <vt:lpstr>PhaAo</vt:lpstr>
      <vt:lpstr>PREENGAGE</vt:lpstr>
      <vt:lpstr>qq</vt:lpstr>
      <vt:lpstr>StatutEng</vt:lpstr>
      <vt:lpstr>TypBudget</vt:lpstr>
      <vt:lpstr>TypeBudget</vt:lpstr>
      <vt:lpstr>xBesoin</vt:lpstr>
      <vt:lpstr>xBUDGET</vt:lpstr>
      <vt:lpstr>xCATEGORIES</vt:lpstr>
      <vt:lpstr>xDIRECTION</vt:lpstr>
      <vt:lpstr>xENG</vt:lpstr>
      <vt:lpstr>XLB</vt:lpstr>
      <vt:lpstr>xNatype</vt:lpstr>
      <vt:lpstr>xRec</vt:lpstr>
      <vt:lpstr>xStatut1</vt:lpstr>
      <vt:lpstr>xSTATUTSUP</vt:lpstr>
      <vt:lpstr>xStEng</vt:lpstr>
      <vt:lpstr>xTYPE1</vt:lpstr>
      <vt:lpstr>xTYPSUP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HP</cp:lastModifiedBy>
  <cp:revision>126</cp:revision>
  <cp:lastPrinted>2026-06-25T11:31:07Z</cp:lastPrinted>
  <dcterms:created xsi:type="dcterms:W3CDTF">2021-05-21T09:44:01Z</dcterms:created>
  <dcterms:modified xsi:type="dcterms:W3CDTF">2026-09-01T10:25:43Z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35c4ba-2280-41f8-be7d-6f21d368baa3_ActionId">
    <vt:lpwstr>0f7211c6-e688-447b-8f1c-ea7516f33db2</vt:lpwstr>
  </property>
  <property fmtid="{D5CDD505-2E9C-101B-9397-08002B2CF9AE}" pid="3" name="MSIP_Label_c135c4ba-2280-41f8-be7d-6f21d368baa3_ContentBits">
    <vt:lpwstr>0</vt:lpwstr>
  </property>
  <property fmtid="{D5CDD505-2E9C-101B-9397-08002B2CF9AE}" pid="4" name="MSIP_Label_c135c4ba-2280-41f8-be7d-6f21d368baa3_Enabled">
    <vt:lpwstr>true</vt:lpwstr>
  </property>
  <property fmtid="{D5CDD505-2E9C-101B-9397-08002B2CF9AE}" pid="5" name="MSIP_Label_c135c4ba-2280-41f8-be7d-6f21d368baa3_Method">
    <vt:lpwstr>Standard</vt:lpwstr>
  </property>
  <property fmtid="{D5CDD505-2E9C-101B-9397-08002B2CF9AE}" pid="6" name="MSIP_Label_c135c4ba-2280-41f8-be7d-6f21d368baa3_Name">
    <vt:lpwstr>c135c4ba-2280-41f8-be7d-6f21d368baa3</vt:lpwstr>
  </property>
  <property fmtid="{D5CDD505-2E9C-101B-9397-08002B2CF9AE}" pid="7" name="MSIP_Label_c135c4ba-2280-41f8-be7d-6f21d368baa3_SetDate">
    <vt:lpwstr>2021-12-02T20:32:12Z</vt:lpwstr>
  </property>
  <property fmtid="{D5CDD505-2E9C-101B-9397-08002B2CF9AE}" pid="8" name="MSIP_Label_c135c4ba-2280-41f8-be7d-6f21d368baa3_SiteId">
    <vt:lpwstr>24139d14-c62c-4c47-8bdd-ce71ea1d50cf</vt:lpwstr>
  </property>
</Properties>
</file>